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Runs'!$A$12:$AG$491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7" i="1" l="1"/>
  <c r="X208" i="1"/>
  <c r="K207" i="1"/>
  <c r="L207" i="1"/>
  <c r="M207" i="1"/>
  <c r="N207" i="1" s="1"/>
  <c r="T207" i="1"/>
  <c r="V207" i="1"/>
  <c r="Y207" i="1"/>
  <c r="Z207" i="1"/>
  <c r="AA207" i="1" s="1"/>
  <c r="AB207" i="1"/>
  <c r="AC207" i="1"/>
  <c r="AD207" i="1"/>
  <c r="AE207" i="1"/>
  <c r="AF207" i="1"/>
  <c r="AH207" i="1"/>
  <c r="AM207" i="1"/>
  <c r="AN207" i="1"/>
  <c r="AO207" i="1"/>
  <c r="X158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X209" i="1"/>
  <c r="X210" i="1"/>
  <c r="K196" i="1"/>
  <c r="L196" i="1"/>
  <c r="M196" i="1"/>
  <c r="N196" i="1" s="1"/>
  <c r="V196" i="1"/>
  <c r="AA196" i="1"/>
  <c r="AB196" i="1"/>
  <c r="AC196" i="1"/>
  <c r="AD196" i="1"/>
  <c r="T196" i="1" s="1"/>
  <c r="AE196" i="1"/>
  <c r="AF196" i="1"/>
  <c r="AH196" i="1"/>
  <c r="AM196" i="1"/>
  <c r="AN196" i="1"/>
  <c r="AO196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73" i="1"/>
  <c r="AM173" i="1"/>
  <c r="AN173" i="1"/>
  <c r="AO173" i="1"/>
  <c r="K82" i="1"/>
  <c r="L82" i="1"/>
  <c r="M82" i="1"/>
  <c r="V82" i="1"/>
  <c r="AA82" i="1"/>
  <c r="AB82" i="1"/>
  <c r="AC82" i="1"/>
  <c r="AD82" i="1"/>
  <c r="T82" i="1" s="1"/>
  <c r="AE82" i="1"/>
  <c r="AF82" i="1"/>
  <c r="AH82" i="1"/>
  <c r="AM82" i="1"/>
  <c r="AN82" i="1"/>
  <c r="AO8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V81" i="1"/>
  <c r="S10" i="3" s="1"/>
  <c r="Y81" i="1"/>
  <c r="AB81" i="1"/>
  <c r="AC81" i="1"/>
  <c r="AD81" i="1"/>
  <c r="AE81" i="1"/>
  <c r="R10" i="3" s="1"/>
  <c r="AF81" i="1"/>
  <c r="AH81" i="1"/>
  <c r="AM81" i="1"/>
  <c r="AN81" i="1"/>
  <c r="AO81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AA102" i="1" s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S7" i="3" s="1"/>
  <c r="Y128" i="1"/>
  <c r="Z128" i="1"/>
  <c r="AB128" i="1"/>
  <c r="AC128" i="1"/>
  <c r="AD128" i="1"/>
  <c r="AE128" i="1"/>
  <c r="R7" i="3" s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1" i="1"/>
  <c r="AM171" i="1"/>
  <c r="AN171" i="1"/>
  <c r="AO171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AO18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2" i="1"/>
  <c r="AM182" i="1"/>
  <c r="AN182" i="1"/>
  <c r="AO18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3" i="1"/>
  <c r="AM183" i="1"/>
  <c r="AN183" i="1"/>
  <c r="AO18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4" i="1"/>
  <c r="AM184" i="1"/>
  <c r="AN184" i="1"/>
  <c r="AO18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5" i="1"/>
  <c r="AM185" i="1"/>
  <c r="AN185" i="1"/>
  <c r="AO18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6" i="1"/>
  <c r="AM186" i="1"/>
  <c r="AN186" i="1"/>
  <c r="AO18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7" i="1"/>
  <c r="AM187" i="1"/>
  <c r="AN187" i="1"/>
  <c r="AO18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8" i="1"/>
  <c r="AM188" i="1"/>
  <c r="AN188" i="1"/>
  <c r="AO18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9" i="1"/>
  <c r="AM189" i="1"/>
  <c r="AN189" i="1"/>
  <c r="AO18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0" i="1"/>
  <c r="AM190" i="1"/>
  <c r="AN190" i="1"/>
  <c r="AO190" i="1"/>
  <c r="K167" i="1"/>
  <c r="L167" i="1"/>
  <c r="M167" i="1"/>
  <c r="N167" i="1" s="1"/>
  <c r="V167" i="1"/>
  <c r="S17" i="3" s="1"/>
  <c r="Y167" i="1"/>
  <c r="Z167" i="1"/>
  <c r="AB167" i="1"/>
  <c r="AC167" i="1"/>
  <c r="AD167" i="1"/>
  <c r="AE167" i="1"/>
  <c r="R17" i="3" s="1"/>
  <c r="AF167" i="1"/>
  <c r="AH191" i="1"/>
  <c r="AM191" i="1"/>
  <c r="AN191" i="1"/>
  <c r="AO19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2" i="1"/>
  <c r="AM192" i="1"/>
  <c r="AN192" i="1"/>
  <c r="AO19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3" i="1"/>
  <c r="AM193" i="1"/>
  <c r="AN193" i="1"/>
  <c r="AO193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4" i="1"/>
  <c r="AM194" i="1"/>
  <c r="AN194" i="1"/>
  <c r="AO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AN195" i="1"/>
  <c r="AO195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97" i="1"/>
  <c r="AM197" i="1"/>
  <c r="AN197" i="1"/>
  <c r="AO197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8" i="1"/>
  <c r="AM198" i="1"/>
  <c r="AN198" i="1"/>
  <c r="AO198" i="1"/>
  <c r="K176" i="1"/>
  <c r="L176" i="1"/>
  <c r="M176" i="1"/>
  <c r="N176" i="1" s="1"/>
  <c r="V176" i="1"/>
  <c r="S19" i="3" s="1"/>
  <c r="Y176" i="1"/>
  <c r="Z176" i="1"/>
  <c r="AB176" i="1"/>
  <c r="AC176" i="1"/>
  <c r="AD176" i="1"/>
  <c r="AE176" i="1"/>
  <c r="R19" i="3" s="1"/>
  <c r="AF176" i="1"/>
  <c r="AH199" i="1"/>
  <c r="AM199" i="1"/>
  <c r="AN199" i="1"/>
  <c r="AO19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0" i="1"/>
  <c r="AM200" i="1"/>
  <c r="AN200" i="1"/>
  <c r="AO20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1" i="1"/>
  <c r="AM201" i="1"/>
  <c r="AN201" i="1"/>
  <c r="AO20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2" i="1"/>
  <c r="AM202" i="1"/>
  <c r="AN202" i="1"/>
  <c r="AO20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3" i="1"/>
  <c r="AM203" i="1"/>
  <c r="AN203" i="1"/>
  <c r="AO20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4" i="1"/>
  <c r="AM204" i="1"/>
  <c r="AN204" i="1"/>
  <c r="AO20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5" i="1"/>
  <c r="AM205" i="1"/>
  <c r="AN205" i="1"/>
  <c r="AO20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6" i="1"/>
  <c r="AM206" i="1"/>
  <c r="AN206" i="1"/>
  <c r="AO20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8" i="1"/>
  <c r="AM208" i="1"/>
  <c r="AN208" i="1"/>
  <c r="AO20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9" i="1"/>
  <c r="AM209" i="1"/>
  <c r="AN209" i="1"/>
  <c r="AO209" i="1"/>
  <c r="K187" i="1"/>
  <c r="L187" i="1"/>
  <c r="M187" i="1"/>
  <c r="V187" i="1"/>
  <c r="S16" i="3" s="1"/>
  <c r="Y187" i="1"/>
  <c r="Z187" i="1"/>
  <c r="AB187" i="1"/>
  <c r="AC187" i="1"/>
  <c r="AD187" i="1"/>
  <c r="AE187" i="1"/>
  <c r="R13" i="3" s="1"/>
  <c r="AF187" i="1"/>
  <c r="AH210" i="1"/>
  <c r="AM210" i="1"/>
  <c r="AN210" i="1"/>
  <c r="AO210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1" i="1"/>
  <c r="AM211" i="1"/>
  <c r="AN211" i="1"/>
  <c r="AO211" i="1"/>
  <c r="K189" i="1"/>
  <c r="L189" i="1"/>
  <c r="M189" i="1"/>
  <c r="N189" i="1" s="1"/>
  <c r="V189" i="1"/>
  <c r="Y189" i="1"/>
  <c r="Z189" i="1"/>
  <c r="AB189" i="1"/>
  <c r="AC189" i="1"/>
  <c r="AD189" i="1"/>
  <c r="AE189" i="1"/>
  <c r="R18" i="3" s="1"/>
  <c r="AF189" i="1"/>
  <c r="AH212" i="1"/>
  <c r="AM212" i="1"/>
  <c r="AN212" i="1"/>
  <c r="AO21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3" i="1"/>
  <c r="AM213" i="1"/>
  <c r="AN213" i="1"/>
  <c r="AO213" i="1"/>
  <c r="K191" i="1"/>
  <c r="L191" i="1"/>
  <c r="M191" i="1"/>
  <c r="N191" i="1" s="1"/>
  <c r="V191" i="1"/>
  <c r="Y191" i="1"/>
  <c r="Z191" i="1"/>
  <c r="AA191" i="1"/>
  <c r="AB191" i="1"/>
  <c r="AC191" i="1"/>
  <c r="AD191" i="1"/>
  <c r="AE191" i="1"/>
  <c r="AF191" i="1"/>
  <c r="AH214" i="1"/>
  <c r="AM214" i="1"/>
  <c r="AN214" i="1"/>
  <c r="AO21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5" i="1"/>
  <c r="AM215" i="1"/>
  <c r="AN215" i="1"/>
  <c r="AO215" i="1"/>
  <c r="K193" i="1"/>
  <c r="L193" i="1"/>
  <c r="M193" i="1"/>
  <c r="N193" i="1"/>
  <c r="V193" i="1"/>
  <c r="Y193" i="1"/>
  <c r="Z193" i="1"/>
  <c r="AB193" i="1"/>
  <c r="AC193" i="1"/>
  <c r="AD193" i="1"/>
  <c r="AE193" i="1"/>
  <c r="AF193" i="1"/>
  <c r="AH216" i="1"/>
  <c r="AM216" i="1"/>
  <c r="AN216" i="1"/>
  <c r="AO216" i="1"/>
  <c r="AH217" i="1"/>
  <c r="AM217" i="1"/>
  <c r="AN217" i="1"/>
  <c r="AO217" i="1"/>
  <c r="K194" i="1"/>
  <c r="L194" i="1"/>
  <c r="M194" i="1"/>
  <c r="N194" i="1" s="1"/>
  <c r="V194" i="1"/>
  <c r="S12" i="3" s="1"/>
  <c r="Y194" i="1"/>
  <c r="Z194" i="1"/>
  <c r="AB194" i="1"/>
  <c r="AC194" i="1"/>
  <c r="AD194" i="1"/>
  <c r="X194" i="1" s="1"/>
  <c r="AE194" i="1"/>
  <c r="R12" i="3" s="1"/>
  <c r="AF194" i="1"/>
  <c r="AH218" i="1"/>
  <c r="AM218" i="1"/>
  <c r="AN218" i="1"/>
  <c r="AO218" i="1"/>
  <c r="K195" i="1"/>
  <c r="L195" i="1"/>
  <c r="M195" i="1"/>
  <c r="N195" i="1" s="1"/>
  <c r="V195" i="1"/>
  <c r="Y195" i="1"/>
  <c r="Z195" i="1"/>
  <c r="AB195" i="1"/>
  <c r="AC195" i="1"/>
  <c r="AD195" i="1"/>
  <c r="X195" i="1" s="1"/>
  <c r="AE195" i="1"/>
  <c r="AF195" i="1"/>
  <c r="AH219" i="1"/>
  <c r="AM219" i="1"/>
  <c r="AN219" i="1"/>
  <c r="AO219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220" i="1"/>
  <c r="AM220" i="1"/>
  <c r="AN220" i="1"/>
  <c r="AO220" i="1"/>
  <c r="K198" i="1"/>
  <c r="L198" i="1"/>
  <c r="M198" i="1"/>
  <c r="N198" i="1" s="1"/>
  <c r="V198" i="1"/>
  <c r="S21" i="3" s="1"/>
  <c r="Y198" i="1"/>
  <c r="Z198" i="1"/>
  <c r="AB198" i="1"/>
  <c r="AC198" i="1"/>
  <c r="AD198" i="1"/>
  <c r="X198" i="1" s="1"/>
  <c r="AE198" i="1"/>
  <c r="R21" i="3" s="1"/>
  <c r="AF198" i="1"/>
  <c r="AH221" i="1"/>
  <c r="AM221" i="1"/>
  <c r="AN221" i="1"/>
  <c r="AO22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2" i="1"/>
  <c r="AM222" i="1"/>
  <c r="AN222" i="1"/>
  <c r="AO22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3" i="1"/>
  <c r="AM223" i="1"/>
  <c r="AN223" i="1"/>
  <c r="AO22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4" i="1"/>
  <c r="AM224" i="1"/>
  <c r="AN224" i="1"/>
  <c r="AO224" i="1"/>
  <c r="K202" i="1"/>
  <c r="L202" i="1"/>
  <c r="M202" i="1"/>
  <c r="N202" i="1" s="1"/>
  <c r="V202" i="1"/>
  <c r="S14" i="3" s="1"/>
  <c r="Y202" i="1"/>
  <c r="Z202" i="1"/>
  <c r="AB202" i="1"/>
  <c r="AC202" i="1"/>
  <c r="AD202" i="1"/>
  <c r="AE202" i="1"/>
  <c r="R14" i="3" s="1"/>
  <c r="AF202" i="1"/>
  <c r="AH225" i="1"/>
  <c r="AM225" i="1"/>
  <c r="AN225" i="1"/>
  <c r="AO22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6" i="1"/>
  <c r="AM226" i="1"/>
  <c r="AN226" i="1"/>
  <c r="AO226" i="1"/>
  <c r="K204" i="1"/>
  <c r="L204" i="1"/>
  <c r="M204" i="1"/>
  <c r="N204" i="1" s="1"/>
  <c r="V204" i="1"/>
  <c r="S11" i="3" s="1"/>
  <c r="Y204" i="1"/>
  <c r="Z204" i="1"/>
  <c r="AB204" i="1"/>
  <c r="AC204" i="1"/>
  <c r="AD204" i="1"/>
  <c r="AE204" i="1"/>
  <c r="R11" i="3" s="1"/>
  <c r="AF204" i="1"/>
  <c r="AH227" i="1"/>
  <c r="AM227" i="1"/>
  <c r="AN227" i="1"/>
  <c r="AO227" i="1"/>
  <c r="K205" i="1"/>
  <c r="L205" i="1"/>
  <c r="M205" i="1"/>
  <c r="N205" i="1" s="1"/>
  <c r="V205" i="1"/>
  <c r="S15" i="3" s="1"/>
  <c r="Y205" i="1"/>
  <c r="Z205" i="1"/>
  <c r="AB205" i="1"/>
  <c r="AC205" i="1"/>
  <c r="AD205" i="1"/>
  <c r="AE205" i="1"/>
  <c r="R15" i="3" s="1"/>
  <c r="AF205" i="1"/>
  <c r="AH228" i="1"/>
  <c r="AM228" i="1"/>
  <c r="AN228" i="1"/>
  <c r="AO22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9" i="1"/>
  <c r="AM229" i="1"/>
  <c r="AN229" i="1"/>
  <c r="AO229" i="1"/>
  <c r="AH230" i="1"/>
  <c r="AM230" i="1"/>
  <c r="AN230" i="1"/>
  <c r="AO23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1" i="1"/>
  <c r="AM231" i="1"/>
  <c r="AN231" i="1"/>
  <c r="AO23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2" i="1"/>
  <c r="AM232" i="1"/>
  <c r="AN232" i="1"/>
  <c r="AO23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3" i="1"/>
  <c r="AM233" i="1"/>
  <c r="AN233" i="1"/>
  <c r="AO23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4" i="1"/>
  <c r="AM234" i="1"/>
  <c r="AN234" i="1"/>
  <c r="AO234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5" i="1"/>
  <c r="AM235" i="1"/>
  <c r="AN235" i="1"/>
  <c r="AO235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6" i="1"/>
  <c r="AM236" i="1"/>
  <c r="AN236" i="1"/>
  <c r="AO236" i="1"/>
  <c r="M17" i="3"/>
  <c r="U17" i="3"/>
  <c r="AC17" i="3" s="1"/>
  <c r="V17" i="3"/>
  <c r="X17" i="3"/>
  <c r="M9" i="3"/>
  <c r="R9" i="3"/>
  <c r="S9" i="3"/>
  <c r="U9" i="3"/>
  <c r="AC9" i="3" s="1"/>
  <c r="V9" i="3"/>
  <c r="X9" i="3"/>
  <c r="M19" i="3"/>
  <c r="U19" i="3"/>
  <c r="AC19" i="3" s="1"/>
  <c r="V19" i="3"/>
  <c r="X19" i="3"/>
  <c r="M10" i="3"/>
  <c r="U10" i="3"/>
  <c r="AC10" i="3" s="1"/>
  <c r="V10" i="3"/>
  <c r="X10" i="3"/>
  <c r="M8" i="3"/>
  <c r="R8" i="3"/>
  <c r="U8" i="3"/>
  <c r="T8" i="3" s="1"/>
  <c r="V8" i="3"/>
  <c r="X8" i="3"/>
  <c r="M16" i="3"/>
  <c r="R16" i="3"/>
  <c r="U16" i="3"/>
  <c r="AC16" i="3" s="1"/>
  <c r="V16" i="3"/>
  <c r="X16" i="3"/>
  <c r="M13" i="3"/>
  <c r="U13" i="3"/>
  <c r="AC13" i="3" s="1"/>
  <c r="V13" i="3"/>
  <c r="X13" i="3"/>
  <c r="M18" i="3"/>
  <c r="S18" i="3"/>
  <c r="U18" i="3"/>
  <c r="T18" i="3" s="1"/>
  <c r="V18" i="3"/>
  <c r="X18" i="3"/>
  <c r="AD17" i="3"/>
  <c r="M12" i="3"/>
  <c r="U12" i="3"/>
  <c r="AC12" i="3" s="1"/>
  <c r="V12" i="3"/>
  <c r="X12" i="3"/>
  <c r="M7" i="3"/>
  <c r="U7" i="3"/>
  <c r="T7" i="3" s="1"/>
  <c r="V7" i="3"/>
  <c r="X7" i="3"/>
  <c r="M21" i="3"/>
  <c r="U21" i="3"/>
  <c r="AC21" i="3" s="1"/>
  <c r="V21" i="3"/>
  <c r="X21" i="3"/>
  <c r="M14" i="3"/>
  <c r="U14" i="3"/>
  <c r="V14" i="3"/>
  <c r="X14" i="3"/>
  <c r="M11" i="3"/>
  <c r="U11" i="3"/>
  <c r="AC11" i="3" s="1"/>
  <c r="V11" i="3"/>
  <c r="X11" i="3"/>
  <c r="M15" i="3"/>
  <c r="U15" i="3"/>
  <c r="AC15" i="3" s="1"/>
  <c r="V15" i="3"/>
  <c r="X15" i="3"/>
  <c r="AG207" i="1"/>
  <c r="AG157" i="1"/>
  <c r="AG196" i="1"/>
  <c r="AG173" i="1"/>
  <c r="AG82" i="1"/>
  <c r="AG76" i="1"/>
  <c r="AG93" i="1"/>
  <c r="AG117" i="1"/>
  <c r="AG129" i="1"/>
  <c r="AG141" i="1"/>
  <c r="AG150" i="1"/>
  <c r="AG217" i="1"/>
  <c r="AG235" i="1"/>
  <c r="AG168" i="1"/>
  <c r="AG181" i="1"/>
  <c r="AG189" i="1"/>
  <c r="AG206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9" i="1"/>
  <c r="AG78" i="1"/>
  <c r="AG86" i="1"/>
  <c r="AG94" i="1"/>
  <c r="AG102" i="1"/>
  <c r="AG79" i="1"/>
  <c r="AG87" i="1"/>
  <c r="AG95" i="1"/>
  <c r="AG103" i="1"/>
  <c r="AG106" i="1"/>
  <c r="AG114" i="1"/>
  <c r="AG118" i="1"/>
  <c r="AG122" i="1"/>
  <c r="AG126" i="1"/>
  <c r="AG130" i="1"/>
  <c r="AG134" i="1"/>
  <c r="AG138" i="1"/>
  <c r="AG142" i="1"/>
  <c r="AG146" i="1"/>
  <c r="AG104" i="1"/>
  <c r="AG151" i="1"/>
  <c r="AG155" i="1"/>
  <c r="AG210" i="1"/>
  <c r="AG214" i="1"/>
  <c r="AG218" i="1"/>
  <c r="AG228" i="1"/>
  <c r="AG232" i="1"/>
  <c r="AG236" i="1"/>
  <c r="AG161" i="1"/>
  <c r="AG165" i="1"/>
  <c r="AG169" i="1"/>
  <c r="AG174" i="1"/>
  <c r="AG178" i="1"/>
  <c r="AG182" i="1"/>
  <c r="AG186" i="1"/>
  <c r="AG190" i="1"/>
  <c r="AG200" i="1"/>
  <c r="AG197" i="1"/>
  <c r="AG205" i="1"/>
  <c r="AG226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8" i="1"/>
  <c r="AG72" i="1"/>
  <c r="AG80" i="1"/>
  <c r="AG88" i="1"/>
  <c r="AG96" i="1"/>
  <c r="AG66" i="1"/>
  <c r="AG73" i="1"/>
  <c r="AG81" i="1"/>
  <c r="AG89" i="1"/>
  <c r="AG97" i="1"/>
  <c r="AG107" i="1"/>
  <c r="AG111" i="1"/>
  <c r="AG115" i="1"/>
  <c r="AG119" i="1"/>
  <c r="AG123" i="1"/>
  <c r="AG127" i="1"/>
  <c r="AG131" i="1"/>
  <c r="AG135" i="1"/>
  <c r="AG139" i="1"/>
  <c r="AG143" i="1"/>
  <c r="AG147" i="1"/>
  <c r="AG108" i="1"/>
  <c r="AG152" i="1"/>
  <c r="AG156" i="1"/>
  <c r="AG211" i="1"/>
  <c r="AG215" i="1"/>
  <c r="AG219" i="1"/>
  <c r="AG229" i="1"/>
  <c r="AG233" i="1"/>
  <c r="AG158" i="1"/>
  <c r="AG162" i="1"/>
  <c r="AG166" i="1"/>
  <c r="AG170" i="1"/>
  <c r="AG175" i="1"/>
  <c r="AG179" i="1"/>
  <c r="AG183" i="1"/>
  <c r="AG187" i="1"/>
  <c r="AG191" i="1"/>
  <c r="AG194" i="1"/>
  <c r="AG202" i="1"/>
  <c r="AG199" i="1"/>
  <c r="AG221" i="1"/>
  <c r="AG222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71" i="1"/>
  <c r="AG74" i="1"/>
  <c r="AG83" i="1"/>
  <c r="AG90" i="1"/>
  <c r="AG98" i="1"/>
  <c r="AG70" i="1"/>
  <c r="AG75" i="1"/>
  <c r="AG84" i="1"/>
  <c r="AG91" i="1"/>
  <c r="AG99" i="1"/>
  <c r="AG109" i="1"/>
  <c r="AG105" i="1"/>
  <c r="AG120" i="1"/>
  <c r="AG124" i="1"/>
  <c r="AG128" i="1"/>
  <c r="AG132" i="1"/>
  <c r="AG136" i="1"/>
  <c r="AG140" i="1"/>
  <c r="AG144" i="1"/>
  <c r="AG112" i="1"/>
  <c r="AG208" i="1"/>
  <c r="AG216" i="1"/>
  <c r="AG220" i="1"/>
  <c r="AG234" i="1"/>
  <c r="AG163" i="1"/>
  <c r="AG171" i="1"/>
  <c r="AG180" i="1"/>
  <c r="AG188" i="1"/>
  <c r="AG195" i="1"/>
  <c r="AG201" i="1"/>
  <c r="AG223" i="1"/>
  <c r="AG43" i="1"/>
  <c r="AG59" i="1"/>
  <c r="AG85" i="1"/>
  <c r="AG100" i="1"/>
  <c r="AG77" i="1"/>
  <c r="AG101" i="1"/>
  <c r="AG113" i="1"/>
  <c r="AG125" i="1"/>
  <c r="AG137" i="1"/>
  <c r="AG149" i="1"/>
  <c r="AG209" i="1"/>
  <c r="AG213" i="1"/>
  <c r="AG231" i="1"/>
  <c r="AG164" i="1"/>
  <c r="AG172" i="1"/>
  <c r="AG185" i="1"/>
  <c r="AG198" i="1"/>
  <c r="AG203" i="1"/>
  <c r="AG116" i="1"/>
  <c r="AG148" i="1"/>
  <c r="AG153" i="1"/>
  <c r="AG212" i="1"/>
  <c r="AG230" i="1"/>
  <c r="AG159" i="1"/>
  <c r="AG167" i="1"/>
  <c r="AG176" i="1"/>
  <c r="AG184" i="1"/>
  <c r="AG192" i="1"/>
  <c r="AG204" i="1"/>
  <c r="AG224" i="1"/>
  <c r="AG15" i="1"/>
  <c r="AG19" i="1"/>
  <c r="AG23" i="1"/>
  <c r="AG27" i="1"/>
  <c r="AG31" i="1"/>
  <c r="AG35" i="1"/>
  <c r="AG39" i="1"/>
  <c r="AG47" i="1"/>
  <c r="AG51" i="1"/>
  <c r="AG55" i="1"/>
  <c r="AG63" i="1"/>
  <c r="AG65" i="1"/>
  <c r="AG92" i="1"/>
  <c r="AG67" i="1"/>
  <c r="AG110" i="1"/>
  <c r="AG121" i="1"/>
  <c r="AG133" i="1"/>
  <c r="AG145" i="1"/>
  <c r="AG154" i="1"/>
  <c r="AG227" i="1"/>
  <c r="AG160" i="1"/>
  <c r="AG177" i="1"/>
  <c r="AG193" i="1"/>
  <c r="AG225" i="1"/>
  <c r="W21" i="3"/>
  <c r="W7" i="3"/>
  <c r="W13" i="3"/>
  <c r="W19" i="3"/>
  <c r="W11" i="3"/>
  <c r="W12" i="3"/>
  <c r="W8" i="3"/>
  <c r="W16" i="3"/>
  <c r="W17" i="3"/>
  <c r="W15" i="3"/>
  <c r="W9" i="3"/>
  <c r="W14" i="3"/>
  <c r="W18" i="3"/>
  <c r="W10" i="3"/>
  <c r="AI207" i="1" l="1"/>
  <c r="U207" i="1"/>
  <c r="S207" i="1" s="1"/>
  <c r="W207" i="1"/>
  <c r="AI157" i="1"/>
  <c r="U157" i="1"/>
  <c r="S157" i="1" s="1"/>
  <c r="W157" i="1"/>
  <c r="X157" i="1"/>
  <c r="AA175" i="1"/>
  <c r="X218" i="1"/>
  <c r="X214" i="1"/>
  <c r="AA214" i="1"/>
  <c r="AA136" i="1"/>
  <c r="AA69" i="1"/>
  <c r="AA204" i="1"/>
  <c r="AA134" i="1"/>
  <c r="AA130" i="1"/>
  <c r="AA126" i="1"/>
  <c r="AA122" i="1"/>
  <c r="AA118" i="1"/>
  <c r="AA114" i="1"/>
  <c r="AA110" i="1"/>
  <c r="AI196" i="1"/>
  <c r="U196" i="1"/>
  <c r="S196" i="1" s="1"/>
  <c r="W196" i="1"/>
  <c r="X196" i="1"/>
  <c r="X71" i="1"/>
  <c r="AA227" i="1"/>
  <c r="X217" i="1"/>
  <c r="X213" i="1"/>
  <c r="AA213" i="1"/>
  <c r="AA146" i="1"/>
  <c r="AA99" i="1"/>
  <c r="AA95" i="1"/>
  <c r="P81" i="1"/>
  <c r="AD16" i="3"/>
  <c r="S8" i="3"/>
  <c r="AA179" i="1"/>
  <c r="AA176" i="1"/>
  <c r="AA171" i="1"/>
  <c r="AA159" i="1"/>
  <c r="AA220" i="1"/>
  <c r="AA212" i="1"/>
  <c r="AA135" i="1"/>
  <c r="AA94" i="1"/>
  <c r="AA70" i="1"/>
  <c r="AA54" i="1"/>
  <c r="AA50" i="1"/>
  <c r="AA34" i="1"/>
  <c r="X72" i="1"/>
  <c r="AI173" i="1"/>
  <c r="U173" i="1"/>
  <c r="S173" i="1" s="1"/>
  <c r="W173" i="1"/>
  <c r="X173" i="1"/>
  <c r="AA187" i="1"/>
  <c r="AA183" i="1"/>
  <c r="AA174" i="1"/>
  <c r="W174" i="1" s="1"/>
  <c r="AA169" i="1"/>
  <c r="AA165" i="1"/>
  <c r="AA236" i="1"/>
  <c r="AA232" i="1"/>
  <c r="W232" i="1" s="1"/>
  <c r="AA228" i="1"/>
  <c r="AA125" i="1"/>
  <c r="AA121" i="1"/>
  <c r="AA117" i="1"/>
  <c r="AA92" i="1"/>
  <c r="AA88" i="1"/>
  <c r="X83" i="1"/>
  <c r="AA80" i="1"/>
  <c r="W80" i="1" s="1"/>
  <c r="AA43" i="1"/>
  <c r="AA32" i="1"/>
  <c r="AA28" i="1"/>
  <c r="AA24" i="1"/>
  <c r="W24" i="1" s="1"/>
  <c r="AA20" i="1"/>
  <c r="AA16" i="1"/>
  <c r="AA40" i="1"/>
  <c r="AA36" i="1"/>
  <c r="W36" i="1" s="1"/>
  <c r="X219" i="1"/>
  <c r="X155" i="1"/>
  <c r="AA142" i="1"/>
  <c r="AA77" i="1"/>
  <c r="AA206" i="1"/>
  <c r="AA202" i="1"/>
  <c r="AA201" i="1"/>
  <c r="AA197" i="1"/>
  <c r="AA217" i="1"/>
  <c r="AA208" i="1"/>
  <c r="X152" i="1"/>
  <c r="AA143" i="1"/>
  <c r="W143" i="1" s="1"/>
  <c r="AA139" i="1"/>
  <c r="AA90" i="1"/>
  <c r="AA46" i="1"/>
  <c r="AA42" i="1"/>
  <c r="W42" i="1" s="1"/>
  <c r="AA38" i="1"/>
  <c r="AA31" i="1"/>
  <c r="AA194" i="1"/>
  <c r="AA188" i="1"/>
  <c r="W188" i="1" s="1"/>
  <c r="AA170" i="1"/>
  <c r="AA166" i="1"/>
  <c r="AA233" i="1"/>
  <c r="AA229" i="1"/>
  <c r="W229" i="1" s="1"/>
  <c r="T217" i="1"/>
  <c r="AA210" i="1"/>
  <c r="AA156" i="1"/>
  <c r="AA150" i="1"/>
  <c r="W150" i="1" s="1"/>
  <c r="AA149" i="1"/>
  <c r="AA148" i="1"/>
  <c r="X146" i="1"/>
  <c r="AA145" i="1"/>
  <c r="W145" i="1" s="1"/>
  <c r="AA144" i="1"/>
  <c r="AA132" i="1"/>
  <c r="AA112" i="1"/>
  <c r="AA86" i="1"/>
  <c r="W86" i="1" s="1"/>
  <c r="AA78" i="1"/>
  <c r="AA47" i="1"/>
  <c r="AA45" i="1"/>
  <c r="AA41" i="1"/>
  <c r="W41" i="1" s="1"/>
  <c r="AA26" i="1"/>
  <c r="AA22" i="1"/>
  <c r="AA18" i="1"/>
  <c r="AA203" i="1"/>
  <c r="W203" i="1" s="1"/>
  <c r="AA199" i="1"/>
  <c r="AA192" i="1"/>
  <c r="AA190" i="1"/>
  <c r="AA186" i="1"/>
  <c r="W186" i="1" s="1"/>
  <c r="AA185" i="1"/>
  <c r="AA181" i="1"/>
  <c r="X220" i="1"/>
  <c r="AA216" i="1"/>
  <c r="X215" i="1"/>
  <c r="AA215" i="1"/>
  <c r="X211" i="1"/>
  <c r="AA211" i="1"/>
  <c r="W211" i="1" s="1"/>
  <c r="X144" i="1"/>
  <c r="AA129" i="1"/>
  <c r="AA105" i="1"/>
  <c r="AA91" i="1"/>
  <c r="AA87" i="1"/>
  <c r="AA83" i="1"/>
  <c r="AA75" i="1"/>
  <c r="AA65" i="1"/>
  <c r="W65" i="1" s="1"/>
  <c r="X56" i="1"/>
  <c r="AA52" i="1"/>
  <c r="AE17" i="3"/>
  <c r="S13" i="3"/>
  <c r="T219" i="1"/>
  <c r="T218" i="1"/>
  <c r="AA131" i="1"/>
  <c r="AA85" i="1"/>
  <c r="W85" i="1" s="1"/>
  <c r="AA66" i="1"/>
  <c r="X82" i="1"/>
  <c r="U82" i="1"/>
  <c r="AI82" i="1"/>
  <c r="W82" i="1"/>
  <c r="AA223" i="1"/>
  <c r="T215" i="1"/>
  <c r="T214" i="1"/>
  <c r="T213" i="1"/>
  <c r="AA113" i="1"/>
  <c r="AA84" i="1"/>
  <c r="AA79" i="1"/>
  <c r="W79" i="1" s="1"/>
  <c r="AA72" i="1"/>
  <c r="W72" i="1" s="1"/>
  <c r="AA67" i="1"/>
  <c r="X62" i="1"/>
  <c r="X59" i="1"/>
  <c r="AA44" i="1"/>
  <c r="AA205" i="1"/>
  <c r="AA189" i="1"/>
  <c r="AA172" i="1"/>
  <c r="W172" i="1" s="1"/>
  <c r="AA219" i="1"/>
  <c r="AA218" i="1"/>
  <c r="AA209" i="1"/>
  <c r="AA147" i="1"/>
  <c r="W147" i="1" s="1"/>
  <c r="AA133" i="1"/>
  <c r="W133" i="1" s="1"/>
  <c r="AA225" i="1"/>
  <c r="AA224" i="1"/>
  <c r="AA221" i="1"/>
  <c r="AA195" i="1"/>
  <c r="AA193" i="1"/>
  <c r="W193" i="1" s="1"/>
  <c r="AA180" i="1"/>
  <c r="AA178" i="1"/>
  <c r="AA177" i="1"/>
  <c r="AA167" i="1"/>
  <c r="AA234" i="1"/>
  <c r="W234" i="1" s="1"/>
  <c r="AA230" i="1"/>
  <c r="X216" i="1"/>
  <c r="T211" i="1"/>
  <c r="U211" i="1" s="1"/>
  <c r="S211" i="1" s="1"/>
  <c r="X148" i="1"/>
  <c r="X143" i="1"/>
  <c r="AA141" i="1"/>
  <c r="AA140" i="1"/>
  <c r="AA138" i="1"/>
  <c r="AA137" i="1"/>
  <c r="AA127" i="1"/>
  <c r="AA123" i="1"/>
  <c r="W123" i="1" s="1"/>
  <c r="AA119" i="1"/>
  <c r="W119" i="1" s="1"/>
  <c r="AA115" i="1"/>
  <c r="AA107" i="1"/>
  <c r="AA103" i="1"/>
  <c r="AA98" i="1"/>
  <c r="AA74" i="1"/>
  <c r="AA56" i="1"/>
  <c r="AA51" i="1"/>
  <c r="W51" i="1" s="1"/>
  <c r="AA49" i="1"/>
  <c r="AA48" i="1"/>
  <c r="AA35" i="1"/>
  <c r="AA33" i="1"/>
  <c r="W33" i="1" s="1"/>
  <c r="AA29" i="1"/>
  <c r="AA25" i="1"/>
  <c r="AA21" i="1"/>
  <c r="AA17" i="1"/>
  <c r="W17" i="1" s="1"/>
  <c r="AA200" i="1"/>
  <c r="AA198" i="1"/>
  <c r="AA184" i="1"/>
  <c r="AA182" i="1"/>
  <c r="W182" i="1" s="1"/>
  <c r="AA168" i="1"/>
  <c r="AA164" i="1"/>
  <c r="AA163" i="1"/>
  <c r="AA162" i="1"/>
  <c r="W162" i="1" s="1"/>
  <c r="AA160" i="1"/>
  <c r="AA158" i="1"/>
  <c r="AA235" i="1"/>
  <c r="AA231" i="1"/>
  <c r="W231" i="1" s="1"/>
  <c r="T220" i="1"/>
  <c r="U220" i="1" s="1"/>
  <c r="S220" i="1" s="1"/>
  <c r="X212" i="1"/>
  <c r="T210" i="1"/>
  <c r="AA128" i="1"/>
  <c r="W128" i="1" s="1"/>
  <c r="AA124" i="1"/>
  <c r="AA120" i="1"/>
  <c r="AA116" i="1"/>
  <c r="AA109" i="1"/>
  <c r="W109" i="1" s="1"/>
  <c r="AA100" i="1"/>
  <c r="W100" i="1" s="1"/>
  <c r="AA96" i="1"/>
  <c r="AA76" i="1"/>
  <c r="AA62" i="1"/>
  <c r="W62" i="1" s="1"/>
  <c r="AA59" i="1"/>
  <c r="W59" i="1" s="1"/>
  <c r="AA57" i="1"/>
  <c r="AA55" i="1"/>
  <c r="AA53" i="1"/>
  <c r="W53" i="1" s="1"/>
  <c r="AA39" i="1"/>
  <c r="AA37" i="1"/>
  <c r="AA30" i="1"/>
  <c r="AA27" i="1"/>
  <c r="W27" i="1" s="1"/>
  <c r="AA23" i="1"/>
  <c r="W23" i="1" s="1"/>
  <c r="AA19" i="1"/>
  <c r="AA15" i="1"/>
  <c r="X151" i="1"/>
  <c r="T151" i="1"/>
  <c r="U151" i="1" s="1"/>
  <c r="S151" i="1" s="1"/>
  <c r="X145" i="1"/>
  <c r="T145" i="1"/>
  <c r="AA226" i="1"/>
  <c r="W226" i="1" s="1"/>
  <c r="AA222" i="1"/>
  <c r="X227" i="1"/>
  <c r="T148" i="1"/>
  <c r="X150" i="1"/>
  <c r="T146" i="1"/>
  <c r="X142" i="1"/>
  <c r="X113" i="1"/>
  <c r="AA111" i="1"/>
  <c r="AA106" i="1"/>
  <c r="AA101" i="1"/>
  <c r="AA93" i="1"/>
  <c r="AA68" i="1"/>
  <c r="AA63" i="1"/>
  <c r="X60" i="1"/>
  <c r="AA58" i="1"/>
  <c r="W58" i="1" s="1"/>
  <c r="X149" i="1"/>
  <c r="X141" i="1"/>
  <c r="AA14" i="1"/>
  <c r="AA161" i="1"/>
  <c r="W161" i="1" s="1"/>
  <c r="X156" i="1"/>
  <c r="AA155" i="1"/>
  <c r="AA154" i="1"/>
  <c r="W154" i="1" s="1"/>
  <c r="AA153" i="1"/>
  <c r="AA152" i="1"/>
  <c r="AA151" i="1"/>
  <c r="T150" i="1"/>
  <c r="U150" i="1" s="1"/>
  <c r="S150" i="1" s="1"/>
  <c r="X147" i="1"/>
  <c r="AA108" i="1"/>
  <c r="AA104" i="1"/>
  <c r="AA97" i="1"/>
  <c r="AA89" i="1"/>
  <c r="AA81" i="1"/>
  <c r="W81" i="1" s="1"/>
  <c r="AA73" i="1"/>
  <c r="AA71" i="1"/>
  <c r="W71" i="1" s="1"/>
  <c r="AA64" i="1"/>
  <c r="X63" i="1"/>
  <c r="AA61" i="1"/>
  <c r="AA60" i="1"/>
  <c r="W60" i="1" s="1"/>
  <c r="X58" i="1"/>
  <c r="AI230" i="1"/>
  <c r="AI234" i="1"/>
  <c r="AI232" i="1"/>
  <c r="AI236" i="1"/>
  <c r="AI235" i="1"/>
  <c r="AI233" i="1"/>
  <c r="AI231" i="1"/>
  <c r="AI228" i="1"/>
  <c r="AI226" i="1"/>
  <c r="AI224" i="1"/>
  <c r="AI222" i="1"/>
  <c r="AI220" i="1"/>
  <c r="AI229" i="1"/>
  <c r="AI227" i="1"/>
  <c r="AI225" i="1"/>
  <c r="AI223" i="1"/>
  <c r="AI221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6" i="1"/>
  <c r="AI205" i="1"/>
  <c r="AI204" i="1"/>
  <c r="AI203" i="1"/>
  <c r="AI202" i="1"/>
  <c r="AI201" i="1"/>
  <c r="AI200" i="1"/>
  <c r="AI199" i="1"/>
  <c r="AI198" i="1"/>
  <c r="AI197" i="1"/>
  <c r="AI195" i="1"/>
  <c r="AI194" i="1"/>
  <c r="AI193" i="1"/>
  <c r="W169" i="1"/>
  <c r="AI192" i="1"/>
  <c r="AI191" i="1"/>
  <c r="AI190" i="1"/>
  <c r="AI189" i="1"/>
  <c r="U164" i="1"/>
  <c r="S164" i="1" s="1"/>
  <c r="AI188" i="1"/>
  <c r="U163" i="1"/>
  <c r="S163" i="1" s="1"/>
  <c r="AI187" i="1"/>
  <c r="U162" i="1"/>
  <c r="S162" i="1" s="1"/>
  <c r="AI186" i="1"/>
  <c r="U161" i="1"/>
  <c r="S161" i="1" s="1"/>
  <c r="AI185" i="1"/>
  <c r="U160" i="1"/>
  <c r="S160" i="1" s="1"/>
  <c r="AI184" i="1"/>
  <c r="U159" i="1"/>
  <c r="S159" i="1" s="1"/>
  <c r="AI183" i="1"/>
  <c r="U158" i="1"/>
  <c r="S158" i="1" s="1"/>
  <c r="AI182" i="1"/>
  <c r="U236" i="1"/>
  <c r="S236" i="1" s="1"/>
  <c r="AI181" i="1"/>
  <c r="U235" i="1"/>
  <c r="S235" i="1" s="1"/>
  <c r="AI180" i="1"/>
  <c r="U234" i="1"/>
  <c r="S234" i="1" s="1"/>
  <c r="AI179" i="1"/>
  <c r="U233" i="1"/>
  <c r="S233" i="1" s="1"/>
  <c r="AI178" i="1"/>
  <c r="U232" i="1"/>
  <c r="S232" i="1" s="1"/>
  <c r="AI177" i="1"/>
  <c r="U231" i="1"/>
  <c r="S231" i="1" s="1"/>
  <c r="AI176" i="1"/>
  <c r="U230" i="1"/>
  <c r="S230" i="1" s="1"/>
  <c r="AI175" i="1"/>
  <c r="U229" i="1"/>
  <c r="S229" i="1" s="1"/>
  <c r="AI174" i="1"/>
  <c r="U228" i="1"/>
  <c r="S228" i="1" s="1"/>
  <c r="AI172" i="1"/>
  <c r="U227" i="1"/>
  <c r="S227" i="1" s="1"/>
  <c r="AI171" i="1"/>
  <c r="AI170" i="1"/>
  <c r="U219" i="1"/>
  <c r="S219" i="1" s="1"/>
  <c r="AI169" i="1"/>
  <c r="U218" i="1"/>
  <c r="S218" i="1" s="1"/>
  <c r="AI168" i="1"/>
  <c r="U217" i="1"/>
  <c r="S217" i="1" s="1"/>
  <c r="AI167" i="1"/>
  <c r="U216" i="1"/>
  <c r="S216" i="1" s="1"/>
  <c r="AI166" i="1"/>
  <c r="U215" i="1"/>
  <c r="S215" i="1" s="1"/>
  <c r="AI165" i="1"/>
  <c r="U214" i="1"/>
  <c r="S214" i="1" s="1"/>
  <c r="AI164" i="1"/>
  <c r="U213" i="1"/>
  <c r="S213" i="1" s="1"/>
  <c r="AI163" i="1"/>
  <c r="U212" i="1"/>
  <c r="S212" i="1" s="1"/>
  <c r="AI162" i="1"/>
  <c r="AI161" i="1"/>
  <c r="U210" i="1"/>
  <c r="S210" i="1" s="1"/>
  <c r="AI160" i="1"/>
  <c r="U209" i="1"/>
  <c r="S209" i="1" s="1"/>
  <c r="AI159" i="1"/>
  <c r="U208" i="1"/>
  <c r="S208" i="1" s="1"/>
  <c r="AI158" i="1"/>
  <c r="U156" i="1"/>
  <c r="S156" i="1" s="1"/>
  <c r="AI156" i="1"/>
  <c r="AI155" i="1"/>
  <c r="AI154" i="1"/>
  <c r="AI153" i="1"/>
  <c r="U153" i="1"/>
  <c r="S153" i="1" s="1"/>
  <c r="AI152" i="1"/>
  <c r="AI151" i="1"/>
  <c r="AI150" i="1"/>
  <c r="AI112" i="1"/>
  <c r="W112" i="1"/>
  <c r="AI108" i="1"/>
  <c r="AI104" i="1"/>
  <c r="U149" i="1"/>
  <c r="S149" i="1" s="1"/>
  <c r="AI149" i="1"/>
  <c r="W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W141" i="1"/>
  <c r="AI140" i="1"/>
  <c r="AI139" i="1"/>
  <c r="AI138" i="1"/>
  <c r="AI137" i="1"/>
  <c r="AI136" i="1"/>
  <c r="AI135" i="1"/>
  <c r="AI134" i="1"/>
  <c r="AI133" i="1"/>
  <c r="AI132" i="1"/>
  <c r="AI131" i="1"/>
  <c r="W130" i="1"/>
  <c r="AI130" i="1"/>
  <c r="W129" i="1"/>
  <c r="AI129" i="1"/>
  <c r="AI128" i="1"/>
  <c r="AI127" i="1"/>
  <c r="AI126" i="1"/>
  <c r="AI125" i="1"/>
  <c r="AI124" i="1"/>
  <c r="AI123" i="1"/>
  <c r="AI122" i="1"/>
  <c r="AI121" i="1"/>
  <c r="AI120" i="1"/>
  <c r="U120" i="1"/>
  <c r="S120" i="1" s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5" i="1"/>
  <c r="U115" i="1"/>
  <c r="S115" i="1" s="1"/>
  <c r="AI114" i="1"/>
  <c r="U114" i="1"/>
  <c r="S114" i="1" s="1"/>
  <c r="AI113" i="1"/>
  <c r="U113" i="1"/>
  <c r="S113" i="1" s="1"/>
  <c r="AI105" i="1"/>
  <c r="AI111" i="1"/>
  <c r="AI106" i="1"/>
  <c r="AI110" i="1"/>
  <c r="AI109" i="1"/>
  <c r="AI107" i="1"/>
  <c r="AI103" i="1"/>
  <c r="AI101" i="1"/>
  <c r="AI99" i="1"/>
  <c r="AI97" i="1"/>
  <c r="AI95" i="1"/>
  <c r="AI93" i="1"/>
  <c r="AI91" i="1"/>
  <c r="AI89" i="1"/>
  <c r="AI87" i="1"/>
  <c r="AI84" i="1"/>
  <c r="AI81" i="1"/>
  <c r="AI79" i="1"/>
  <c r="AI77" i="1"/>
  <c r="AI75" i="1"/>
  <c r="AI73" i="1"/>
  <c r="U67" i="1"/>
  <c r="S67" i="1" s="1"/>
  <c r="AI67" i="1"/>
  <c r="AI70" i="1"/>
  <c r="U70" i="1"/>
  <c r="S70" i="1" s="1"/>
  <c r="AI66" i="1"/>
  <c r="U66" i="1"/>
  <c r="S66" i="1" s="1"/>
  <c r="AI102" i="1"/>
  <c r="AI100" i="1"/>
  <c r="AI98" i="1"/>
  <c r="AI96" i="1"/>
  <c r="AI94" i="1"/>
  <c r="AI92" i="1"/>
  <c r="AI90" i="1"/>
  <c r="AI88" i="1"/>
  <c r="AI86" i="1"/>
  <c r="AI85" i="1"/>
  <c r="AI83" i="1"/>
  <c r="AI80" i="1"/>
  <c r="AI78" i="1"/>
  <c r="AI76" i="1"/>
  <c r="AI74" i="1"/>
  <c r="U72" i="1"/>
  <c r="S72" i="1" s="1"/>
  <c r="AI72" i="1"/>
  <c r="W69" i="1"/>
  <c r="U69" i="1"/>
  <c r="S69" i="1" s="1"/>
  <c r="AI69" i="1"/>
  <c r="U65" i="1"/>
  <c r="S65" i="1" s="1"/>
  <c r="AI65" i="1"/>
  <c r="U71" i="1"/>
  <c r="S71" i="1" s="1"/>
  <c r="AI71" i="1"/>
  <c r="U68" i="1"/>
  <c r="S68" i="1" s="1"/>
  <c r="AI68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9" i="1"/>
  <c r="W194" i="1"/>
  <c r="W191" i="1"/>
  <c r="W187" i="1"/>
  <c r="W183" i="1"/>
  <c r="W179" i="1"/>
  <c r="W175" i="1"/>
  <c r="W170" i="1"/>
  <c r="W223" i="1"/>
  <c r="W224" i="1"/>
  <c r="W221" i="1"/>
  <c r="W206" i="1"/>
  <c r="W202" i="1"/>
  <c r="W198" i="1"/>
  <c r="W190" i="1"/>
  <c r="W178" i="1"/>
  <c r="W205" i="1"/>
  <c r="W201" i="1"/>
  <c r="W197" i="1"/>
  <c r="W189" i="1"/>
  <c r="W185" i="1"/>
  <c r="W181" i="1"/>
  <c r="W177" i="1"/>
  <c r="W225" i="1"/>
  <c r="W222" i="1"/>
  <c r="W204" i="1"/>
  <c r="W200" i="1"/>
  <c r="W195" i="1"/>
  <c r="W192" i="1"/>
  <c r="W184" i="1"/>
  <c r="W180" i="1"/>
  <c r="W176" i="1"/>
  <c r="W171" i="1"/>
  <c r="W158" i="1"/>
  <c r="W144" i="1"/>
  <c r="T225" i="1"/>
  <c r="U225" i="1" s="1"/>
  <c r="S225" i="1" s="1"/>
  <c r="X225" i="1"/>
  <c r="T223" i="1"/>
  <c r="U223" i="1" s="1"/>
  <c r="S223" i="1" s="1"/>
  <c r="X223" i="1"/>
  <c r="T221" i="1"/>
  <c r="U221" i="1" s="1"/>
  <c r="S221" i="1" s="1"/>
  <c r="X221" i="1"/>
  <c r="W236" i="1"/>
  <c r="W219" i="1"/>
  <c r="W217" i="1"/>
  <c r="W215" i="1"/>
  <c r="W213" i="1"/>
  <c r="W209" i="1"/>
  <c r="W156" i="1"/>
  <c r="W142" i="1"/>
  <c r="W168" i="1"/>
  <c r="W167" i="1"/>
  <c r="W166" i="1"/>
  <c r="W165" i="1"/>
  <c r="W164" i="1"/>
  <c r="W163" i="1"/>
  <c r="W160" i="1"/>
  <c r="W235" i="1"/>
  <c r="W233" i="1"/>
  <c r="W230" i="1"/>
  <c r="W228" i="1"/>
  <c r="W155" i="1"/>
  <c r="W148" i="1"/>
  <c r="T226" i="1"/>
  <c r="U226" i="1" s="1"/>
  <c r="S226" i="1" s="1"/>
  <c r="X226" i="1"/>
  <c r="T224" i="1"/>
  <c r="U224" i="1" s="1"/>
  <c r="S224" i="1" s="1"/>
  <c r="X224" i="1"/>
  <c r="T222" i="1"/>
  <c r="U222" i="1" s="1"/>
  <c r="S222" i="1" s="1"/>
  <c r="X222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T197" i="1"/>
  <c r="U197" i="1" s="1"/>
  <c r="S197" i="1" s="1"/>
  <c r="T195" i="1"/>
  <c r="U195" i="1" s="1"/>
  <c r="S195" i="1" s="1"/>
  <c r="T194" i="1"/>
  <c r="U194" i="1" s="1"/>
  <c r="S194" i="1" s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T174" i="1"/>
  <c r="U174" i="1" s="1"/>
  <c r="S174" i="1" s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W159" i="1"/>
  <c r="W227" i="1"/>
  <c r="W220" i="1"/>
  <c r="W218" i="1"/>
  <c r="W216" i="1"/>
  <c r="W214" i="1"/>
  <c r="W212" i="1"/>
  <c r="W210" i="1"/>
  <c r="W208" i="1"/>
  <c r="W146" i="1"/>
  <c r="X164" i="1"/>
  <c r="X163" i="1"/>
  <c r="X162" i="1"/>
  <c r="X161" i="1"/>
  <c r="X160" i="1"/>
  <c r="X159" i="1"/>
  <c r="X236" i="1"/>
  <c r="X235" i="1"/>
  <c r="X234" i="1"/>
  <c r="X233" i="1"/>
  <c r="X232" i="1"/>
  <c r="X231" i="1"/>
  <c r="X230" i="1"/>
  <c r="X229" i="1"/>
  <c r="X228" i="1"/>
  <c r="W138" i="1"/>
  <c r="W134" i="1"/>
  <c r="T155" i="1"/>
  <c r="U155" i="1" s="1"/>
  <c r="S155" i="1" s="1"/>
  <c r="T154" i="1"/>
  <c r="U154" i="1" s="1"/>
  <c r="S154" i="1" s="1"/>
  <c r="X153" i="1"/>
  <c r="W152" i="1"/>
  <c r="T152" i="1"/>
  <c r="U152" i="1" s="1"/>
  <c r="S152" i="1" s="1"/>
  <c r="W137" i="1"/>
  <c r="W140" i="1"/>
  <c r="W136" i="1"/>
  <c r="W132" i="1"/>
  <c r="W153" i="1"/>
  <c r="W151" i="1"/>
  <c r="W139" i="1"/>
  <c r="W135" i="1"/>
  <c r="W13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W111" i="1"/>
  <c r="W106" i="1"/>
  <c r="W107" i="1"/>
  <c r="W103" i="1"/>
  <c r="W108" i="1"/>
  <c r="W104" i="1"/>
  <c r="W127" i="1"/>
  <c r="W126" i="1"/>
  <c r="W125" i="1"/>
  <c r="W124" i="1"/>
  <c r="W122" i="1"/>
  <c r="W121" i="1"/>
  <c r="W120" i="1"/>
  <c r="W118" i="1"/>
  <c r="W117" i="1"/>
  <c r="W116" i="1"/>
  <c r="W115" i="1"/>
  <c r="W114" i="1"/>
  <c r="W113" i="1"/>
  <c r="W105" i="1"/>
  <c r="W101" i="1"/>
  <c r="W96" i="1"/>
  <c r="W93" i="1"/>
  <c r="W88" i="1"/>
  <c r="W78" i="1"/>
  <c r="W76" i="1"/>
  <c r="W74" i="1"/>
  <c r="W68" i="1"/>
  <c r="T111" i="1"/>
  <c r="U111" i="1" s="1"/>
  <c r="S111" i="1" s="1"/>
  <c r="X111" i="1"/>
  <c r="W110" i="1"/>
  <c r="W98" i="1"/>
  <c r="W95" i="1"/>
  <c r="W90" i="1"/>
  <c r="W87" i="1"/>
  <c r="W83" i="1"/>
  <c r="W77" i="1"/>
  <c r="W75" i="1"/>
  <c r="W66" i="1"/>
  <c r="X120" i="1"/>
  <c r="X119" i="1"/>
  <c r="X118" i="1"/>
  <c r="X117" i="1"/>
  <c r="X116" i="1"/>
  <c r="X115" i="1"/>
  <c r="X114" i="1"/>
  <c r="T110" i="1"/>
  <c r="U110" i="1" s="1"/>
  <c r="S110" i="1" s="1"/>
  <c r="X110" i="1"/>
  <c r="W97" i="1"/>
  <c r="W92" i="1"/>
  <c r="W89" i="1"/>
  <c r="W73" i="1"/>
  <c r="W64" i="1"/>
  <c r="T112" i="1"/>
  <c r="U112" i="1" s="1"/>
  <c r="S112" i="1" s="1"/>
  <c r="X112" i="1"/>
  <c r="W102" i="1"/>
  <c r="W99" i="1"/>
  <c r="W94" i="1"/>
  <c r="W91" i="1"/>
  <c r="W84" i="1"/>
  <c r="W70" i="1"/>
  <c r="W67" i="1"/>
  <c r="W49" i="1"/>
  <c r="W45" i="1"/>
  <c r="W37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T85" i="1"/>
  <c r="U85" i="1" s="1"/>
  <c r="S85" i="1" s="1"/>
  <c r="X85" i="1"/>
  <c r="T83" i="1"/>
  <c r="U83" i="1" s="1"/>
  <c r="S83" i="1" s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3" i="1"/>
  <c r="X61" i="1"/>
  <c r="X57" i="1"/>
  <c r="W56" i="1"/>
  <c r="W52" i="1"/>
  <c r="W48" i="1"/>
  <c r="W44" i="1"/>
  <c r="W40" i="1"/>
  <c r="W55" i="1"/>
  <c r="W47" i="1"/>
  <c r="W43" i="1"/>
  <c r="W39" i="1"/>
  <c r="T109" i="1"/>
  <c r="U109" i="1" s="1"/>
  <c r="S109" i="1" s="1"/>
  <c r="X109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4" i="1"/>
  <c r="U84" i="1" s="1"/>
  <c r="S84" i="1" s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1" i="1"/>
  <c r="W57" i="1"/>
  <c r="W54" i="1"/>
  <c r="W50" i="1"/>
  <c r="W46" i="1"/>
  <c r="W38" i="1"/>
  <c r="W32" i="1"/>
  <c r="W31" i="1"/>
  <c r="W30" i="1"/>
  <c r="W29" i="1"/>
  <c r="W28" i="1"/>
  <c r="W26" i="1"/>
  <c r="W25" i="1"/>
  <c r="W22" i="1"/>
  <c r="W21" i="1"/>
  <c r="W20" i="1"/>
  <c r="W19" i="1"/>
  <c r="W18" i="1"/>
  <c r="W16" i="1"/>
  <c r="W15" i="1"/>
  <c r="W14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C7" i="3"/>
  <c r="T17" i="3"/>
  <c r="AE16" i="3"/>
  <c r="T10" i="3"/>
  <c r="AC18" i="3"/>
  <c r="AD21" i="3"/>
  <c r="AD18" i="3"/>
  <c r="AD14" i="3"/>
  <c r="T13" i="3"/>
  <c r="AD13" i="3"/>
  <c r="AD12" i="3"/>
  <c r="AD9" i="3"/>
  <c r="AE12" i="3"/>
  <c r="AD8" i="3"/>
  <c r="T12" i="3"/>
  <c r="AC8" i="3"/>
  <c r="T15" i="3"/>
  <c r="AC14" i="3"/>
  <c r="AE13" i="3"/>
  <c r="Y8" i="3"/>
  <c r="Y15" i="3"/>
  <c r="Y12" i="3"/>
  <c r="Y13" i="3"/>
  <c r="Y10" i="3"/>
  <c r="Y17" i="3"/>
  <c r="Y7" i="3"/>
  <c r="Y18" i="3"/>
  <c r="Y11" i="3"/>
  <c r="Y21" i="3"/>
  <c r="Y16" i="3"/>
  <c r="Y19" i="3"/>
  <c r="Y14" i="3"/>
  <c r="Y9" i="3"/>
  <c r="AE11" i="3"/>
  <c r="T19" i="3"/>
  <c r="AE10" i="3"/>
  <c r="AE19" i="3"/>
  <c r="AE15" i="3"/>
  <c r="T16" i="3"/>
  <c r="AE21" i="3"/>
  <c r="T14" i="3"/>
  <c r="AD19" i="3"/>
  <c r="AE18" i="3"/>
  <c r="AD15" i="3"/>
  <c r="AE14" i="3"/>
  <c r="AD11" i="3"/>
  <c r="T9" i="3"/>
  <c r="AD10" i="3"/>
  <c r="AE9" i="3"/>
  <c r="T11" i="3"/>
  <c r="T21" i="3"/>
  <c r="AE8" i="3"/>
  <c r="M20" i="3"/>
  <c r="R20" i="3"/>
  <c r="S20" i="3"/>
  <c r="U20" i="3"/>
  <c r="V20" i="3"/>
  <c r="X20" i="3"/>
  <c r="W20" i="3"/>
  <c r="AE20" i="3" l="1"/>
  <c r="AD20" i="3"/>
  <c r="AC20" i="3"/>
  <c r="Y20" i="3"/>
  <c r="T20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N15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N17" i="3" s="1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9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9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N18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N12" i="3" s="1"/>
  <c r="G179" i="4"/>
  <c r="G180" i="4"/>
  <c r="G181" i="4"/>
  <c r="G182" i="4"/>
  <c r="G183" i="4"/>
  <c r="N7" i="3" s="1"/>
  <c r="G184" i="4"/>
  <c r="G185" i="4"/>
  <c r="G186" i="4"/>
  <c r="G187" i="4"/>
  <c r="G188" i="4"/>
  <c r="G189" i="4"/>
  <c r="G190" i="4"/>
  <c r="G191" i="4"/>
  <c r="G192" i="4"/>
  <c r="G193" i="4"/>
  <c r="N21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14" i="3" s="1"/>
  <c r="G209" i="4"/>
  <c r="G210" i="4"/>
  <c r="G211" i="4"/>
  <c r="G212" i="4"/>
  <c r="G213" i="4"/>
  <c r="G214" i="4"/>
  <c r="N11" i="3" s="1"/>
  <c r="G215" i="4"/>
  <c r="G216" i="4"/>
  <c r="G217" i="4"/>
  <c r="G218" i="4"/>
  <c r="G219" i="4"/>
  <c r="G220" i="4"/>
  <c r="G221" i="4"/>
  <c r="G222" i="4"/>
  <c r="G223" i="4"/>
  <c r="N20" i="3" s="1"/>
  <c r="G2" i="4"/>
  <c r="N8" i="3" l="1"/>
  <c r="N10" i="3"/>
  <c r="N16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<sst xmlns="http://schemas.openxmlformats.org/spreadsheetml/2006/main" count="2711" uniqueCount="1107">
  <si>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</si>
  <si>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</si>
  <si>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</si>
  <si>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</si>
  <si>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</si>
  <si>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</si>
  <si>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</si>
  <si>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</si>
  <si>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</si>
  <si>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</si>
  <si>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</si>
  <si>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</si>
  <si>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</si>
  <si>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</si>
  <si>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</si>
  <si>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</si>
  <si>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</si>
  <si>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</si>
  <si>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</si>
  <si>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</si>
  <si>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</si>
  <si>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</si>
  <si>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</si>
  <si>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</si>
  <si>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</si>
  <si>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</si>
  <si>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</si>
  <si>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</si>
  <si>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</si>
  <si>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</si>
  <si>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</si>
  <si>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</si>
  <si>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</si>
  <si>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</si>
  <si>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</si>
  <si>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</si>
  <si>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</si>
  <si>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</si>
  <si>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</si>
  <si>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</si>
  <si>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</si>
  <si>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</si>
  <si>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</si>
  <si>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</si>
  <si>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</si>
  <si>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</si>
  <si>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</si>
  <si>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</si>
  <si>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</si>
  <si>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</si>
  <si>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</si>
  <si>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</si>
  <si>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</si>
  <si>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</si>
  <si>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</si>
  <si>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</si>
  <si>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</si>
  <si>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</si>
  <si>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</si>
  <si>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</si>
  <si>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</si>
  <si>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</si>
  <si>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</si>
  <si>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</si>
  <si>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</si>
  <si>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</si>
  <si>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</si>
  <si>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</si>
  <si>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</si>
  <si>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</si>
  <si>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</si>
  <si>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</si>
  <si>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</si>
  <si>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</si>
  <si>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</si>
  <si>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</si>
  <si>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</si>
  <si>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</si>
  <si>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</si>
  <si>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</si>
  <si>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</si>
  <si>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</si>
  <si>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</si>
  <si>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</si>
  <si>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</si>
  <si>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</si>
  <si>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</si>
  <si>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</si>
  <si>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</si>
  <si>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</si>
  <si>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</si>
  <si>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</si>
  <si>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</si>
  <si>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</si>
  <si>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</si>
  <si>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</si>
  <si>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</si>
  <si>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</si>
  <si>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</si>
  <si>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</si>
  <si>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</si>
  <si>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</si>
  <si>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</si>
  <si>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</si>
  <si>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</si>
  <si>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</si>
  <si>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</si>
  <si>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</si>
  <si>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</si>
  <si>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</si>
  <si>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</si>
  <si>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</si>
  <si>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</si>
  <si>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</si>
  <si>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</si>
  <si>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</si>
  <si>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</si>
  <si>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</si>
  <si>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</si>
  <si>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</si>
  <si>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</si>
  <si>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</si>
  <si>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</si>
  <si>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</si>
  <si>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</si>
  <si>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</si>
  <si>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</si>
  <si>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</si>
  <si>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</si>
  <si>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</si>
  <si>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</si>
  <si>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</si>
  <si>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</si>
  <si>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</si>
  <si>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</si>
  <si>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</si>
  <si>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</si>
  <si>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</si>
  <si>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</si>
  <si>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</si>
  <si>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</si>
  <si>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</si>
  <si>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</si>
  <si>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</si>
  <si>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</si>
  <si>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</si>
  <si>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</si>
  <si>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</si>
  <si>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</si>
  <si>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</si>
  <si>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</si>
  <si>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</si>
  <si>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</si>
  <si>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</si>
  <si>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</si>
  <si>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</si>
  <si>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</si>
  <si>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</si>
  <si>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</si>
  <si>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</si>
  <si>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</si>
  <si>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</si>
  <si>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</si>
  <si>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</si>
  <si>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</si>
  <si>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</si>
  <si>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</si>
  <si>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</si>
  <si>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</si>
  <si>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</si>
  <si>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</si>
  <si>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</si>
  <si>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</si>
  <si>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</si>
  <si>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</si>
  <si>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</si>
  <si>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</si>
  <si>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</si>
  <si>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</si>
  <si>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</si>
  <si>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</si>
  <si>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</si>
  <si>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</si>
  <si>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</si>
  <si>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</si>
  <si>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</si>
  <si>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</si>
  <si>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</si>
  <si>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</si>
  <si>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</si>
  <si>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</si>
  <si>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</si>
  <si>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</si>
  <si>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</si>
  <si>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</si>
  <si>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</si>
  <si>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</si>
  <si>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</si>
  <si>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</si>
  <si>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</si>
  <si>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</si>
  <si>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</si>
  <si>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</si>
  <si>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</si>
  <si>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</si>
  <si>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</si>
  <si>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</si>
  <si>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</si>
  <si>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</si>
  <si>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</si>
  <si>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</si>
  <si>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</si>
  <si>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</si>
  <si>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</si>
  <si>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</si>
  <si>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</si>
  <si>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</si>
  <si>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</si>
  <si>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</si>
  <si>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</si>
  <si>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</si>
  <si>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</si>
  <si>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</si>
  <si>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</si>
  <si>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</si>
  <si>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</si>
  <si>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</si>
  <si>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</si>
  <si>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</si>
  <si>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</si>
  <si>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</si>
  <si>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</si>
  <si>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</si>
  <si>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</si>
  <si>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</si>
  <si>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</si>
  <si>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</si>
  <si>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</si>
  <si>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</si>
  <si>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</si>
  <si>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</si>
  <si>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</si>
  <si>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</si>
  <si>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</si>
  <si>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</si>
  <si>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</si>
  <si>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</si>
  <si>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</si>
  <si>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</si>
  <si>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</si>
  <si>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</si>
  <si>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</si>
  <si>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</si>
  <si>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</si>
  <si>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</si>
  <si>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</si>
  <si>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</si>
  <si>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</si>
  <si>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</si>
  <si>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</si>
  <si>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</si>
  <si>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</si>
  <si>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</si>
  <si>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</si>
  <si>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</si>
  <si>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</si>
  <si>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</si>
  <si>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</si>
  <si>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</si>
  <si>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</si>
  <si>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</si>
  <si>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</si>
  <si>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</si>
  <si>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</si>
  <si>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</si>
  <si>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</si>
  <si>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</si>
  <si>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</si>
  <si>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</si>
  <si>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</si>
  <si>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</si>
  <si>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</si>
  <si>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</si>
  <si>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</si>
  <si>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</si>
  <si>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</si>
  <si>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</si>
  <si>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</si>
  <si>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</si>
  <si>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</si>
  <si>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</si>
  <si>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</si>
  <si>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</si>
  <si>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</si>
  <si>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</si>
  <si>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</si>
  <si>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</si>
  <si>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</si>
  <si>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</si>
  <si>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</si>
  <si>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</si>
  <si>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</si>
  <si>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</si>
  <si>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</si>
  <si>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</si>
  <si>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</si>
  <si>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</si>
  <si>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</si>
  <si>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</si>
  <si>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</si>
  <si>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</si>
  <si>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</si>
  <si>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</si>
  <si>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</si>
  <si>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</si>
  <si>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</si>
  <si>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</si>
  <si>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</si>
  <si>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</si>
  <si>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</si>
  <si>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</si>
  <si>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</si>
  <si>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</si>
  <si>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</si>
  <si>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</si>
  <si>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</si>
  <si>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</si>
  <si>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</si>
  <si>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</si>
  <si>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</si>
  <si>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</si>
  <si>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</si>
  <si>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</si>
  <si>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</si>
  <si>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</si>
  <si>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</si>
  <si>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</si>
  <si>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</si>
  <si>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</si>
  <si>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</si>
  <si>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</si>
  <si>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</si>
  <si>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</si>
  <si>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</si>
  <si>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</si>
  <si>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</si>
  <si>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</si>
  <si>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</si>
  <si>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</si>
  <si>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</si>
  <si>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</si>
  <si>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</si>
  <si>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</si>
  <si>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</si>
  <si>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</si>
  <si>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</si>
  <si>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</si>
  <si>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</si>
  <si>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</si>
  <si>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</si>
  <si>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</si>
  <si>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</si>
  <si>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</si>
  <si>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</si>
  <si>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</si>
  <si>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</si>
  <si>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</si>
  <si>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</si>
  <si>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</si>
  <si>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</si>
  <si>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</si>
  <si>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</si>
  <si>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</si>
  <si>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</si>
  <si>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</si>
  <si>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</si>
  <si>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</si>
  <si>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</si>
  <si>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</si>
  <si>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</si>
  <si>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</si>
  <si>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</si>
  <si>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</si>
  <si>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</si>
  <si>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</si>
  <si>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</si>
  <si>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</si>
  <si>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</si>
  <si>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</si>
  <si>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</si>
  <si>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</si>
  <si>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</si>
  <si>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</si>
  <si>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</si>
  <si>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</si>
  <si>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</si>
  <si>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</si>
  <si>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</si>
  <si>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</si>
  <si>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</si>
  <si>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</si>
  <si>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</si>
  <si>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</si>
  <si>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</si>
  <si>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</si>
  <si>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</si>
  <si>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</si>
  <si>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</si>
  <si>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</si>
  <si>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</si>
  <si>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</si>
  <si>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</si>
  <si>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</si>
  <si>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</si>
  <si>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</si>
  <si>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</si>
  <si>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</si>
  <si>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</si>
  <si>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</si>
  <si>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</si>
  <si>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</si>
  <si>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</si>
  <si>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</si>
  <si>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</si>
  <si>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</si>
  <si>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</si>
  <si>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</si>
  <si>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</si>
  <si>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</si>
  <si>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</si>
  <si>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</si>
  <si>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</si>
  <si>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</si>
  <si>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</si>
  <si>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</si>
  <si>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</si>
  <si>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</si>
  <si>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</si>
  <si>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</si>
  <si>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</si>
  <si>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</si>
  <si>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</si>
  <si>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</si>
  <si>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204:236</t>
  </si>
  <si>
    <t>204:517</t>
  </si>
  <si>
    <t>204:207</t>
  </si>
  <si>
    <t>204:506</t>
  </si>
  <si>
    <t>rtdc.l.rtdc.4009:itc</t>
  </si>
  <si>
    <t>rtdc.l.rtdc.4010:itc</t>
  </si>
  <si>
    <t>precipType</t>
  </si>
  <si>
    <t>rain</t>
  </si>
  <si>
    <t>rtdc.l.rtdc.4049:itc</t>
  </si>
  <si>
    <t>rtdc.l.rtdc.4050:itc</t>
  </si>
  <si>
    <t>AUSTIN</t>
  </si>
  <si>
    <t>204:509</t>
  </si>
  <si>
    <t>204:528</t>
  </si>
  <si>
    <t>204:229</t>
  </si>
  <si>
    <t>204:209</t>
  </si>
  <si>
    <t>204:233276</t>
  </si>
  <si>
    <t>204:227</t>
  </si>
  <si>
    <t>204:533</t>
  </si>
  <si>
    <t>SWITCH UNKNOWN</t>
  </si>
  <si>
    <t>Track device (7)</t>
  </si>
  <si>
    <t>rtdc.l.rtdc.4052:itc</t>
  </si>
  <si>
    <t>rtdc.l.rtdc.4024:itc</t>
  </si>
  <si>
    <t>rtdc.l.rtdc.4023:itc</t>
  </si>
  <si>
    <t>243-08</t>
  </si>
  <si>
    <t>rtdc.l.rtdc.4051:itc</t>
  </si>
  <si>
    <t>LOPES</t>
  </si>
  <si>
    <t>KIMBERLY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</si>
  <si>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</si>
  <si>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</si>
  <si>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</si>
  <si>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</si>
  <si>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</si>
  <si>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</si>
  <si>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</si>
  <si>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</si>
  <si>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</si>
  <si>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</si>
  <si>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</si>
  <si>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</si>
  <si>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</si>
  <si>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</si>
  <si>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</si>
  <si>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</si>
  <si>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</si>
  <si>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</si>
  <si>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</t>
  </si>
  <si>
    <t>clear-night</t>
  </si>
  <si>
    <t>204:233270</t>
  </si>
  <si>
    <t>204:232</t>
  </si>
  <si>
    <t>204:232981</t>
  </si>
  <si>
    <t>204:225</t>
  </si>
  <si>
    <t>204:232915</t>
  </si>
  <si>
    <t>204:233251</t>
  </si>
  <si>
    <t>204:232953</t>
  </si>
  <si>
    <t>204:232917</t>
  </si>
  <si>
    <t>300:23304</t>
  </si>
  <si>
    <t>DAVID</t>
  </si>
  <si>
    <t>204:233280</t>
  </si>
  <si>
    <t>204:200</t>
  </si>
  <si>
    <t>204:233249</t>
  </si>
  <si>
    <t>204:522</t>
  </si>
  <si>
    <t>204:223</t>
  </si>
  <si>
    <t>204:232959</t>
  </si>
  <si>
    <t>204:191</t>
  </si>
  <si>
    <t>204:218</t>
  </si>
  <si>
    <t>204:551</t>
  </si>
  <si>
    <t>204:553</t>
  </si>
  <si>
    <t>rtdc.l.rtdc.4040:itc</t>
  </si>
  <si>
    <t>rtdc.l.rtdc.4013:itc</t>
  </si>
  <si>
    <t>SPECTOR</t>
  </si>
  <si>
    <t>DAVIDSON</t>
  </si>
  <si>
    <t>YANAI</t>
  </si>
  <si>
    <t>IAN</t>
  </si>
  <si>
    <t>rtdc.l.rtdc.4014:itc</t>
  </si>
  <si>
    <t>LEVERE</t>
  </si>
  <si>
    <t>CRAIG</t>
  </si>
  <si>
    <t>rtdc.l.rtdc.4065:itc</t>
  </si>
  <si>
    <t>204:232944</t>
  </si>
  <si>
    <t>204:158</t>
  </si>
  <si>
    <t>204:233293</t>
  </si>
  <si>
    <t>204:233291</t>
  </si>
  <si>
    <t>204:220</t>
  </si>
  <si>
    <t>204:211</t>
  </si>
  <si>
    <t>204:520</t>
  </si>
  <si>
    <t>204:489</t>
  </si>
  <si>
    <t>204:233295</t>
  </si>
  <si>
    <t>204:493</t>
  </si>
  <si>
    <t>204:196</t>
  </si>
  <si>
    <t>204:526</t>
  </si>
  <si>
    <t>204:233197</t>
  </si>
  <si>
    <t>204:513</t>
  </si>
  <si>
    <t>204:564</t>
  </si>
  <si>
    <t>204:232925</t>
  </si>
  <si>
    <t>204:212</t>
  </si>
  <si>
    <t>300:58926</t>
  </si>
  <si>
    <t>Wi-MAX data drop</t>
  </si>
  <si>
    <t>rtdc.l.rtdc.4003:itc</t>
  </si>
  <si>
    <t>rtdc.l.rtdc.4066:itc</t>
  </si>
  <si>
    <t>FORTUNATO</t>
  </si>
  <si>
    <t>FRANK</t>
  </si>
  <si>
    <t>BRUDER</t>
  </si>
  <si>
    <t>RICHARD</t>
  </si>
  <si>
    <t>NEWELL</t>
  </si>
  <si>
    <t>ANDERS</t>
  </si>
  <si>
    <t>STEVEN</t>
  </si>
  <si>
    <t>partly-cloudy-day</t>
  </si>
  <si>
    <t>204:232971</t>
  </si>
  <si>
    <t>204:466</t>
  </si>
  <si>
    <t>204:174</t>
  </si>
  <si>
    <t>204:232974</t>
  </si>
  <si>
    <t>204:216</t>
  </si>
  <si>
    <t>204:457</t>
  </si>
  <si>
    <t>204:232881</t>
  </si>
  <si>
    <t>204:231</t>
  </si>
  <si>
    <t>204:233240</t>
  </si>
  <si>
    <t>204:486</t>
  </si>
  <si>
    <t>204:203</t>
  </si>
  <si>
    <t>204:504</t>
  </si>
  <si>
    <t>204:515</t>
  </si>
  <si>
    <t>204:233193</t>
  </si>
  <si>
    <t>204:233219</t>
  </si>
  <si>
    <t>204:535</t>
  </si>
  <si>
    <t>204:529</t>
  </si>
  <si>
    <t>204:232957</t>
  </si>
  <si>
    <t>300:23306</t>
  </si>
  <si>
    <t>300:23302</t>
  </si>
  <si>
    <t>300:58986</t>
  </si>
  <si>
    <t>300:58997</t>
  </si>
  <si>
    <t>300:58675</t>
  </si>
  <si>
    <t>300:58939</t>
  </si>
  <si>
    <t>TRACK WARRANT AUTHORITY</t>
  </si>
  <si>
    <t>Form based authority (4)</t>
  </si>
  <si>
    <t>rtdc.l.rtdc.4025:itc</t>
  </si>
  <si>
    <t>ROCHA</t>
  </si>
  <si>
    <t>YAOTL</t>
  </si>
  <si>
    <t>PAGE</t>
  </si>
  <si>
    <t>MARCUS</t>
  </si>
  <si>
    <t>BONDS</t>
  </si>
  <si>
    <t>REYNALDO</t>
  </si>
  <si>
    <t>rtdc.l.rtdc.4026:itc</t>
  </si>
  <si>
    <t>GEBRETEKLE</t>
  </si>
  <si>
    <t>DAGNEW</t>
  </si>
  <si>
    <t>rtdc.l.rtdc.4015:itc</t>
  </si>
  <si>
    <t>rtdc.l.rtdc.4016:itc</t>
  </si>
  <si>
    <t>BERLING</t>
  </si>
  <si>
    <t>GARY</t>
  </si>
  <si>
    <t>HOLCOMB</t>
  </si>
  <si>
    <t>KAMDEN</t>
  </si>
  <si>
    <t>KILLION</t>
  </si>
  <si>
    <t>313-15</t>
  </si>
  <si>
    <t>242-15</t>
  </si>
  <si>
    <t>307-15</t>
  </si>
  <si>
    <t>244-15</t>
  </si>
  <si>
    <t>311-15</t>
  </si>
  <si>
    <t>300-16</t>
  </si>
  <si>
    <t>clear-day</t>
  </si>
  <si>
    <t>204:857</t>
  </si>
  <si>
    <t>204:232969</t>
  </si>
  <si>
    <t>204:232985</t>
  </si>
  <si>
    <t>204:233238</t>
  </si>
  <si>
    <t>204:232977</t>
  </si>
  <si>
    <t>204:537</t>
  </si>
  <si>
    <t>204:568</t>
  </si>
  <si>
    <t>204:232892</t>
  </si>
  <si>
    <t>204:233190</t>
  </si>
  <si>
    <t>204:232873</t>
  </si>
  <si>
    <t>204:232963</t>
  </si>
  <si>
    <t>204:232968</t>
  </si>
  <si>
    <t>204:214</t>
  </si>
  <si>
    <t>204:232888</t>
  </si>
  <si>
    <t>204:233272</t>
  </si>
  <si>
    <t>204:233299</t>
  </si>
  <si>
    <t>204:265</t>
  </si>
  <si>
    <t>204:198</t>
  </si>
  <si>
    <t>204:232989</t>
  </si>
  <si>
    <t>204:232967</t>
  </si>
  <si>
    <t>204:233210</t>
  </si>
  <si>
    <t>204:519</t>
  </si>
  <si>
    <t>204:498</t>
  </si>
  <si>
    <t>204:233184</t>
  </si>
  <si>
    <t>204:232898</t>
  </si>
  <si>
    <t>204:187</t>
  </si>
  <si>
    <t>204:234</t>
  </si>
  <si>
    <t>204:283</t>
  </si>
  <si>
    <t>204:233281</t>
  </si>
  <si>
    <t>204:232902</t>
  </si>
  <si>
    <t>204:232885</t>
  </si>
  <si>
    <t>204:233253</t>
  </si>
  <si>
    <t>204:251</t>
  </si>
  <si>
    <t>204:233263</t>
  </si>
  <si>
    <t>204:508</t>
  </si>
  <si>
    <t>204:571</t>
  </si>
  <si>
    <t>300:23346</t>
  </si>
  <si>
    <t>204:462</t>
  </si>
  <si>
    <t>204:497</t>
  </si>
  <si>
    <t>300:23308</t>
  </si>
  <si>
    <t>300:58656</t>
  </si>
  <si>
    <t>204:689</t>
  </si>
  <si>
    <t>204:775</t>
  </si>
  <si>
    <t>204:1028</t>
  </si>
  <si>
    <t>300:58647</t>
  </si>
  <si>
    <t>300:58933</t>
  </si>
  <si>
    <t>204:479</t>
  </si>
  <si>
    <t>204:162</t>
  </si>
  <si>
    <t>204:164</t>
  </si>
  <si>
    <t>300:58606</t>
  </si>
  <si>
    <t>300:58604</t>
  </si>
  <si>
    <t>Selected wrong track</t>
  </si>
  <si>
    <t>800-16</t>
  </si>
  <si>
    <t>TEMPORARY SPEED RESTRICTION</t>
  </si>
  <si>
    <t>805-16</t>
  </si>
  <si>
    <t>120-16</t>
  </si>
  <si>
    <t>809-16</t>
  </si>
  <si>
    <t>810-16</t>
  </si>
  <si>
    <t>142-16</t>
  </si>
  <si>
    <t>rtdc.l.rtdc.4041:itc</t>
  </si>
  <si>
    <t>818-16</t>
  </si>
  <si>
    <t>169-16</t>
  </si>
  <si>
    <t>826-16</t>
  </si>
  <si>
    <t>rtdc.l.rtdc.4042:itc</t>
  </si>
  <si>
    <t>829-16</t>
  </si>
  <si>
    <t>830-16</t>
  </si>
  <si>
    <t>833-16</t>
  </si>
  <si>
    <t>835-16</t>
  </si>
  <si>
    <t>215-16</t>
  </si>
  <si>
    <t>208-16</t>
  </si>
  <si>
    <t>839-16</t>
  </si>
  <si>
    <t>843-16</t>
  </si>
  <si>
    <t>845-16</t>
  </si>
  <si>
    <t>846-16</t>
  </si>
  <si>
    <t>rtdc.l.rtdc.4004:itc</t>
  </si>
  <si>
    <t>51-16</t>
  </si>
  <si>
    <t>rtdc.l.rtdc.4002:itc</t>
  </si>
  <si>
    <t>101-16</t>
  </si>
  <si>
    <t>302-16</t>
  </si>
  <si>
    <t>MAELZER</t>
  </si>
  <si>
    <t>KURT</t>
  </si>
  <si>
    <t>52-16</t>
  </si>
  <si>
    <t>103-16</t>
  </si>
  <si>
    <t>rtdc.l.rtdc.4001:itc</t>
  </si>
  <si>
    <t>102-16</t>
  </si>
  <si>
    <t>304-16</t>
  </si>
  <si>
    <t>306-16</t>
  </si>
  <si>
    <t>105-16</t>
  </si>
  <si>
    <t>308-16</t>
  </si>
  <si>
    <t>DONTE</t>
  </si>
  <si>
    <t>107-16</t>
  </si>
  <si>
    <t>104-16</t>
  </si>
  <si>
    <t>109-16</t>
  </si>
  <si>
    <t>310-16</t>
  </si>
  <si>
    <t>111-16</t>
  </si>
  <si>
    <t>901-16</t>
  </si>
  <si>
    <t>STRICKLAND</t>
  </si>
  <si>
    <t>EVAN</t>
  </si>
  <si>
    <t>113-16</t>
  </si>
  <si>
    <t>106-16</t>
  </si>
  <si>
    <t>108-16</t>
  </si>
  <si>
    <t>312-16</t>
  </si>
  <si>
    <t>115-16</t>
  </si>
  <si>
    <t>117-16</t>
  </si>
  <si>
    <t>801-16</t>
  </si>
  <si>
    <t>110-16</t>
  </si>
  <si>
    <t>112-16</t>
  </si>
  <si>
    <t>902-16</t>
  </si>
  <si>
    <t>114-16</t>
  </si>
  <si>
    <t>119-16</t>
  </si>
  <si>
    <t>802-16</t>
  </si>
  <si>
    <t>803-16</t>
  </si>
  <si>
    <t>121-16</t>
  </si>
  <si>
    <t>116-16</t>
  </si>
  <si>
    <t>123-16</t>
  </si>
  <si>
    <t>118-16</t>
  </si>
  <si>
    <t>804-16</t>
  </si>
  <si>
    <t>125-16</t>
  </si>
  <si>
    <t>122-16</t>
  </si>
  <si>
    <t>127-16</t>
  </si>
  <si>
    <t>806-16</t>
  </si>
  <si>
    <t>807-16</t>
  </si>
  <si>
    <t>129-16</t>
  </si>
  <si>
    <t>124-16</t>
  </si>
  <si>
    <t>131-16</t>
  </si>
  <si>
    <t>808-16</t>
  </si>
  <si>
    <t>126-16</t>
  </si>
  <si>
    <t>133-16</t>
  </si>
  <si>
    <t>128-16</t>
  </si>
  <si>
    <t>135-16</t>
  </si>
  <si>
    <t>811-16</t>
  </si>
  <si>
    <t>130-16</t>
  </si>
  <si>
    <t>132-16</t>
  </si>
  <si>
    <t>137-16</t>
  </si>
  <si>
    <t>139-16</t>
  </si>
  <si>
    <t>903-16</t>
  </si>
  <si>
    <t>812-16</t>
  </si>
  <si>
    <t>134-16</t>
  </si>
  <si>
    <t>141-16</t>
  </si>
  <si>
    <t>136-16</t>
  </si>
  <si>
    <t>143-16</t>
  </si>
  <si>
    <t>813-16</t>
  </si>
  <si>
    <t>138-16</t>
  </si>
  <si>
    <t>140-16</t>
  </si>
  <si>
    <t>145-16</t>
  </si>
  <si>
    <t>147-16</t>
  </si>
  <si>
    <t>814-16</t>
  </si>
  <si>
    <t>149-16</t>
  </si>
  <si>
    <t>144-16</t>
  </si>
  <si>
    <t>146-16</t>
  </si>
  <si>
    <t>151-16</t>
  </si>
  <si>
    <t>815-16</t>
  </si>
  <si>
    <t>153-16</t>
  </si>
  <si>
    <t>150-16</t>
  </si>
  <si>
    <t>148-16</t>
  </si>
  <si>
    <t>155-16</t>
  </si>
  <si>
    <t>816-16</t>
  </si>
  <si>
    <t>157-16</t>
  </si>
  <si>
    <t>BADERTSCHER</t>
  </si>
  <si>
    <t>DIANE</t>
  </si>
  <si>
    <t>62-16</t>
  </si>
  <si>
    <t>152-16</t>
  </si>
  <si>
    <t>159-16</t>
  </si>
  <si>
    <t>154-16</t>
  </si>
  <si>
    <t>817-16</t>
  </si>
  <si>
    <t>79-16</t>
  </si>
  <si>
    <t>GONZALEZ</t>
  </si>
  <si>
    <t>ARMANDO</t>
  </si>
  <si>
    <t>156-16</t>
  </si>
  <si>
    <t>161-16</t>
  </si>
  <si>
    <t>163-16</t>
  </si>
  <si>
    <t>54-16</t>
  </si>
  <si>
    <t>158-16</t>
  </si>
  <si>
    <t>165-16</t>
  </si>
  <si>
    <t>160-16</t>
  </si>
  <si>
    <t>167-16</t>
  </si>
  <si>
    <t>819-16</t>
  </si>
  <si>
    <t>ROBINSON</t>
  </si>
  <si>
    <t>KADDIBA</t>
  </si>
  <si>
    <t>162-16</t>
  </si>
  <si>
    <t>164-16</t>
  </si>
  <si>
    <t>171-16</t>
  </si>
  <si>
    <t>820-16</t>
  </si>
  <si>
    <t>166-16</t>
  </si>
  <si>
    <t>173-16</t>
  </si>
  <si>
    <t>168-16</t>
  </si>
  <si>
    <t>175-16</t>
  </si>
  <si>
    <t>170-16</t>
  </si>
  <si>
    <t>821-16</t>
  </si>
  <si>
    <t>177-16</t>
  </si>
  <si>
    <t>172-16</t>
  </si>
  <si>
    <t>179-16</t>
  </si>
  <si>
    <t>822-16</t>
  </si>
  <si>
    <t>174-16</t>
  </si>
  <si>
    <t>181-16</t>
  </si>
  <si>
    <t>176-16</t>
  </si>
  <si>
    <t>183-16</t>
  </si>
  <si>
    <t>823-16</t>
  </si>
  <si>
    <t>178-16</t>
  </si>
  <si>
    <t>59-16</t>
  </si>
  <si>
    <t>ZEWDU</t>
  </si>
  <si>
    <t>DEREJE</t>
  </si>
  <si>
    <t>185-16</t>
  </si>
  <si>
    <t>180-16</t>
  </si>
  <si>
    <t>187-16</t>
  </si>
  <si>
    <t>824-16</t>
  </si>
  <si>
    <t>182-16</t>
  </si>
  <si>
    <t>189-16</t>
  </si>
  <si>
    <t>184-16</t>
  </si>
  <si>
    <t>191-16</t>
  </si>
  <si>
    <t>825-16</t>
  </si>
  <si>
    <t>186-16</t>
  </si>
  <si>
    <t>193-16</t>
  </si>
  <si>
    <t>904-16</t>
  </si>
  <si>
    <t>188-16</t>
  </si>
  <si>
    <t>195-16</t>
  </si>
  <si>
    <t>827-16</t>
  </si>
  <si>
    <t>190-16</t>
  </si>
  <si>
    <t>197-16</t>
  </si>
  <si>
    <t>199-16</t>
  </si>
  <si>
    <t>192-16</t>
  </si>
  <si>
    <t>828-16</t>
  </si>
  <si>
    <t>194-16</t>
  </si>
  <si>
    <t>201-16</t>
  </si>
  <si>
    <t>196-16</t>
  </si>
  <si>
    <t>203-16</t>
  </si>
  <si>
    <t>831-16</t>
  </si>
  <si>
    <t>75-16</t>
  </si>
  <si>
    <t>198-16</t>
  </si>
  <si>
    <t>205-16</t>
  </si>
  <si>
    <t>200-16</t>
  </si>
  <si>
    <t>207-16</t>
  </si>
  <si>
    <t>832-16</t>
  </si>
  <si>
    <t>202-16</t>
  </si>
  <si>
    <t>209-16</t>
  </si>
  <si>
    <t>204-16</t>
  </si>
  <si>
    <t>211-16</t>
  </si>
  <si>
    <t>834-16</t>
  </si>
  <si>
    <t>206-16</t>
  </si>
  <si>
    <t>213-16</t>
  </si>
  <si>
    <t>836-16</t>
  </si>
  <si>
    <t>210-16</t>
  </si>
  <si>
    <t>837-16</t>
  </si>
  <si>
    <t>217-16</t>
  </si>
  <si>
    <t>ELBAUM</t>
  </si>
  <si>
    <t>MIKE</t>
  </si>
  <si>
    <t>212-16</t>
  </si>
  <si>
    <t>77-16</t>
  </si>
  <si>
    <t>838-16</t>
  </si>
  <si>
    <t>219-16</t>
  </si>
  <si>
    <t>214-16</t>
  </si>
  <si>
    <t>301-16</t>
  </si>
  <si>
    <t>218-16</t>
  </si>
  <si>
    <t>216-16</t>
  </si>
  <si>
    <t>221-16</t>
  </si>
  <si>
    <t>906-16</t>
  </si>
  <si>
    <t>841-16</t>
  </si>
  <si>
    <t>303-16</t>
  </si>
  <si>
    <t>220-16</t>
  </si>
  <si>
    <t>840-16</t>
  </si>
  <si>
    <t>223-16</t>
  </si>
  <si>
    <t>305-16</t>
  </si>
  <si>
    <t>225-16</t>
  </si>
  <si>
    <t>222-16</t>
  </si>
  <si>
    <t>227-16</t>
  </si>
  <si>
    <t>224-16</t>
  </si>
  <si>
    <t>842-16</t>
  </si>
  <si>
    <t>226-16</t>
  </si>
  <si>
    <t>229-16</t>
  </si>
  <si>
    <t>231-16</t>
  </si>
  <si>
    <t>228-16</t>
  </si>
  <si>
    <t>844-16</t>
  </si>
  <si>
    <t>233-16</t>
  </si>
  <si>
    <t>230-16</t>
  </si>
  <si>
    <t>847-16</t>
  </si>
  <si>
    <t>235-16</t>
  </si>
  <si>
    <t>232-16</t>
  </si>
  <si>
    <t>234-16</t>
  </si>
  <si>
    <t>237-16</t>
  </si>
  <si>
    <t>849-16</t>
  </si>
  <si>
    <t>239-16</t>
  </si>
  <si>
    <t>236-16</t>
  </si>
  <si>
    <t>908-16</t>
  </si>
  <si>
    <t>241-16</t>
  </si>
  <si>
    <t>238-16</t>
  </si>
  <si>
    <t>243-16</t>
  </si>
  <si>
    <t>240-16</t>
  </si>
  <si>
    <t>242-16</t>
  </si>
  <si>
    <t>313-16</t>
  </si>
  <si>
    <t>307-16</t>
  </si>
  <si>
    <t>244-16</t>
  </si>
  <si>
    <t>309-16</t>
  </si>
  <si>
    <t>311-16</t>
  </si>
  <si>
    <t>300-17</t>
  </si>
  <si>
    <t>204:788</t>
  </si>
  <si>
    <t>204:233268</t>
  </si>
  <si>
    <t>204:156</t>
  </si>
  <si>
    <t>204:502</t>
  </si>
  <si>
    <t>204:233312</t>
  </si>
  <si>
    <t>204:232987</t>
  </si>
  <si>
    <t>204:233261</t>
  </si>
  <si>
    <t>204:232942</t>
  </si>
  <si>
    <t>204:500</t>
  </si>
  <si>
    <t>204:232929</t>
  </si>
  <si>
    <t>204:455</t>
  </si>
  <si>
    <t>204:233309</t>
  </si>
  <si>
    <t>204:233300</t>
  </si>
  <si>
    <t>204:988</t>
  </si>
  <si>
    <t>204:475</t>
  </si>
  <si>
    <t>204:189</t>
  </si>
  <si>
    <t>204:233287</t>
  </si>
  <si>
    <t>204:205</t>
  </si>
  <si>
    <t>204:467</t>
  </si>
  <si>
    <t>204:192</t>
  </si>
  <si>
    <t>204:233310</t>
  </si>
  <si>
    <t>204:233307</t>
  </si>
  <si>
    <t>204:232988</t>
  </si>
  <si>
    <t>204:134</t>
  </si>
  <si>
    <t>204:1910</t>
  </si>
  <si>
    <t>204:232962</t>
  </si>
  <si>
    <t>204:172</t>
  </si>
  <si>
    <t>204:232940</t>
  </si>
  <si>
    <t>204:471</t>
  </si>
  <si>
    <t>204:233289</t>
  </si>
  <si>
    <t>204:232994</t>
  </si>
  <si>
    <t>204:201</t>
  </si>
  <si>
    <t>204:233288</t>
  </si>
  <si>
    <t>204:446</t>
  </si>
  <si>
    <t>204:185</t>
  </si>
  <si>
    <t>204:233226</t>
  </si>
  <si>
    <t>204:232907</t>
  </si>
  <si>
    <t>204:233244</t>
  </si>
  <si>
    <t>204:232928</t>
  </si>
  <si>
    <t>204:165</t>
  </si>
  <si>
    <t>204:233241</t>
  </si>
  <si>
    <t>204:233242</t>
  </si>
  <si>
    <t>204:559</t>
  </si>
  <si>
    <t>204:233223</t>
  </si>
  <si>
    <t>204:232913</t>
  </si>
  <si>
    <t>204:555</t>
  </si>
  <si>
    <t>204:232946</t>
  </si>
  <si>
    <t>204:233255</t>
  </si>
  <si>
    <t>204:163</t>
  </si>
  <si>
    <t>204:232923</t>
  </si>
  <si>
    <t>204:232945</t>
  </si>
  <si>
    <t>204:232951</t>
  </si>
  <si>
    <t>204:232943</t>
  </si>
  <si>
    <t>204:233140</t>
  </si>
  <si>
    <t>204:232806</t>
  </si>
  <si>
    <t>204:233245</t>
  </si>
  <si>
    <t>204:232932</t>
  </si>
  <si>
    <t>204:495</t>
  </si>
  <si>
    <t>204:232947</t>
  </si>
  <si>
    <t>204:242</t>
  </si>
  <si>
    <t>204:540</t>
  </si>
  <si>
    <t>204:233165</t>
  </si>
  <si>
    <t>204:511</t>
  </si>
  <si>
    <t>204:233202</t>
  </si>
  <si>
    <t>204:233259</t>
  </si>
  <si>
    <t>204:233216</t>
  </si>
  <si>
    <t>204:232949</t>
  </si>
  <si>
    <t>204:575</t>
  </si>
  <si>
    <t>204:233199</t>
  </si>
  <si>
    <t>204:233215</t>
  </si>
  <si>
    <t>204:531</t>
  </si>
  <si>
    <t>204:548</t>
  </si>
  <si>
    <t>204:835</t>
  </si>
  <si>
    <t>204:233264</t>
  </si>
  <si>
    <t>204:232952</t>
  </si>
  <si>
    <t>204:278</t>
  </si>
  <si>
    <t>204:233191</t>
  </si>
  <si>
    <t>204:232950</t>
  </si>
  <si>
    <t>204:597</t>
  </si>
  <si>
    <t>204:233257</t>
  </si>
  <si>
    <t>204:260</t>
  </si>
  <si>
    <t>204:233218</t>
  </si>
  <si>
    <t>204:232883</t>
  </si>
  <si>
    <t>204:233285</t>
  </si>
  <si>
    <t>204:180</t>
  </si>
  <si>
    <t>204:274</t>
  </si>
  <si>
    <t>204:233179</t>
  </si>
  <si>
    <t>300:19041</t>
  </si>
  <si>
    <t>204:183</t>
  </si>
  <si>
    <t>300:23442</t>
  </si>
  <si>
    <t>204:345</t>
  </si>
  <si>
    <t>300:23366</t>
  </si>
  <si>
    <t>300:23310</t>
  </si>
  <si>
    <t>300:23190</t>
  </si>
  <si>
    <t>204:570</t>
  </si>
  <si>
    <t>300:23701</t>
  </si>
  <si>
    <t>204:150</t>
  </si>
  <si>
    <t>300:22503</t>
  </si>
  <si>
    <t>300:23301</t>
  </si>
  <si>
    <t>204:422</t>
  </si>
  <si>
    <t>204:3556</t>
  </si>
  <si>
    <t>204:3221</t>
  </si>
  <si>
    <t>204:143</t>
  </si>
  <si>
    <t>204:1501</t>
  </si>
  <si>
    <t>204:3542</t>
  </si>
  <si>
    <t>204:3219</t>
  </si>
  <si>
    <t>204:1173</t>
  </si>
  <si>
    <t>204:473</t>
  </si>
  <si>
    <t>300:24239</t>
  </si>
  <si>
    <t>300:22240</t>
  </si>
  <si>
    <t>204:869</t>
  </si>
  <si>
    <t>300:20648</t>
  </si>
  <si>
    <t>204:1148</t>
  </si>
  <si>
    <t>204:1186</t>
  </si>
  <si>
    <t>300:5137</t>
  </si>
  <si>
    <t>204:1305</t>
  </si>
  <si>
    <t>204:855</t>
  </si>
  <si>
    <t>204:1121</t>
  </si>
  <si>
    <t>300:59001</t>
  </si>
  <si>
    <t>300:58672</t>
  </si>
  <si>
    <t>204:834</t>
  </si>
  <si>
    <t>204:1142</t>
  </si>
  <si>
    <t>300:58969</t>
  </si>
  <si>
    <t>300:58660</t>
  </si>
  <si>
    <t>204:839</t>
  </si>
  <si>
    <t>204:1137</t>
  </si>
  <si>
    <t>300:58692</t>
  </si>
  <si>
    <t>204:846</t>
  </si>
  <si>
    <t>204:1119</t>
  </si>
  <si>
    <t>300:58952</t>
  </si>
  <si>
    <t>300:58636</t>
  </si>
  <si>
    <t>204:832</t>
  </si>
  <si>
    <t>204:1147</t>
  </si>
  <si>
    <t>300:58685</t>
  </si>
  <si>
    <t>204:110</t>
  </si>
  <si>
    <t>204:1114</t>
  </si>
  <si>
    <t>300:58982</t>
  </si>
  <si>
    <t>300:58666</t>
  </si>
  <si>
    <t>204:827</t>
  </si>
  <si>
    <t>204:1118</t>
  </si>
  <si>
    <t>300:58971</t>
  </si>
  <si>
    <t>204:824</t>
  </si>
  <si>
    <t>300:58668</t>
  </si>
  <si>
    <t>204:822</t>
  </si>
  <si>
    <t>204:1116</t>
  </si>
  <si>
    <t>300:58973</t>
  </si>
  <si>
    <t>300:58662</t>
  </si>
  <si>
    <t>204:831</t>
  </si>
  <si>
    <t>204:1109</t>
  </si>
  <si>
    <t>300:58628</t>
  </si>
  <si>
    <t>204:967</t>
  </si>
  <si>
    <t>300:58918</t>
  </si>
  <si>
    <t>204:691</t>
  </si>
  <si>
    <t>204:1002</t>
  </si>
  <si>
    <t>300:58924</t>
  </si>
  <si>
    <t>300:58608</t>
  </si>
  <si>
    <t>204:747</t>
  </si>
  <si>
    <t>204:1044</t>
  </si>
  <si>
    <t>300:58609</t>
  </si>
  <si>
    <t>204:1529</t>
  </si>
  <si>
    <t>204:1814</t>
  </si>
  <si>
    <t>204:2489</t>
  </si>
  <si>
    <t>300:58984</t>
  </si>
  <si>
    <t>204:670</t>
  </si>
  <si>
    <t>204:1051</t>
  </si>
  <si>
    <t>300:58927</t>
  </si>
  <si>
    <t>300:58613</t>
  </si>
  <si>
    <t>204:773</t>
  </si>
  <si>
    <t>204:964</t>
  </si>
  <si>
    <t>300:58912</t>
  </si>
  <si>
    <t>300:57261</t>
  </si>
  <si>
    <t>204:750</t>
  </si>
  <si>
    <t>300:58598</t>
  </si>
  <si>
    <t>204:1058</t>
  </si>
  <si>
    <t>204:801</t>
  </si>
  <si>
    <t>300:58602</t>
  </si>
  <si>
    <t>204:708</t>
  </si>
  <si>
    <t>204:1112</t>
  </si>
  <si>
    <t>300:58905</t>
  </si>
  <si>
    <t>300:58625</t>
  </si>
  <si>
    <t>204:976</t>
  </si>
  <si>
    <t>204:729</t>
  </si>
  <si>
    <t>204:780</t>
  </si>
  <si>
    <t>204:1014</t>
  </si>
  <si>
    <t>204:789</t>
  </si>
  <si>
    <t>204:1389</t>
  </si>
  <si>
    <t>300:58916</t>
  </si>
  <si>
    <t>300:29934</t>
  </si>
  <si>
    <t>300:23451</t>
  </si>
  <si>
    <t>204:838</t>
  </si>
  <si>
    <t>204:432</t>
  </si>
  <si>
    <t>300:24226</t>
  </si>
  <si>
    <t>300:23680</t>
  </si>
  <si>
    <t>204:759</t>
  </si>
  <si>
    <t>300:58583</t>
  </si>
  <si>
    <t>300:28759</t>
  </si>
  <si>
    <t>300:28789</t>
  </si>
  <si>
    <t>start /low /b %USERPROFILE%\Documents\GitHub\eaglep3\Utilities\DownloadLogsFromS3.py --loco 4007 --day 2017-11-16</t>
  </si>
  <si>
    <t>start /low /b %USERPROFILE%\Documents\GitHub\eaglep3\Utilities\DownloadLogsFromS3.py --loco 4042 --day 2017-11-16</t>
  </si>
  <si>
    <t>start /low /b %USERPROFILE%\Documents\GitHub\eaglep3\Utilities\DownloadLogsFromS3.py --loco 4041 --day 2017-11-16</t>
  </si>
  <si>
    <t>start /low /b %USERPROFILE%\Documents\GitHub\eaglep3\Utilities\DownloadLogsFromS3.py --loco 4016 --day 2017-11-17</t>
  </si>
  <si>
    <t>start /low /b %USERPROFILE%\Documents\GitHub\eaglep3\Utilities\DownloadLogsFromS3.py --loco 4062 --day 2017-11-16</t>
  </si>
  <si>
    <t>start /low /b %USERPROFILE%\Documents\GitHub\eaglep3\Utilities\DownloadLogsFromS3.py --loco 4061 --day 2017-11-16</t>
  </si>
  <si>
    <t>start /low /b %USERPROFILE%\Documents\GitHub\eaglep3\Utilities\DownloadLogsFromS3.py --loco 4042 --day 2017-11-17</t>
  </si>
  <si>
    <t>start /low /b %USERPROFILE%\Documents\GitHub\eaglep3\Utilities\DownloadLogsFromS3.py --loco 4012 --day 2017-11-17</t>
  </si>
  <si>
    <t>start /low /b %USERPROFILE%\Documents\GitHub\eaglep3\Utilities\DownloadLogsFromS3.py --loco 4041 --day 2017-11-17</t>
  </si>
  <si>
    <t>start /low /b %USERPROFILE%\Documents\GitHub\eaglep3\Utilities\DownloadLogsFromS3.py --loco 4012 --day 2017-11-16</t>
  </si>
  <si>
    <t>start /low /b %USERPROFILE%\Documents\GitHub\eaglep3\Utilities\DownloadLogsFromS3.py --loco 4011 --day 2017-11-16</t>
  </si>
  <si>
    <t>Poor GPS at DUS</t>
  </si>
  <si>
    <t>Delayed by Poor GPS at DUS</t>
  </si>
  <si>
    <t>Went active too close to signal</t>
  </si>
  <si>
    <t>Early arrival</t>
  </si>
  <si>
    <t>RESTRICTING aspect</t>
  </si>
  <si>
    <t>No red fence found in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</si>
</sst>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43055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43055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COUNTIFS($N$13:$N$9539,"&gt;0",$AG$13:$AG$9539,I1)</f>
        <v>143</v>
      </c>
      <c r="K5" s="39"/>
      <c r="L5" s="171"/>
      <c r="M5" s="40">
        <f>AVERAGEIFS($N$13:$N$9539,$AG$13:$AG$9539,I1)</f>
        <v>37.060023309334042</v>
      </c>
      <c r="N5" s="38">
        <f t="array" ref="N5">MIN(IF($AG$13:$AG$9539=I1,IF(ISNUMBER($N$13:$N$9539),IF($N$13:$N$9539&gt;0,$N$13:$N$9539))))</f>
        <v>33.599999996367842</v>
      </c>
      <c r="O5" s="3">
        <f t="array" ref="O5">MAX(IF($AG$13:$AG$9539=I1,IF(ISNUMBER($N$13:$N$9539),IF($N$13:$N$9539&gt;0,$N$13:$N$9539))))</f>
        <v>46.849999992409721</v>
      </c>
      <c r="P5" s="2"/>
      <c r="R5" s="162" t="s">
        <v>17</v>
      </c>
      <c r="S5" s="206">
        <f>COUNTIFS($N$13:$N$9539,"&gt;0",$AG$13:$AG$9539,R1)</f>
        <v>49</v>
      </c>
      <c r="T5" s="171"/>
      <c r="U5" s="194"/>
      <c r="V5" s="210">
        <f>AVERAGEIFS($N$13:$N$9539,$AG$13:$AG$9539,R1)</f>
        <v>14.237755102114942</v>
      </c>
      <c r="W5" s="211">
        <f t="array" ref="W5">MIN(IF($AG$13:$AG$9539=R1,IF(ISNUMBER($N$13:$N$9539),IF($N$13:$N$9539&gt;0,$N$13:$N$9539))))</f>
        <v>10.383333340287209</v>
      </c>
      <c r="X5" s="199">
        <f t="array" ref="X5">MAX(IF($AG$13:$AG$9539=R1,IF(ISNUMBER($N$13:$N$9539),IF($N$13:$N$9539&gt;0,$N$13:$N$9539))))</f>
        <v>17.583333326037973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COUNT($O$13:$O$297)</f>
        <v>0</v>
      </c>
      <c r="K6" s="39"/>
      <c r="L6" s="171"/>
      <c r="M6" s="40">
        <f>IFERROR(AVERAGE($O$13:$O$297),0)</f>
        <v>0</v>
      </c>
      <c r="N6" s="38">
        <f>MIN($O$13:$O$297)</f>
        <v>0</v>
      </c>
      <c r="O6" s="3">
        <f>MAX($O$13:$O$297)</f>
        <v>0</v>
      </c>
      <c r="P6" s="2"/>
      <c r="R6" s="163" t="s">
        <v>43</v>
      </c>
      <c r="S6" s="206">
        <f>COUNT($O$13:$O$297)</f>
        <v>0</v>
      </c>
      <c r="T6" s="171"/>
      <c r="U6" s="194"/>
      <c r="V6" s="210">
        <f>IFERROR(AVERAGE($O$13:$O$297),0)</f>
        <v>0</v>
      </c>
      <c r="W6" s="211">
        <f>MIN($O$13:$O$297)</f>
        <v>0</v>
      </c>
      <c r="X6" s="199">
        <f>MAX($O$13:$O$297)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COUNTIFS($P$13:$P$9539,"&gt;0",$AG$13:$AG$9539,I1)</f>
        <v>1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COUNTIFS($P$13:$P$9539,"&gt;0",$AG$13:$AG$9539,R1)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1"/>
      <c r="M8" s="40">
        <f>M5</f>
        <v>37.060023309334042</v>
      </c>
      <c r="N8" s="38">
        <f>N5</f>
        <v>33.599999996367842</v>
      </c>
      <c r="O8" s="3">
        <f>O5</f>
        <v>46.849999992409721</v>
      </c>
      <c r="P8" s="2"/>
      <c r="R8" s="162" t="s">
        <v>16</v>
      </c>
      <c r="S8" s="206">
        <f>S5</f>
        <v>49</v>
      </c>
      <c r="T8" s="171"/>
      <c r="U8" s="194"/>
      <c r="V8" s="210">
        <f>V5</f>
        <v>14.237755102114942</v>
      </c>
      <c r="W8" s="211">
        <f>W5</f>
        <v>10.383333340287209</v>
      </c>
      <c r="X8" s="199">
        <f>X5</f>
        <v>17.583333326037973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25" t="str">
        <f>"Eagle P3 System Performance - "&amp;TEXT(Variables!A2,"yyyy-mm-dd")</f>
        <v>Eagle P3 System Performance - 2017-11-16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8">
        <f>AVERAGE(S13:S120)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676</v>
      </c>
      <c r="B13" s="7">
        <v>4002</v>
      </c>
      <c r="C13" s="21" t="s">
        <v>192</v>
      </c>
      <c r="D13" s="21" t="s">
        <v>893</v>
      </c>
      <c r="E13" s="13">
        <v>43055.126261574071</v>
      </c>
      <c r="F13" s="13">
        <v>43055.135613425926</v>
      </c>
      <c r="G13" s="7">
        <v>60</v>
      </c>
      <c r="H13" s="21" t="s">
        <v>894</v>
      </c>
      <c r="I13" s="13">
        <v>43055.159247685187</v>
      </c>
      <c r="J13" s="7">
        <v>0</v>
      </c>
      <c r="K13" s="89" t="str">
        <f t="shared" ref="K13:K76" si="0">IF(ISEVEN(B13),(B13-1)&amp;"/"&amp;B13,B13&amp;"/"&amp;(B13+1))</f>
        <v>4001/4002</v>
      </c>
      <c r="L13" s="184" t="str">
        <f>VLOOKUP(A13,'Trips&amp;Operators'!$C$1:$G$99911,5,FALSE)</f>
        <v>YORK EDGAR</v>
      </c>
      <c r="M13" s="6">
        <f t="shared" ref="M13:M76" si="1">I13-F13</f>
        <v>2.3634259261598345E-2</v>
      </c>
      <c r="N13" s="7">
        <f t="shared" ref="N13:N44" si="2">24*60*SUM($M13:$M13)</f>
        <v>34.033333336701617</v>
      </c>
      <c r="O13" s="7"/>
      <c r="P13" s="7"/>
      <c r="Q13" s="22"/>
      <c r="R13" s="166"/>
      <c r="S13" s="220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-16T02:01:49-0700',mode:absolute,to:'2017-11-16T04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7.8799999999999995E-2</v>
      </c>
      <c r="Z13" s="203">
        <f t="shared" ref="Z13:Z44" si="8">RIGHT(H13,LEN(H13)-4)/10000</f>
        <v>23.326799999999999</v>
      </c>
      <c r="AA13" s="203">
        <f t="shared" ref="AA13:AA76" si="9">ABS(Z13-Y13)</f>
        <v>23.247999999999998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/stypes="app*4002*20171116*"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4002 --swversion DE.1.0.9.0 --startMP 204:788 --initTime 2017-11-16T03:01:49 --startdatetime 2017-11-16T03:15:17 --delay 60 --endMP 204:233268 --enddatetime 2017-11-16T03:49:19 --enforcementcount 0 &gt;&gt;%USERPROFILE%\Documents\GitHub\eaglep3-reporting\EC\2017-11-16-refined-times.txt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{"issue":{"subject":"","project_id":79,"tracker_id":40,"status_id":1,"priority_id":2,"assigned_to_id":338,"start_date":"2017-11-16","description":"","custom_fields":[{"id":1,"name":"Subdivision","value":"EC"},{"id":4,"name":"Milepost","value":"23.3268"},{"id":17,"name":"Train ID","value":"101-16"},{"id":16,"name":"Locomotive ID","value":"4002"},{"id":130,"name":"Impact","value":""},{"id":150,"name":"Time of Event (Mountain Time)","value":"03:49:19"},{"id":151,"name":"Denver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4002 --day 2017-11-16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10:49:19"},{"id":29,"name":"Sharepoint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-16T02:01:49-0700',mode:absolute,to:'2017-11-16T04:49:19-0700'))&amp;_a=(columns:!('Message%20ID',Summary),filters:!(),index:'emp_*',interval:auto,query:(query_string:(analyze_wildcard:!t,query:'%22rtdc.l.rtdc.4002%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683</v>
      </c>
      <c r="B14" s="7">
        <v>4001</v>
      </c>
      <c r="C14" s="21" t="s">
        <v>192</v>
      </c>
      <c r="D14" s="21" t="s">
        <v>618</v>
      </c>
      <c r="E14" s="13">
        <v>43055.16028935185</v>
      </c>
      <c r="F14" s="13">
        <v>43055.175428240742</v>
      </c>
      <c r="G14" s="7">
        <v>82</v>
      </c>
      <c r="H14" s="21" t="s">
        <v>895</v>
      </c>
      <c r="I14" s="13">
        <v>43055.199988425928</v>
      </c>
      <c r="J14" s="7">
        <v>0</v>
      </c>
      <c r="K14" s="89" t="str">
        <f t="shared" si="0"/>
        <v>4001/4002</v>
      </c>
      <c r="L14" s="184" t="str">
        <f>VLOOKUP(A14,'Trips&amp;Operators'!$C$1:$G$99911,5,FALSE)</f>
        <v>YORK EDGAR</v>
      </c>
      <c r="M14" s="6">
        <f t="shared" si="1"/>
        <v>2.4560185185691807E-2</v>
      </c>
      <c r="N14" s="7">
        <f t="shared" si="2"/>
        <v>35.366666667396203</v>
      </c>
      <c r="O14" s="7"/>
      <c r="P14" s="7"/>
      <c r="Q14" s="22"/>
      <c r="R14" s="173"/>
      <c r="S14" s="220">
        <f t="shared" si="3"/>
        <v>1</v>
      </c>
      <c r="T14" s="173" t="str">
        <f t="shared" si="4"/>
        <v>Southbound</v>
      </c>
      <c r="U14" s="19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5" t="str">
        <f t="shared" si="5"/>
        <v>https://d0f6bd738d7f1b3e5a7ca70fe4ff75f0.us-east-1.aws.found.io/app/kibana#/discover/Steve-Slow-Train-Analysis-(2080s-and-2083s)?_g=(refreshInterval:(display:Off,pause:!f,section:0,value:0),time:(from:'2017-11-16T02:50:49-0700',mode:absolute,to:'2017-11-16T05:47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203" t="str">
        <f>IF(AA14&lt;VLOOKUP(AG14,Variables!$AC$3:$AD$8,2,FALSE),"Y","N")</f>
        <v>N</v>
      </c>
      <c r="X14" s="203">
        <f t="shared" si="6"/>
        <v>1</v>
      </c>
      <c r="Y14" s="203">
        <f t="shared" si="7"/>
        <v>23.296700000000001</v>
      </c>
      <c r="Z14" s="203">
        <f t="shared" si="8"/>
        <v>1.5599999999999999E-2</v>
      </c>
      <c r="AA14" s="203">
        <f t="shared" si="9"/>
        <v>23.281100000000002</v>
      </c>
      <c r="AB14" s="54" t="e">
        <f>VLOOKUP(A14,Enforcements!$C$7:$K$9,8,0)</f>
        <v>#N/A</v>
      </c>
      <c r="AC14" s="51" t="e">
        <f>VLOOKUP(A14,Enforcements!$C$7:$E$9,3,0)</f>
        <v>#N/A</v>
      </c>
      <c r="AD14" s="178">
        <f t="shared" si="10"/>
        <v>102</v>
      </c>
      <c r="AE14" s="77" t="str">
        <f t="shared" si="11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14" s="74" t="str">
        <f t="shared" si="12"/>
        <v>"C:\Program Files (x86)\AstroGrep\AstroGrep.exe" /e /r /s /spath="%USERPROFILE%\AppData\Local\Temp\OnboardLogs" /stypes="app*4001*20171116*" /stext=" 11:.+((SYSTEM_STATE.+slice.+state.+changed )|(ment ac)|(multiple cpu faults)|(system.+state.+changed )|(\[timeout)|(PRM\|1\|D)|(kpr)|(kdp)|(train st.+moving)|(\|lc)|(penalty))"</v>
      </c>
      <c r="AG14" s="181" t="str">
        <f t="shared" si="13"/>
        <v>EC</v>
      </c>
      <c r="AH14" s="78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4001 --swversion DE.1.0.9.0 --startMP 204:232967 --initTime 2017-11-16T03:50:49 --startdatetime 2017-11-16T04:12:37 --delay 82 --endMP 204:156 --enddatetime 2017-11-16T04:47:59 --enforcementcount 0 &gt;&gt;%USERPROFILE%\Documents\GitHub\eaglep3-reporting\EC\2017-11-16-refined-times.txt</v>
      </c>
      <c r="AI14" s="96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{"issue":{"subject":"","project_id":79,"tracker_id":40,"status_id":1,"priority_id":2,"assigned_to_id":338,"start_date":"2017-11-16","description":"","custom_fields":[{"id":1,"name":"Subdivision","value":"EC"},{"id":4,"name":"Milepost","value":"0.0156"},{"id":17,"name":"Train ID","value":"102-16"},{"id":16,"name":"Locomotive ID","value":"4001"},{"id":130,"name":"Impact","value":""},{"id":150,"name":"Time of Event (Mountain Time)","value":"04:47:59"},{"id":151,"name":"Denver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1" t="str">
        <f t="shared" ref="AM14:AM76" si="21">"start /low /b "&amp;dls3logs&amp;" --loco "&amp;B14&amp;" --day "&amp;TEXT(F14,"YYYY-MM-DD")</f>
        <v>start /low /b %USERPROFILE%\Documents\GitHub\eaglep3\Utilities\DownloadLogsFromS3.py --loco 4001 --day 2017-11-16</v>
      </c>
      <c r="AN14" s="150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11:47:59"},{"id":29,"name":"Sharepoint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7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-16T02:50:49-0700',mode:absolute,to:'2017-11-16T05:47:59-0700'))&amp;_a=(columns:!('Message%20ID',Summary),filters:!(),index:'emp_*',interval:auto,query:(query_string:(analyze_wildcard:!t,query:'%22rtdc.l.rtdc.4001%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681</v>
      </c>
      <c r="B15" s="7">
        <v>4008</v>
      </c>
      <c r="C15" s="21" t="s">
        <v>192</v>
      </c>
      <c r="D15" s="21" t="s">
        <v>896</v>
      </c>
      <c r="E15" s="13">
        <v>43055.151712962965</v>
      </c>
      <c r="F15" s="13">
        <v>43055.156458333331</v>
      </c>
      <c r="G15" s="7">
        <v>59</v>
      </c>
      <c r="H15" s="21" t="s">
        <v>897</v>
      </c>
      <c r="I15" s="13">
        <v>43055.181423611109</v>
      </c>
      <c r="J15" s="7">
        <v>0</v>
      </c>
      <c r="K15" s="89" t="str">
        <f t="shared" si="0"/>
        <v>4007/4008</v>
      </c>
      <c r="L15" s="184" t="str">
        <f>VLOOKUP(A15,'Trips&amp;Operators'!$C$1:$G$99911,5,FALSE)</f>
        <v>MAELZER KURT</v>
      </c>
      <c r="M15" s="6">
        <f t="shared" si="1"/>
        <v>2.4965277778392192E-2</v>
      </c>
      <c r="N15" s="7">
        <f t="shared" si="2"/>
        <v>35.950000000884756</v>
      </c>
      <c r="O15" s="7"/>
      <c r="P15" s="7"/>
      <c r="Q15" s="22"/>
      <c r="R15" s="173"/>
      <c r="S15" s="220">
        <f t="shared" si="3"/>
        <v>1</v>
      </c>
      <c r="T15" s="173" t="str">
        <f t="shared" si="4"/>
        <v>NorthBound</v>
      </c>
      <c r="U15" s="19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5" t="str">
        <f t="shared" si="5"/>
        <v>https://d0f6bd738d7f1b3e5a7ca70fe4ff75f0.us-east-1.aws.found.io/app/kibana#/discover/Steve-Slow-Train-Analysis-(2080s-and-2083s)?_g=(refreshInterval:(display:Off,pause:!f,section:0,value:0),time:(from:'2017-11-16T02:38:28-0700',mode:absolute,to:'2017-11-16T05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203" t="str">
        <f>IF(AA15&lt;VLOOKUP(AG15,Variables!$AC$3:$AD$8,2,FALSE),"Y","N")</f>
        <v>N</v>
      </c>
      <c r="X15" s="203">
        <f t="shared" si="6"/>
        <v>1</v>
      </c>
      <c r="Y15" s="203">
        <f t="shared" si="7"/>
        <v>5.0200000000000002E-2</v>
      </c>
      <c r="Z15" s="203">
        <f t="shared" si="8"/>
        <v>23.331199999999999</v>
      </c>
      <c r="AA15" s="203">
        <f t="shared" si="9"/>
        <v>23.280999999999999</v>
      </c>
      <c r="AB15" s="54" t="e">
        <f>VLOOKUP(A15,Enforcements!$C$7:$K$9,8,0)</f>
        <v>#N/A</v>
      </c>
      <c r="AC15" s="51" t="e">
        <f>VLOOKUP(A15,Enforcements!$C$7:$E$9,3,0)</f>
        <v>#N/A</v>
      </c>
      <c r="AD15" s="178">
        <f t="shared" si="10"/>
        <v>103</v>
      </c>
      <c r="AE15" s="77" t="str">
        <f t="shared" si="11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15" s="74" t="str">
        <f t="shared" si="12"/>
        <v>"C:\Program Files (x86)\AstroGrep\AstroGrep.exe" /e /r /s /spath="%USERPROFILE%\AppData\Local\Temp\OnboardLogs" /stypes="app*4008*20171116*" /stext=" 11:.+((SYSTEM_STATE.+slice.+state.+changed )|(ment ac)|(multiple cpu faults)|(system.+state.+changed )|(\[timeout)|(PRM\|1\|D)|(kpr)|(kdp)|(train st.+moving)|(\|lc)|(penalty))"</v>
      </c>
      <c r="AG15" s="181" t="str">
        <f t="shared" si="13"/>
        <v>EC</v>
      </c>
      <c r="AH15" s="78" t="str">
        <f t="shared" si="19"/>
        <v>"%USERPROFILE%\Documents\GitHub\eaglep3\Utilities\RefineRTDCRunTimes.py" --tripid 103-16 --locoid 4008 --swversion DE.1.0.9.0 --startMP 204:502 --initTime 2017-11-16T03:38:28 --startdatetime 2017-11-16T03:45:18 --delay 59 --endMP 204:233312 --enddatetime 2017-11-16T04:21:15 --enforcementcount 0 &gt;&gt;%USERPROFILE%\Documents\GitHub\eaglep3-reporting\EC\2017-11-16-refined-times.txt</v>
      </c>
      <c r="AI1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{"issue":{"subject":"","project_id":79,"tracker_id":40,"status_id":1,"priority_id":2,"assigned_to_id":338,"start_date":"2017-11-16","description":"","custom_fields":[{"id":1,"name":"Subdivision","value":"EC"},{"id":4,"name":"Milepost","value":"23.3312"},{"id":17,"name":"Train ID","value":"103-16"},{"id":16,"name":"Locomotive ID","value":"4008"},{"id":130,"name":"Impact","value":""},{"id":150,"name":"Time of Event (Mountain Time)","value":"04:21:15"},{"id":151,"name":"Denver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1" t="str">
        <f t="shared" si="21"/>
        <v>start /low /b %USERPROFILE%\Documents\GitHub\eaglep3\Utilities\DownloadLogsFromS3.py --loco 4008 --day 2017-11-16</v>
      </c>
      <c r="AN1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7" t="str">
        <f t="shared" si="23"/>
        <v>https://d0f6bd738d7f1b3e5a7ca70fe4ff75f0.us-east-1.aws.found.io/app/kibana#/discover/Steve-Slow-Train-Analysis-(2080s-and-2083s)?_g=(refreshInterval:(display:Off,pause:!f,section:0,value:0),time:(from:'2017-11-16T02:38:28-0700',mode:absolute,to:'2017-11-16T05:21:15-0700'))&amp;_a=(columns:!('Message%20ID',Summary),filters:!(),index:'emp_*',interval:auto,query:(query_string:(analyze_wildcard:!t,query:'%22rtdc.l.rtdc.4008%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690</v>
      </c>
      <c r="B16" s="7">
        <v>4007</v>
      </c>
      <c r="C16" s="21" t="s">
        <v>192</v>
      </c>
      <c r="D16" s="21" t="s">
        <v>898</v>
      </c>
      <c r="E16" s="13">
        <v>43055.186701388891</v>
      </c>
      <c r="F16" s="13">
        <v>43055.196006944447</v>
      </c>
      <c r="G16" s="7">
        <v>49</v>
      </c>
      <c r="H16" s="21" t="s">
        <v>457</v>
      </c>
      <c r="I16" s="13">
        <v>43055.222222222219</v>
      </c>
      <c r="J16" s="7">
        <v>0</v>
      </c>
      <c r="K16" s="89" t="str">
        <f t="shared" si="0"/>
        <v>4007/4008</v>
      </c>
      <c r="L16" s="184" t="str">
        <f>VLOOKUP(A16,'Trips&amp;Operators'!$C$1:$G$99911,5,FALSE)</f>
        <v>MAELZER KURT</v>
      </c>
      <c r="M16" s="6">
        <f t="shared" si="1"/>
        <v>2.6215277772280388E-2</v>
      </c>
      <c r="N16" s="7">
        <f t="shared" si="2"/>
        <v>37.749999992083758</v>
      </c>
      <c r="O16" s="7"/>
      <c r="P16" s="7"/>
      <c r="Q16" s="22"/>
      <c r="R16" s="173"/>
      <c r="S16" s="220">
        <f t="shared" si="3"/>
        <v>1</v>
      </c>
      <c r="T16" s="173" t="str">
        <f t="shared" si="4"/>
        <v>Southbound</v>
      </c>
      <c r="U16" s="19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5" t="str">
        <f t="shared" si="5"/>
        <v>https://d0f6bd738d7f1b3e5a7ca70fe4ff75f0.us-east-1.aws.found.io/app/kibana#/discover/Steve-Slow-Train-Analysis-(2080s-and-2083s)?_g=(refreshInterval:(display:Off,pause:!f,section:0,value:0),time:(from:'2017-11-16T03:28:51-0700',mode:absolute,to:'2017-11-16T06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203" t="str">
        <f>IF(AA16&lt;VLOOKUP(AG16,Variables!$AC$3:$AD$8,2,FALSE),"Y","N")</f>
        <v>N</v>
      </c>
      <c r="X16" s="203">
        <f t="shared" si="6"/>
        <v>1</v>
      </c>
      <c r="Y16" s="203">
        <f t="shared" si="7"/>
        <v>23.2987</v>
      </c>
      <c r="Z16" s="203">
        <f t="shared" si="8"/>
        <v>2.0899999999999998E-2</v>
      </c>
      <c r="AA16" s="203">
        <f t="shared" si="9"/>
        <v>23.277799999999999</v>
      </c>
      <c r="AB16" s="54" t="e">
        <f>VLOOKUP(A16,Enforcements!$C$7:$K$9,8,0)</f>
        <v>#N/A</v>
      </c>
      <c r="AC16" s="51" t="e">
        <f>VLOOKUP(A16,Enforcements!$C$7:$E$9,3,0)</f>
        <v>#N/A</v>
      </c>
      <c r="AD16" s="178">
        <f t="shared" si="10"/>
        <v>104</v>
      </c>
      <c r="AE16" s="77" t="str">
        <f t="shared" si="11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16" s="74" t="str">
        <f t="shared" si="12"/>
        <v>"C:\Program Files (x86)\AstroGrep\AstroGrep.exe" /e /r /s /spath="%USERPROFILE%\AppData\Local\Temp\OnboardLogs" /stypes="app*4007*20171116*" /stext=" 12:.+((SYSTEM_STATE.+slice.+state.+changed )|(ment ac)|(multiple cpu faults)|(system.+state.+changed )|(\[timeout)|(PRM\|1\|D)|(kpr)|(kdp)|(train st.+moving)|(\|lc)|(penalty))"</v>
      </c>
      <c r="AG16" s="181" t="str">
        <f t="shared" si="13"/>
        <v>EC</v>
      </c>
      <c r="AH16" s="78" t="str">
        <f t="shared" si="19"/>
        <v>"%USERPROFILE%\Documents\GitHub\eaglep3\Utilities\RefineRTDCRunTimes.py" --tripid 104-16 --locoid 4007 --swversion DE.1.0.9.0 --startMP 204:232987 --initTime 2017-11-16T04:28:51 --startdatetime 2017-11-16T04:42:15 --delay 49 --endMP 204:209 --enddatetime 2017-11-16T05:20:00 --enforcementcount 0 &gt;&gt;%USERPROFILE%\Documents\GitHub\eaglep3-reporting\EC\2017-11-16-refined-times.txt</v>
      </c>
      <c r="AI1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{"issue":{"subject":"","project_id":79,"tracker_id":40,"status_id":1,"priority_id":2,"assigned_to_id":338,"start_date":"2017-11-16","description":"","custom_fields":[{"id":1,"name":"Subdivision","value":"EC"},{"id":4,"name":"Milepost","value":"0.0209"},{"id":17,"name":"Train ID","value":"104-16"},{"id":16,"name":"Locomotive ID","value":"4007"},{"id":130,"name":"Impact","value":""},{"id":150,"name":"Time of Event (Mountain Time)","value":"05:20:00"},{"id":151,"name":"Denver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1" t="str">
        <f t="shared" si="21"/>
        <v>start /low /b %USERPROFILE%\Documents\GitHub\eaglep3\Utilities\DownloadLogsFromS3.py --loco 4007 --day 2017-11-16</v>
      </c>
      <c r="AN1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7" t="str">
        <f t="shared" si="23"/>
        <v>https://d0f6bd738d7f1b3e5a7ca70fe4ff75f0.us-east-1.aws.found.io/app/kibana#/discover/Steve-Slow-Train-Analysis-(2080s-and-2083s)?_g=(refreshInterval:(display:Off,pause:!f,section:0,value:0),time:(from:'2017-11-16T03:28:51-0700',mode:absolute,to:'2017-11-16T06:20:00-0700'))&amp;_a=(columns:!('Message%20ID',Summary),filters:!(),index:'emp_*',interval:auto,query:(query_string:(analyze_wildcard:!t,query:'%22rtdc.l.rtdc.4007%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686</v>
      </c>
      <c r="B17" s="7">
        <v>4036</v>
      </c>
      <c r="C17" s="21" t="s">
        <v>192</v>
      </c>
      <c r="D17" s="21" t="s">
        <v>503</v>
      </c>
      <c r="E17" s="13">
        <v>43055.173564814817</v>
      </c>
      <c r="F17" s="13">
        <v>43055.177245370367</v>
      </c>
      <c r="G17" s="7">
        <v>104</v>
      </c>
      <c r="H17" s="21" t="s">
        <v>899</v>
      </c>
      <c r="I17" s="13">
        <v>43055.202476851853</v>
      </c>
      <c r="J17" s="7">
        <v>0</v>
      </c>
      <c r="K17" s="89" t="str">
        <f t="shared" si="0"/>
        <v>4035/4036</v>
      </c>
      <c r="L17" s="184" t="str">
        <f>VLOOKUP(A17,'Trips&amp;Operators'!$C$1:$G$99911,5,FALSE)</f>
        <v>AUSTIN THOMPSON</v>
      </c>
      <c r="M17" s="6">
        <f t="shared" si="1"/>
        <v>2.5231481486116536E-2</v>
      </c>
      <c r="N17" s="7">
        <f t="shared" si="2"/>
        <v>36.333333340007812</v>
      </c>
      <c r="O17" s="7"/>
      <c r="P17" s="7"/>
      <c r="Q17" s="22"/>
      <c r="R17" s="173"/>
      <c r="S17" s="220">
        <f t="shared" si="3"/>
        <v>1</v>
      </c>
      <c r="T17" s="173" t="str">
        <f t="shared" si="4"/>
        <v>NorthBound</v>
      </c>
      <c r="U17" s="19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5" t="str">
        <f t="shared" si="5"/>
        <v>https://d0f6bd738d7f1b3e5a7ca70fe4ff75f0.us-east-1.aws.found.io/app/kibana#/discover/Steve-Slow-Train-Analysis-(2080s-and-2083s)?_g=(refreshInterval:(display:Off,pause:!f,section:0,value:0),time:(from:'2017-11-16T03:09:56-0700',mode:absolute,to:'2017-11-16T05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03" t="str">
        <f>IF(AA17&lt;VLOOKUP(AG17,Variables!$AC$3:$AD$8,2,FALSE),"Y","N")</f>
        <v>N</v>
      </c>
      <c r="X17" s="203">
        <f t="shared" si="6"/>
        <v>1</v>
      </c>
      <c r="Y17" s="203">
        <f t="shared" si="7"/>
        <v>5.2200000000000003E-2</v>
      </c>
      <c r="Z17" s="203">
        <f t="shared" si="8"/>
        <v>23.3261</v>
      </c>
      <c r="AA17" s="203">
        <f t="shared" si="9"/>
        <v>23.273900000000001</v>
      </c>
      <c r="AB17" s="54" t="e">
        <f>VLOOKUP(A17,Enforcements!$C$7:$K$9,8,0)</f>
        <v>#N/A</v>
      </c>
      <c r="AC17" s="51" t="e">
        <f>VLOOKUP(A17,Enforcements!$C$7:$E$9,3,0)</f>
        <v>#N/A</v>
      </c>
      <c r="AD17" s="178">
        <f t="shared" si="10"/>
        <v>105</v>
      </c>
      <c r="AE17" s="77" t="str">
        <f t="shared" si="11"/>
        <v>aws s3 cp s3://rtdc.mdm.uploadarchive.raw/RTDC4036/ "%USERPROFILE%\AppData\Local\Temp\OnboardLogs"\RTDC4036\2017-11-16 --exclude "*" --recursive --include "*20171116*" &amp; "%USERPROFILE%\Documents\GitHub\mrs-test-scripts\Headless Mode &amp; Sideloading\WalkAndUnGZ.bat" "%USERPROFILE%\AppData\Local\Temp\OnboardLogs"\RTDC4036\2017-11-16 &amp; 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</v>
      </c>
      <c r="AF17" s="74" t="str">
        <f t="shared" si="12"/>
        <v>"C:\Program Files (x86)\AstroGrep\AstroGrep.exe" /e /r /s /spath="%USERPROFILE%\AppData\Local\Temp\OnboardLogs" /stypes="app*4036*20171116*" /stext=" 11:.+((SYSTEM_STATE.+slice.+state.+changed )|(ment ac)|(multiple cpu faults)|(system.+state.+changed )|(\[timeout)|(PRM\|1\|D)|(kpr)|(kdp)|(train st.+moving)|(\|lc)|(penalty))"</v>
      </c>
      <c r="AG17" s="181" t="str">
        <f t="shared" si="13"/>
        <v>EC</v>
      </c>
      <c r="AH17" s="78" t="str">
        <f t="shared" si="19"/>
        <v>"%USERPROFILE%\Documents\GitHub\eaglep3\Utilities\RefineRTDCRunTimes.py" --tripid 105-16 --locoid 4036 --swversion DE.1.0.9.0 --startMP 204:522 --initTime 2017-11-16T04:09:56 --startdatetime 2017-11-16T04:15:14 --delay 104 --endMP 204:233261 --enddatetime 2017-11-16T04:51:34 --enforcementcount 0 &gt;&gt;%USERPROFILE%\Documents\GitHub\eaglep3-reporting\EC\2017-11-16-refined-times.txt</v>
      </c>
      <c r="AI17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{"issue":{"subject":"","project_id":79,"tracker_id":40,"status_id":1,"priority_id":2,"assigned_to_id":338,"start_date":"2017-11-16","description":"","custom_fields":[{"id":1,"name":"Subdivision","value":"EC"},{"id":4,"name":"Milepost","value":"23.3261"},{"id":17,"name":"Train ID","value":"105-16"},{"id":16,"name":"Locomotive ID","value":"4036"},{"id":130,"name":"Impact","value":""},{"id":150,"name":"Time of Event (Mountain Time)","value":"04:51:34"},{"id":151,"name":"Denver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1" t="str">
        <f t="shared" si="21"/>
        <v>start /low /b %USERPROFILE%\Documents\GitHub\eaglep3\Utilities\DownloadLogsFromS3.py --loco 4036 --day 2017-11-16</v>
      </c>
      <c r="AN17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7" t="str">
        <f t="shared" si="23"/>
        <v>https://d0f6bd738d7f1b3e5a7ca70fe4ff75f0.us-east-1.aws.found.io/app/kibana#/discover/Steve-Slow-Train-Analysis-(2080s-and-2083s)?_g=(refreshInterval:(display:Off,pause:!f,section:0,value:0),time:(from:'2017-11-16T03:09:56-0700',mode:absolute,to:'2017-11-16T05:51:34-0700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698</v>
      </c>
      <c r="B18" s="7">
        <v>4035</v>
      </c>
      <c r="C18" s="21" t="s">
        <v>192</v>
      </c>
      <c r="D18" s="21" t="s">
        <v>900</v>
      </c>
      <c r="E18" s="13">
        <v>43055.208611111113</v>
      </c>
      <c r="F18" s="13">
        <v>43055.216863425929</v>
      </c>
      <c r="G18" s="7">
        <v>48</v>
      </c>
      <c r="H18" s="21" t="s">
        <v>611</v>
      </c>
      <c r="I18" s="13">
        <v>43055.242893518516</v>
      </c>
      <c r="J18" s="7">
        <v>0</v>
      </c>
      <c r="K18" s="89" t="str">
        <f t="shared" si="0"/>
        <v>4035/4036</v>
      </c>
      <c r="L18" s="184" t="str">
        <f>VLOOKUP(A18,'Trips&amp;Operators'!$C$1:$G$99911,5,FALSE)</f>
        <v>AUSTIN THOMPSON</v>
      </c>
      <c r="M18" s="6">
        <f t="shared" si="1"/>
        <v>2.6030092587461695E-2</v>
      </c>
      <c r="N18" s="7">
        <f t="shared" si="2"/>
        <v>37.483333325944841</v>
      </c>
      <c r="O18" s="7"/>
      <c r="P18" s="7"/>
      <c r="Q18" s="22"/>
      <c r="R18" s="173"/>
      <c r="S18" s="220">
        <f t="shared" si="3"/>
        <v>1</v>
      </c>
      <c r="T18" s="173" t="str">
        <f t="shared" si="4"/>
        <v>Southbound</v>
      </c>
      <c r="U18" s="19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5" t="str">
        <f t="shared" si="5"/>
        <v>https://d0f6bd738d7f1b3e5a7ca70fe4ff75f0.us-east-1.aws.found.io/app/kibana#/discover/Steve-Slow-Train-Analysis-(2080s-and-2083s)?_g=(refreshInterval:(display:Off,pause:!f,section:0,value:0),time:(from:'2017-11-16T04:00:24-0700',mode:absolute,to:'2017-11-16T06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03" t="str">
        <f>IF(AA18&lt;VLOOKUP(AG18,Variables!$AC$3:$AD$8,2,FALSE),"Y","N")</f>
        <v>N</v>
      </c>
      <c r="X18" s="203">
        <f t="shared" si="6"/>
        <v>1</v>
      </c>
      <c r="Y18" s="203">
        <f t="shared" si="7"/>
        <v>23.2942</v>
      </c>
      <c r="Z18" s="203">
        <f t="shared" si="8"/>
        <v>2.1399999999999999E-2</v>
      </c>
      <c r="AA18" s="203">
        <f t="shared" si="9"/>
        <v>23.2728</v>
      </c>
      <c r="AB18" s="54" t="e">
        <f>VLOOKUP(A18,Enforcements!$C$7:$K$9,8,0)</f>
        <v>#N/A</v>
      </c>
      <c r="AC18" s="51" t="e">
        <f>VLOOKUP(A18,Enforcements!$C$7:$E$9,3,0)</f>
        <v>#N/A</v>
      </c>
      <c r="AD18" s="178">
        <f t="shared" si="10"/>
        <v>106</v>
      </c>
      <c r="AE18" s="77" t="str">
        <f t="shared" si="11"/>
        <v>aws s3 cp s3://rtdc.mdm.uploadarchive.raw/RTDC4035/ "%USERPROFILE%\AppData\Local\Temp\OnboardLogs"\RTDC4035\2017-11-16 --exclude "*" --recursive --include "*20171116*" &amp; "%USERPROFILE%\Documents\GitHub\mrs-test-scripts\Headless Mode &amp; Sideloading\WalkAndUnGZ.bat" "%USERPROFILE%\AppData\Local\Temp\OnboardLogs"\RTDC4035\2017-11-16 &amp; 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</v>
      </c>
      <c r="AF18" s="74" t="str">
        <f t="shared" si="12"/>
        <v>"C:\Program Files (x86)\AstroGrep\AstroGrep.exe" /e /r /s /spath="%USERPROFILE%\AppData\Local\Temp\OnboardLogs" /stypes="app*4035*20171116*" /stext=" 12:.+((SYSTEM_STATE.+slice.+state.+changed )|(ment ac)|(multiple cpu faults)|(system.+state.+changed )|(\[timeout)|(PRM\|1\|D)|(kpr)|(kdp)|(train st.+moving)|(\|lc)|(penalty))"</v>
      </c>
      <c r="AG18" s="181" t="str">
        <f t="shared" si="13"/>
        <v>EC</v>
      </c>
      <c r="AH18" s="78" t="str">
        <f t="shared" si="19"/>
        <v>"%USERPROFILE%\Documents\GitHub\eaglep3\Utilities\RefineRTDCRunTimes.py" --tripid 106-16 --locoid 4035 --swversion DE.1.0.9.0 --startMP 204:232942 --initTime 2017-11-16T05:00:24 --startdatetime 2017-11-16T05:12:17 --delay 48 --endMP 204:214 --enddatetime 2017-11-16T05:49:46 --enforcementcount 0 &gt;&gt;%USERPROFILE%\Documents\GitHub\eaglep3-reporting\EC\2017-11-16-refined-times.txt</v>
      </c>
      <c r="AI18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{"issue":{"subject":"","project_id":79,"tracker_id":40,"status_id":1,"priority_id":2,"assigned_to_id":338,"start_date":"2017-11-16","description":"","custom_fields":[{"id":1,"name":"Subdivision","value":"EC"},{"id":4,"name":"Milepost","value":"0.0214"},{"id":17,"name":"Train ID","value":"106-16"},{"id":16,"name":"Locomotive ID","value":"4035"},{"id":130,"name":"Impact","value":""},{"id":150,"name":"Time of Event (Mountain Time)","value":"05:49:46"},{"id":151,"name":"Denver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1" t="str">
        <f t="shared" si="21"/>
        <v>start /low /b %USERPROFILE%\Documents\GitHub\eaglep3\Utilities\DownloadLogsFromS3.py --loco 4035 --day 2017-11-16</v>
      </c>
      <c r="AN18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7" t="str">
        <f t="shared" si="23"/>
        <v>https://d0f6bd738d7f1b3e5a7ca70fe4ff75f0.us-east-1.aws.found.io/app/kibana#/discover/Steve-Slow-Train-Analysis-(2080s-and-2083s)?_g=(refreshInterval:(display:Off,pause:!f,section:0,value:0),time:(from:'2017-11-16T04:00:24-0700',mode:absolute,to:'2017-11-16T06:49:46-0700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689</v>
      </c>
      <c r="B19" s="7">
        <v>4018</v>
      </c>
      <c r="C19" s="21" t="s">
        <v>192</v>
      </c>
      <c r="D19" s="21" t="s">
        <v>621</v>
      </c>
      <c r="E19" s="13">
        <v>43055.18310185185</v>
      </c>
      <c r="F19" s="13">
        <v>43055.187673611108</v>
      </c>
      <c r="G19" s="7">
        <v>61</v>
      </c>
      <c r="H19" s="21" t="s">
        <v>522</v>
      </c>
      <c r="I19" s="13">
        <v>43055.211701388886</v>
      </c>
      <c r="J19" s="7">
        <v>0</v>
      </c>
      <c r="K19" s="89" t="str">
        <f t="shared" si="0"/>
        <v>4017/4018</v>
      </c>
      <c r="L19" s="184" t="str">
        <f>VLOOKUP(A19,'Trips&amp;Operators'!$C$1:$G$99911,5,FALSE)</f>
        <v>GEBRETEKLE DAGNEW</v>
      </c>
      <c r="M19" s="6">
        <f t="shared" si="1"/>
        <v>2.4027777777519077E-2</v>
      </c>
      <c r="N19" s="7">
        <f t="shared" si="2"/>
        <v>34.599999999627471</v>
      </c>
      <c r="O19" s="7"/>
      <c r="P19" s="7"/>
      <c r="Q19" s="22"/>
      <c r="R19" s="173"/>
      <c r="S19" s="220">
        <f t="shared" si="3"/>
        <v>1</v>
      </c>
      <c r="T19" s="173" t="str">
        <f t="shared" si="4"/>
        <v>NorthBound</v>
      </c>
      <c r="U19" s="19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5" t="str">
        <f t="shared" si="5"/>
        <v>https://d0f6bd738d7f1b3e5a7ca70fe4ff75f0.us-east-1.aws.found.io/app/kibana#/discover/Steve-Slow-Train-Analysis-(2080s-and-2083s)?_g=(refreshInterval:(display:Off,pause:!f,section:0,value:0),time:(from:'2017-11-16T03:23:40-0700',mode:absolute,to:'2017-11-16T06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203" t="str">
        <f>IF(AA19&lt;VLOOKUP(AG19,Variables!$AC$3:$AD$8,2,FALSE),"Y","N")</f>
        <v>N</v>
      </c>
      <c r="X19" s="203">
        <f t="shared" si="6"/>
        <v>1</v>
      </c>
      <c r="Y19" s="203">
        <f t="shared" si="7"/>
        <v>4.9799999999999997E-2</v>
      </c>
      <c r="Z19" s="203">
        <f t="shared" si="8"/>
        <v>23.3293</v>
      </c>
      <c r="AA19" s="203">
        <f t="shared" si="9"/>
        <v>23.279499999999999</v>
      </c>
      <c r="AB19" s="54" t="e">
        <f>VLOOKUP(A19,Enforcements!$C$7:$K$9,8,0)</f>
        <v>#N/A</v>
      </c>
      <c r="AC19" s="51" t="e">
        <f>VLOOKUP(A19,Enforcements!$C$7:$E$9,3,0)</f>
        <v>#N/A</v>
      </c>
      <c r="AD19" s="178">
        <f t="shared" si="10"/>
        <v>107</v>
      </c>
      <c r="AE19" s="77" t="str">
        <f t="shared" si="11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19" s="74" t="str">
        <f t="shared" si="12"/>
        <v>"C:\Program Files (x86)\AstroGrep\AstroGrep.exe" /e /r /s /spath="%USERPROFILE%\AppData\Local\Temp\OnboardLogs" /stypes="app*4018*20171116*" /stext=" 12:.+((SYSTEM_STATE.+slice.+state.+changed )|(ment ac)|(multiple cpu faults)|(system.+state.+changed )|(\[timeout)|(PRM\|1\|D)|(kpr)|(kdp)|(train st.+moving)|(\|lc)|(penalty))"</v>
      </c>
      <c r="AG19" s="181" t="str">
        <f t="shared" si="13"/>
        <v>EC</v>
      </c>
      <c r="AH19" s="78" t="str">
        <f t="shared" si="19"/>
        <v>"%USERPROFILE%\Documents\GitHub\eaglep3\Utilities\RefineRTDCRunTimes.py" --tripid 107-16 --locoid 4018 --swversion DE.1.0.9.0 --startMP 204:498 --initTime 2017-11-16T04:23:40 --startdatetime 2017-11-16T04:30:15 --delay 61 --endMP 204:233293 --enddatetime 2017-11-16T05:04:51 --enforcementcount 0 &gt;&gt;%USERPROFILE%\Documents\GitHub\eaglep3-reporting\EC\2017-11-16-refined-times.txt</v>
      </c>
      <c r="AI19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{"issue":{"subject":"","project_id":79,"tracker_id":40,"status_id":1,"priority_id":2,"assigned_to_id":338,"start_date":"2017-11-16","description":"","custom_fields":[{"id":1,"name":"Subdivision","value":"EC"},{"id":4,"name":"Milepost","value":"23.3293"},{"id":17,"name":"Train ID","value":"107-16"},{"id":16,"name":"Locomotive ID","value":"4018"},{"id":130,"name":"Impact","value":""},{"id":150,"name":"Time of Event (Mountain Time)","value":"05:04:51"},{"id":151,"name":"Denver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1" t="str">
        <f t="shared" si="21"/>
        <v>start /low /b %USERPROFILE%\Documents\GitHub\eaglep3\Utilities\DownloadLogsFromS3.py --loco 4018 --day 2017-11-16</v>
      </c>
      <c r="AN19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7" t="str">
        <f t="shared" si="23"/>
        <v>https://d0f6bd738d7f1b3e5a7ca70fe4ff75f0.us-east-1.aws.found.io/app/kibana#/discover/Steve-Slow-Train-Analysis-(2080s-and-2083s)?_g=(refreshInterval:(display:Off,pause:!f,section:0,value:0),time:(from:'2017-11-16T03:23:40-0700',mode:absolute,to:'2017-11-16T06:04:51-0700'))&amp;_a=(columns:!('Message%20ID',Summary),filters:!(),index:'emp_*',interval:auto,query:(query_string:(analyze_wildcard:!t,query:'%22rtdc.l.rtdc.4018%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699</v>
      </c>
      <c r="B20" s="7">
        <v>4017</v>
      </c>
      <c r="C20" s="21" t="s">
        <v>192</v>
      </c>
      <c r="D20" s="21" t="s">
        <v>552</v>
      </c>
      <c r="E20" s="13">
        <v>43055.212881944448</v>
      </c>
      <c r="F20" s="13">
        <v>43055.227280092593</v>
      </c>
      <c r="G20" s="7">
        <v>46</v>
      </c>
      <c r="H20" s="21" t="s">
        <v>624</v>
      </c>
      <c r="I20" s="13">
        <v>43055.252581018518</v>
      </c>
      <c r="J20" s="7">
        <v>0</v>
      </c>
      <c r="K20" s="89" t="str">
        <f t="shared" si="0"/>
        <v>4017/4018</v>
      </c>
      <c r="L20" s="184" t="str">
        <f>VLOOKUP(A20,'Trips&amp;Operators'!$C$1:$G$99911,5,FALSE)</f>
        <v>GEBRETEKLE DAGNEW</v>
      </c>
      <c r="M20" s="6">
        <f t="shared" si="1"/>
        <v>2.5300925924966577E-2</v>
      </c>
      <c r="N20" s="7">
        <f t="shared" si="2"/>
        <v>36.433333331951872</v>
      </c>
      <c r="O20" s="7"/>
      <c r="P20" s="7"/>
      <c r="Q20" s="22"/>
      <c r="R20" s="173"/>
      <c r="S20" s="220">
        <f t="shared" si="3"/>
        <v>1</v>
      </c>
      <c r="T20" s="173" t="str">
        <f t="shared" si="4"/>
        <v>Southbound</v>
      </c>
      <c r="U20" s="19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5" t="str">
        <f t="shared" si="5"/>
        <v>https://d0f6bd738d7f1b3e5a7ca70fe4ff75f0.us-east-1.aws.found.io/app/kibana#/discover/Steve-Slow-Train-Analysis-(2080s-and-2083s)?_g=(refreshInterval:(display:Off,pause:!f,section:0,value:0),time:(from:'2017-11-16T04:06:33-0700',mode:absolute,to:'2017-11-16T07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203" t="str">
        <f>IF(AA20&lt;VLOOKUP(AG20,Variables!$AC$3:$AD$8,2,FALSE),"Y","N")</f>
        <v>N</v>
      </c>
      <c r="X20" s="203">
        <f t="shared" si="6"/>
        <v>1</v>
      </c>
      <c r="Y20" s="203">
        <f t="shared" si="7"/>
        <v>23.2974</v>
      </c>
      <c r="Z20" s="203">
        <f t="shared" si="8"/>
        <v>1.8700000000000001E-2</v>
      </c>
      <c r="AA20" s="203">
        <f t="shared" si="9"/>
        <v>23.278700000000001</v>
      </c>
      <c r="AB20" s="54" t="e">
        <f>VLOOKUP(A20,Enforcements!$C$7:$K$9,8,0)</f>
        <v>#N/A</v>
      </c>
      <c r="AC20" s="51" t="e">
        <f>VLOOKUP(A20,Enforcements!$C$7:$E$9,3,0)</f>
        <v>#N/A</v>
      </c>
      <c r="AD20" s="178">
        <f t="shared" si="10"/>
        <v>108</v>
      </c>
      <c r="AE20" s="77" t="str">
        <f t="shared" si="11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20" s="74" t="str">
        <f t="shared" si="12"/>
        <v>"C:\Program Files (x86)\AstroGrep\AstroGrep.exe" /e /r /s /spath="%USERPROFILE%\AppData\Local\Temp\OnboardLogs" /stypes="app*4017*20171116*" /stext=" 13:.+((SYSTEM_STATE.+slice.+state.+changed )|(ment ac)|(multiple cpu faults)|(system.+state.+changed )|(\[timeout)|(PRM\|1\|D)|(kpr)|(kdp)|(train st.+moving)|(\|lc)|(penalty))"</v>
      </c>
      <c r="AG20" s="181" t="str">
        <f t="shared" si="13"/>
        <v>EC</v>
      </c>
      <c r="AH20" s="78" t="str">
        <f t="shared" si="19"/>
        <v>"%USERPROFILE%\Documents\GitHub\eaglep3\Utilities\RefineRTDCRunTimes.py" --tripid 108-16 --locoid 4017 --swversion DE.1.0.9.0 --startMP 204:232974 --initTime 2017-11-16T05:06:33 --startdatetime 2017-11-16T05:27:17 --delay 46 --endMP 204:187 --enddatetime 2017-11-16T06:03:43 --enforcementcount 0 &gt;&gt;%USERPROFILE%\Documents\GitHub\eaglep3-reporting\EC\2017-11-16-refined-times.txt</v>
      </c>
      <c r="AI20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{"issue":{"subject":"","project_id":79,"tracker_id":40,"status_id":1,"priority_id":2,"assigned_to_id":338,"start_date":"2017-11-16","description":"","custom_fields":[{"id":1,"name":"Subdivision","value":"EC"},{"id":4,"name":"Milepost","value":"0.0187"},{"id":17,"name":"Train ID","value":"108-16"},{"id":16,"name":"Locomotive ID","value":"4017"},{"id":130,"name":"Impact","value":""},{"id":150,"name":"Time of Event (Mountain Time)","value":"06:03:43"},{"id":151,"name":"Denver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1" t="str">
        <f t="shared" si="21"/>
        <v>start /low /b %USERPROFILE%\Documents\GitHub\eaglep3\Utilities\DownloadLogsFromS3.py --loco 4017 --day 2017-11-16</v>
      </c>
      <c r="AN20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7" t="str">
        <f t="shared" si="23"/>
        <v>https://d0f6bd738d7f1b3e5a7ca70fe4ff75f0.us-east-1.aws.found.io/app/kibana#/discover/Steve-Slow-Train-Analysis-(2080s-and-2083s)?_g=(refreshInterval:(display:Off,pause:!f,section:0,value:0),time:(from:'2017-11-16T04:06:33-0700',mode:absolute,to:'2017-11-16T07:03:43-0700'))&amp;_a=(columns:!('Message%20ID',Summary),filters:!(),index:'emp_*',interval:auto,query:(query_string:(analyze_wildcard:!t,query:'%22rtdc.l.rtdc.4017%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691</v>
      </c>
      <c r="B21" s="7">
        <v>4052</v>
      </c>
      <c r="C21" s="21" t="s">
        <v>192</v>
      </c>
      <c r="D21" s="21" t="s">
        <v>901</v>
      </c>
      <c r="E21" s="13">
        <v>43055.194780092592</v>
      </c>
      <c r="F21" s="13">
        <v>43055.198125000003</v>
      </c>
      <c r="G21" s="7">
        <v>94</v>
      </c>
      <c r="H21" s="21" t="s">
        <v>557</v>
      </c>
      <c r="I21" s="13">
        <v>43055.224374999998</v>
      </c>
      <c r="J21" s="7">
        <v>0</v>
      </c>
      <c r="K21" s="89" t="str">
        <f t="shared" si="0"/>
        <v>4051/4052</v>
      </c>
      <c r="L21" s="184" t="str">
        <f>VLOOKUP(A21,'Trips&amp;Operators'!$C$1:$G$99911,5,FALSE)</f>
        <v>WILLIAMS DONTE</v>
      </c>
      <c r="M21" s="6">
        <f t="shared" si="1"/>
        <v>2.6249999995343387E-2</v>
      </c>
      <c r="N21" s="7">
        <f t="shared" si="2"/>
        <v>37.799999993294477</v>
      </c>
      <c r="O21" s="7"/>
      <c r="P21" s="7"/>
      <c r="Q21" s="22"/>
      <c r="R21" s="173"/>
      <c r="S21" s="220">
        <f t="shared" si="3"/>
        <v>1</v>
      </c>
      <c r="T21" s="173" t="str">
        <f t="shared" si="4"/>
        <v>NorthBound</v>
      </c>
      <c r="U21" s="19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5" t="str">
        <f t="shared" si="5"/>
        <v>https://d0f6bd738d7f1b3e5a7ca70fe4ff75f0.us-east-1.aws.found.io/app/kibana#/discover/Steve-Slow-Train-Analysis-(2080s-and-2083s)?_g=(refreshInterval:(display:Off,pause:!f,section:0,value:0),time:(from:'2017-11-16T03:40:29-0700',mode:absolute,to:'2017-11-16T06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" s="203" t="str">
        <f>IF(AA21&lt;VLOOKUP(AG21,Variables!$AC$3:$AD$8,2,FALSE),"Y","N")</f>
        <v>N</v>
      </c>
      <c r="X21" s="203">
        <f t="shared" si="6"/>
        <v>1</v>
      </c>
      <c r="Y21" s="203">
        <f t="shared" si="7"/>
        <v>0.05</v>
      </c>
      <c r="Z21" s="203">
        <f t="shared" si="8"/>
        <v>23.324000000000002</v>
      </c>
      <c r="AA21" s="203">
        <f t="shared" si="9"/>
        <v>23.274000000000001</v>
      </c>
      <c r="AB21" s="54" t="e">
        <f>VLOOKUP(A21,Enforcements!$C$7:$K$9,8,0)</f>
        <v>#N/A</v>
      </c>
      <c r="AC21" s="51" t="e">
        <f>VLOOKUP(A21,Enforcements!$C$7:$E$9,3,0)</f>
        <v>#N/A</v>
      </c>
      <c r="AD21" s="178">
        <f t="shared" si="10"/>
        <v>109</v>
      </c>
      <c r="AE21" s="77" t="str">
        <f t="shared" si="11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21" s="74" t="str">
        <f t="shared" si="12"/>
        <v>"C:\Program Files (x86)\AstroGrep\AstroGrep.exe" /e /r /s /spath="%USERPROFILE%\AppData\Local\Temp\OnboardLogs" /stypes="app*4052*20171116*" /stext=" 12:.+((SYSTEM_STATE.+slice.+state.+changed )|(ment ac)|(multiple cpu faults)|(system.+state.+changed )|(\[timeout)|(PRM\|1\|D)|(kpr)|(kdp)|(train st.+moving)|(\|lc)|(penalty))"</v>
      </c>
      <c r="AG21" s="181" t="str">
        <f t="shared" si="13"/>
        <v>EC</v>
      </c>
      <c r="AH21" s="78" t="str">
        <f t="shared" si="19"/>
        <v>"%USERPROFILE%\Documents\GitHub\eaglep3\Utilities\RefineRTDCRunTimes.py" --tripid 109-16 --locoid 4052 --swversion DE.1.0.9.0 --startMP 204:500 --initTime 2017-11-16T04:40:29 --startdatetime 2017-11-16T04:45:18 --delay 94 --endMP 204:233240 --enddatetime 2017-11-16T05:23:06 --enforcementcount 0 &gt;&gt;%USERPROFILE%\Documents\GitHub\eaglep3-reporting\EC\2017-11-16-refined-times.txt</v>
      </c>
      <c r="AI21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{"issue":{"subject":"","project_id":79,"tracker_id":40,"status_id":1,"priority_id":2,"assigned_to_id":338,"start_date":"2017-11-16","description":"","custom_fields":[{"id":1,"name":"Subdivision","value":"EC"},{"id":4,"name":"Milepost","value":"23.324"},{"id":17,"name":"Train ID","value":"109-16"},{"id":16,"name":"Locomotive ID","value":"4052"},{"id":130,"name":"Impact","value":""},{"id":150,"name":"Time of Event (Mountain Time)","value":"05:23:06"},{"id":151,"name":"Denver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1" t="str">
        <f t="shared" si="21"/>
        <v>start /low /b %USERPROFILE%\Documents\GitHub\eaglep3\Utilities\DownloadLogsFromS3.py --loco 4052 --day 2017-11-16</v>
      </c>
      <c r="AN21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7" t="str">
        <f t="shared" si="23"/>
        <v>https://d0f6bd738d7f1b3e5a7ca70fe4ff75f0.us-east-1.aws.found.io/app/kibana#/discover/Steve-Slow-Train-Analysis-(2080s-and-2083s)?_g=(refreshInterval:(display:Off,pause:!f,section:0,value:0),time:(from:'2017-11-16T03:40:29-0700',mode:absolute,to:'2017-11-16T06:23:06-0700'))&amp;_a=(columns:!('Message%20ID',Summary),filters:!(),index:'emp_*',interval:auto,query:(query_string:(analyze_wildcard:!t,query:'%22rtdc.l.rtdc.4052%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704</v>
      </c>
      <c r="B22" s="7">
        <v>4051</v>
      </c>
      <c r="C22" s="21" t="s">
        <v>192</v>
      </c>
      <c r="D22" s="21" t="s">
        <v>902</v>
      </c>
      <c r="E22" s="13">
        <v>43055.232835648145</v>
      </c>
      <c r="F22" s="13">
        <v>43055.237685185188</v>
      </c>
      <c r="G22" s="7">
        <v>106</v>
      </c>
      <c r="H22" s="21" t="s">
        <v>445</v>
      </c>
      <c r="I22" s="13">
        <v>43055.263993055552</v>
      </c>
      <c r="J22" s="7">
        <v>0</v>
      </c>
      <c r="K22" s="89" t="str">
        <f t="shared" si="0"/>
        <v>4051/4052</v>
      </c>
      <c r="L22" s="184" t="str">
        <f>VLOOKUP(A22,'Trips&amp;Operators'!$C$1:$G$99911,5,FALSE)</f>
        <v>WILLIAMS DONTE</v>
      </c>
      <c r="M22" s="6">
        <f t="shared" si="1"/>
        <v>2.6307870364689734E-2</v>
      </c>
      <c r="N22" s="7">
        <f t="shared" si="2"/>
        <v>37.883333325153217</v>
      </c>
      <c r="O22" s="7"/>
      <c r="P22" s="7"/>
      <c r="Q22" s="22"/>
      <c r="R22" s="173"/>
      <c r="S22" s="220">
        <f t="shared" si="3"/>
        <v>1</v>
      </c>
      <c r="T22" s="173" t="str">
        <f t="shared" si="4"/>
        <v>Southbound</v>
      </c>
      <c r="U22" s="19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5" t="str">
        <f t="shared" si="5"/>
        <v>https://d0f6bd738d7f1b3e5a7ca70fe4ff75f0.us-east-1.aws.found.io/app/kibana#/discover/Steve-Slow-Train-Analysis-(2080s-and-2083s)?_g=(refreshInterval:(display:Off,pause:!f,section:0,value:0),time:(from:'2017-11-16T04:35:17-0700',mode:absolute,to:'2017-11-16T07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" s="203" t="str">
        <f>IF(AA22&lt;VLOOKUP(AG22,Variables!$AC$3:$AD$8,2,FALSE),"Y","N")</f>
        <v>N</v>
      </c>
      <c r="X22" s="203">
        <f t="shared" si="6"/>
        <v>1</v>
      </c>
      <c r="Y22" s="203">
        <f t="shared" si="7"/>
        <v>23.292899999999999</v>
      </c>
      <c r="Z22" s="203">
        <f t="shared" si="8"/>
        <v>2.07E-2</v>
      </c>
      <c r="AA22" s="203">
        <f t="shared" si="9"/>
        <v>23.272199999999998</v>
      </c>
      <c r="AB22" s="54" t="e">
        <f>VLOOKUP(A22,Enforcements!$C$7:$K$9,8,0)</f>
        <v>#N/A</v>
      </c>
      <c r="AC22" s="51" t="e">
        <f>VLOOKUP(A22,Enforcements!$C$7:$E$9,3,0)</f>
        <v>#N/A</v>
      </c>
      <c r="AD22" s="178">
        <f t="shared" si="10"/>
        <v>110</v>
      </c>
      <c r="AE22" s="77" t="str">
        <f t="shared" si="11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22" s="74" t="str">
        <f t="shared" si="12"/>
        <v>"C:\Program Files (x86)\AstroGrep\AstroGrep.exe" /e /r /s /spath="%USERPROFILE%\AppData\Local\Temp\OnboardLogs" /stypes="app*4051*20171116*" /stext=" 13:.+((SYSTEM_STATE.+slice.+state.+changed )|(ment ac)|(multiple cpu faults)|(system.+state.+changed )|(\[timeout)|(PRM\|1\|D)|(kpr)|(kdp)|(train st.+moving)|(\|lc)|(penalty))"</v>
      </c>
      <c r="AG22" s="181" t="str">
        <f t="shared" si="13"/>
        <v>EC</v>
      </c>
      <c r="AH22" s="78" t="str">
        <f t="shared" si="19"/>
        <v>"%USERPROFILE%\Documents\GitHub\eaglep3\Utilities\RefineRTDCRunTimes.py" --tripid 110-16 --locoid 4051 --swversion DE.1.0.9.0 --startMP 204:232929 --initTime 2017-11-16T05:35:17 --startdatetime 2017-11-16T05:42:16 --delay 106 --endMP 204:207 --enddatetime 2017-11-16T06:20:09 --enforcementcount 0 &gt;&gt;%USERPROFILE%\Documents\GitHub\eaglep3-reporting\EC\2017-11-16-refined-times.txt</v>
      </c>
      <c r="AI22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{"issue":{"subject":"","project_id":79,"tracker_id":40,"status_id":1,"priority_id":2,"assigned_to_id":338,"start_date":"2017-11-16","description":"","custom_fields":[{"id":1,"name":"Subdivision","value":"EC"},{"id":4,"name":"Milepost","value":"0.0207"},{"id":17,"name":"Train ID","value":"110-16"},{"id":16,"name":"Locomotive ID","value":"4051"},{"id":130,"name":"Impact","value":""},{"id":150,"name":"Time of Event (Mountain Time)","value":"06:20:09"},{"id":151,"name":"Denver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1" t="str">
        <f t="shared" si="21"/>
        <v>start /low /b %USERPROFILE%\Documents\GitHub\eaglep3\Utilities\DownloadLogsFromS3.py --loco 4051 --day 2017-11-16</v>
      </c>
      <c r="AN22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7" t="str">
        <f t="shared" si="23"/>
        <v>https://d0f6bd738d7f1b3e5a7ca70fe4ff75f0.us-east-1.aws.found.io/app/kibana#/discover/Steve-Slow-Train-Analysis-(2080s-and-2083s)?_g=(refreshInterval:(display:Off,pause:!f,section:0,value:0),time:(from:'2017-11-16T04:35:17-0700',mode:absolute,to:'2017-11-16T07:20:09-0700'))&amp;_a=(columns:!('Message%20ID',Summary),filters:!(),index:'emp_*',interval:auto,query:(query_string:(analyze_wildcard:!t,query:'%22rtdc.l.rtdc.4051%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693</v>
      </c>
      <c r="B23" s="7">
        <v>4002</v>
      </c>
      <c r="C23" s="21" t="s">
        <v>192</v>
      </c>
      <c r="D23" s="21" t="s">
        <v>903</v>
      </c>
      <c r="E23" s="13">
        <v>43055.20113425926</v>
      </c>
      <c r="F23" s="13">
        <v>43055.208657407406</v>
      </c>
      <c r="G23" s="7">
        <v>43</v>
      </c>
      <c r="H23" s="21" t="s">
        <v>523</v>
      </c>
      <c r="I23" s="13">
        <v>43055.232847222222</v>
      </c>
      <c r="J23" s="7">
        <v>0</v>
      </c>
      <c r="K23" s="89" t="str">
        <f t="shared" si="0"/>
        <v>4001/4002</v>
      </c>
      <c r="L23" s="184" t="str">
        <f>VLOOKUP(A23,'Trips&amp;Operators'!$C$1:$G$99911,5,FALSE)</f>
        <v>YORK EDGAR</v>
      </c>
      <c r="M23" s="6">
        <f t="shared" si="1"/>
        <v>2.4189814816054422E-2</v>
      </c>
      <c r="N23" s="7">
        <f t="shared" si="2"/>
        <v>34.833333335118368</v>
      </c>
      <c r="O23" s="7"/>
      <c r="P23" s="7"/>
      <c r="Q23" s="22"/>
      <c r="R23" s="173"/>
      <c r="S23" s="220">
        <f t="shared" si="3"/>
        <v>1</v>
      </c>
      <c r="T23" s="173" t="str">
        <f t="shared" si="4"/>
        <v>NorthBound</v>
      </c>
      <c r="U23" s="19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5" t="str">
        <f t="shared" si="5"/>
        <v>https://d0f6bd738d7f1b3e5a7ca70fe4ff75f0.us-east-1.aws.found.io/app/kibana#/discover/Steve-Slow-Train-Analysis-(2080s-and-2083s)?_g=(refreshInterval:(display:Off,pause:!f,section:0,value:0),time:(from:'2017-11-16T03:49:38-0700',mode:absolute,to:'2017-11-16T06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203" t="str">
        <f>IF(AA23&lt;VLOOKUP(AG23,Variables!$AC$3:$AD$8,2,FALSE),"Y","N")</f>
        <v>N</v>
      </c>
      <c r="X23" s="203">
        <f t="shared" si="6"/>
        <v>1</v>
      </c>
      <c r="Y23" s="203">
        <f t="shared" si="7"/>
        <v>4.5499999999999999E-2</v>
      </c>
      <c r="Z23" s="203">
        <f t="shared" si="8"/>
        <v>23.3291</v>
      </c>
      <c r="AA23" s="203">
        <f t="shared" si="9"/>
        <v>23.2836</v>
      </c>
      <c r="AB23" s="54" t="e">
        <f>VLOOKUP(A23,Enforcements!$C$7:$K$9,8,0)</f>
        <v>#N/A</v>
      </c>
      <c r="AC23" s="51" t="e">
        <f>VLOOKUP(A23,Enforcements!$C$7:$E$9,3,0)</f>
        <v>#N/A</v>
      </c>
      <c r="AD23" s="178">
        <f t="shared" si="10"/>
        <v>111</v>
      </c>
      <c r="AE23" s="77" t="str">
        <f t="shared" si="11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23" s="74" t="str">
        <f t="shared" si="12"/>
        <v>"C:\Program Files (x86)\AstroGrep\AstroGrep.exe" /e /r /s /spath="%USERPROFILE%\AppData\Local\Temp\OnboardLogs" /stypes="app*4002*20171116*" /stext=" 12:.+((SYSTEM_STATE.+slice.+state.+changed )|(ment ac)|(multiple cpu faults)|(system.+state.+changed )|(\[timeout)|(PRM\|1\|D)|(kpr)|(kdp)|(train st.+moving)|(\|lc)|(penalty))"</v>
      </c>
      <c r="AG23" s="181" t="str">
        <f t="shared" si="13"/>
        <v>EC</v>
      </c>
      <c r="AH23" s="78" t="str">
        <f t="shared" si="19"/>
        <v>"%USERPROFILE%\Documents\GitHub\eaglep3\Utilities\RefineRTDCRunTimes.py" --tripid 111-16 --locoid 4002 --swversion DE.1.0.9.0 --startMP 204:455 --initTime 2017-11-16T04:49:38 --startdatetime 2017-11-16T05:00:28 --delay 43 --endMP 204:233291 --enddatetime 2017-11-16T05:35:18 --enforcementcount 0 &gt;&gt;%USERPROFILE%\Documents\GitHub\eaglep3-reporting\EC\2017-11-16-refined-times.txt</v>
      </c>
      <c r="AI23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{"issue":{"subject":"","project_id":79,"tracker_id":40,"status_id":1,"priority_id":2,"assigned_to_id":338,"start_date":"2017-11-16","description":"","custom_fields":[{"id":1,"name":"Subdivision","value":"EC"},{"id":4,"name":"Milepost","value":"23.3291"},{"id":17,"name":"Train ID","value":"111-16"},{"id":16,"name":"Locomotive ID","value":"4002"},{"id":130,"name":"Impact","value":""},{"id":150,"name":"Time of Event (Mountain Time)","value":"05:35:18"},{"id":151,"name":"Denver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1" t="str">
        <f t="shared" si="21"/>
        <v>start /low /b %USERPROFILE%\Documents\GitHub\eaglep3\Utilities\DownloadLogsFromS3.py --loco 4002 --day 2017-11-16</v>
      </c>
      <c r="AN23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7" t="str">
        <f t="shared" si="23"/>
        <v>https://d0f6bd738d7f1b3e5a7ca70fe4ff75f0.us-east-1.aws.found.io/app/kibana#/discover/Steve-Slow-Train-Analysis-(2080s-and-2083s)?_g=(refreshInterval:(display:Off,pause:!f,section:0,value:0),time:(from:'2017-11-16T03:49:38-0700',mode:absolute,to:'2017-11-16T06:35:18-0700'))&amp;_a=(columns:!('Message%20ID',Summary),filters:!(),index:'emp_*',interval:auto,query:(query_string:(analyze_wildcard:!t,query:'%22rtdc.l.rtdc.4002%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705</v>
      </c>
      <c r="B24" s="7">
        <v>4001</v>
      </c>
      <c r="C24" s="21" t="s">
        <v>192</v>
      </c>
      <c r="D24" s="21" t="s">
        <v>552</v>
      </c>
      <c r="E24" s="13">
        <v>43055.233923611115</v>
      </c>
      <c r="F24" s="13">
        <v>43055.248333333337</v>
      </c>
      <c r="G24" s="7">
        <v>95</v>
      </c>
      <c r="H24" s="21" t="s">
        <v>895</v>
      </c>
      <c r="I24" s="13">
        <v>43055.274027777778</v>
      </c>
      <c r="J24" s="7">
        <v>0</v>
      </c>
      <c r="K24" s="89" t="str">
        <f t="shared" si="0"/>
        <v>4001/4002</v>
      </c>
      <c r="L24" s="184" t="str">
        <f>VLOOKUP(A24,'Trips&amp;Operators'!$C$1:$G$99911,5,FALSE)</f>
        <v>YORK EDGAR</v>
      </c>
      <c r="M24" s="6">
        <f t="shared" si="1"/>
        <v>2.569444444088731E-2</v>
      </c>
      <c r="N24" s="7">
        <f t="shared" si="2"/>
        <v>36.999999994877726</v>
      </c>
      <c r="O24" s="7"/>
      <c r="P24" s="7"/>
      <c r="Q24" s="22"/>
      <c r="R24" s="173"/>
      <c r="S24" s="220">
        <f t="shared" si="3"/>
        <v>1</v>
      </c>
      <c r="T24" s="173" t="str">
        <f t="shared" si="4"/>
        <v>Southbound</v>
      </c>
      <c r="U24" s="19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5" t="str">
        <f t="shared" si="5"/>
        <v>https://d0f6bd738d7f1b3e5a7ca70fe4ff75f0.us-east-1.aws.found.io/app/kibana#/discover/Steve-Slow-Train-Analysis-(2080s-and-2083s)?_g=(refreshInterval:(display:Off,pause:!f,section:0,value:0),time:(from:'2017-11-16T04:36:51-0700',mode:absolute,to:'2017-11-16T07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203" t="str">
        <f>IF(AA24&lt;VLOOKUP(AG24,Variables!$AC$3:$AD$8,2,FALSE),"Y","N")</f>
        <v>N</v>
      </c>
      <c r="X24" s="203">
        <f t="shared" si="6"/>
        <v>1</v>
      </c>
      <c r="Y24" s="203">
        <f t="shared" si="7"/>
        <v>23.2974</v>
      </c>
      <c r="Z24" s="203">
        <f t="shared" si="8"/>
        <v>1.5599999999999999E-2</v>
      </c>
      <c r="AA24" s="203">
        <f t="shared" si="9"/>
        <v>23.2818</v>
      </c>
      <c r="AB24" s="54" t="e">
        <f>VLOOKUP(A24,Enforcements!$C$7:$K$9,8,0)</f>
        <v>#N/A</v>
      </c>
      <c r="AC24" s="51" t="e">
        <f>VLOOKUP(A24,Enforcements!$C$7:$E$9,3,0)</f>
        <v>#N/A</v>
      </c>
      <c r="AD24" s="178">
        <f t="shared" si="10"/>
        <v>112</v>
      </c>
      <c r="AE24" s="77" t="str">
        <f t="shared" si="11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24" s="74" t="str">
        <f t="shared" si="12"/>
        <v>"C:\Program Files (x86)\AstroGrep\AstroGrep.exe" /e /r /s /spath="%USERPROFILE%\AppData\Local\Temp\OnboardLogs" /stypes="app*4001*20171116*" /stext=" 13:.+((SYSTEM_STATE.+slice.+state.+changed )|(ment ac)|(multiple cpu faults)|(system.+state.+changed )|(\[timeout)|(PRM\|1\|D)|(kpr)|(kdp)|(train st.+moving)|(\|lc)|(penalty))"</v>
      </c>
      <c r="AG24" s="181" t="str">
        <f t="shared" si="13"/>
        <v>EC</v>
      </c>
      <c r="AH24" s="78" t="str">
        <f t="shared" si="19"/>
        <v>"%USERPROFILE%\Documents\GitHub\eaglep3\Utilities\RefineRTDCRunTimes.py" --tripid 112-16 --locoid 4001 --swversion DE.1.0.9.0 --startMP 204:232974 --initTime 2017-11-16T05:36:51 --startdatetime 2017-11-16T05:57:36 --delay 95 --endMP 204:156 --enddatetime 2017-11-16T06:34:36 --enforcementcount 0 &gt;&gt;%USERPROFILE%\Documents\GitHub\eaglep3-reporting\EC\2017-11-16-refined-times.txt</v>
      </c>
      <c r="AI24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{"issue":{"subject":"","project_id":79,"tracker_id":40,"status_id":1,"priority_id":2,"assigned_to_id":338,"start_date":"2017-11-16","description":"","custom_fields":[{"id":1,"name":"Subdivision","value":"EC"},{"id":4,"name":"Milepost","value":"0.0156"},{"id":17,"name":"Train ID","value":"112-16"},{"id":16,"name":"Locomotive ID","value":"4001"},{"id":130,"name":"Impact","value":""},{"id":150,"name":"Time of Event (Mountain Time)","value":"06:34:36"},{"id":151,"name":"Denver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1" t="str">
        <f t="shared" si="21"/>
        <v>start /low /b %USERPROFILE%\Documents\GitHub\eaglep3\Utilities\DownloadLogsFromS3.py --loco 4001 --day 2017-11-16</v>
      </c>
      <c r="AN24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7" t="str">
        <f t="shared" si="23"/>
        <v>https://d0f6bd738d7f1b3e5a7ca70fe4ff75f0.us-east-1.aws.found.io/app/kibana#/discover/Steve-Slow-Train-Analysis-(2080s-and-2083s)?_g=(refreshInterval:(display:Off,pause:!f,section:0,value:0),time:(from:'2017-11-16T04:36:51-0700',mode:absolute,to:'2017-11-16T07:34:36-0700'))&amp;_a=(columns:!('Message%20ID',Summary),filters:!(),index:'emp_*',interval:auto,query:(query_string:(analyze_wildcard:!t,query:'%22rtdc.l.rtdc.4001%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697</v>
      </c>
      <c r="B25" s="7">
        <v>4062</v>
      </c>
      <c r="C25" s="21" t="s">
        <v>192</v>
      </c>
      <c r="D25" s="21" t="s">
        <v>558</v>
      </c>
      <c r="E25" s="13">
        <v>43055.205347222225</v>
      </c>
      <c r="F25" s="13">
        <v>43055.218923611108</v>
      </c>
      <c r="G25" s="7">
        <v>76</v>
      </c>
      <c r="H25" s="21" t="s">
        <v>904</v>
      </c>
      <c r="I25" s="13">
        <v>43055.244108796294</v>
      </c>
      <c r="J25" s="7">
        <v>0</v>
      </c>
      <c r="K25" s="89" t="str">
        <f t="shared" si="0"/>
        <v>4061/4062</v>
      </c>
      <c r="L25" s="184" t="str">
        <f>VLOOKUP(A25,'Trips&amp;Operators'!$C$1:$G$99911,5,FALSE)</f>
        <v>YANAI IAN</v>
      </c>
      <c r="M25" s="6">
        <f t="shared" si="1"/>
        <v>2.5185185186273884E-2</v>
      </c>
      <c r="N25" s="7">
        <f t="shared" si="2"/>
        <v>36.266666668234393</v>
      </c>
      <c r="O25" s="7"/>
      <c r="P25" s="7"/>
      <c r="Q25" s="22"/>
      <c r="R25" s="173"/>
      <c r="S25" s="220">
        <f t="shared" si="3"/>
        <v>1</v>
      </c>
      <c r="T25" s="173" t="str">
        <f t="shared" si="4"/>
        <v>NorthBound</v>
      </c>
      <c r="U25" s="19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5" t="str">
        <f t="shared" si="5"/>
        <v>https://d0f6bd738d7f1b3e5a7ca70fe4ff75f0.us-east-1.aws.found.io/app/kibana#/discover/Steve-Slow-Train-Analysis-(2080s-and-2083s)?_g=(refreshInterval:(display:Off,pause:!f,section:0,value:0),time:(from:'2017-11-16T03:55:42-0700',mode:absolute,to:'2017-11-16T06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5" s="203" t="str">
        <f>IF(AA25&lt;VLOOKUP(AG25,Variables!$AC$3:$AD$8,2,FALSE),"Y","N")</f>
        <v>N</v>
      </c>
      <c r="X25" s="203">
        <f t="shared" si="6"/>
        <v>1</v>
      </c>
      <c r="Y25" s="203">
        <f t="shared" si="7"/>
        <v>4.8599999999999997E-2</v>
      </c>
      <c r="Z25" s="203">
        <f t="shared" si="8"/>
        <v>23.3309</v>
      </c>
      <c r="AA25" s="203">
        <f t="shared" si="9"/>
        <v>23.282299999999999</v>
      </c>
      <c r="AB25" s="54" t="e">
        <f>VLOOKUP(A25,Enforcements!$C$7:$K$9,8,0)</f>
        <v>#N/A</v>
      </c>
      <c r="AC25" s="51" t="e">
        <f>VLOOKUP(A25,Enforcements!$C$7:$E$9,3,0)</f>
        <v>#N/A</v>
      </c>
      <c r="AD25" s="178">
        <f t="shared" si="10"/>
        <v>113</v>
      </c>
      <c r="AE25" s="77" t="str">
        <f t="shared" si="11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25" s="74" t="str">
        <f t="shared" si="12"/>
        <v>"C:\Program Files (x86)\AstroGrep\AstroGrep.exe" /e /r /s /spath="%USERPROFILE%\AppData\Local\Temp\OnboardLogs" /stypes="app*4062*20171116*" /stext=" 12:.+((SYSTEM_STATE.+slice.+state.+changed )|(ment ac)|(multiple cpu faults)|(system.+state.+changed )|(\[timeout)|(PRM\|1\|D)|(kpr)|(kdp)|(train st.+moving)|(\|lc)|(penalty))"</v>
      </c>
      <c r="AG25" s="181" t="str">
        <f t="shared" si="13"/>
        <v>EC</v>
      </c>
      <c r="AH25" s="78" t="str">
        <f t="shared" si="19"/>
        <v>"%USERPROFILE%\Documents\GitHub\eaglep3\Utilities\RefineRTDCRunTimes.py" --tripid 113-16 --locoid 4062 --swversion DE.1.0.9.0 --startMP 204:486 --initTime 2017-11-16T04:55:42 --startdatetime 2017-11-16T05:15:15 --delay 76 --endMP 204:233309 --enddatetime 2017-11-16T05:51:31 --enforcementcount 0 &gt;&gt;%USERPROFILE%\Documents\GitHub\eaglep3-reporting\EC\2017-11-16-refined-times.txt</v>
      </c>
      <c r="AI2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{"issue":{"subject":"","project_id":79,"tracker_id":40,"status_id":1,"priority_id":2,"assigned_to_id":338,"start_date":"2017-11-16","description":"","custom_fields":[{"id":1,"name":"Subdivision","value":"EC"},{"id":4,"name":"Milepost","value":"23.3309"},{"id":17,"name":"Train ID","value":"113-16"},{"id":16,"name":"Locomotive ID","value":"4062"},{"id":130,"name":"Impact","value":""},{"id":150,"name":"Time of Event (Mountain Time)","value":"05:51:31"},{"id":151,"name":"Denver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1" t="str">
        <f t="shared" si="21"/>
        <v>start /low /b %USERPROFILE%\Documents\GitHub\eaglep3\Utilities\DownloadLogsFromS3.py --loco 4062 --day 2017-11-16</v>
      </c>
      <c r="AN2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7" t="str">
        <f t="shared" si="23"/>
        <v>https://d0f6bd738d7f1b3e5a7ca70fe4ff75f0.us-east-1.aws.found.io/app/kibana#/discover/Steve-Slow-Train-Analysis-(2080s-and-2083s)?_g=(refreshInterval:(display:Off,pause:!f,section:0,value:0),time:(from:'2017-11-16T03:55:42-0700',mode:absolute,to:'2017-11-16T06:51:31-0700'))&amp;_a=(columns:!('Message%20ID',Summary),filters:!(),index:'emp_*',interval:auto,query:(query_string:(analyze_wildcard:!t,query:'%22rtdc.l.rtdc.4062%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707</v>
      </c>
      <c r="B26" s="7">
        <v>4061</v>
      </c>
      <c r="C26" s="21" t="s">
        <v>192</v>
      </c>
      <c r="D26" s="21" t="s">
        <v>603</v>
      </c>
      <c r="E26" s="13">
        <v>43055.245567129627</v>
      </c>
      <c r="F26" s="13">
        <v>43055.258518518516</v>
      </c>
      <c r="G26" s="7">
        <v>63</v>
      </c>
      <c r="H26" s="21" t="s">
        <v>536</v>
      </c>
      <c r="I26" s="13">
        <v>43055.28396990741</v>
      </c>
      <c r="J26" s="7">
        <v>0</v>
      </c>
      <c r="K26" s="89" t="str">
        <f t="shared" si="0"/>
        <v>4061/4062</v>
      </c>
      <c r="L26" s="184" t="str">
        <f>VLOOKUP(A26,'Trips&amp;Operators'!$C$1:$G$99911,5,FALSE)</f>
        <v>YANAI IAN</v>
      </c>
      <c r="M26" s="6">
        <f t="shared" si="1"/>
        <v>2.5451388893998228E-2</v>
      </c>
      <c r="N26" s="7">
        <f t="shared" si="2"/>
        <v>36.650000007357448</v>
      </c>
      <c r="O26" s="7"/>
      <c r="P26" s="7"/>
      <c r="Q26" s="22"/>
      <c r="R26" s="173"/>
      <c r="S26" s="220">
        <f t="shared" si="3"/>
        <v>1</v>
      </c>
      <c r="T26" s="173" t="str">
        <f t="shared" si="4"/>
        <v>Southbound</v>
      </c>
      <c r="U26" s="19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5" t="str">
        <f t="shared" si="5"/>
        <v>https://d0f6bd738d7f1b3e5a7ca70fe4ff75f0.us-east-1.aws.found.io/app/kibana#/discover/Steve-Slow-Train-Analysis-(2080s-and-2083s)?_g=(refreshInterval:(display:Off,pause:!f,section:0,value:0),time:(from:'2017-11-16T04:53:37-0700',mode:absolute,to:'2017-11-16T07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6" s="203" t="str">
        <f>IF(AA26&lt;VLOOKUP(AG26,Variables!$AC$3:$AD$8,2,FALSE),"Y","N")</f>
        <v>N</v>
      </c>
      <c r="X26" s="203">
        <f t="shared" si="6"/>
        <v>1</v>
      </c>
      <c r="Y26" s="203">
        <f t="shared" si="7"/>
        <v>23.297699999999999</v>
      </c>
      <c r="Z26" s="203">
        <f t="shared" si="8"/>
        <v>2.12E-2</v>
      </c>
      <c r="AA26" s="203">
        <f t="shared" si="9"/>
        <v>23.276499999999999</v>
      </c>
      <c r="AB26" s="54" t="e">
        <f>VLOOKUP(A26,Enforcements!$C$7:$K$9,8,0)</f>
        <v>#N/A</v>
      </c>
      <c r="AC26" s="51" t="e">
        <f>VLOOKUP(A26,Enforcements!$C$7:$E$9,3,0)</f>
        <v>#N/A</v>
      </c>
      <c r="AD26" s="178">
        <f t="shared" si="10"/>
        <v>114</v>
      </c>
      <c r="AE26" s="77" t="str">
        <f t="shared" si="11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26" s="74" t="str">
        <f t="shared" si="12"/>
        <v>"C:\Program Files (x86)\AstroGrep\AstroGrep.exe" /e /r /s /spath="%USERPROFILE%\AppData\Local\Temp\OnboardLogs" /stypes="app*4061*20171116*" /stext=" 13:.+((SYSTEM_STATE.+slice.+state.+changed )|(ment ac)|(multiple cpu faults)|(system.+state.+changed )|(\[timeout)|(PRM\|1\|D)|(kpr)|(kdp)|(train st.+moving)|(\|lc)|(penalty))"</v>
      </c>
      <c r="AG26" s="181" t="str">
        <f t="shared" si="13"/>
        <v>EC</v>
      </c>
      <c r="AH26" s="78" t="str">
        <f t="shared" si="19"/>
        <v>"%USERPROFILE%\Documents\GitHub\eaglep3\Utilities\RefineRTDCRunTimes.py" --tripid 114-16 --locoid 4061 --swversion DE.1.0.9.0 --startMP 204:232977 --initTime 2017-11-16T05:53:37 --startdatetime 2017-11-16T06:12:16 --delay 63 --endMP 204:212 --enddatetime 2017-11-16T06:48:55 --enforcementcount 0 &gt;&gt;%USERPROFILE%\Documents\GitHub\eaglep3-reporting\EC\2017-11-16-refined-times.txt</v>
      </c>
      <c r="AI2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{"issue":{"subject":"","project_id":79,"tracker_id":40,"status_id":1,"priority_id":2,"assigned_to_id":338,"start_date":"2017-11-16","description":"","custom_fields":[{"id":1,"name":"Subdivision","value":"EC"},{"id":4,"name":"Milepost","value":"0.0212"},{"id":17,"name":"Train ID","value":"114-16"},{"id":16,"name":"Locomotive ID","value":"4061"},{"id":130,"name":"Impact","value":""},{"id":150,"name":"Time of Event (Mountain Time)","value":"06:48:55"},{"id":151,"name":"Denver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1" t="str">
        <f t="shared" si="21"/>
        <v>start /low /b %USERPROFILE%\Documents\GitHub\eaglep3\Utilities\DownloadLogsFromS3.py --loco 4061 --day 2017-11-16</v>
      </c>
      <c r="AN2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7" t="str">
        <f t="shared" si="23"/>
        <v>https://d0f6bd738d7f1b3e5a7ca70fe4ff75f0.us-east-1.aws.found.io/app/kibana#/discover/Steve-Slow-Train-Analysis-(2080s-and-2083s)?_g=(refreshInterval:(display:Off,pause:!f,section:0,value:0),time:(from:'2017-11-16T04:53:37-0700',mode:absolute,to:'2017-11-16T07:48:55-0700'))&amp;_a=(columns:!('Message%20ID',Summary),filters:!(),index:'emp_*',interval:auto,query:(query_string:(analyze_wildcard:!t,query:'%22rtdc.l.rtdc.4061%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701</v>
      </c>
      <c r="B27" s="7">
        <v>4008</v>
      </c>
      <c r="C27" s="21" t="s">
        <v>192</v>
      </c>
      <c r="D27" s="21" t="s">
        <v>633</v>
      </c>
      <c r="E27" s="13">
        <v>43055.226064814815</v>
      </c>
      <c r="F27" s="13">
        <v>43055.229363425926</v>
      </c>
      <c r="G27" s="7">
        <v>45</v>
      </c>
      <c r="H27" s="21" t="s">
        <v>897</v>
      </c>
      <c r="I27" s="13">
        <v>43055.254270833335</v>
      </c>
      <c r="J27" s="7">
        <v>0</v>
      </c>
      <c r="K27" s="89" t="str">
        <f t="shared" si="0"/>
        <v>4007/4008</v>
      </c>
      <c r="L27" s="184" t="str">
        <f>VLOOKUP(A27,'Trips&amp;Operators'!$C$1:$G$99911,5,FALSE)</f>
        <v>MAELZER KURT</v>
      </c>
      <c r="M27" s="6">
        <f t="shared" si="1"/>
        <v>2.4907407409045845E-2</v>
      </c>
      <c r="N27" s="7">
        <f t="shared" si="2"/>
        <v>35.866666669026017</v>
      </c>
      <c r="O27" s="7"/>
      <c r="P27" s="7"/>
      <c r="Q27" s="22"/>
      <c r="R27" s="173"/>
      <c r="S27" s="220">
        <f t="shared" si="3"/>
        <v>1</v>
      </c>
      <c r="T27" s="173" t="str">
        <f t="shared" si="4"/>
        <v>NorthBound</v>
      </c>
      <c r="U27" s="19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5" t="str">
        <f t="shared" si="5"/>
        <v>https://d0f6bd738d7f1b3e5a7ca70fe4ff75f0.us-east-1.aws.found.io/app/kibana#/discover/Steve-Slow-Train-Analysis-(2080s-and-2083s)?_g=(refreshInterval:(display:Off,pause:!f,section:0,value:0),time:(from:'2017-11-16T04:25:32-0700',mode:absolute,to:'2017-11-16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203" t="str">
        <f>IF(AA27&lt;VLOOKUP(AG27,Variables!$AC$3:$AD$8,2,FALSE),"Y","N")</f>
        <v>N</v>
      </c>
      <c r="X27" s="203">
        <f t="shared" si="6"/>
        <v>1</v>
      </c>
      <c r="Y27" s="203">
        <f t="shared" si="7"/>
        <v>5.0799999999999998E-2</v>
      </c>
      <c r="Z27" s="203">
        <f t="shared" si="8"/>
        <v>23.331199999999999</v>
      </c>
      <c r="AA27" s="203">
        <f t="shared" si="9"/>
        <v>23.2804</v>
      </c>
      <c r="AB27" s="54" t="e">
        <f>VLOOKUP(A27,Enforcements!$C$7:$K$9,8,0)</f>
        <v>#N/A</v>
      </c>
      <c r="AC27" s="51" t="e">
        <f>VLOOKUP(A27,Enforcements!$C$7:$E$9,3,0)</f>
        <v>#N/A</v>
      </c>
      <c r="AD27" s="178">
        <f t="shared" si="10"/>
        <v>115</v>
      </c>
      <c r="AE27" s="77" t="str">
        <f t="shared" si="11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27" s="74" t="str">
        <f t="shared" si="12"/>
        <v>"C:\Program Files (x86)\AstroGrep\AstroGrep.exe" /e /r /s /spath="%USERPROFILE%\AppData\Local\Temp\OnboardLogs" /stypes="app*4008*20171116*" /stext=" 13:.+((SYSTEM_STATE.+slice.+state.+changed )|(ment ac)|(multiple cpu faults)|(system.+state.+changed )|(\[timeout)|(PRM\|1\|D)|(kpr)|(kdp)|(train st.+moving)|(\|lc)|(penalty))"</v>
      </c>
      <c r="AG27" s="181" t="str">
        <f t="shared" si="13"/>
        <v>EC</v>
      </c>
      <c r="AH27" s="78" t="str">
        <f t="shared" si="19"/>
        <v>"%USERPROFILE%\Documents\GitHub\eaglep3\Utilities\RefineRTDCRunTimes.py" --tripid 115-16 --locoid 4008 --swversion DE.1.0.9.0 --startMP 204:508 --initTime 2017-11-16T05:25:32 --startdatetime 2017-11-16T05:30:17 --delay 45 --endMP 204:233312 --enddatetime 2017-11-16T06:06:09 --enforcementcount 0 &gt;&gt;%USERPROFILE%\Documents\GitHub\eaglep3-reporting\EC\2017-11-16-refined-times.txt</v>
      </c>
      <c r="AI27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{"issue":{"subject":"","project_id":79,"tracker_id":40,"status_id":1,"priority_id":2,"assigned_to_id":338,"start_date":"2017-11-16","description":"","custom_fields":[{"id":1,"name":"Subdivision","value":"EC"},{"id":4,"name":"Milepost","value":"23.3312"},{"id":17,"name":"Train ID","value":"115-16"},{"id":16,"name":"Locomotive ID","value":"4008"},{"id":130,"name":"Impact","value":""},{"id":150,"name":"Time of Event (Mountain Time)","value":"06:06:09"},{"id":151,"name":"Denver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1" t="str">
        <f t="shared" si="21"/>
        <v>start /low /b %USERPROFILE%\Documents\GitHub\eaglep3\Utilities\DownloadLogsFromS3.py --loco 4008 --day 2017-11-16</v>
      </c>
      <c r="AN27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7" t="str">
        <f t="shared" si="23"/>
        <v>https://d0f6bd738d7f1b3e5a7ca70fe4ff75f0.us-east-1.aws.found.io/app/kibana#/discover/Steve-Slow-Train-Analysis-(2080s-and-2083s)?_g=(refreshInterval:(display:Off,pause:!f,section:0,value:0),time:(from:'2017-11-16T04:25:32-0700',mode:absolute,to:'2017-11-16T07:06:09-0700'))&amp;_a=(columns:!('Message%20ID',Summary),filters:!(),index:'emp_*',interval:auto,query:(query_string:(analyze_wildcard:!t,query:'%22rtdc.l.rtdc.4008%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712</v>
      </c>
      <c r="B28" s="7">
        <v>4007</v>
      </c>
      <c r="C28" s="21" t="s">
        <v>192</v>
      </c>
      <c r="D28" s="21" t="s">
        <v>617</v>
      </c>
      <c r="E28" s="13">
        <v>43055.261874999997</v>
      </c>
      <c r="F28" s="13">
        <v>43055.268969907411</v>
      </c>
      <c r="G28" s="7">
        <v>44</v>
      </c>
      <c r="H28" s="21" t="s">
        <v>530</v>
      </c>
      <c r="I28" s="13">
        <v>43055.295578703706</v>
      </c>
      <c r="J28" s="7">
        <v>0</v>
      </c>
      <c r="K28" s="89" t="str">
        <f t="shared" si="0"/>
        <v>4007/4008</v>
      </c>
      <c r="L28" s="184" t="str">
        <f>VLOOKUP(A28,'Trips&amp;Operators'!$C$1:$G$99911,5,FALSE)</f>
        <v>MAELZER KURT</v>
      </c>
      <c r="M28" s="6">
        <f t="shared" si="1"/>
        <v>2.6608796295477077E-2</v>
      </c>
      <c r="N28" s="7">
        <f t="shared" si="2"/>
        <v>38.316666665486991</v>
      </c>
      <c r="O28" s="7"/>
      <c r="P28" s="7"/>
      <c r="Q28" s="22"/>
      <c r="R28" s="173"/>
      <c r="S28" s="220">
        <f t="shared" si="3"/>
        <v>1</v>
      </c>
      <c r="T28" s="173" t="str">
        <f t="shared" si="4"/>
        <v>Southbound</v>
      </c>
      <c r="U28" s="19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5" t="str">
        <f t="shared" si="5"/>
        <v>https://d0f6bd738d7f1b3e5a7ca70fe4ff75f0.us-east-1.aws.found.io/app/kibana#/discover/Steve-Slow-Train-Analysis-(2080s-and-2083s)?_g=(refreshInterval:(display:Off,pause:!f,section:0,value:0),time:(from:'2017-11-16T05:17:06-0700',mode:absolute,to:'2017-11-16T08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203" t="str">
        <f>IF(AA28&lt;VLOOKUP(AG28,Variables!$AC$3:$AD$8,2,FALSE),"Y","N")</f>
        <v>N</v>
      </c>
      <c r="X28" s="203">
        <f t="shared" si="6"/>
        <v>1</v>
      </c>
      <c r="Y28" s="203">
        <f t="shared" si="7"/>
        <v>23.2989</v>
      </c>
      <c r="Z28" s="203">
        <f t="shared" si="8"/>
        <v>1.9599999999999999E-2</v>
      </c>
      <c r="AA28" s="203">
        <f t="shared" si="9"/>
        <v>23.279299999999999</v>
      </c>
      <c r="AB28" s="54" t="e">
        <f>VLOOKUP(A28,Enforcements!$C$7:$K$9,8,0)</f>
        <v>#N/A</v>
      </c>
      <c r="AC28" s="51" t="e">
        <f>VLOOKUP(A28,Enforcements!$C$7:$E$9,3,0)</f>
        <v>#N/A</v>
      </c>
      <c r="AD28" s="178">
        <f t="shared" si="10"/>
        <v>116</v>
      </c>
      <c r="AE28" s="77" t="str">
        <f t="shared" si="11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28" s="74" t="str">
        <f t="shared" si="12"/>
        <v>"C:\Program Files (x86)\AstroGrep\AstroGrep.exe" /e /r /s /spath="%USERPROFILE%\AppData\Local\Temp\OnboardLogs" /stypes="app*4007*20171116*" /stext=" 14:.+((SYSTEM_STATE.+slice.+state.+changed )|(ment ac)|(multiple cpu faults)|(system.+state.+changed )|(\[timeout)|(PRM\|1\|D)|(kpr)|(kdp)|(train st.+moving)|(\|lc)|(penalty))"</v>
      </c>
      <c r="AG28" s="181" t="str">
        <f t="shared" si="13"/>
        <v>EC</v>
      </c>
      <c r="AH28" s="78" t="str">
        <f t="shared" si="19"/>
        <v>"%USERPROFILE%\Documents\GitHub\eaglep3\Utilities\RefineRTDCRunTimes.py" --tripid 116-16 --locoid 4007 --swversion DE.1.0.9.0 --startMP 204:232989 --initTime 2017-11-16T06:17:06 --startdatetime 2017-11-16T06:27:19 --delay 44 --endMP 204:196 --enddatetime 2017-11-16T07:05:38 --enforcementcount 0 &gt;&gt;%USERPROFILE%\Documents\GitHub\eaglep3-reporting\EC\2017-11-16-refined-times.txt</v>
      </c>
      <c r="AI28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{"issue":{"subject":"","project_id":79,"tracker_id":40,"status_id":1,"priority_id":2,"assigned_to_id":338,"start_date":"2017-11-16","description":"","custom_fields":[{"id":1,"name":"Subdivision","value":"EC"},{"id":4,"name":"Milepost","value":"0.0196"},{"id":17,"name":"Train ID","value":"116-16"},{"id":16,"name":"Locomotive ID","value":"4007"},{"id":130,"name":"Impact","value":""},{"id":150,"name":"Time of Event (Mountain Time)","value":"07:05:38"},{"id":151,"name":"Denver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1" t="str">
        <f t="shared" si="21"/>
        <v>start /low /b %USERPROFILE%\Documents\GitHub\eaglep3\Utilities\DownloadLogsFromS3.py --loco 4007 --day 2017-11-16</v>
      </c>
      <c r="AN28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7" t="str">
        <f t="shared" si="23"/>
        <v>https://d0f6bd738d7f1b3e5a7ca70fe4ff75f0.us-east-1.aws.found.io/app/kibana#/discover/Steve-Slow-Train-Analysis-(2080s-and-2083s)?_g=(refreshInterval:(display:Off,pause:!f,section:0,value:0),time:(from:'2017-11-16T05:17:06-0700',mode:absolute,to:'2017-11-16T08:05:38-0700'))&amp;_a=(columns:!('Message%20ID',Summary),filters:!(),index:'emp_*',interval:auto,query:(query_string:(analyze_wildcard:!t,query:'%22rtdc.l.rtdc.4007%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702</v>
      </c>
      <c r="B29" s="7">
        <v>4016</v>
      </c>
      <c r="C29" s="21" t="s">
        <v>192</v>
      </c>
      <c r="D29" s="21" t="s">
        <v>531</v>
      </c>
      <c r="E29" s="13">
        <v>43055.230127314811</v>
      </c>
      <c r="F29" s="13">
        <v>43055.239803240744</v>
      </c>
      <c r="G29" s="7">
        <v>71</v>
      </c>
      <c r="H29" s="21" t="s">
        <v>523</v>
      </c>
      <c r="I29" s="13">
        <v>43055.2656712963</v>
      </c>
      <c r="J29" s="7">
        <v>0</v>
      </c>
      <c r="K29" s="89" t="str">
        <f t="shared" si="0"/>
        <v>4015/4016</v>
      </c>
      <c r="L29" s="184" t="str">
        <f>VLOOKUP(A29,'Trips&amp;Operators'!$C$1:$G$99911,5,FALSE)</f>
        <v>DAVIDSON DAVID</v>
      </c>
      <c r="M29" s="6">
        <f t="shared" si="1"/>
        <v>2.5868055556202307E-2</v>
      </c>
      <c r="N29" s="7">
        <f t="shared" si="2"/>
        <v>37.250000000931323</v>
      </c>
      <c r="O29" s="7"/>
      <c r="P29" s="7"/>
      <c r="Q29" s="22"/>
      <c r="R29" s="173"/>
      <c r="S29" s="220">
        <f t="shared" si="3"/>
        <v>1</v>
      </c>
      <c r="T29" s="173" t="str">
        <f t="shared" si="4"/>
        <v>NorthBound</v>
      </c>
      <c r="U29" s="19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5" t="str">
        <f t="shared" si="5"/>
        <v>https://d0f6bd738d7f1b3e5a7ca70fe4ff75f0.us-east-1.aws.found.io/app/kibana#/discover/Steve-Slow-Train-Analysis-(2080s-and-2083s)?_g=(refreshInterval:(display:Off,pause:!f,section:0,value:0),time:(from:'2017-11-16T04:31:23-0700',mode:absolute,to:'2017-11-16T07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03" t="str">
        <f>IF(AA29&lt;VLOOKUP(AG29,Variables!$AC$3:$AD$8,2,FALSE),"Y","N")</f>
        <v>N</v>
      </c>
      <c r="X29" s="203">
        <f t="shared" si="6"/>
        <v>1</v>
      </c>
      <c r="Y29" s="203">
        <f t="shared" si="7"/>
        <v>5.2600000000000001E-2</v>
      </c>
      <c r="Z29" s="203">
        <f t="shared" si="8"/>
        <v>23.3291</v>
      </c>
      <c r="AA29" s="203">
        <f t="shared" si="9"/>
        <v>23.276499999999999</v>
      </c>
      <c r="AB29" s="54" t="e">
        <f>VLOOKUP(A29,Enforcements!$C$7:$K$9,8,0)</f>
        <v>#N/A</v>
      </c>
      <c r="AC29" s="51" t="e">
        <f>VLOOKUP(A29,Enforcements!$C$7:$E$9,3,0)</f>
        <v>#N/A</v>
      </c>
      <c r="AD29" s="178">
        <f t="shared" si="10"/>
        <v>117</v>
      </c>
      <c r="AE29" s="77" t="str">
        <f t="shared" si="11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29" s="74" t="str">
        <f t="shared" si="12"/>
        <v>"C:\Program Files (x86)\AstroGrep\AstroGrep.exe" /e /r /s /spath="%USERPROFILE%\AppData\Local\Temp\OnboardLogs" /stypes="app*4016*20171116*" /stext=" 13:.+((SYSTEM_STATE.+slice.+state.+changed )|(ment ac)|(multiple cpu faults)|(system.+state.+changed )|(\[timeout)|(PRM\|1\|D)|(kpr)|(kdp)|(train st.+moving)|(\|lc)|(penalty))"</v>
      </c>
      <c r="AG29" s="181" t="str">
        <f t="shared" si="13"/>
        <v>EC</v>
      </c>
      <c r="AH29" s="78" t="str">
        <f t="shared" si="19"/>
        <v>"%USERPROFILE%\Documents\GitHub\eaglep3\Utilities\RefineRTDCRunTimes.py" --tripid 117-16 --locoid 4016 --swversion DE.1.0.9.0 --startMP 204:526 --initTime 2017-11-16T05:31:23 --startdatetime 2017-11-16T05:45:19 --delay 71 --endMP 204:233291 --enddatetime 2017-11-16T06:22:34 --enforcementcount 0 &gt;&gt;%USERPROFILE%\Documents\GitHub\eaglep3-reporting\EC\2017-11-16-refined-times.txt</v>
      </c>
      <c r="AI29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{"issue":{"subject":"","project_id":79,"tracker_id":40,"status_id":1,"priority_id":2,"assigned_to_id":338,"start_date":"2017-11-16","description":"","custom_fields":[{"id":1,"name":"Subdivision","value":"EC"},{"id":4,"name":"Milepost","value":"23.3291"},{"id":17,"name":"Train ID","value":"117-16"},{"id":16,"name":"Locomotive ID","value":"4016"},{"id":130,"name":"Impact","value":""},{"id":150,"name":"Time of Event (Mountain Time)","value":"06:22:34"},{"id":151,"name":"Denver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1" t="str">
        <f t="shared" si="21"/>
        <v>start /low /b %USERPROFILE%\Documents\GitHub\eaglep3\Utilities\DownloadLogsFromS3.py --loco 4016 --day 2017-11-16</v>
      </c>
      <c r="AN29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7" t="str">
        <f t="shared" si="23"/>
        <v>https://d0f6bd738d7f1b3e5a7ca70fe4ff75f0.us-east-1.aws.found.io/app/kibana#/discover/Steve-Slow-Train-Analysis-(2080s-and-2083s)?_g=(refreshInterval:(display:Off,pause:!f,section:0,value:0),time:(from:'2017-11-16T04:31:23-0700',mode:absolute,to:'2017-11-16T07:22:34-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714</v>
      </c>
      <c r="B30" s="7">
        <v>4015</v>
      </c>
      <c r="C30" s="21" t="s">
        <v>192</v>
      </c>
      <c r="D30" s="21" t="s">
        <v>600</v>
      </c>
      <c r="E30" s="13">
        <v>43055.267442129632</v>
      </c>
      <c r="F30" s="13">
        <v>43055.279374999998</v>
      </c>
      <c r="G30" s="7">
        <v>55</v>
      </c>
      <c r="H30" s="21" t="s">
        <v>524</v>
      </c>
      <c r="I30" s="13">
        <v>43055.305775462963</v>
      </c>
      <c r="J30" s="7">
        <v>0</v>
      </c>
      <c r="K30" s="89" t="str">
        <f t="shared" si="0"/>
        <v>4015/4016</v>
      </c>
      <c r="L30" s="184" t="str">
        <f>VLOOKUP(A30,'Trips&amp;Operators'!$C$1:$G$99911,5,FALSE)</f>
        <v>DAVIDSON DAVID</v>
      </c>
      <c r="M30" s="6">
        <f t="shared" si="1"/>
        <v>2.6400462964375038E-2</v>
      </c>
      <c r="N30" s="7">
        <f t="shared" si="2"/>
        <v>38.016666668700054</v>
      </c>
      <c r="O30" s="7"/>
      <c r="P30" s="7"/>
      <c r="Q30" s="22"/>
      <c r="R30" s="173"/>
      <c r="S30" s="220">
        <f t="shared" si="3"/>
        <v>1</v>
      </c>
      <c r="T30" s="173" t="str">
        <f t="shared" si="4"/>
        <v>Southbound</v>
      </c>
      <c r="U30" s="19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5" t="str">
        <f t="shared" si="5"/>
        <v>https://d0f6bd738d7f1b3e5a7ca70fe4ff75f0.us-east-1.aws.found.io/app/kibana#/discover/Steve-Slow-Train-Analysis-(2080s-and-2083s)?_g=(refreshInterval:(display:Off,pause:!f,section:0,value:0),time:(from:'2017-11-16T05:25:07-0700',mode:absolute,to:'2017-11-16T08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03" t="str">
        <f>IF(AA30&lt;VLOOKUP(AG30,Variables!$AC$3:$AD$8,2,FALSE),"Y","N")</f>
        <v>N</v>
      </c>
      <c r="X30" s="203">
        <f t="shared" si="6"/>
        <v>1</v>
      </c>
      <c r="Y30" s="203">
        <f t="shared" si="7"/>
        <v>23.296900000000001</v>
      </c>
      <c r="Z30" s="203">
        <f t="shared" si="8"/>
        <v>2.1999999999999999E-2</v>
      </c>
      <c r="AA30" s="203">
        <f t="shared" si="9"/>
        <v>23.274900000000002</v>
      </c>
      <c r="AB30" s="54" t="e">
        <f>VLOOKUP(A30,Enforcements!$C$7:$K$9,8,0)</f>
        <v>#N/A</v>
      </c>
      <c r="AC30" s="51" t="e">
        <f>VLOOKUP(A30,Enforcements!$C$7:$E$9,3,0)</f>
        <v>#N/A</v>
      </c>
      <c r="AD30" s="178">
        <f t="shared" si="10"/>
        <v>118</v>
      </c>
      <c r="AE30" s="77" t="str">
        <f t="shared" si="11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30" s="74" t="str">
        <f t="shared" si="12"/>
        <v>"C:\Program Files (x86)\AstroGrep\AstroGrep.exe" /e /r /s /spath="%USERPROFILE%\AppData\Local\Temp\OnboardLogs" /stypes="app*4015*20171116*" /stext=" 14:.+((SYSTEM_STATE.+slice.+state.+changed )|(ment ac)|(multiple cpu faults)|(system.+state.+changed )|(\[timeout)|(PRM\|1\|D)|(kpr)|(kdp)|(train st.+moving)|(\|lc)|(penalty))"</v>
      </c>
      <c r="AG30" s="181" t="str">
        <f t="shared" si="13"/>
        <v>EC</v>
      </c>
      <c r="AH30" s="78" t="str">
        <f t="shared" si="19"/>
        <v>"%USERPROFILE%\Documents\GitHub\eaglep3\Utilities\RefineRTDCRunTimes.py" --tripid 118-16 --locoid 4015 --swversion DE.1.0.9.0 --startMP 204:232969 --initTime 2017-11-16T06:25:07 --startdatetime 2017-11-16T06:42:18 --delay 55 --endMP 204:220 --enddatetime 2017-11-16T07:20:19 --enforcementcount 0 &gt;&gt;%USERPROFILE%\Documents\GitHub\eaglep3-reporting\EC\2017-11-16-refined-times.txt</v>
      </c>
      <c r="AI30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{"issue":{"subject":"","project_id":79,"tracker_id":40,"status_id":1,"priority_id":2,"assigned_to_id":338,"start_date":"2017-11-16","description":"","custom_fields":[{"id":1,"name":"Subdivision","value":"EC"},{"id":4,"name":"Milepost","value":"0.022"},{"id":17,"name":"Train ID","value":"118-16"},{"id":16,"name":"Locomotive ID","value":"4015"},{"id":130,"name":"Impact","value":""},{"id":150,"name":"Time of Event (Mountain Time)","value":"07:20:19"},{"id":151,"name":"Denver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1" t="str">
        <f t="shared" si="21"/>
        <v>start /low /b %USERPROFILE%\Documents\GitHub\eaglep3\Utilities\DownloadLogsFromS3.py --loco 4015 --day 2017-11-16</v>
      </c>
      <c r="AN30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7" t="str">
        <f t="shared" si="23"/>
        <v>https://d0f6bd738d7f1b3e5a7ca70fe4ff75f0.us-east-1.aws.found.io/app/kibana#/discover/Steve-Slow-Train-Analysis-(2080s-and-2083s)?_g=(refreshInterval:(display:Off,pause:!f,section:0,value:0),time:(from:'2017-11-16T05:25:07-0700',mode:absolute,to:'2017-11-16T08:20:19-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708</v>
      </c>
      <c r="B31" s="7">
        <v>4036</v>
      </c>
      <c r="C31" s="21" t="s">
        <v>192</v>
      </c>
      <c r="D31" s="21" t="s">
        <v>503</v>
      </c>
      <c r="E31" s="13">
        <v>43055.244722222225</v>
      </c>
      <c r="F31" s="13">
        <v>43055.250173611108</v>
      </c>
      <c r="G31" s="7">
        <v>191</v>
      </c>
      <c r="H31" s="21" t="s">
        <v>905</v>
      </c>
      <c r="I31" s="13">
        <v>43055.275509259256</v>
      </c>
      <c r="J31" s="7">
        <v>0</v>
      </c>
      <c r="K31" s="89" t="str">
        <f t="shared" si="0"/>
        <v>4035/4036</v>
      </c>
      <c r="L31" s="184" t="str">
        <f>VLOOKUP(A31,'Trips&amp;Operators'!$C$1:$G$99911,5,FALSE)</f>
        <v>AUSTIN THOMPSON</v>
      </c>
      <c r="M31" s="6">
        <f t="shared" si="1"/>
        <v>2.5335648148029577E-2</v>
      </c>
      <c r="N31" s="7">
        <f t="shared" si="2"/>
        <v>36.483333333162591</v>
      </c>
      <c r="O31" s="7"/>
      <c r="P31" s="7"/>
      <c r="Q31" s="22"/>
      <c r="R31" s="173"/>
      <c r="S31" s="220">
        <f t="shared" si="3"/>
        <v>1</v>
      </c>
      <c r="T31" s="173" t="str">
        <f t="shared" si="4"/>
        <v>NorthBound</v>
      </c>
      <c r="U31" s="19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5" t="str">
        <f t="shared" si="5"/>
        <v>https://d0f6bd738d7f1b3e5a7ca70fe4ff75f0.us-east-1.aws.found.io/app/kibana#/discover/Steve-Slow-Train-Analysis-(2080s-and-2083s)?_g=(refreshInterval:(display:Off,pause:!f,section:0,value:0),time:(from:'2017-11-16T04:52:24-0700',mode:absolute,to:'2017-11-16T07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03" t="str">
        <f>IF(AA31&lt;VLOOKUP(AG31,Variables!$AC$3:$AD$8,2,FALSE),"Y","N")</f>
        <v>N</v>
      </c>
      <c r="X31" s="203">
        <f t="shared" si="6"/>
        <v>1</v>
      </c>
      <c r="Y31" s="203">
        <f t="shared" si="7"/>
        <v>5.2200000000000003E-2</v>
      </c>
      <c r="Z31" s="203">
        <f t="shared" si="8"/>
        <v>23.33</v>
      </c>
      <c r="AA31" s="203">
        <f t="shared" si="9"/>
        <v>23.277799999999999</v>
      </c>
      <c r="AB31" s="54" t="e">
        <f>VLOOKUP(A31,Enforcements!$C$7:$K$9,8,0)</f>
        <v>#N/A</v>
      </c>
      <c r="AC31" s="51" t="e">
        <f>VLOOKUP(A31,Enforcements!$C$7:$E$9,3,0)</f>
        <v>#N/A</v>
      </c>
      <c r="AD31" s="178">
        <f t="shared" si="10"/>
        <v>119</v>
      </c>
      <c r="AE31" s="77" t="str">
        <f t="shared" si="11"/>
        <v>aws s3 cp s3://rtdc.mdm.uploadarchive.raw/RTDC4036/ "%USERPROFILE%\AppData\Local\Temp\OnboardLogs"\RTDC4036\2017-11-16 --exclude "*" --recursive --include "*20171116*" &amp; "%USERPROFILE%\Documents\GitHub\mrs-test-scripts\Headless Mode &amp; Sideloading\WalkAndUnGZ.bat" "%USERPROFILE%\AppData\Local\Temp\OnboardLogs"\RTDC4036\2017-11-16 &amp; 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</v>
      </c>
      <c r="AF31" s="74" t="str">
        <f t="shared" si="12"/>
        <v>"C:\Program Files (x86)\AstroGrep\AstroGrep.exe" /e /r /s /spath="%USERPROFILE%\AppData\Local\Temp\OnboardLogs" /stypes="app*4036*20171116*" /stext=" 13:.+((SYSTEM_STATE.+slice.+state.+changed )|(ment ac)|(multiple cpu faults)|(system.+state.+changed )|(\[timeout)|(PRM\|1\|D)|(kpr)|(kdp)|(train st.+moving)|(\|lc)|(penalty))"</v>
      </c>
      <c r="AG31" s="181" t="str">
        <f t="shared" si="13"/>
        <v>EC</v>
      </c>
      <c r="AH31" s="78" t="str">
        <f t="shared" si="19"/>
        <v>"%USERPROFILE%\Documents\GitHub\eaglep3\Utilities\RefineRTDCRunTimes.py" --tripid 119-16 --locoid 4036 --swversion DE.1.0.9.0 --startMP 204:522 --initTime 2017-11-16T05:52:24 --startdatetime 2017-11-16T06:00:15 --delay 191 --endMP 204:233300 --enddatetime 2017-11-16T06:36:44 --enforcementcount 0 &gt;&gt;%USERPROFILE%\Documents\GitHub\eaglep3-reporting\EC\2017-11-16-refined-times.txt</v>
      </c>
      <c r="AI31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{"issue":{"subject":"","project_id":79,"tracker_id":40,"status_id":1,"priority_id":2,"assigned_to_id":338,"start_date":"2017-11-16","description":"","custom_fields":[{"id":1,"name":"Subdivision","value":"EC"},{"id":4,"name":"Milepost","value":"23.33"},{"id":17,"name":"Train ID","value":"119-16"},{"id":16,"name":"Locomotive ID","value":"4036"},{"id":130,"name":"Impact","value":""},{"id":150,"name":"Time of Event (Mountain Time)","value":"06:36:44"},{"id":151,"name":"Denver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1" t="str">
        <f t="shared" si="21"/>
        <v>start /low /b %USERPROFILE%\Documents\GitHub\eaglep3\Utilities\DownloadLogsFromS3.py --loco 4036 --day 2017-11-16</v>
      </c>
      <c r="AN31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7" t="str">
        <f t="shared" si="23"/>
        <v>https://d0f6bd738d7f1b3e5a7ca70fe4ff75f0.us-east-1.aws.found.io/app/kibana#/discover/Steve-Slow-Train-Analysis-(2080s-and-2083s)?_g=(refreshInterval:(display:Off,pause:!f,section:0,value:0),time:(from:'2017-11-16T04:52:24-0700',mode:absolute,to:'2017-11-16T07:36:44-0700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654</v>
      </c>
      <c r="B32" s="7">
        <v>4035</v>
      </c>
      <c r="C32" s="21" t="s">
        <v>192</v>
      </c>
      <c r="D32" s="21" t="s">
        <v>603</v>
      </c>
      <c r="E32" s="13">
        <v>43055.276875000003</v>
      </c>
      <c r="F32" s="13">
        <v>43055.289756944447</v>
      </c>
      <c r="G32" s="7">
        <v>46</v>
      </c>
      <c r="H32" s="21" t="s">
        <v>906</v>
      </c>
      <c r="I32" s="13">
        <v>43055.322291666664</v>
      </c>
      <c r="J32" s="7">
        <v>0</v>
      </c>
      <c r="K32" s="89" t="str">
        <f t="shared" si="0"/>
        <v>4035/4036</v>
      </c>
      <c r="L32" s="184" t="str">
        <f>VLOOKUP(A32,'Trips&amp;Operators'!$C$1:$G$99911,5,FALSE)</f>
        <v>AUSTIN THOMPSON</v>
      </c>
      <c r="M32" s="6">
        <f t="shared" si="1"/>
        <v>3.2534722216951195E-2</v>
      </c>
      <c r="N32" s="7">
        <f t="shared" si="2"/>
        <v>46.849999992409721</v>
      </c>
      <c r="O32" s="7"/>
      <c r="P32" s="7"/>
      <c r="Q32" s="22"/>
      <c r="R32" s="173"/>
      <c r="S32" s="220">
        <f t="shared" si="3"/>
        <v>1</v>
      </c>
      <c r="T32" s="173" t="str">
        <f t="shared" si="4"/>
        <v>Southbound</v>
      </c>
      <c r="U32" s="19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5" t="str">
        <f t="shared" si="5"/>
        <v>https://d0f6bd738d7f1b3e5a7ca70fe4ff75f0.us-east-1.aws.found.io/app/kibana#/discover/Steve-Slow-Train-Analysis-(2080s-and-2083s)?_g=(refreshInterval:(display:Off,pause:!f,section:0,value:0),time:(from:'2017-11-16T05:38:42-0700',mode:absolute,to:'2017-11-16T08:44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03" t="str">
        <f>IF(AA32&lt;VLOOKUP(AG32,Variables!$AC$3:$AD$8,2,FALSE),"Y","N")</f>
        <v>N</v>
      </c>
      <c r="X32" s="203">
        <f t="shared" si="6"/>
        <v>1</v>
      </c>
      <c r="Y32" s="203">
        <f t="shared" si="7"/>
        <v>23.297699999999999</v>
      </c>
      <c r="Z32" s="203">
        <f t="shared" si="8"/>
        <v>9.8799999999999999E-2</v>
      </c>
      <c r="AA32" s="203">
        <f t="shared" si="9"/>
        <v>23.198899999999998</v>
      </c>
      <c r="AB32" s="54" t="e">
        <f>VLOOKUP(A32,Enforcements!$C$7:$K$9,8,0)</f>
        <v>#N/A</v>
      </c>
      <c r="AC32" s="51" t="e">
        <f>VLOOKUP(A32,Enforcements!$C$7:$E$9,3,0)</f>
        <v>#N/A</v>
      </c>
      <c r="AD32" s="178">
        <f t="shared" si="10"/>
        <v>120</v>
      </c>
      <c r="AE32" s="77" t="str">
        <f t="shared" si="11"/>
        <v>aws s3 cp s3://rtdc.mdm.uploadarchive.raw/RTDC4035/ "%USERPROFILE%\AppData\Local\Temp\OnboardLogs"\RTDC4035\2017-11-16 --exclude "*" --recursive --include "*20171116*" &amp; "%USERPROFILE%\Documents\GitHub\mrs-test-scripts\Headless Mode &amp; Sideloading\WalkAndUnGZ.bat" "%USERPROFILE%\AppData\Local\Temp\OnboardLogs"\RTDC4035\2017-11-16 &amp; 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</v>
      </c>
      <c r="AF32" s="74" t="str">
        <f t="shared" si="12"/>
        <v>"C:\Program Files (x86)\AstroGrep\AstroGrep.exe" /e /r /s /spath="%USERPROFILE%\AppData\Local\Temp\OnboardLogs" /stypes="app*4035*20171116*" /stext=" 14:.+((SYSTEM_STATE.+slice.+state.+changed )|(ment ac)|(multiple cpu faults)|(system.+state.+changed )|(\[timeout)|(PRM\|1\|D)|(kpr)|(kdp)|(train st.+moving)|(\|lc)|(penalty))"</v>
      </c>
      <c r="AG32" s="181" t="str">
        <f t="shared" si="13"/>
        <v>EC</v>
      </c>
      <c r="AH32" s="78" t="str">
        <f t="shared" si="19"/>
        <v>"%USERPROFILE%\Documents\GitHub\eaglep3\Utilities\RefineRTDCRunTimes.py" --tripid 120-16 --locoid 4035 --swversion DE.1.0.9.0 --startMP 204:232977 --initTime 2017-11-16T06:38:42 --startdatetime 2017-11-16T06:57:15 --delay 46 --endMP 204:988 --enddatetime 2017-11-16T07:44:06 --enforcementcount 0 &gt;&gt;%USERPROFILE%\Documents\GitHub\eaglep3-reporting\EC\2017-11-16-refined-times.txt</v>
      </c>
      <c r="AI32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{"issue":{"subject":"","project_id":79,"tracker_id":40,"status_id":1,"priority_id":2,"assigned_to_id":338,"start_date":"2017-11-16","description":"","custom_fields":[{"id":1,"name":"Subdivision","value":"EC"},{"id":4,"name":"Milepost","value":"0.0988"},{"id":17,"name":"Train ID","value":"120-16"},{"id":16,"name":"Locomotive ID","value":"4035"},{"id":130,"name":"Impact","value":""},{"id":150,"name":"Time of Event (Mountain Time)","value":"07:44:06"},{"id":151,"name":"Denver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1" t="str">
        <f t="shared" si="21"/>
        <v>start /low /b %USERPROFILE%\Documents\GitHub\eaglep3\Utilities\DownloadLogsFromS3.py --loco 4035 --day 2017-11-16</v>
      </c>
      <c r="AN32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14:44:06"},{"id":29,"name":"Sharepoint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7" t="str">
        <f t="shared" si="23"/>
        <v>https://d0f6bd738d7f1b3e5a7ca70fe4ff75f0.us-east-1.aws.found.io/app/kibana#/discover/Steve-Slow-Train-Analysis-(2080s-and-2083s)?_g=(refreshInterval:(display:Off,pause:!f,section:0,value:0),time:(from:'2017-11-16T05:38:42-0700',mode:absolute,to:'2017-11-16T08:44:06-0700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711</v>
      </c>
      <c r="B33" s="7">
        <v>4018</v>
      </c>
      <c r="C33" s="21" t="s">
        <v>192</v>
      </c>
      <c r="D33" s="21" t="s">
        <v>907</v>
      </c>
      <c r="E33" s="13">
        <v>43055.254745370374</v>
      </c>
      <c r="F33" s="13">
        <v>43055.26059027778</v>
      </c>
      <c r="G33" s="7">
        <v>47</v>
      </c>
      <c r="H33" s="21" t="s">
        <v>614</v>
      </c>
      <c r="I33" s="13">
        <v>43055.285243055558</v>
      </c>
      <c r="J33" s="7">
        <v>0</v>
      </c>
      <c r="K33" s="89" t="str">
        <f t="shared" si="0"/>
        <v>4017/4018</v>
      </c>
      <c r="L33" s="184" t="str">
        <f>VLOOKUP(A33,'Trips&amp;Operators'!$C$1:$G$99911,5,FALSE)</f>
        <v>GEBRETEKLE DAGNEW</v>
      </c>
      <c r="M33" s="6">
        <f t="shared" si="1"/>
        <v>2.4652777778101154E-2</v>
      </c>
      <c r="N33" s="7">
        <f t="shared" si="2"/>
        <v>35.500000000465661</v>
      </c>
      <c r="O33" s="7"/>
      <c r="P33" s="7"/>
      <c r="Q33" s="22"/>
      <c r="R33" s="173"/>
      <c r="S33" s="220">
        <f t="shared" si="3"/>
        <v>1</v>
      </c>
      <c r="T33" s="173" t="str">
        <f t="shared" si="4"/>
        <v>NorthBound</v>
      </c>
      <c r="U33" s="19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5" t="str">
        <f t="shared" si="5"/>
        <v>https://d0f6bd738d7f1b3e5a7ca70fe4ff75f0.us-east-1.aws.found.io/app/kibana#/discover/Steve-Slow-Train-Analysis-(2080s-and-2083s)?_g=(refreshInterval:(display:Off,pause:!f,section:0,value:0),time:(from:'2017-11-16T05:06:50-0700',mode:absolute,to:'2017-11-16T07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03" t="str">
        <f>IF(AA33&lt;VLOOKUP(AG33,Variables!$AC$3:$AD$8,2,FALSE),"Y","N")</f>
        <v>N</v>
      </c>
      <c r="X33" s="203">
        <f t="shared" si="6"/>
        <v>1</v>
      </c>
      <c r="Y33" s="203">
        <f t="shared" si="7"/>
        <v>4.7500000000000001E-2</v>
      </c>
      <c r="Z33" s="203">
        <f t="shared" si="8"/>
        <v>23.329899999999999</v>
      </c>
      <c r="AA33" s="203">
        <f t="shared" si="9"/>
        <v>23.282399999999999</v>
      </c>
      <c r="AB33" s="54" t="e">
        <f>VLOOKUP(A33,Enforcements!$C$7:$K$9,8,0)</f>
        <v>#N/A</v>
      </c>
      <c r="AC33" s="51" t="e">
        <f>VLOOKUP(A33,Enforcements!$C$7:$E$9,3,0)</f>
        <v>#N/A</v>
      </c>
      <c r="AD33" s="178">
        <f t="shared" si="10"/>
        <v>121</v>
      </c>
      <c r="AE33" s="77" t="str">
        <f t="shared" si="11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33" s="74" t="str">
        <f t="shared" si="12"/>
        <v>"C:\Program Files (x86)\AstroGrep\AstroGrep.exe" /e /r /s /spath="%USERPROFILE%\AppData\Local\Temp\OnboardLogs" /stypes="app*4018*20171116*" /stext=" 13:.+((SYSTEM_STATE.+slice.+state.+changed )|(ment ac)|(multiple cpu faults)|(system.+state.+changed )|(\[timeout)|(PRM\|1\|D)|(kpr)|(kdp)|(train st.+moving)|(\|lc)|(penalty))"</v>
      </c>
      <c r="AG33" s="181" t="str">
        <f t="shared" si="13"/>
        <v>EC</v>
      </c>
      <c r="AH33" s="78" t="str">
        <f t="shared" si="19"/>
        <v>"%USERPROFILE%\Documents\GitHub\eaglep3\Utilities\RefineRTDCRunTimes.py" --tripid 121-16 --locoid 4018 --swversion DE.1.0.9.0 --startMP 204:475 --initTime 2017-11-16T06:06:50 --startdatetime 2017-11-16T06:15:15 --delay 47 --endMP 204:233299 --enddatetime 2017-11-16T06:50:45 --enforcementcount 0 &gt;&gt;%USERPROFILE%\Documents\GitHub\eaglep3-reporting\EC\2017-11-16-refined-times.txt</v>
      </c>
      <c r="AI33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{"issue":{"subject":"","project_id":79,"tracker_id":40,"status_id":1,"priority_id":2,"assigned_to_id":338,"start_date":"2017-11-16","description":"","custom_fields":[{"id":1,"name":"Subdivision","value":"EC"},{"id":4,"name":"Milepost","value":"23.3299"},{"id":17,"name":"Train ID","value":"121-16"},{"id":16,"name":"Locomotive ID","value":"4018"},{"id":130,"name":"Impact","value":""},{"id":150,"name":"Time of Event (Mountain Time)","value":"06:50:45"},{"id":151,"name":"Denver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1" t="str">
        <f t="shared" si="21"/>
        <v>start /low /b %USERPROFILE%\Documents\GitHub\eaglep3\Utilities\DownloadLogsFromS3.py --loco 4018 --day 2017-11-16</v>
      </c>
      <c r="AN33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7" t="str">
        <f t="shared" si="23"/>
        <v>https://d0f6bd738d7f1b3e5a7ca70fe4ff75f0.us-east-1.aws.found.io/app/kibana#/discover/Steve-Slow-Train-Analysis-(2080s-and-2083s)?_g=(refreshInterval:(display:Off,pause:!f,section:0,value:0),time:(from:'2017-11-16T05:06:50-0700',mode:absolute,to:'2017-11-16T07:50:45-0700'))&amp;_a=(columns:!('Message%20ID',Summary),filters:!(),index:'emp_*',interval:auto,query:(query_string:(analyze_wildcard:!t,query:'%22rtdc.l.rtdc.4018%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717</v>
      </c>
      <c r="B34" s="7">
        <v>4017</v>
      </c>
      <c r="C34" s="21" t="s">
        <v>192</v>
      </c>
      <c r="D34" s="21" t="s">
        <v>609</v>
      </c>
      <c r="E34" s="13">
        <v>43055.286400462966</v>
      </c>
      <c r="F34" s="13">
        <v>43055.300185185188</v>
      </c>
      <c r="G34" s="7">
        <v>50</v>
      </c>
      <c r="H34" s="21" t="s">
        <v>908</v>
      </c>
      <c r="I34" s="13">
        <v>43055.326215277775</v>
      </c>
      <c r="J34" s="7">
        <v>0</v>
      </c>
      <c r="K34" s="89" t="str">
        <f t="shared" si="0"/>
        <v>4017/4018</v>
      </c>
      <c r="L34" s="184" t="str">
        <f>VLOOKUP(A34,'Trips&amp;Operators'!$C$1:$G$99911,5,FALSE)</f>
        <v>GEBRETEKLE DAGNEW</v>
      </c>
      <c r="M34" s="6">
        <f t="shared" si="1"/>
        <v>2.6030092587461695E-2</v>
      </c>
      <c r="N34" s="7">
        <f t="shared" si="2"/>
        <v>37.483333325944841</v>
      </c>
      <c r="O34" s="7"/>
      <c r="P34" s="7"/>
      <c r="Q34" s="22"/>
      <c r="R34" s="173"/>
      <c r="S34" s="220">
        <f t="shared" si="3"/>
        <v>1</v>
      </c>
      <c r="T34" s="173" t="str">
        <f t="shared" si="4"/>
        <v>Southbound</v>
      </c>
      <c r="U34" s="19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5" t="str">
        <f t="shared" si="5"/>
        <v>https://d0f6bd738d7f1b3e5a7ca70fe4ff75f0.us-east-1.aws.found.io/app/kibana#/discover/Steve-Slow-Train-Analysis-(2080s-and-2083s)?_g=(refreshInterval:(display:Off,pause:!f,section:0,value:0),time:(from:'2017-11-16T05:52:25-0700',mode:absolute,to:'2017-11-16T08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03" t="str">
        <f>IF(AA34&lt;VLOOKUP(AG34,Variables!$AC$3:$AD$8,2,FALSE),"Y","N")</f>
        <v>N</v>
      </c>
      <c r="X34" s="203">
        <f t="shared" si="6"/>
        <v>1</v>
      </c>
      <c r="Y34" s="203">
        <f t="shared" si="7"/>
        <v>23.296299999999999</v>
      </c>
      <c r="Z34" s="203">
        <f t="shared" si="8"/>
        <v>1.89E-2</v>
      </c>
      <c r="AA34" s="203">
        <f t="shared" si="9"/>
        <v>23.2774</v>
      </c>
      <c r="AB34" s="54" t="e">
        <f>VLOOKUP(A34,Enforcements!$C$7:$K$9,8,0)</f>
        <v>#N/A</v>
      </c>
      <c r="AC34" s="51" t="e">
        <f>VLOOKUP(A34,Enforcements!$C$7:$E$9,3,0)</f>
        <v>#N/A</v>
      </c>
      <c r="AD34" s="178">
        <f t="shared" si="10"/>
        <v>122</v>
      </c>
      <c r="AE34" s="77" t="str">
        <f t="shared" si="11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34" s="74" t="str">
        <f t="shared" si="12"/>
        <v>"C:\Program Files (x86)\AstroGrep\AstroGrep.exe" /e /r /s /spath="%USERPROFILE%\AppData\Local\Temp\OnboardLogs" /stypes="app*4017*20171116*" /stext=" 14:.+((SYSTEM_STATE.+slice.+state.+changed )|(ment ac)|(multiple cpu faults)|(system.+state.+changed )|(\[timeout)|(PRM\|1\|D)|(kpr)|(kdp)|(train st.+moving)|(\|lc)|(penalty))"</v>
      </c>
      <c r="AG34" s="181" t="str">
        <f t="shared" si="13"/>
        <v>EC</v>
      </c>
      <c r="AH34" s="78" t="str">
        <f t="shared" si="19"/>
        <v>"%USERPROFILE%\Documents\GitHub\eaglep3\Utilities\RefineRTDCRunTimes.py" --tripid 122-16 --locoid 4017 --swversion DE.1.0.9.0 --startMP 204:232963 --initTime 2017-11-16T06:52:25 --startdatetime 2017-11-16T07:12:16 --delay 50 --endMP 204:189 --enddatetime 2017-11-16T07:49:45 --enforcementcount 0 &gt;&gt;%USERPROFILE%\Documents\GitHub\eaglep3-reporting\EC\2017-11-16-refined-times.txt</v>
      </c>
      <c r="AI34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{"issue":{"subject":"","project_id":79,"tracker_id":40,"status_id":1,"priority_id":2,"assigned_to_id":338,"start_date":"2017-11-16","description":"","custom_fields":[{"id":1,"name":"Subdivision","value":"EC"},{"id":4,"name":"Milepost","value":"0.0189"},{"id":17,"name":"Train ID","value":"122-16"},{"id":16,"name":"Locomotive ID","value":"4017"},{"id":130,"name":"Impact","value":""},{"id":150,"name":"Time of Event (Mountain Time)","value":"07:49:45"},{"id":151,"name":"Denver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1" t="str">
        <f t="shared" si="21"/>
        <v>start /low /b %USERPROFILE%\Documents\GitHub\eaglep3\Utilities\DownloadLogsFromS3.py --loco 4017 --day 2017-11-16</v>
      </c>
      <c r="AN34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7" t="str">
        <f t="shared" si="23"/>
        <v>https://d0f6bd738d7f1b3e5a7ca70fe4ff75f0.us-east-1.aws.found.io/app/kibana#/discover/Steve-Slow-Train-Analysis-(2080s-and-2083s)?_g=(refreshInterval:(display:Off,pause:!f,section:0,value:0),time:(from:'2017-11-16T05:52:25-0700',mode:absolute,to:'2017-11-16T08:49:45-0700'))&amp;_a=(columns:!('Message%20ID',Summary),filters:!(),index:'emp_*',interval:auto,query:(query_string:(analyze_wildcard:!t,query:'%22rtdc.l.rtdc.4017%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713</v>
      </c>
      <c r="B35" s="7">
        <v>4052</v>
      </c>
      <c r="C35" s="21" t="s">
        <v>192</v>
      </c>
      <c r="D35" s="21" t="s">
        <v>533</v>
      </c>
      <c r="E35" s="13">
        <v>43055.265729166669</v>
      </c>
      <c r="F35" s="13">
        <v>43055.271273148152</v>
      </c>
      <c r="G35" s="7">
        <v>69</v>
      </c>
      <c r="H35" s="21" t="s">
        <v>909</v>
      </c>
      <c r="I35" s="13">
        <v>43055.296388888892</v>
      </c>
      <c r="J35" s="7">
        <v>0</v>
      </c>
      <c r="K35" s="89" t="str">
        <f t="shared" si="0"/>
        <v>4051/4052</v>
      </c>
      <c r="L35" s="184" t="str">
        <f>VLOOKUP(A35,'Trips&amp;Operators'!$C$1:$G$99911,5,FALSE)</f>
        <v>WILLIAMS DONTE</v>
      </c>
      <c r="M35" s="6">
        <f t="shared" si="1"/>
        <v>2.5115740740147885E-2</v>
      </c>
      <c r="N35" s="7">
        <f t="shared" si="2"/>
        <v>36.166666665812954</v>
      </c>
      <c r="O35" s="7"/>
      <c r="P35" s="7"/>
      <c r="Q35" s="22"/>
      <c r="R35" s="173"/>
      <c r="S35" s="220">
        <f t="shared" si="3"/>
        <v>1</v>
      </c>
      <c r="T35" s="173" t="str">
        <f t="shared" si="4"/>
        <v>NorthBound</v>
      </c>
      <c r="U35" s="19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5" t="str">
        <f t="shared" si="5"/>
        <v>https://d0f6bd738d7f1b3e5a7ca70fe4ff75f0.us-east-1.aws.found.io/app/kibana#/discover/Steve-Slow-Train-Analysis-(2080s-and-2083s)?_g=(refreshInterval:(display:Off,pause:!f,section:0,value:0),time:(from:'2017-11-16T05:22:39-0700',mode:absolute,to:'2017-11-16T08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5" s="203" t="str">
        <f>IF(AA35&lt;VLOOKUP(AG35,Variables!$AC$3:$AD$8,2,FALSE),"Y","N")</f>
        <v>N</v>
      </c>
      <c r="X35" s="203">
        <f t="shared" si="6"/>
        <v>1</v>
      </c>
      <c r="Y35" s="203">
        <f t="shared" si="7"/>
        <v>5.1299999999999998E-2</v>
      </c>
      <c r="Z35" s="203">
        <f t="shared" si="8"/>
        <v>23.328700000000001</v>
      </c>
      <c r="AA35" s="203">
        <f t="shared" si="9"/>
        <v>23.2774</v>
      </c>
      <c r="AB35" s="54" t="e">
        <f>VLOOKUP(A35,Enforcements!$C$7:$K$9,8,0)</f>
        <v>#N/A</v>
      </c>
      <c r="AC35" s="51" t="e">
        <f>VLOOKUP(A35,Enforcements!$C$7:$E$9,3,0)</f>
        <v>#N/A</v>
      </c>
      <c r="AD35" s="178">
        <f t="shared" si="10"/>
        <v>123</v>
      </c>
      <c r="AE35" s="77" t="str">
        <f t="shared" si="11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35" s="74" t="str">
        <f t="shared" si="12"/>
        <v>"C:\Program Files (x86)\AstroGrep\AstroGrep.exe" /e /r /s /spath="%USERPROFILE%\AppData\Local\Temp\OnboardLogs" /stypes="app*4052*20171116*" /stext=" 14:.+((SYSTEM_STATE.+slice.+state.+changed )|(ment ac)|(multiple cpu faults)|(system.+state.+changed )|(\[timeout)|(PRM\|1\|D)|(kpr)|(kdp)|(train st.+moving)|(\|lc)|(penalty))"</v>
      </c>
      <c r="AG35" s="181" t="str">
        <f t="shared" si="13"/>
        <v>EC</v>
      </c>
      <c r="AH35" s="78" t="str">
        <f t="shared" si="19"/>
        <v>"%USERPROFILE%\Documents\GitHub\eaglep3\Utilities\RefineRTDCRunTimes.py" --tripid 123-16 --locoid 4052 --swversion DE.1.0.9.0 --startMP 204:513 --initTime 2017-11-16T06:22:39 --startdatetime 2017-11-16T06:30:38 --delay 69 --endMP 204:233287 --enddatetime 2017-11-16T07:06:48 --enforcementcount 0 &gt;&gt;%USERPROFILE%\Documents\GitHub\eaglep3-reporting\EC\2017-11-16-refined-times.txt</v>
      </c>
      <c r="AI3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{"issue":{"subject":"","project_id":79,"tracker_id":40,"status_id":1,"priority_id":2,"assigned_to_id":338,"start_date":"2017-11-16","description":"","custom_fields":[{"id":1,"name":"Subdivision","value":"EC"},{"id":4,"name":"Milepost","value":"23.3287"},{"id":17,"name":"Train ID","value":"123-16"},{"id":16,"name":"Locomotive ID","value":"4052"},{"id":130,"name":"Impact","value":""},{"id":150,"name":"Time of Event (Mountain Time)","value":"07:06:48"},{"id":151,"name":"Denver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1" t="str">
        <f t="shared" si="21"/>
        <v>start /low /b %USERPROFILE%\Documents\GitHub\eaglep3\Utilities\DownloadLogsFromS3.py --loco 4052 --day 2017-11-16</v>
      </c>
      <c r="AN3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7" t="str">
        <f t="shared" si="23"/>
        <v>https://d0f6bd738d7f1b3e5a7ca70fe4ff75f0.us-east-1.aws.found.io/app/kibana#/discover/Steve-Slow-Train-Analysis-(2080s-and-2083s)?_g=(refreshInterval:(display:Off,pause:!f,section:0,value:0),time:(from:'2017-11-16T05:22:39-0700',mode:absolute,to:'2017-11-16T08:06:48-0700'))&amp;_a=(columns:!('Message%20ID',Summary),filters:!(),index:'emp_*',interval:auto,query:(query_string:(analyze_wildcard:!t,query:'%22rtdc.l.rtdc.4052%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722</v>
      </c>
      <c r="B36" s="7">
        <v>4051</v>
      </c>
      <c r="C36" s="21" t="s">
        <v>192</v>
      </c>
      <c r="D36" s="21" t="s">
        <v>610</v>
      </c>
      <c r="E36" s="13">
        <v>43055.305810185186</v>
      </c>
      <c r="F36" s="13">
        <v>43055.310590277775</v>
      </c>
      <c r="G36" s="7">
        <v>72</v>
      </c>
      <c r="H36" s="21" t="s">
        <v>910</v>
      </c>
      <c r="I36" s="13">
        <v>43055.33866898148</v>
      </c>
      <c r="J36" s="7">
        <v>0</v>
      </c>
      <c r="K36" s="89" t="str">
        <f t="shared" si="0"/>
        <v>4051/4052</v>
      </c>
      <c r="L36" s="184" t="str">
        <f>VLOOKUP(A36,'Trips&amp;Operators'!$C$1:$G$99911,5,FALSE)</f>
        <v>WILLIAMS DONTE</v>
      </c>
      <c r="M36" s="6">
        <f t="shared" si="1"/>
        <v>2.8078703704522923E-2</v>
      </c>
      <c r="N36" s="7">
        <f t="shared" si="2"/>
        <v>40.433333334513009</v>
      </c>
      <c r="O36" s="7"/>
      <c r="P36" s="7"/>
      <c r="Q36" s="22"/>
      <c r="R36" s="173"/>
      <c r="S36" s="220">
        <f t="shared" si="3"/>
        <v>1</v>
      </c>
      <c r="T36" s="173" t="str">
        <f t="shared" si="4"/>
        <v>Southbound</v>
      </c>
      <c r="U36" s="19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5" t="str">
        <f t="shared" si="5"/>
        <v>https://d0f6bd738d7f1b3e5a7ca70fe4ff75f0.us-east-1.aws.found.io/app/kibana#/discover/Steve-Slow-Train-Analysis-(2080s-and-2083s)?_g=(refreshInterval:(display:Off,pause:!f,section:0,value:0),time:(from:'2017-11-16T06:20:22-0700',mode:absolute,to:'2017-11-16T09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6" s="203" t="str">
        <f>IF(AA36&lt;VLOOKUP(AG36,Variables!$AC$3:$AD$8,2,FALSE),"Y","N")</f>
        <v>N</v>
      </c>
      <c r="X36" s="203">
        <f t="shared" si="6"/>
        <v>1</v>
      </c>
      <c r="Y36" s="203">
        <f t="shared" si="7"/>
        <v>23.296800000000001</v>
      </c>
      <c r="Z36" s="203">
        <f t="shared" si="8"/>
        <v>2.0500000000000001E-2</v>
      </c>
      <c r="AA36" s="203">
        <f t="shared" si="9"/>
        <v>23.276300000000003</v>
      </c>
      <c r="AB36" s="54" t="e">
        <f>VLOOKUP(A36,Enforcements!$C$7:$K$9,8,0)</f>
        <v>#N/A</v>
      </c>
      <c r="AC36" s="51" t="e">
        <f>VLOOKUP(A36,Enforcements!$C$7:$E$9,3,0)</f>
        <v>#N/A</v>
      </c>
      <c r="AD36" s="178">
        <f t="shared" si="10"/>
        <v>124</v>
      </c>
      <c r="AE36" s="77" t="str">
        <f t="shared" si="11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36" s="74" t="str">
        <f t="shared" si="12"/>
        <v>"C:\Program Files (x86)\AstroGrep\AstroGrep.exe" /e /r /s /spath="%USERPROFILE%\AppData\Local\Temp\OnboardLogs" /stypes="app*4051*20171116*" /stext=" 15:.+((SYSTEM_STATE.+slice.+state.+changed )|(ment ac)|(multiple cpu faults)|(system.+state.+changed )|(\[timeout)|(PRM\|1\|D)|(kpr)|(kdp)|(train st.+moving)|(\|lc)|(penalty))"</v>
      </c>
      <c r="AG36" s="181" t="str">
        <f t="shared" si="13"/>
        <v>EC</v>
      </c>
      <c r="AH36" s="78" t="str">
        <f t="shared" si="19"/>
        <v>"%USERPROFILE%\Documents\GitHub\eaglep3\Utilities\RefineRTDCRunTimes.py" --tripid 124-16 --locoid 4051 --swversion DE.1.0.9.0 --startMP 204:232968 --initTime 2017-11-16T07:20:22 --startdatetime 2017-11-16T07:27:15 --delay 72 --endMP 204:205 --enddatetime 2017-11-16T08:07:41 --enforcementcount 0 &gt;&gt;%USERPROFILE%\Documents\GitHub\eaglep3-reporting\EC\2017-11-16-refined-times.txt</v>
      </c>
      <c r="AI3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{"issue":{"subject":"","project_id":79,"tracker_id":40,"status_id":1,"priority_id":2,"assigned_to_id":338,"start_date":"2017-11-16","description":"","custom_fields":[{"id":1,"name":"Subdivision","value":"EC"},{"id":4,"name":"Milepost","value":"0.0205"},{"id":17,"name":"Train ID","value":"124-16"},{"id":16,"name":"Locomotive ID","value":"4051"},{"id":130,"name":"Impact","value":""},{"id":150,"name":"Time of Event (Mountain Time)","value":"08:07:41"},{"id":151,"name":"Denver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1" t="str">
        <f t="shared" si="21"/>
        <v>start /low /b %USERPROFILE%\Documents\GitHub\eaglep3\Utilities\DownloadLogsFromS3.py --loco 4051 --day 2017-11-16</v>
      </c>
      <c r="AN3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7" t="str">
        <f t="shared" si="23"/>
        <v>https://d0f6bd738d7f1b3e5a7ca70fe4ff75f0.us-east-1.aws.found.io/app/kibana#/discover/Steve-Slow-Train-Analysis-(2080s-and-2083s)?_g=(refreshInterval:(display:Off,pause:!f,section:0,value:0),time:(from:'2017-11-16T06:20:22-0700',mode:absolute,to:'2017-11-16T09:07:41-0700'))&amp;_a=(columns:!('Message%20ID',Summary),filters:!(),index:'emp_*',interval:auto,query:(query_string:(analyze_wildcard:!t,query:'%22rtdc.l.rtdc.4051%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716</v>
      </c>
      <c r="B37" s="7">
        <v>4002</v>
      </c>
      <c r="C37" s="21" t="s">
        <v>192</v>
      </c>
      <c r="D37" s="21" t="s">
        <v>911</v>
      </c>
      <c r="E37" s="13">
        <v>43055.275046296294</v>
      </c>
      <c r="F37" s="13">
        <v>43055.281469907408</v>
      </c>
      <c r="G37" s="7">
        <v>44</v>
      </c>
      <c r="H37" s="21" t="s">
        <v>458</v>
      </c>
      <c r="I37" s="13">
        <v>43055.305949074071</v>
      </c>
      <c r="J37" s="7">
        <v>0</v>
      </c>
      <c r="K37" s="89" t="str">
        <f t="shared" si="0"/>
        <v>4001/4002</v>
      </c>
      <c r="L37" s="184" t="str">
        <f>VLOOKUP(A37,'Trips&amp;Operators'!$C$1:$G$99911,5,FALSE)</f>
        <v>YORK EDGAR</v>
      </c>
      <c r="M37" s="6">
        <f t="shared" si="1"/>
        <v>2.4479166662786156E-2</v>
      </c>
      <c r="N37" s="7">
        <f t="shared" si="2"/>
        <v>35.249999994412065</v>
      </c>
      <c r="O37" s="7"/>
      <c r="P37" s="7"/>
      <c r="Q37" s="22"/>
      <c r="R37" s="173"/>
      <c r="S37" s="220">
        <f t="shared" si="3"/>
        <v>1</v>
      </c>
      <c r="T37" s="173" t="str">
        <f t="shared" si="4"/>
        <v>NorthBound</v>
      </c>
      <c r="U37" s="19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5" t="str">
        <f t="shared" si="5"/>
        <v>https://d0f6bd738d7f1b3e5a7ca70fe4ff75f0.us-east-1.aws.found.io/app/kibana#/discover/Steve-Slow-Train-Analysis-(2080s-and-2083s)?_g=(refreshInterval:(display:Off,pause:!f,section:0,value:0),time:(from:'2017-11-16T05:36:04-0700',mode:absolute,to:'2017-11-16T08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03" t="str">
        <f>IF(AA37&lt;VLOOKUP(AG37,Variables!$AC$3:$AD$8,2,FALSE),"Y","N")</f>
        <v>N</v>
      </c>
      <c r="X37" s="203">
        <f t="shared" si="6"/>
        <v>1</v>
      </c>
      <c r="Y37" s="203">
        <f t="shared" si="7"/>
        <v>4.6699999999999998E-2</v>
      </c>
      <c r="Z37" s="203">
        <f t="shared" si="8"/>
        <v>23.3276</v>
      </c>
      <c r="AA37" s="203">
        <f t="shared" si="9"/>
        <v>23.280899999999999</v>
      </c>
      <c r="AB37" s="54" t="e">
        <f>VLOOKUP(A37,Enforcements!$C$7:$K$9,8,0)</f>
        <v>#N/A</v>
      </c>
      <c r="AC37" s="51" t="e">
        <f>VLOOKUP(A37,Enforcements!$C$7:$E$9,3,0)</f>
        <v>#N/A</v>
      </c>
      <c r="AD37" s="178">
        <f t="shared" si="10"/>
        <v>125</v>
      </c>
      <c r="AE37" s="77" t="str">
        <f t="shared" si="11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37" s="74" t="str">
        <f t="shared" si="12"/>
        <v>"C:\Program Files (x86)\AstroGrep\AstroGrep.exe" /e /r /s /spath="%USERPROFILE%\AppData\Local\Temp\OnboardLogs" /stypes="app*4002*20171116*" /stext=" 14:.+((SYSTEM_STATE.+slice.+state.+changed )|(ment ac)|(multiple cpu faults)|(system.+state.+changed )|(\[timeout)|(PRM\|1\|D)|(kpr)|(kdp)|(train st.+moving)|(\|lc)|(penalty))"</v>
      </c>
      <c r="AG37" s="181" t="str">
        <f t="shared" si="13"/>
        <v>EC</v>
      </c>
      <c r="AH37" s="78" t="str">
        <f t="shared" si="19"/>
        <v>"%USERPROFILE%\Documents\GitHub\eaglep3\Utilities\RefineRTDCRunTimes.py" --tripid 125-16 --locoid 4002 --swversion DE.1.0.9.0 --startMP 204:467 --initTime 2017-11-16T06:36:04 --startdatetime 2017-11-16T06:45:19 --delay 44 --endMP 204:233276 --enddatetime 2017-11-16T07:20:34 --enforcementcount 0 &gt;&gt;%USERPROFILE%\Documents\GitHub\eaglep3-reporting\EC\2017-11-16-refined-times.txt</v>
      </c>
      <c r="AI37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{"issue":{"subject":"","project_id":79,"tracker_id":40,"status_id":1,"priority_id":2,"assigned_to_id":338,"start_date":"2017-11-16","description":"","custom_fields":[{"id":1,"name":"Subdivision","value":"EC"},{"id":4,"name":"Milepost","value":"23.3276"},{"id":17,"name":"Train ID","value":"125-16"},{"id":16,"name":"Locomotive ID","value":"4002"},{"id":130,"name":"Impact","value":""},{"id":150,"name":"Time of Event (Mountain Time)","value":"07:20:34"},{"id":151,"name":"Denver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1" t="str">
        <f t="shared" si="21"/>
        <v>start /low /b %USERPROFILE%\Documents\GitHub\eaglep3\Utilities\DownloadLogsFromS3.py --loco 4002 --day 2017-11-16</v>
      </c>
      <c r="AN37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7" t="str">
        <f t="shared" si="23"/>
        <v>https://d0f6bd738d7f1b3e5a7ca70fe4ff75f0.us-east-1.aws.found.io/app/kibana#/discover/Steve-Slow-Train-Analysis-(2080s-and-2083s)?_g=(refreshInterval:(display:Off,pause:!f,section:0,value:0),time:(from:'2017-11-16T05:36:04-0700',mode:absolute,to:'2017-11-16T08:20:34-0700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725</v>
      </c>
      <c r="B38" s="7">
        <v>4001</v>
      </c>
      <c r="C38" s="21" t="s">
        <v>192</v>
      </c>
      <c r="D38" s="21" t="s">
        <v>566</v>
      </c>
      <c r="E38" s="13">
        <v>43055.314097222225</v>
      </c>
      <c r="F38" s="13">
        <v>43055.321597222224</v>
      </c>
      <c r="G38" s="7">
        <v>47</v>
      </c>
      <c r="H38" s="21" t="s">
        <v>551</v>
      </c>
      <c r="I38" s="13">
        <v>43055.347141203703</v>
      </c>
      <c r="J38" s="7">
        <v>0</v>
      </c>
      <c r="K38" s="89" t="str">
        <f t="shared" si="0"/>
        <v>4001/4002</v>
      </c>
      <c r="L38" s="184" t="str">
        <f>VLOOKUP(A38,'Trips&amp;Operators'!$C$1:$G$99911,5,FALSE)</f>
        <v>YORK EDGAR</v>
      </c>
      <c r="M38" s="6">
        <f t="shared" si="1"/>
        <v>2.5543981479131617E-2</v>
      </c>
      <c r="N38" s="7">
        <f t="shared" si="2"/>
        <v>36.783333329949528</v>
      </c>
      <c r="O38" s="7"/>
      <c r="P38" s="7"/>
      <c r="Q38" s="22"/>
      <c r="R38" s="173"/>
      <c r="S38" s="220">
        <f t="shared" si="3"/>
        <v>1</v>
      </c>
      <c r="T38" s="173" t="str">
        <f t="shared" si="4"/>
        <v>Southbound</v>
      </c>
      <c r="U38" s="19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5" t="str">
        <f t="shared" si="5"/>
        <v>https://d0f6bd738d7f1b3e5a7ca70fe4ff75f0.us-east-1.aws.found.io/app/kibana#/discover/Steve-Slow-Train-Analysis-(2080s-and-2083s)?_g=(refreshInterval:(display:Off,pause:!f,section:0,value:0),time:(from:'2017-11-16T06:32:18-0700',mode:absolute,to:'2017-11-16T09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03" t="str">
        <f>IF(AA38&lt;VLOOKUP(AG38,Variables!$AC$3:$AD$8,2,FALSE),"Y","N")</f>
        <v>N</v>
      </c>
      <c r="X38" s="203">
        <f t="shared" si="6"/>
        <v>1</v>
      </c>
      <c r="Y38" s="203">
        <f t="shared" si="7"/>
        <v>23.2957</v>
      </c>
      <c r="Z38" s="203">
        <f t="shared" si="8"/>
        <v>1.7399999999999999E-2</v>
      </c>
      <c r="AA38" s="203">
        <f t="shared" si="9"/>
        <v>23.278300000000002</v>
      </c>
      <c r="AB38" s="54" t="e">
        <f>VLOOKUP(A38,Enforcements!$C$7:$K$9,8,0)</f>
        <v>#N/A</v>
      </c>
      <c r="AC38" s="51" t="e">
        <f>VLOOKUP(A38,Enforcements!$C$7:$E$9,3,0)</f>
        <v>#N/A</v>
      </c>
      <c r="AD38" s="178">
        <f t="shared" si="10"/>
        <v>126</v>
      </c>
      <c r="AE38" s="77" t="str">
        <f t="shared" si="11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38" s="74" t="str">
        <f t="shared" si="12"/>
        <v>"C:\Program Files (x86)\AstroGrep\AstroGrep.exe" /e /r /s /spath="%USERPROFILE%\AppData\Local\Temp\OnboardLogs" /stypes="app*4001*20171116*" /stext=" 15:.+((SYSTEM_STATE.+slice.+state.+changed )|(ment ac)|(multiple cpu faults)|(system.+state.+changed )|(\[timeout)|(PRM\|1\|D)|(kpr)|(kdp)|(train st.+moving)|(\|lc)|(penalty))"</v>
      </c>
      <c r="AG38" s="181" t="str">
        <f t="shared" si="13"/>
        <v>EC</v>
      </c>
      <c r="AH38" s="78" t="str">
        <f t="shared" si="19"/>
        <v>"%USERPROFILE%\Documents\GitHub\eaglep3\Utilities\RefineRTDCRunTimes.py" --tripid 126-16 --locoid 4001 --swversion DE.1.0.9.0 --startMP 204:232957 --initTime 2017-11-16T07:32:18 --startdatetime 2017-11-16T07:43:06 --delay 47 --endMP 204:174 --enddatetime 2017-11-16T08:19:53 --enforcementcount 0 &gt;&gt;%USERPROFILE%\Documents\GitHub\eaglep3-reporting\EC\2017-11-16-refined-times.txt</v>
      </c>
      <c r="AI38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{"issue":{"subject":"","project_id":79,"tracker_id":40,"status_id":1,"priority_id":2,"assigned_to_id":338,"start_date":"2017-11-16","description":"","custom_fields":[{"id":1,"name":"Subdivision","value":"EC"},{"id":4,"name":"Milepost","value":"0.0174"},{"id":17,"name":"Train ID","value":"126-16"},{"id":16,"name":"Locomotive ID","value":"4001"},{"id":130,"name":"Impact","value":""},{"id":150,"name":"Time of Event (Mountain Time)","value":"08:19:53"},{"id":151,"name":"Denver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1" t="str">
        <f t="shared" si="21"/>
        <v>start /low /b %USERPROFILE%\Documents\GitHub\eaglep3\Utilities\DownloadLogsFromS3.py --loco 4001 --day 2017-11-16</v>
      </c>
      <c r="AN38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7" t="str">
        <f t="shared" si="23"/>
        <v>https://d0f6bd738d7f1b3e5a7ca70fe4ff75f0.us-east-1.aws.found.io/app/kibana#/discover/Steve-Slow-Train-Analysis-(2080s-and-2083s)?_g=(refreshInterval:(display:Off,pause:!f,section:0,value:0),time:(from:'2017-11-16T06:32:18-0700',mode:absolute,to:'2017-11-16T09:19:53-0700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718</v>
      </c>
      <c r="B39" s="7">
        <v>4062</v>
      </c>
      <c r="C39" s="21" t="s">
        <v>192</v>
      </c>
      <c r="D39" s="21" t="s">
        <v>604</v>
      </c>
      <c r="E39" s="13">
        <v>43055.286956018521</v>
      </c>
      <c r="F39" s="13">
        <v>43055.291909722226</v>
      </c>
      <c r="G39" s="7">
        <v>96</v>
      </c>
      <c r="H39" s="21" t="s">
        <v>894</v>
      </c>
      <c r="I39" s="13">
        <v>43055.318530092591</v>
      </c>
      <c r="J39" s="7">
        <v>0</v>
      </c>
      <c r="K39" s="89" t="str">
        <f t="shared" si="0"/>
        <v>4061/4062</v>
      </c>
      <c r="L39" s="184" t="str">
        <f>VLOOKUP(A39,'Trips&amp;Operators'!$C$1:$G$99911,5,FALSE)</f>
        <v>PAGE MARCUS</v>
      </c>
      <c r="M39" s="6">
        <f t="shared" si="1"/>
        <v>2.6620370364980772E-2</v>
      </c>
      <c r="N39" s="7">
        <f t="shared" si="2"/>
        <v>38.333333325572312</v>
      </c>
      <c r="O39" s="7"/>
      <c r="P39" s="7"/>
      <c r="Q39" s="22"/>
      <c r="R39" s="173"/>
      <c r="S39" s="220">
        <f t="shared" si="3"/>
        <v>1</v>
      </c>
      <c r="T39" s="173" t="str">
        <f t="shared" si="4"/>
        <v>NorthBound</v>
      </c>
      <c r="U39" s="19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5" t="str">
        <f t="shared" si="5"/>
        <v>https://d0f6bd738d7f1b3e5a7ca70fe4ff75f0.us-east-1.aws.found.io/app/kibana#/discover/Steve-Slow-Train-Analysis-(2080s-and-2083s)?_g=(refreshInterval:(display:Off,pause:!f,section:0,value:0),time:(from:'2017-11-16T05:53:13-0700',mode:absolute,to:'2017-11-16T08:38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9" s="203" t="str">
        <f>IF(AA39&lt;VLOOKUP(AG39,Variables!$AC$3:$AD$8,2,FALSE),"Y","N")</f>
        <v>N</v>
      </c>
      <c r="X39" s="203">
        <f t="shared" si="6"/>
        <v>1</v>
      </c>
      <c r="Y39" s="203">
        <f t="shared" si="7"/>
        <v>5.3699999999999998E-2</v>
      </c>
      <c r="Z39" s="203">
        <f t="shared" si="8"/>
        <v>23.326799999999999</v>
      </c>
      <c r="AA39" s="203">
        <f t="shared" si="9"/>
        <v>23.273099999999999</v>
      </c>
      <c r="AB39" s="54" t="e">
        <f>VLOOKUP(A39,Enforcements!$C$7:$K$9,8,0)</f>
        <v>#N/A</v>
      </c>
      <c r="AC39" s="51" t="e">
        <f>VLOOKUP(A39,Enforcements!$C$7:$E$9,3,0)</f>
        <v>#N/A</v>
      </c>
      <c r="AD39" s="178">
        <f t="shared" si="10"/>
        <v>127</v>
      </c>
      <c r="AE39" s="77" t="str">
        <f t="shared" si="11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39" s="74" t="str">
        <f t="shared" si="12"/>
        <v>"C:\Program Files (x86)\AstroGrep\AstroGrep.exe" /e /r /s /spath="%USERPROFILE%\AppData\Local\Temp\OnboardLogs" /stypes="app*4062*20171116*" /stext=" 14:.+((SYSTEM_STATE.+slice.+state.+changed )|(ment ac)|(multiple cpu faults)|(system.+state.+changed )|(\[timeout)|(PRM\|1\|D)|(kpr)|(kdp)|(train st.+moving)|(\|lc)|(penalty))"</v>
      </c>
      <c r="AG39" s="181" t="str">
        <f t="shared" si="13"/>
        <v>EC</v>
      </c>
      <c r="AH39" s="78" t="str">
        <f t="shared" si="19"/>
        <v>"%USERPROFILE%\Documents\GitHub\eaglep3\Utilities\RefineRTDCRunTimes.py" --tripid 127-16 --locoid 4062 --swversion DE.1.0.9.0 --startMP 204:537 --initTime 2017-11-16T06:53:13 --startdatetime 2017-11-16T07:00:21 --delay 96 --endMP 204:233268 --enddatetime 2017-11-16T07:38:41 --enforcementcount 0 &gt;&gt;%USERPROFILE%\Documents\GitHub\eaglep3-reporting\EC\2017-11-16-refined-times.txt</v>
      </c>
      <c r="AI39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{"issue":{"subject":"","project_id":79,"tracker_id":40,"status_id":1,"priority_id":2,"assigned_to_id":338,"start_date":"2017-11-16","description":"","custom_fields":[{"id":1,"name":"Subdivision","value":"EC"},{"id":4,"name":"Milepost","value":"23.3268"},{"id":17,"name":"Train ID","value":"127-16"},{"id":16,"name":"Locomotive ID","value":"4062"},{"id":130,"name":"Impact","value":""},{"id":150,"name":"Time of Event (Mountain Time)","value":"07:38:41"},{"id":151,"name":"Denver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1" t="str">
        <f t="shared" si="21"/>
        <v>start /low /b %USERPROFILE%\Documents\GitHub\eaglep3\Utilities\DownloadLogsFromS3.py --loco 4062 --day 2017-11-16</v>
      </c>
      <c r="AN39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7" t="str">
        <f t="shared" si="23"/>
        <v>https://d0f6bd738d7f1b3e5a7ca70fe4ff75f0.us-east-1.aws.found.io/app/kibana#/discover/Steve-Slow-Train-Analysis-(2080s-and-2083s)?_g=(refreshInterval:(display:Off,pause:!f,section:0,value:0),time:(from:'2017-11-16T05:53:13-0700',mode:absolute,to:'2017-11-16T08:38:41-0700'))&amp;_a=(columns:!('Message%20ID',Summary),filters:!(),index:'emp_*',interval:auto,query:(query_string:(analyze_wildcard:!t,query:'%22rtdc.l.rtdc.4062%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727</v>
      </c>
      <c r="B40" s="7">
        <v>4061</v>
      </c>
      <c r="C40" s="21" t="s">
        <v>192</v>
      </c>
      <c r="D40" s="21" t="s">
        <v>496</v>
      </c>
      <c r="E40" s="13">
        <v>43055.327199074076</v>
      </c>
      <c r="F40" s="13">
        <v>43055.331412037034</v>
      </c>
      <c r="G40" s="7">
        <v>68</v>
      </c>
      <c r="H40" s="21" t="s">
        <v>912</v>
      </c>
      <c r="I40" s="13">
        <v>43055.357569444444</v>
      </c>
      <c r="J40" s="7">
        <v>0</v>
      </c>
      <c r="K40" s="89" t="str">
        <f t="shared" si="0"/>
        <v>4061/4062</v>
      </c>
      <c r="L40" s="184" t="str">
        <f>VLOOKUP(A40,'Trips&amp;Operators'!$C$1:$G$99911,5,FALSE)</f>
        <v>PAGE MARCUS</v>
      </c>
      <c r="M40" s="6">
        <f t="shared" si="1"/>
        <v>2.6157407410209998E-2</v>
      </c>
      <c r="N40" s="7">
        <f t="shared" si="2"/>
        <v>37.666666670702398</v>
      </c>
      <c r="O40" s="7"/>
      <c r="P40" s="7"/>
      <c r="Q40" s="22"/>
      <c r="R40" s="173"/>
      <c r="S40" s="220">
        <f t="shared" si="3"/>
        <v>1</v>
      </c>
      <c r="T40" s="173" t="str">
        <f t="shared" si="4"/>
        <v>Southbound</v>
      </c>
      <c r="U40" s="19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5" t="str">
        <f t="shared" si="5"/>
        <v>https://d0f6bd738d7f1b3e5a7ca70fe4ff75f0.us-east-1.aws.found.io/app/kibana#/discover/Steve-Slow-Train-Analysis-(2080s-and-2083s)?_g=(refreshInterval:(display:Off,pause:!f,section:0,value:0),time:(from:'2017-11-16T06:51:10-0700',mode:absolute,to:'2017-11-16T09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0" s="203" t="str">
        <f>IF(AA40&lt;VLOOKUP(AG40,Variables!$AC$3:$AD$8,2,FALSE),"Y","N")</f>
        <v>N</v>
      </c>
      <c r="X40" s="203">
        <f t="shared" si="6"/>
        <v>1</v>
      </c>
      <c r="Y40" s="203">
        <f t="shared" si="7"/>
        <v>23.295300000000001</v>
      </c>
      <c r="Z40" s="203">
        <f t="shared" si="8"/>
        <v>1.9199999999999998E-2</v>
      </c>
      <c r="AA40" s="203">
        <f t="shared" si="9"/>
        <v>23.2761</v>
      </c>
      <c r="AB40" s="54" t="e">
        <f>VLOOKUP(A40,Enforcements!$C$7:$K$9,8,0)</f>
        <v>#N/A</v>
      </c>
      <c r="AC40" s="51" t="e">
        <f>VLOOKUP(A40,Enforcements!$C$7:$E$9,3,0)</f>
        <v>#N/A</v>
      </c>
      <c r="AD40" s="178">
        <f t="shared" si="10"/>
        <v>128</v>
      </c>
      <c r="AE40" s="77" t="str">
        <f t="shared" si="11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40" s="74" t="str">
        <f t="shared" si="12"/>
        <v>"C:\Program Files (x86)\AstroGrep\AstroGrep.exe" /e /r /s /spath="%USERPROFILE%\AppData\Local\Temp\OnboardLogs" /stypes="app*4061*20171116*" /stext=" 15:.+((SYSTEM_STATE.+slice.+state.+changed )|(ment ac)|(multiple cpu faults)|(system.+state.+changed )|(\[timeout)|(PRM\|1\|D)|(kpr)|(kdp)|(train st.+moving)|(\|lc)|(penalty))"</v>
      </c>
      <c r="AG40" s="181" t="str">
        <f t="shared" si="13"/>
        <v>EC</v>
      </c>
      <c r="AH40" s="78" t="str">
        <f t="shared" si="19"/>
        <v>"%USERPROFILE%\Documents\GitHub\eaglep3\Utilities\RefineRTDCRunTimes.py" --tripid 128-16 --locoid 4061 --swversion DE.1.0.9.0 --startMP 204:232953 --initTime 2017-11-16T07:51:10 --startdatetime 2017-11-16T07:57:14 --delay 68 --endMP 204:192 --enddatetime 2017-11-16T08:34:54 --enforcementcount 0 &gt;&gt;%USERPROFILE%\Documents\GitHub\eaglep3-reporting\EC\2017-11-16-refined-times.txt</v>
      </c>
      <c r="AI40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{"issue":{"subject":"","project_id":79,"tracker_id":40,"status_id":1,"priority_id":2,"assigned_to_id":338,"start_date":"2017-11-16","description":"","custom_fields":[{"id":1,"name":"Subdivision","value":"EC"},{"id":4,"name":"Milepost","value":"0.0192"},{"id":17,"name":"Train ID","value":"128-16"},{"id":16,"name":"Locomotive ID","value":"4061"},{"id":130,"name":"Impact","value":""},{"id":150,"name":"Time of Event (Mountain Time)","value":"08:34:54"},{"id":151,"name":"Denver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1" t="str">
        <f t="shared" si="21"/>
        <v>start /low /b %USERPROFILE%\Documents\GitHub\eaglep3\Utilities\DownloadLogsFromS3.py --loco 4061 --day 2017-11-16</v>
      </c>
      <c r="AN40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7" t="str">
        <f t="shared" si="23"/>
        <v>https://d0f6bd738d7f1b3e5a7ca70fe4ff75f0.us-east-1.aws.found.io/app/kibana#/discover/Steve-Slow-Train-Analysis-(2080s-and-2083s)?_g=(refreshInterval:(display:Off,pause:!f,section:0,value:0),time:(from:'2017-11-16T06:51:10-0700',mode:absolute,to:'2017-11-16T09:34:54-0700'))&amp;_a=(columns:!('Message%20ID',Summary),filters:!(),index:'emp_*',interval:auto,query:(query_string:(analyze_wildcard:!t,query:'%22rtdc.l.rtdc.4061%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721</v>
      </c>
      <c r="B41" s="7">
        <v>4008</v>
      </c>
      <c r="C41" s="21" t="s">
        <v>192</v>
      </c>
      <c r="D41" s="21" t="s">
        <v>444</v>
      </c>
      <c r="E41" s="13">
        <v>43055.299085648148</v>
      </c>
      <c r="F41" s="13">
        <v>43055.302361111113</v>
      </c>
      <c r="G41" s="7">
        <v>71</v>
      </c>
      <c r="H41" s="21" t="s">
        <v>614</v>
      </c>
      <c r="I41" s="13">
        <v>43055.33090277778</v>
      </c>
      <c r="J41" s="7">
        <v>0</v>
      </c>
      <c r="K41" s="89" t="str">
        <f t="shared" si="0"/>
        <v>4007/4008</v>
      </c>
      <c r="L41" s="184" t="str">
        <f>VLOOKUP(A41,'Trips&amp;Operators'!$C$1:$G$99911,5,FALSE)</f>
        <v>ROCHA YAOTL</v>
      </c>
      <c r="M41" s="6">
        <f t="shared" si="1"/>
        <v>2.8541666666569654E-2</v>
      </c>
      <c r="N41" s="7">
        <f t="shared" si="2"/>
        <v>41.099999999860302</v>
      </c>
      <c r="O41" s="7"/>
      <c r="P41" s="7"/>
      <c r="Q41" s="22"/>
      <c r="R41" s="173"/>
      <c r="S41" s="220">
        <f t="shared" si="3"/>
        <v>1</v>
      </c>
      <c r="T41" s="173" t="str">
        <f t="shared" si="4"/>
        <v>NorthBound</v>
      </c>
      <c r="U41" s="19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5" t="str">
        <f t="shared" si="5"/>
        <v>https://d0f6bd738d7f1b3e5a7ca70fe4ff75f0.us-east-1.aws.found.io/app/kibana#/discover/Steve-Slow-Train-Analysis-(2080s-and-2083s)?_g=(refreshInterval:(display:Off,pause:!f,section:0,value:0),time:(from:'2017-11-16T06:10:41-0700',mode:absolute,to:'2017-11-16T08:56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203" t="str">
        <f>IF(AA41&lt;VLOOKUP(AG41,Variables!$AC$3:$AD$8,2,FALSE),"Y","N")</f>
        <v>N</v>
      </c>
      <c r="X41" s="203">
        <f t="shared" si="6"/>
        <v>1</v>
      </c>
      <c r="Y41" s="203">
        <f t="shared" si="7"/>
        <v>5.1700000000000003E-2</v>
      </c>
      <c r="Z41" s="203">
        <f t="shared" si="8"/>
        <v>23.329899999999999</v>
      </c>
      <c r="AA41" s="203">
        <f t="shared" si="9"/>
        <v>23.278199999999998</v>
      </c>
      <c r="AB41" s="54" t="e">
        <f>VLOOKUP(A41,Enforcements!$C$7:$K$9,8,0)</f>
        <v>#N/A</v>
      </c>
      <c r="AC41" s="51" t="e">
        <f>VLOOKUP(A41,Enforcements!$C$7:$E$9,3,0)</f>
        <v>#N/A</v>
      </c>
      <c r="AD41" s="178">
        <f t="shared" si="10"/>
        <v>129</v>
      </c>
      <c r="AE41" s="77" t="str">
        <f t="shared" si="11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41" s="74" t="str">
        <f t="shared" si="12"/>
        <v>"C:\Program Files (x86)\AstroGrep\AstroGrep.exe" /e /r /s /spath="%USERPROFILE%\AppData\Local\Temp\OnboardLogs" /stypes="app*4008*20171116*" /stext=" 14:.+((SYSTEM_STATE.+slice.+state.+changed )|(ment ac)|(multiple cpu faults)|(system.+state.+changed )|(\[timeout)|(PRM\|1\|D)|(kpr)|(kdp)|(train st.+moving)|(\|lc)|(penalty))"</v>
      </c>
      <c r="AG41" s="181" t="str">
        <f t="shared" si="13"/>
        <v>EC</v>
      </c>
      <c r="AH41" s="78" t="str">
        <f t="shared" si="19"/>
        <v>"%USERPROFILE%\Documents\GitHub\eaglep3\Utilities\RefineRTDCRunTimes.py" --tripid 129-16 --locoid 4008 --swversion DE.1.0.9.0 --startMP 204:517 --initTime 2017-11-16T07:10:41 --startdatetime 2017-11-16T07:15:24 --delay 71 --endMP 204:233299 --enddatetime 2017-11-16T07:56:30 --enforcementcount 0 &gt;&gt;%USERPROFILE%\Documents\GitHub\eaglep3-reporting\EC\2017-11-16-refined-times.txt</v>
      </c>
      <c r="AI41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{"issue":{"subject":"","project_id":79,"tracker_id":40,"status_id":1,"priority_id":2,"assigned_to_id":338,"start_date":"2017-11-16","description":"","custom_fields":[{"id":1,"name":"Subdivision","value":"EC"},{"id":4,"name":"Milepost","value":"23.3299"},{"id":17,"name":"Train ID","value":"129-16"},{"id":16,"name":"Locomotive ID","value":"4008"},{"id":130,"name":"Impact","value":""},{"id":150,"name":"Time of Event (Mountain Time)","value":"07:56:30"},{"id":151,"name":"Denver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1" t="str">
        <f t="shared" si="21"/>
        <v>start /low /b %USERPROFILE%\Documents\GitHub\eaglep3\Utilities\DownloadLogsFromS3.py --loco 4008 --day 2017-11-16</v>
      </c>
      <c r="AN41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7" t="str">
        <f t="shared" si="23"/>
        <v>https://d0f6bd738d7f1b3e5a7ca70fe4ff75f0.us-east-1.aws.found.io/app/kibana#/discover/Steve-Slow-Train-Analysis-(2080s-and-2083s)?_g=(refreshInterval:(display:Off,pause:!f,section:0,value:0),time:(from:'2017-11-16T06:10:41-0700',mode:absolute,to:'2017-11-16T08:56:30-0700'))&amp;_a=(columns:!('Message%20ID',Summary),filters:!(),index:'emp_*',interval:auto,query:(query_string:(analyze_wildcard:!t,query:'%22rtdc.l.rtdc.4008%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730</v>
      </c>
      <c r="B42" s="7">
        <v>4007</v>
      </c>
      <c r="C42" s="21" t="s">
        <v>192</v>
      </c>
      <c r="D42" s="21" t="s">
        <v>600</v>
      </c>
      <c r="E42" s="13">
        <v>43055.334363425929</v>
      </c>
      <c r="F42" s="13">
        <v>43055.341886574075</v>
      </c>
      <c r="G42" s="7">
        <v>146</v>
      </c>
      <c r="H42" s="21" t="s">
        <v>536</v>
      </c>
      <c r="I42" s="13">
        <v>43055.367800925924</v>
      </c>
      <c r="J42" s="7">
        <v>0</v>
      </c>
      <c r="K42" s="89" t="str">
        <f t="shared" si="0"/>
        <v>4007/4008</v>
      </c>
      <c r="L42" s="184" t="str">
        <f>VLOOKUP(A42,'Trips&amp;Operators'!$C$1:$G$99911,5,FALSE)</f>
        <v>ROCHA YAOTL</v>
      </c>
      <c r="M42" s="6">
        <f t="shared" si="1"/>
        <v>2.5914351848769002E-2</v>
      </c>
      <c r="N42" s="7">
        <f t="shared" si="2"/>
        <v>37.316666662227362</v>
      </c>
      <c r="O42" s="7"/>
      <c r="P42" s="7"/>
      <c r="Q42" s="22"/>
      <c r="R42" s="173"/>
      <c r="S42" s="220">
        <f t="shared" si="3"/>
        <v>1</v>
      </c>
      <c r="T42" s="173" t="str">
        <f t="shared" si="4"/>
        <v>Southbound</v>
      </c>
      <c r="U42" s="19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5" t="str">
        <f t="shared" si="5"/>
        <v>https://d0f6bd738d7f1b3e5a7ca70fe4ff75f0.us-east-1.aws.found.io/app/kibana#/discover/Steve-Slow-Train-Analysis-(2080s-and-2083s)?_g=(refreshInterval:(display:Off,pause:!f,section:0,value:0),time:(from:'2017-11-16T07:01:29-0700',mode:absolute,to:'2017-11-16T09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203" t="str">
        <f>IF(AA42&lt;VLOOKUP(AG42,Variables!$AC$3:$AD$8,2,FALSE),"Y","N")</f>
        <v>N</v>
      </c>
      <c r="X42" s="203">
        <f t="shared" si="6"/>
        <v>1</v>
      </c>
      <c r="Y42" s="203">
        <f t="shared" si="7"/>
        <v>23.296900000000001</v>
      </c>
      <c r="Z42" s="203">
        <f t="shared" si="8"/>
        <v>2.12E-2</v>
      </c>
      <c r="AA42" s="203">
        <f t="shared" si="9"/>
        <v>23.275700000000001</v>
      </c>
      <c r="AB42" s="54" t="e">
        <f>VLOOKUP(A42,Enforcements!$C$7:$K$9,8,0)</f>
        <v>#N/A</v>
      </c>
      <c r="AC42" s="51" t="e">
        <f>VLOOKUP(A42,Enforcements!$C$7:$E$9,3,0)</f>
        <v>#N/A</v>
      </c>
      <c r="AD42" s="178">
        <f t="shared" si="10"/>
        <v>130</v>
      </c>
      <c r="AE42" s="77" t="str">
        <f t="shared" si="11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42" s="74" t="str">
        <f t="shared" si="12"/>
        <v>"C:\Program Files (x86)\AstroGrep\AstroGrep.exe" /e /r /s /spath="%USERPROFILE%\AppData\Local\Temp\OnboardLogs" /stypes="app*4007*20171116*" /stext=" 15:.+((SYSTEM_STATE.+slice.+state.+changed )|(ment ac)|(multiple cpu faults)|(system.+state.+changed )|(\[timeout)|(PRM\|1\|D)|(kpr)|(kdp)|(train st.+moving)|(\|lc)|(penalty))"</v>
      </c>
      <c r="AG42" s="181" t="str">
        <f t="shared" si="13"/>
        <v>EC</v>
      </c>
      <c r="AH42" s="78" t="str">
        <f t="shared" si="19"/>
        <v>"%USERPROFILE%\Documents\GitHub\eaglep3\Utilities\RefineRTDCRunTimes.py" --tripid 130-16 --locoid 4007 --swversion DE.1.0.9.0 --startMP 204:232969 --initTime 2017-11-16T08:01:29 --startdatetime 2017-11-16T08:12:19 --delay 146 --endMP 204:212 --enddatetime 2017-11-16T08:49:38 --enforcementcount 0 &gt;&gt;%USERPROFILE%\Documents\GitHub\eaglep3-reporting\EC\2017-11-16-refined-times.txt</v>
      </c>
      <c r="AI42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{"issue":{"subject":"","project_id":79,"tracker_id":40,"status_id":1,"priority_id":2,"assigned_to_id":338,"start_date":"2017-11-16","description":"","custom_fields":[{"id":1,"name":"Subdivision","value":"EC"},{"id":4,"name":"Milepost","value":"0.0212"},{"id":17,"name":"Train ID","value":"130-16"},{"id":16,"name":"Locomotive ID","value":"4007"},{"id":130,"name":"Impact","value":""},{"id":150,"name":"Time of Event (Mountain Time)","value":"08:49:38"},{"id":151,"name":"Denver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1" t="str">
        <f t="shared" si="21"/>
        <v>start /low /b %USERPROFILE%\Documents\GitHub\eaglep3\Utilities\DownloadLogsFromS3.py --loco 4007 --day 2017-11-16</v>
      </c>
      <c r="AN42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7" t="str">
        <f t="shared" si="23"/>
        <v>https://d0f6bd738d7f1b3e5a7ca70fe4ff75f0.us-east-1.aws.found.io/app/kibana#/discover/Steve-Slow-Train-Analysis-(2080s-and-2083s)?_g=(refreshInterval:(display:Off,pause:!f,section:0,value:0),time:(from:'2017-11-16T07:01:29-0700',mode:absolute,to:'2017-11-16T09:49:38-0700'))&amp;_a=(columns:!('Message%20ID',Summary),filters:!(),index:'emp_*',interval:auto,query:(query_string:(analyze_wildcard:!t,query:'%22rtdc.l.rtdc.4007%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723</v>
      </c>
      <c r="B43" s="7">
        <v>4016</v>
      </c>
      <c r="C43" s="21" t="s">
        <v>192</v>
      </c>
      <c r="D43" s="21" t="s">
        <v>531</v>
      </c>
      <c r="E43" s="13">
        <v>43055.306979166664</v>
      </c>
      <c r="F43" s="13">
        <v>43055.312708333331</v>
      </c>
      <c r="G43" s="7">
        <v>54</v>
      </c>
      <c r="H43" s="21" t="s">
        <v>913</v>
      </c>
      <c r="I43" s="13">
        <v>43055.338182870371</v>
      </c>
      <c r="J43" s="7">
        <v>0</v>
      </c>
      <c r="K43" s="89" t="str">
        <f t="shared" si="0"/>
        <v>4015/4016</v>
      </c>
      <c r="L43" s="184" t="str">
        <f>VLOOKUP(A43,'Trips&amp;Operators'!$C$1:$G$99911,5,FALSE)</f>
        <v>DAVIDSON DAVID</v>
      </c>
      <c r="M43" s="6">
        <f t="shared" si="1"/>
        <v>2.5474537040281575E-2</v>
      </c>
      <c r="N43" s="7">
        <f t="shared" si="2"/>
        <v>36.683333338005468</v>
      </c>
      <c r="O43" s="7"/>
      <c r="P43" s="7"/>
      <c r="Q43" s="22"/>
      <c r="R43" s="173"/>
      <c r="S43" s="220">
        <f t="shared" si="3"/>
        <v>1</v>
      </c>
      <c r="T43" s="173" t="str">
        <f t="shared" si="4"/>
        <v>NorthBound</v>
      </c>
      <c r="U43" s="19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5" t="str">
        <f t="shared" si="5"/>
        <v>https://d0f6bd738d7f1b3e5a7ca70fe4ff75f0.us-east-1.aws.found.io/app/kibana#/discover/Steve-Slow-Train-Analysis-(2080s-and-2083s)?_g=(refreshInterval:(display:Off,pause:!f,section:0,value:0),time:(from:'2017-11-16T06:22:03-0700',mode:absolute,to:'2017-11-16T09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03" t="str">
        <f>IF(AA43&lt;VLOOKUP(AG43,Variables!$AC$3:$AD$8,2,FALSE),"Y","N")</f>
        <v>N</v>
      </c>
      <c r="X43" s="203">
        <f t="shared" si="6"/>
        <v>1</v>
      </c>
      <c r="Y43" s="203">
        <f t="shared" si="7"/>
        <v>5.2600000000000001E-2</v>
      </c>
      <c r="Z43" s="203">
        <f t="shared" si="8"/>
        <v>23.331</v>
      </c>
      <c r="AA43" s="203">
        <f t="shared" si="9"/>
        <v>23.278399999999998</v>
      </c>
      <c r="AB43" s="54" t="e">
        <f>VLOOKUP(A43,Enforcements!$C$7:$K$9,8,0)</f>
        <v>#N/A</v>
      </c>
      <c r="AC43" s="51" t="e">
        <f>VLOOKUP(A43,Enforcements!$C$7:$E$9,3,0)</f>
        <v>#N/A</v>
      </c>
      <c r="AD43" s="178">
        <f t="shared" si="10"/>
        <v>131</v>
      </c>
      <c r="AE43" s="77" t="str">
        <f t="shared" si="11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43" s="74" t="str">
        <f t="shared" si="12"/>
        <v>"C:\Program Files (x86)\AstroGrep\AstroGrep.exe" /e /r /s /spath="%USERPROFILE%\AppData\Local\Temp\OnboardLogs" /stypes="app*4016*20171116*" /stext=" 15:.+((SYSTEM_STATE.+slice.+state.+changed )|(ment ac)|(multiple cpu faults)|(system.+state.+changed )|(\[timeout)|(PRM\|1\|D)|(kpr)|(kdp)|(train st.+moving)|(\|lc)|(penalty))"</v>
      </c>
      <c r="AG43" s="181" t="str">
        <f t="shared" si="13"/>
        <v>EC</v>
      </c>
      <c r="AH43" s="78" t="str">
        <f t="shared" si="19"/>
        <v>"%USERPROFILE%\Documents\GitHub\eaglep3\Utilities\RefineRTDCRunTimes.py" --tripid 131-16 --locoid 4016 --swversion DE.1.0.9.0 --startMP 204:526 --initTime 2017-11-16T07:22:03 --startdatetime 2017-11-16T07:30:18 --delay 54 --endMP 204:233310 --enddatetime 2017-11-16T08:06:59 --enforcementcount 0 &gt;&gt;%USERPROFILE%\Documents\GitHub\eaglep3-reporting\EC\2017-11-16-refined-times.txt</v>
      </c>
      <c r="AI43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{"issue":{"subject":"","project_id":79,"tracker_id":40,"status_id":1,"priority_id":2,"assigned_to_id":338,"start_date":"2017-11-16","description":"","custom_fields":[{"id":1,"name":"Subdivision","value":"EC"},{"id":4,"name":"Milepost","value":"23.331"},{"id":17,"name":"Train ID","value":"131-16"},{"id":16,"name":"Locomotive ID","value":"4016"},{"id":130,"name":"Impact","value":""},{"id":150,"name":"Time of Event (Mountain Time)","value":"08:06:59"},{"id":151,"name":"Denver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1" t="str">
        <f t="shared" si="21"/>
        <v>start /low /b %USERPROFILE%\Documents\GitHub\eaglep3\Utilities\DownloadLogsFromS3.py --loco 4016 --day 2017-11-16</v>
      </c>
      <c r="AN43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7" t="str">
        <f t="shared" si="23"/>
        <v>https://d0f6bd738d7f1b3e5a7ca70fe4ff75f0.us-east-1.aws.found.io/app/kibana#/discover/Steve-Slow-Train-Analysis-(2080s-and-2083s)?_g=(refreshInterval:(display:Off,pause:!f,section:0,value:0),time:(from:'2017-11-16T06:22:03-0700',mode:absolute,to:'2017-11-16T09:06:59-0700'))&amp;_a=(columns:!('Message%20ID',Summary),filters:!(),index:'emp_*',interval:auto,query:(query_string:(analyze_wildcard:!t,query:'%22rtdc.l.rtdc.4016%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731</v>
      </c>
      <c r="B44" s="7">
        <v>4015</v>
      </c>
      <c r="C44" s="21" t="s">
        <v>192</v>
      </c>
      <c r="D44" s="21" t="s">
        <v>492</v>
      </c>
      <c r="E44" s="13">
        <v>43055.339699074073</v>
      </c>
      <c r="F44" s="13">
        <v>43055.352280092593</v>
      </c>
      <c r="G44" s="7">
        <v>55</v>
      </c>
      <c r="H44" s="21" t="s">
        <v>625</v>
      </c>
      <c r="I44" s="13">
        <v>43055.378668981481</v>
      </c>
      <c r="J44" s="7">
        <v>0</v>
      </c>
      <c r="K44" s="89" t="str">
        <f t="shared" si="0"/>
        <v>4015/4016</v>
      </c>
      <c r="L44" s="184" t="str">
        <f>VLOOKUP(A44,'Trips&amp;Operators'!$C$1:$G$99911,5,FALSE)</f>
        <v>DAVIDSON DAVID</v>
      </c>
      <c r="M44" s="6">
        <f t="shared" si="1"/>
        <v>2.6388888887595385E-2</v>
      </c>
      <c r="N44" s="7">
        <f t="shared" si="2"/>
        <v>37.999999998137355</v>
      </c>
      <c r="O44" s="7"/>
      <c r="P44" s="7"/>
      <c r="Q44" s="22"/>
      <c r="R44" s="173"/>
      <c r="S44" s="220">
        <f t="shared" si="3"/>
        <v>1</v>
      </c>
      <c r="T44" s="173" t="str">
        <f t="shared" si="4"/>
        <v>Southbound</v>
      </c>
      <c r="U44" s="19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5" t="str">
        <f t="shared" si="5"/>
        <v>https://d0f6bd738d7f1b3e5a7ca70fe4ff75f0.us-east-1.aws.found.io/app/kibana#/discover/Steve-Slow-Train-Analysis-(2080s-and-2083s)?_g=(refreshInterval:(display:Off,pause:!f,section:0,value:0),time:(from:'2017-11-16T07:09:10-0700',mode:absolute,to:'2017-11-16T10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03" t="str">
        <f>IF(AA44&lt;VLOOKUP(AG44,Variables!$AC$3:$AD$8,2,FALSE),"Y","N")</f>
        <v>N</v>
      </c>
      <c r="X44" s="203">
        <f t="shared" si="6"/>
        <v>1</v>
      </c>
      <c r="Y44" s="203">
        <f t="shared" si="7"/>
        <v>23.298100000000002</v>
      </c>
      <c r="Z44" s="203">
        <f t="shared" si="8"/>
        <v>2.3400000000000001E-2</v>
      </c>
      <c r="AA44" s="203">
        <f t="shared" si="9"/>
        <v>23.274700000000003</v>
      </c>
      <c r="AB44" s="54" t="e">
        <f>VLOOKUP(A44,Enforcements!$C$7:$K$9,8,0)</f>
        <v>#N/A</v>
      </c>
      <c r="AC44" s="51" t="e">
        <f>VLOOKUP(A44,Enforcements!$C$7:$E$9,3,0)</f>
        <v>#N/A</v>
      </c>
      <c r="AD44" s="178">
        <f t="shared" si="10"/>
        <v>132</v>
      </c>
      <c r="AE44" s="77" t="str">
        <f t="shared" si="11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44" s="74" t="str">
        <f t="shared" si="12"/>
        <v>"C:\Program Files (x86)\AstroGrep\AstroGrep.exe" /e /r /s /spath="%USERPROFILE%\AppData\Local\Temp\OnboardLogs" /stypes="app*4015*20171116*" /stext=" 16:.+((SYSTEM_STATE.+slice.+state.+changed )|(ment ac)|(multiple cpu faults)|(system.+state.+changed )|(\[timeout)|(PRM\|1\|D)|(kpr)|(kdp)|(train st.+moving)|(\|lc)|(penalty))"</v>
      </c>
      <c r="AG44" s="181" t="str">
        <f t="shared" si="13"/>
        <v>EC</v>
      </c>
      <c r="AH44" s="78" t="str">
        <f t="shared" si="19"/>
        <v>"%USERPROFILE%\Documents\GitHub\eaglep3\Utilities\RefineRTDCRunTimes.py" --tripid 132-16 --locoid 4015 --swversion DE.1.0.9.0 --startMP 204:232981 --initTime 2017-11-16T08:09:10 --startdatetime 2017-11-16T08:27:17 --delay 55 --endMP 204:234 --enddatetime 2017-11-16T09:05:17 --enforcementcount 0 &gt;&gt;%USERPROFILE%\Documents\GitHub\eaglep3-reporting\EC\2017-11-16-refined-times.txt</v>
      </c>
      <c r="AI44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{"issue":{"subject":"","project_id":79,"tracker_id":40,"status_id":1,"priority_id":2,"assigned_to_id":338,"start_date":"2017-11-16","description":"","custom_fields":[{"id":1,"name":"Subdivision","value":"EC"},{"id":4,"name":"Milepost","value":"0.0234"},{"id":17,"name":"Train ID","value":"132-16"},{"id":16,"name":"Locomotive ID","value":"4015"},{"id":130,"name":"Impact","value":""},{"id":150,"name":"Time of Event (Mountain Time)","value":"09:05:17"},{"id":151,"name":"Denver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1" t="str">
        <f t="shared" si="21"/>
        <v>start /low /b %USERPROFILE%\Documents\GitHub\eaglep3\Utilities\DownloadLogsFromS3.py --loco 4015 --day 2017-11-16</v>
      </c>
      <c r="AN44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7" t="str">
        <f t="shared" si="23"/>
        <v>https://d0f6bd738d7f1b3e5a7ca70fe4ff75f0.us-east-1.aws.found.io/app/kibana#/discover/Steve-Slow-Train-Analysis-(2080s-and-2083s)?_g=(refreshInterval:(display:Off,pause:!f,section:0,value:0),time:(from:'2017-11-16T07:09:10-0700',mode:absolute,to:'2017-11-16T10:05:17-0700'))&amp;_a=(columns:!('Message%20ID',Summary),filters:!(),index:'emp_*',interval:auto,query:(query_string:(analyze_wildcard:!t,query:'%22rtdc.l.rtdc.4015%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726</v>
      </c>
      <c r="B45" s="7">
        <v>4004</v>
      </c>
      <c r="C45" s="21" t="s">
        <v>192</v>
      </c>
      <c r="D45" s="21" t="s">
        <v>554</v>
      </c>
      <c r="E45" s="13">
        <v>43055.320729166669</v>
      </c>
      <c r="F45" s="13">
        <v>43055.323113425926</v>
      </c>
      <c r="G45" s="7">
        <v>62</v>
      </c>
      <c r="H45" s="21" t="s">
        <v>914</v>
      </c>
      <c r="I45" s="13">
        <v>43055.349027777775</v>
      </c>
      <c r="J45" s="7">
        <v>0</v>
      </c>
      <c r="K45" s="89" t="str">
        <f t="shared" si="0"/>
        <v>4003/4004</v>
      </c>
      <c r="L45" s="184" t="str">
        <f>VLOOKUP(A45,'Trips&amp;Operators'!$C$1:$G$99911,5,FALSE)</f>
        <v>SPECTOR MICHAEL</v>
      </c>
      <c r="M45" s="6">
        <f t="shared" si="1"/>
        <v>2.5914351848769002E-2</v>
      </c>
      <c r="N45" s="7">
        <f t="shared" ref="N45:N80" si="24">24*60*SUM($M45:$M45)</f>
        <v>37.316666662227362</v>
      </c>
      <c r="O45" s="7"/>
      <c r="P45" s="7"/>
      <c r="Q45" s="22"/>
      <c r="R45" s="173"/>
      <c r="S45" s="220">
        <f t="shared" ref="S45:S81" si="25">1/IF(AG45="EC",12,1)*SUM(U45:U45)</f>
        <v>1</v>
      </c>
      <c r="T45" s="173" t="str">
        <f t="shared" si="4"/>
        <v>NorthBound</v>
      </c>
      <c r="U45" s="19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5" t="str">
        <f t="shared" si="5"/>
        <v>https://d0f6bd738d7f1b3e5a7ca70fe4ff75f0.us-east-1.aws.found.io/app/kibana#/discover/Steve-Slow-Train-Analysis-(2080s-and-2083s)?_g=(refreshInterval:(display:Off,pause:!f,section:0,value:0),time:(from:'2017-11-16T06:41:51-0700',mode:absolute,to:'2017-11-16T09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5" s="203" t="str">
        <f>IF(AA45&lt;VLOOKUP(AG45,Variables!$AC$3:$AD$8,2,FALSE),"Y","N")</f>
        <v>N</v>
      </c>
      <c r="X45" s="203">
        <f t="shared" ref="X45:X70" si="26">VALUE(LEFT(AD45,4))-VALUE(LEFT(AD44,4))</f>
        <v>1</v>
      </c>
      <c r="Y45" s="203">
        <f t="shared" ref="Y45:Y81" si="27">RIGHT(D45,LEN(D45)-4)/10000</f>
        <v>4.5699999999999998E-2</v>
      </c>
      <c r="Z45" s="203">
        <f t="shared" ref="Z45:Z80" si="28">RIGHT(H45,LEN(H45)-4)/10000</f>
        <v>23.3307</v>
      </c>
      <c r="AA45" s="203">
        <f t="shared" si="9"/>
        <v>23.285</v>
      </c>
      <c r="AB45" s="54" t="e">
        <f>VLOOKUP(A45,Enforcements!$C$7:$K$9,8,0)</f>
        <v>#N/A</v>
      </c>
      <c r="AC45" s="51" t="e">
        <f>VLOOKUP(A45,Enforcements!$C$7:$E$9,3,0)</f>
        <v>#N/A</v>
      </c>
      <c r="AD45" s="178">
        <f t="shared" si="10"/>
        <v>133</v>
      </c>
      <c r="AE45" s="77" t="str">
        <f t="shared" si="11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45" s="74" t="str">
        <f t="shared" si="12"/>
        <v>"C:\Program Files (x86)\AstroGrep\AstroGrep.exe" /e /r /s /spath="%USERPROFILE%\AppData\Local\Temp\OnboardLogs" /stypes="app*4004*20171116*" /stext=" 15:.+((SYSTEM_STATE.+slice.+state.+changed )|(ment ac)|(multiple cpu faults)|(system.+state.+changed )|(\[timeout)|(PRM\|1\|D)|(kpr)|(kdp)|(train st.+moving)|(\|lc)|(penalty))"</v>
      </c>
      <c r="AG45" s="181" t="str">
        <f t="shared" si="13"/>
        <v>EC</v>
      </c>
      <c r="AH45" s="78" t="str">
        <f t="shared" si="19"/>
        <v>"%USERPROFILE%\Documents\GitHub\eaglep3\Utilities\RefineRTDCRunTimes.py" --tripid 133-16 --locoid 4004 --swversion DE.1.0.9.0 --startMP 204:457 --initTime 2017-11-16T07:41:51 --startdatetime 2017-11-16T07:45:17 --delay 62 --endMP 204:233307 --enddatetime 2017-11-16T08:22:36 --enforcementcount 0 &gt;&gt;%USERPROFILE%\Documents\GitHub\eaglep3-reporting\EC\2017-11-16-refined-times.txt</v>
      </c>
      <c r="AI4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{"issue":{"subject":"","project_id":79,"tracker_id":40,"status_id":1,"priority_id":2,"assigned_to_id":338,"start_date":"2017-11-16","description":"","custom_fields":[{"id":1,"name":"Subdivision","value":"EC"},{"id":4,"name":"Milepost","value":"23.3307"},{"id":17,"name":"Train ID","value":"133-16"},{"id":16,"name":"Locomotive ID","value":"4004"},{"id":130,"name":"Impact","value":""},{"id":150,"name":"Time of Event (Mountain Time)","value":"08:22:36"},{"id":151,"name":"Denver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1" t="str">
        <f t="shared" si="21"/>
        <v>start /low /b %USERPROFILE%\Documents\GitHub\eaglep3\Utilities\DownloadLogsFromS3.py --loco 4004 --day 2017-11-16</v>
      </c>
      <c r="AN4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7" t="str">
        <f t="shared" si="23"/>
        <v>https://d0f6bd738d7f1b3e5a7ca70fe4ff75f0.us-east-1.aws.found.io/app/kibana#/discover/Steve-Slow-Train-Analysis-(2080s-and-2083s)?_g=(refreshInterval:(display:Off,pause:!f,section:0,value:0),time:(from:'2017-11-16T06:41:51-0700',mode:absolute,to:'2017-11-16T09:22:36-0700'))&amp;_a=(columns:!('Message%20ID',Summary),filters:!(),index:'emp_*',interval:auto,query:(query_string:(analyze_wildcard:!t,query:'%22rtdc.l.rtdc.4004%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736</v>
      </c>
      <c r="B46" s="7">
        <v>4003</v>
      </c>
      <c r="C46" s="21" t="s">
        <v>192</v>
      </c>
      <c r="D46" s="21" t="s">
        <v>915</v>
      </c>
      <c r="E46" s="13">
        <v>43055.35628472222</v>
      </c>
      <c r="F46" s="13">
        <v>43055.362673611111</v>
      </c>
      <c r="G46" s="7">
        <v>72</v>
      </c>
      <c r="H46" s="21" t="s">
        <v>916</v>
      </c>
      <c r="I46" s="13">
        <v>43055.390462962961</v>
      </c>
      <c r="J46" s="7">
        <v>0</v>
      </c>
      <c r="K46" s="89" t="str">
        <f t="shared" si="0"/>
        <v>4003/4004</v>
      </c>
      <c r="L46" s="184" t="str">
        <f>VLOOKUP(A46,'Trips&amp;Operators'!$C$1:$G$99911,5,FALSE)</f>
        <v>SPECTOR MICHAEL</v>
      </c>
      <c r="M46" s="6">
        <f t="shared" si="1"/>
        <v>2.7789351850515231E-2</v>
      </c>
      <c r="N46" s="7">
        <f t="shared" si="24"/>
        <v>40.016666664741933</v>
      </c>
      <c r="O46" s="7"/>
      <c r="P46" s="7"/>
      <c r="Q46" s="22"/>
      <c r="R46" s="173"/>
      <c r="S46" s="220">
        <f t="shared" si="25"/>
        <v>1</v>
      </c>
      <c r="T46" s="173" t="str">
        <f t="shared" si="4"/>
        <v>Southbound</v>
      </c>
      <c r="U46" s="19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5" t="str">
        <f t="shared" si="5"/>
        <v>https://d0f6bd738d7f1b3e5a7ca70fe4ff75f0.us-east-1.aws.found.io/app/kibana#/discover/Steve-Slow-Train-Analysis-(2080s-and-2083s)?_g=(refreshInterval:(display:Off,pause:!f,section:0,value:0),time:(from:'2017-11-16T07:33:03-0700',mode:absolute,to:'2017-11-16T10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203" t="str">
        <f>IF(AA46&lt;VLOOKUP(AG46,Variables!$AC$3:$AD$8,2,FALSE),"Y","N")</f>
        <v>N</v>
      </c>
      <c r="X46" s="203">
        <f t="shared" si="26"/>
        <v>1</v>
      </c>
      <c r="Y46" s="203">
        <f t="shared" si="27"/>
        <v>23.2988</v>
      </c>
      <c r="Z46" s="203">
        <f t="shared" si="28"/>
        <v>1.34E-2</v>
      </c>
      <c r="AA46" s="203">
        <f t="shared" si="9"/>
        <v>23.285399999999999</v>
      </c>
      <c r="AB46" s="54" t="e">
        <f>VLOOKUP(A46,Enforcements!$C$7:$K$9,8,0)</f>
        <v>#N/A</v>
      </c>
      <c r="AC46" s="51" t="e">
        <f>VLOOKUP(A46,Enforcements!$C$7:$E$9,3,0)</f>
        <v>#N/A</v>
      </c>
      <c r="AD46" s="178">
        <f t="shared" si="10"/>
        <v>134</v>
      </c>
      <c r="AE46" s="77" t="str">
        <f t="shared" si="11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46" s="74" t="str">
        <f t="shared" si="12"/>
        <v>"C:\Program Files (x86)\AstroGrep\AstroGrep.exe" /e /r /s /spath="%USERPROFILE%\AppData\Local\Temp\OnboardLogs" /stypes="app*4003*20171116*" /stext=" 16:.+((SYSTEM_STATE.+slice.+state.+changed )|(ment ac)|(multiple cpu faults)|(system.+state.+changed )|(\[timeout)|(PRM\|1\|D)|(kpr)|(kdp)|(train st.+moving)|(\|lc)|(penalty))"</v>
      </c>
      <c r="AG46" s="181" t="str">
        <f t="shared" si="13"/>
        <v>EC</v>
      </c>
      <c r="AH46" s="78" t="str">
        <f t="shared" si="19"/>
        <v>"%USERPROFILE%\Documents\GitHub\eaglep3\Utilities\RefineRTDCRunTimes.py" --tripid 134-16 --locoid 4003 --swversion DE.1.0.9.0 --startMP 204:232988 --initTime 2017-11-16T08:33:03 --startdatetime 2017-11-16T08:42:15 --delay 72 --endMP 204:134 --enddatetime 2017-11-16T09:22:16 --enforcementcount 0 &gt;&gt;%USERPROFILE%\Documents\GitHub\eaglep3-reporting\EC\2017-11-16-refined-times.txt</v>
      </c>
      <c r="AI4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{"issue":{"subject":"","project_id":79,"tracker_id":40,"status_id":1,"priority_id":2,"assigned_to_id":338,"start_date":"2017-11-16","description":"","custom_fields":[{"id":1,"name":"Subdivision","value":"EC"},{"id":4,"name":"Milepost","value":"0.0134"},{"id":17,"name":"Train ID","value":"134-16"},{"id":16,"name":"Locomotive ID","value":"4003"},{"id":130,"name":"Impact","value":""},{"id":150,"name":"Time of Event (Mountain Time)","value":"09:22:16"},{"id":151,"name":"Denver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1" t="str">
        <f t="shared" si="21"/>
        <v>start /low /b %USERPROFILE%\Documents\GitHub\eaglep3\Utilities\DownloadLogsFromS3.py --loco 4003 --day 2017-11-16</v>
      </c>
      <c r="AN4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7" t="str">
        <f t="shared" si="23"/>
        <v>https://d0f6bd738d7f1b3e5a7ca70fe4ff75f0.us-east-1.aws.found.io/app/kibana#/discover/Steve-Slow-Train-Analysis-(2080s-and-2083s)?_g=(refreshInterval:(display:Off,pause:!f,section:0,value:0),time:(from:'2017-11-16T07:33:03-0700',mode:absolute,to:'2017-11-16T10:22:16-0700'))&amp;_a=(columns:!('Message%20ID',Summary),filters:!(),index:'emp_*',interval:auto,query:(query_string:(analyze_wildcard:!t,query:'%22rtdc.l.rtdc.4003%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728</v>
      </c>
      <c r="B47" s="7">
        <v>4018</v>
      </c>
      <c r="C47" s="21" t="s">
        <v>192</v>
      </c>
      <c r="D47" s="21" t="s">
        <v>917</v>
      </c>
      <c r="E47" s="13">
        <v>43055.329502314817</v>
      </c>
      <c r="F47" s="13">
        <v>43055.334988425922</v>
      </c>
      <c r="G47" s="7">
        <v>57</v>
      </c>
      <c r="H47" s="21" t="s">
        <v>500</v>
      </c>
      <c r="I47" s="13">
        <v>43055.358831018515</v>
      </c>
      <c r="J47" s="7">
        <v>0</v>
      </c>
      <c r="K47" s="89" t="str">
        <f t="shared" si="0"/>
        <v>4017/4018</v>
      </c>
      <c r="L47" s="184" t="str">
        <f>VLOOKUP(A47,'Trips&amp;Operators'!$C$1:$G$99911,5,FALSE)</f>
        <v>GEBRETEKLE DAGNEW</v>
      </c>
      <c r="M47" s="6">
        <f t="shared" si="1"/>
        <v>2.3842592592700385E-2</v>
      </c>
      <c r="N47" s="7">
        <f t="shared" si="24"/>
        <v>34.333333333488554</v>
      </c>
      <c r="O47" s="7"/>
      <c r="P47" s="7"/>
      <c r="Q47" s="22"/>
      <c r="R47" s="173"/>
      <c r="S47" s="220">
        <f t="shared" si="25"/>
        <v>1</v>
      </c>
      <c r="T47" s="173" t="str">
        <f t="shared" si="4"/>
        <v>NorthBound</v>
      </c>
      <c r="U47" s="19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5" t="str">
        <f t="shared" si="5"/>
        <v>https://d0f6bd738d7f1b3e5a7ca70fe4ff75f0.us-east-1.aws.found.io/app/kibana#/discover/Steve-Slow-Train-Analysis-(2080s-and-2083s)?_g=(refreshInterval:(display:Off,pause:!f,section:0,value:0),time:(from:'2017-11-16T06:54:29-0700',mode:absolute,to:'2017-11-16T09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03" t="str">
        <f>IF(AA47&lt;VLOOKUP(AG47,Variables!$AC$3:$AD$8,2,FALSE),"Y","N")</f>
        <v>N</v>
      </c>
      <c r="X47" s="203">
        <f t="shared" si="26"/>
        <v>1</v>
      </c>
      <c r="Y47" s="203">
        <f t="shared" si="27"/>
        <v>0.191</v>
      </c>
      <c r="Z47" s="203">
        <f t="shared" si="28"/>
        <v>23.327999999999999</v>
      </c>
      <c r="AA47" s="203">
        <f t="shared" si="9"/>
        <v>23.137</v>
      </c>
      <c r="AB47" s="54" t="e">
        <f>VLOOKUP(A47,Enforcements!$C$7:$K$9,8,0)</f>
        <v>#N/A</v>
      </c>
      <c r="AC47" s="51" t="e">
        <f>VLOOKUP(A47,Enforcements!$C$7:$E$9,3,0)</f>
        <v>#N/A</v>
      </c>
      <c r="AD47" s="178">
        <f t="shared" si="10"/>
        <v>135</v>
      </c>
      <c r="AE47" s="77" t="str">
        <f t="shared" si="11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47" s="74" t="str">
        <f t="shared" si="12"/>
        <v>"C:\Program Files (x86)\AstroGrep\AstroGrep.exe" /e /r /s /spath="%USERPROFILE%\AppData\Local\Temp\OnboardLogs" /stypes="app*4018*20171116*" /stext=" 15:.+((SYSTEM_STATE.+slice.+state.+changed )|(ment ac)|(multiple cpu faults)|(system.+state.+changed )|(\[timeout)|(PRM\|1\|D)|(kpr)|(kdp)|(train st.+moving)|(\|lc)|(penalty))"</v>
      </c>
      <c r="AG47" s="181" t="str">
        <f t="shared" si="13"/>
        <v>EC</v>
      </c>
      <c r="AH47" s="78" t="str">
        <f t="shared" si="19"/>
        <v>"%USERPROFILE%\Documents\GitHub\eaglep3\Utilities\RefineRTDCRunTimes.py" --tripid 135-16 --locoid 4018 --swversion DE.1.0.9.0 --startMP 204:1910 --initTime 2017-11-16T07:54:29 --startdatetime 2017-11-16T08:02:23 --delay 57 --endMP 204:233280 --enddatetime 2017-11-16T08:36:43 --enforcementcount 0 &gt;&gt;%USERPROFILE%\Documents\GitHub\eaglep3-reporting\EC\2017-11-16-refined-times.txt</v>
      </c>
      <c r="AI47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{"issue":{"subject":"","project_id":79,"tracker_id":40,"status_id":1,"priority_id":2,"assigned_to_id":338,"start_date":"2017-11-16","description":"","custom_fields":[{"id":1,"name":"Subdivision","value":"EC"},{"id":4,"name":"Milepost","value":"23.328"},{"id":17,"name":"Train ID","value":"135-16"},{"id":16,"name":"Locomotive ID","value":"4018"},{"id":130,"name":"Impact","value":""},{"id":150,"name":"Time of Event (Mountain Time)","value":"08:36:43"},{"id":151,"name":"Denver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1" t="str">
        <f t="shared" si="21"/>
        <v>start /low /b %USERPROFILE%\Documents\GitHub\eaglep3\Utilities\DownloadLogsFromS3.py --loco 4018 --day 2017-11-16</v>
      </c>
      <c r="AN47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7" t="str">
        <f t="shared" si="23"/>
        <v>https://d0f6bd738d7f1b3e5a7ca70fe4ff75f0.us-east-1.aws.found.io/app/kibana#/discover/Steve-Slow-Train-Analysis-(2080s-and-2083s)?_g=(refreshInterval:(display:Off,pause:!f,section:0,value:0),time:(from:'2017-11-16T06:54:29-0700',mode:absolute,to:'2017-11-16T09:36:43-0700'))&amp;_a=(columns:!('Message%20ID',Summary),filters:!(),index:'emp_*',interval:auto,query:(query_string:(analyze_wildcard:!t,query:'%22rtdc.l.rtdc.4018%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738</v>
      </c>
      <c r="B48" s="7">
        <v>4017</v>
      </c>
      <c r="C48" s="21" t="s">
        <v>192</v>
      </c>
      <c r="D48" s="21" t="s">
        <v>918</v>
      </c>
      <c r="E48" s="13">
        <v>43055.360810185186</v>
      </c>
      <c r="F48" s="13">
        <v>43055.373090277775</v>
      </c>
      <c r="G48" s="7">
        <v>47</v>
      </c>
      <c r="H48" s="21" t="s">
        <v>919</v>
      </c>
      <c r="I48" s="13">
        <v>43055.398113425923</v>
      </c>
      <c r="J48" s="7">
        <v>0</v>
      </c>
      <c r="K48" s="89" t="str">
        <f t="shared" si="0"/>
        <v>4017/4018</v>
      </c>
      <c r="L48" s="184" t="str">
        <f>VLOOKUP(A48,'Trips&amp;Operators'!$C$1:$G$99911,5,FALSE)</f>
        <v>GEBRETEKLE DAGNEW</v>
      </c>
      <c r="M48" s="6">
        <f t="shared" si="1"/>
        <v>2.5023148147738539E-2</v>
      </c>
      <c r="N48" s="7">
        <f t="shared" si="24"/>
        <v>36.033333332743496</v>
      </c>
      <c r="O48" s="7"/>
      <c r="P48" s="7"/>
      <c r="Q48" s="22"/>
      <c r="R48" s="173"/>
      <c r="S48" s="220">
        <f t="shared" si="25"/>
        <v>1</v>
      </c>
      <c r="T48" s="173" t="str">
        <f t="shared" si="4"/>
        <v>Southbound</v>
      </c>
      <c r="U48" s="19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5" t="str">
        <f t="shared" si="5"/>
        <v>https://d0f6bd738d7f1b3e5a7ca70fe4ff75f0.us-east-1.aws.found.io/app/kibana#/discover/Steve-Slow-Train-Analysis-(2080s-and-2083s)?_g=(refreshInterval:(display:Off,pause:!f,section:0,value:0),time:(from:'2017-11-16T07:39:34-0700',mode:absolute,to:'2017-11-16T10:33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03" t="str">
        <f>IF(AA48&lt;VLOOKUP(AG48,Variables!$AC$3:$AD$8,2,FALSE),"Y","N")</f>
        <v>N</v>
      </c>
      <c r="X48" s="203">
        <f t="shared" si="26"/>
        <v>1</v>
      </c>
      <c r="Y48" s="203">
        <f t="shared" si="27"/>
        <v>23.296199999999999</v>
      </c>
      <c r="Z48" s="203">
        <f t="shared" si="28"/>
        <v>1.72E-2</v>
      </c>
      <c r="AA48" s="203">
        <f t="shared" si="9"/>
        <v>23.279</v>
      </c>
      <c r="AB48" s="54" t="e">
        <f>VLOOKUP(A48,Enforcements!$C$7:$K$9,8,0)</f>
        <v>#N/A</v>
      </c>
      <c r="AC48" s="51" t="e">
        <f>VLOOKUP(A48,Enforcements!$C$7:$E$9,3,0)</f>
        <v>#N/A</v>
      </c>
      <c r="AD48" s="178">
        <f t="shared" si="10"/>
        <v>136</v>
      </c>
      <c r="AE48" s="77" t="str">
        <f t="shared" si="11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48" s="74" t="str">
        <f t="shared" si="12"/>
        <v>"C:\Program Files (x86)\AstroGrep\AstroGrep.exe" /e /r /s /spath="%USERPROFILE%\AppData\Local\Temp\OnboardLogs" /stypes="app*4017*20171116*" /stext=" 16:.+((SYSTEM_STATE.+slice.+state.+changed )|(ment ac)|(multiple cpu faults)|(system.+state.+changed )|(\[timeout)|(PRM\|1\|D)|(kpr)|(kdp)|(train st.+moving)|(\|lc)|(penalty))"</v>
      </c>
      <c r="AG48" s="181" t="str">
        <f t="shared" si="13"/>
        <v>EC</v>
      </c>
      <c r="AH48" s="78" t="str">
        <f t="shared" si="19"/>
        <v>"%USERPROFILE%\Documents\GitHub\eaglep3\Utilities\RefineRTDCRunTimes.py" --tripid 136-16 --locoid 4017 --swversion DE.1.0.9.0 --startMP 204:232962 --initTime 2017-11-16T08:39:34 --startdatetime 2017-11-16T08:57:15 --delay 47 --endMP 204:172 --enddatetime 2017-11-16T09:33:17 --enforcementcount 0 &gt;&gt;%USERPROFILE%\Documents\GitHub\eaglep3-reporting\EC\2017-11-16-refined-times.txt</v>
      </c>
      <c r="AI48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{"issue":{"subject":"","project_id":79,"tracker_id":40,"status_id":1,"priority_id":2,"assigned_to_id":338,"start_date":"2017-11-16","description":"","custom_fields":[{"id":1,"name":"Subdivision","value":"EC"},{"id":4,"name":"Milepost","value":"0.0172"},{"id":17,"name":"Train ID","value":"136-16"},{"id":16,"name":"Locomotive ID","value":"4017"},{"id":130,"name":"Impact","value":""},{"id":150,"name":"Time of Event (Mountain Time)","value":"09:33:17"},{"id":151,"name":"Denver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1" t="str">
        <f t="shared" si="21"/>
        <v>start /low /b %USERPROFILE%\Documents\GitHub\eaglep3\Utilities\DownloadLogsFromS3.py --loco 4017 --day 2017-11-16</v>
      </c>
      <c r="AN48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7" t="str">
        <f t="shared" si="23"/>
        <v>https://d0f6bd738d7f1b3e5a7ca70fe4ff75f0.us-east-1.aws.found.io/app/kibana#/discover/Steve-Slow-Train-Analysis-(2080s-and-2083s)?_g=(refreshInterval:(display:Off,pause:!f,section:0,value:0),time:(from:'2017-11-16T07:39:34-0700',mode:absolute,to:'2017-11-16T10:33:17-0700'))&amp;_a=(columns:!('Message%20ID',Summary),filters:!(),index:'emp_*',interval:auto,query:(query_string:(analyze_wildcard:!t,query:'%22rtdc.l.rtdc.4017%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732</v>
      </c>
      <c r="B49" s="7">
        <v>4052</v>
      </c>
      <c r="C49" s="21" t="s">
        <v>192</v>
      </c>
      <c r="D49" s="21" t="s">
        <v>527</v>
      </c>
      <c r="E49" s="13">
        <v>43055.340231481481</v>
      </c>
      <c r="F49" s="13">
        <v>43055.343923611108</v>
      </c>
      <c r="G49" s="7">
        <v>76</v>
      </c>
      <c r="H49" s="21" t="s">
        <v>495</v>
      </c>
      <c r="I49" s="13">
        <v>43055.368483796294</v>
      </c>
      <c r="J49" s="7">
        <v>0</v>
      </c>
      <c r="K49" s="89" t="str">
        <f t="shared" si="0"/>
        <v>4051/4052</v>
      </c>
      <c r="L49" s="184" t="str">
        <f>VLOOKUP(A49,'Trips&amp;Operators'!$C$1:$G$99911,5,FALSE)</f>
        <v>WILLIAMS DONTE</v>
      </c>
      <c r="M49" s="6">
        <f t="shared" si="1"/>
        <v>2.4560185185691807E-2</v>
      </c>
      <c r="N49" s="7">
        <f t="shared" si="24"/>
        <v>35.366666667396203</v>
      </c>
      <c r="O49" s="7"/>
      <c r="P49" s="7"/>
      <c r="Q49" s="22"/>
      <c r="R49" s="173"/>
      <c r="S49" s="220">
        <f t="shared" si="25"/>
        <v>1</v>
      </c>
      <c r="T49" s="173" t="str">
        <f t="shared" si="4"/>
        <v>NorthBound</v>
      </c>
      <c r="U49" s="19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5" t="str">
        <f t="shared" si="5"/>
        <v>https://d0f6bd738d7f1b3e5a7ca70fe4ff75f0.us-east-1.aws.found.io/app/kibana#/discover/Steve-Slow-Train-Analysis-(2080s-and-2083s)?_g=(refreshInterval:(display:Off,pause:!f,section:0,value:0),time:(from:'2017-11-16T07:09:56-0700',mode:absolute,to:'2017-11-16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9" s="203" t="str">
        <f>IF(AA49&lt;VLOOKUP(AG49,Variables!$AC$3:$AD$8,2,FALSE),"Y","N")</f>
        <v>N</v>
      </c>
      <c r="X49" s="203">
        <f t="shared" si="26"/>
        <v>1</v>
      </c>
      <c r="Y49" s="203">
        <f t="shared" si="27"/>
        <v>4.8899999999999999E-2</v>
      </c>
      <c r="Z49" s="203">
        <f t="shared" si="28"/>
        <v>23.325099999999999</v>
      </c>
      <c r="AA49" s="203">
        <f t="shared" si="9"/>
        <v>23.276199999999999</v>
      </c>
      <c r="AB49" s="54" t="e">
        <f>VLOOKUP(A49,Enforcements!$C$7:$K$9,8,0)</f>
        <v>#N/A</v>
      </c>
      <c r="AC49" s="51" t="e">
        <f>VLOOKUP(A49,Enforcements!$C$7:$E$9,3,0)</f>
        <v>#N/A</v>
      </c>
      <c r="AD49" s="178">
        <f t="shared" si="10"/>
        <v>137</v>
      </c>
      <c r="AE49" s="77" t="str">
        <f t="shared" si="11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49" s="74" t="str">
        <f t="shared" si="12"/>
        <v>"C:\Program Files (x86)\AstroGrep\AstroGrep.exe" /e /r /s /spath="%USERPROFILE%\AppData\Local\Temp\OnboardLogs" /stypes="app*4052*20171116*" /stext=" 15:.+((SYSTEM_STATE.+slice.+state.+changed )|(ment ac)|(multiple cpu faults)|(system.+state.+changed )|(\[timeout)|(PRM\|1\|D)|(kpr)|(kdp)|(train st.+moving)|(\|lc)|(penalty))"</v>
      </c>
      <c r="AG49" s="181" t="str">
        <f t="shared" si="13"/>
        <v>EC</v>
      </c>
      <c r="AH49" s="78" t="str">
        <f t="shared" si="19"/>
        <v>"%USERPROFILE%\Documents\GitHub\eaglep3\Utilities\RefineRTDCRunTimes.py" --tripid 137-16 --locoid 4052 --swversion DE.1.0.9.0 --startMP 204:489 --initTime 2017-11-16T08:09:56 --startdatetime 2017-11-16T08:15:15 --delay 76 --endMP 204:233251 --enddatetime 2017-11-16T08:50:37 --enforcementcount 0 &gt;&gt;%USERPROFILE%\Documents\GitHub\eaglep3-reporting\EC\2017-11-16-refined-times.txt</v>
      </c>
      <c r="AI49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{"issue":{"subject":"","project_id":79,"tracker_id":40,"status_id":1,"priority_id":2,"assigned_to_id":338,"start_date":"2017-11-16","description":"","custom_fields":[{"id":1,"name":"Subdivision","value":"EC"},{"id":4,"name":"Milepost","value":"23.3251"},{"id":17,"name":"Train ID","value":"137-16"},{"id":16,"name":"Locomotive ID","value":"4052"},{"id":130,"name":"Impact","value":""},{"id":150,"name":"Time of Event (Mountain Time)","value":"08:50:37"},{"id":151,"name":"Denver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1" t="str">
        <f t="shared" si="21"/>
        <v>start /low /b %USERPROFILE%\Documents\GitHub\eaglep3\Utilities\DownloadLogsFromS3.py --loco 4052 --day 2017-11-16</v>
      </c>
      <c r="AN49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7" t="str">
        <f t="shared" si="23"/>
        <v>https://d0f6bd738d7f1b3e5a7ca70fe4ff75f0.us-east-1.aws.found.io/app/kibana#/discover/Steve-Slow-Train-Analysis-(2080s-and-2083s)?_g=(refreshInterval:(display:Off,pause:!f,section:0,value:0),time:(from:'2017-11-16T07:09:56-0700',mode:absolute,to:'2017-11-16T09:50:37-0700'))&amp;_a=(columns:!('Message%20ID',Summary),filters:!(),index:'emp_*',interval:auto,query:(query_string:(analyze_wildcard:!t,query:'%22rtdc.l.rtdc.4052%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741</v>
      </c>
      <c r="B50" s="7">
        <v>4051</v>
      </c>
      <c r="C50" s="21" t="s">
        <v>192</v>
      </c>
      <c r="D50" s="21" t="s">
        <v>920</v>
      </c>
      <c r="E50" s="13">
        <v>43055.379074074073</v>
      </c>
      <c r="F50" s="13">
        <v>43055.383506944447</v>
      </c>
      <c r="G50" s="7">
        <v>81</v>
      </c>
      <c r="H50" s="21" t="s">
        <v>624</v>
      </c>
      <c r="I50" s="13">
        <v>43055.410868055558</v>
      </c>
      <c r="J50" s="7">
        <v>0</v>
      </c>
      <c r="K50" s="89" t="str">
        <f t="shared" si="0"/>
        <v>4051/4052</v>
      </c>
      <c r="L50" s="184" t="str">
        <f>VLOOKUP(A50,'Trips&amp;Operators'!$C$1:$G$99911,5,FALSE)</f>
        <v>WILLIAMS DONTE</v>
      </c>
      <c r="M50" s="6">
        <f t="shared" si="1"/>
        <v>2.73611111115315E-2</v>
      </c>
      <c r="N50" s="7">
        <f t="shared" si="24"/>
        <v>39.40000000060536</v>
      </c>
      <c r="O50" s="7"/>
      <c r="P50" s="7"/>
      <c r="Q50" s="22"/>
      <c r="R50" s="173"/>
      <c r="S50" s="220">
        <f t="shared" si="25"/>
        <v>1</v>
      </c>
      <c r="T50" s="173" t="str">
        <f t="shared" si="4"/>
        <v>Southbound</v>
      </c>
      <c r="U50" s="19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5" t="str">
        <f t="shared" si="5"/>
        <v>https://d0f6bd738d7f1b3e5a7ca70fe4ff75f0.us-east-1.aws.found.io/app/kibana#/discover/Steve-Slow-Train-Analysis-(2080s-and-2083s)?_g=(refreshInterval:(display:Off,pause:!f,section:0,value:0),time:(from:'2017-11-16T08:05:52-0700',mode:absolute,to:'2017-11-16T10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0" s="203" t="str">
        <f>IF(AA50&lt;VLOOKUP(AG50,Variables!$AC$3:$AD$8,2,FALSE),"Y","N")</f>
        <v>N</v>
      </c>
      <c r="X50" s="203">
        <f t="shared" si="26"/>
        <v>1</v>
      </c>
      <c r="Y50" s="203">
        <f t="shared" si="27"/>
        <v>23.294</v>
      </c>
      <c r="Z50" s="203">
        <f t="shared" si="28"/>
        <v>1.8700000000000001E-2</v>
      </c>
      <c r="AA50" s="203">
        <f t="shared" si="9"/>
        <v>23.275300000000001</v>
      </c>
      <c r="AB50" s="54" t="e">
        <f>VLOOKUP(A50,Enforcements!$C$7:$K$9,8,0)</f>
        <v>#N/A</v>
      </c>
      <c r="AC50" s="51" t="e">
        <f>VLOOKUP(A50,Enforcements!$C$7:$E$9,3,0)</f>
        <v>#N/A</v>
      </c>
      <c r="AD50" s="178">
        <f t="shared" si="10"/>
        <v>138</v>
      </c>
      <c r="AE50" s="77" t="str">
        <f t="shared" si="11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50" s="74" t="str">
        <f t="shared" si="12"/>
        <v>"C:\Program Files (x86)\AstroGrep\AstroGrep.exe" /e /r /s /spath="%USERPROFILE%\AppData\Local\Temp\OnboardLogs" /stypes="app*4051*20171116*" /stext=" 16:.+((SYSTEM_STATE.+slice.+state.+changed )|(ment ac)|(multiple cpu faults)|(system.+state.+changed )|(\[timeout)|(PRM\|1\|D)|(kpr)|(kdp)|(train st.+moving)|(\|lc)|(penalty))"</v>
      </c>
      <c r="AG50" s="181" t="str">
        <f t="shared" si="13"/>
        <v>EC</v>
      </c>
      <c r="AH50" s="78" t="str">
        <f t="shared" si="19"/>
        <v>"%USERPROFILE%\Documents\GitHub\eaglep3\Utilities\RefineRTDCRunTimes.py" --tripid 138-16 --locoid 4051 --swversion DE.1.0.9.0 --startMP 204:232940 --initTime 2017-11-16T09:05:52 --startdatetime 2017-11-16T09:12:15 --delay 81 --endMP 204:187 --enddatetime 2017-11-16T09:51:39 --enforcementcount 0 &gt;&gt;%USERPROFILE%\Documents\GitHub\eaglep3-reporting\EC\2017-11-16-refined-times.txt</v>
      </c>
      <c r="AI50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{"issue":{"subject":"","project_id":79,"tracker_id":40,"status_id":1,"priority_id":2,"assigned_to_id":338,"start_date":"2017-11-16","description":"","custom_fields":[{"id":1,"name":"Subdivision","value":"EC"},{"id":4,"name":"Milepost","value":"0.0187"},{"id":17,"name":"Train ID","value":"138-16"},{"id":16,"name":"Locomotive ID","value":"4051"},{"id":130,"name":"Impact","value":""},{"id":150,"name":"Time of Event (Mountain Time)","value":"09:51:39"},{"id":151,"name":"Denver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1" t="str">
        <f t="shared" si="21"/>
        <v>start /low /b %USERPROFILE%\Documents\GitHub\eaglep3\Utilities\DownloadLogsFromS3.py --loco 4051 --day 2017-11-16</v>
      </c>
      <c r="AN50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7" t="str">
        <f t="shared" si="23"/>
        <v>https://d0f6bd738d7f1b3e5a7ca70fe4ff75f0.us-east-1.aws.found.io/app/kibana#/discover/Steve-Slow-Train-Analysis-(2080s-and-2083s)?_g=(refreshInterval:(display:Off,pause:!f,section:0,value:0),time:(from:'2017-11-16T08:05:52-0700',mode:absolute,to:'2017-11-16T10:51:39-0700'))&amp;_a=(columns:!('Message%20ID',Summary),filters:!(),index:'emp_*',interval:auto,query:(query_string:(analyze_wildcard:!t,query:'%22rtdc.l.rtdc.4051%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733</v>
      </c>
      <c r="B51" s="7">
        <v>4002</v>
      </c>
      <c r="C51" s="21" t="s">
        <v>192</v>
      </c>
      <c r="D51" s="21" t="s">
        <v>921</v>
      </c>
      <c r="E51" s="13">
        <v>43055.348391203705</v>
      </c>
      <c r="F51" s="13">
        <v>43055.354375000003</v>
      </c>
      <c r="G51" s="7">
        <v>44</v>
      </c>
      <c r="H51" s="21" t="s">
        <v>458</v>
      </c>
      <c r="I51" s="13">
        <v>43055.378969907404</v>
      </c>
      <c r="J51" s="7">
        <v>0</v>
      </c>
      <c r="K51" s="89" t="str">
        <f t="shared" si="0"/>
        <v>4001/4002</v>
      </c>
      <c r="L51" s="184" t="str">
        <f>VLOOKUP(A51,'Trips&amp;Operators'!$C$1:$G$99911,5,FALSE)</f>
        <v>YORK EDGAR</v>
      </c>
      <c r="M51" s="6">
        <f t="shared" si="1"/>
        <v>2.4594907401478849E-2</v>
      </c>
      <c r="N51" s="7">
        <f t="shared" si="24"/>
        <v>35.416666658129543</v>
      </c>
      <c r="O51" s="7"/>
      <c r="P51" s="7"/>
      <c r="Q51" s="22"/>
      <c r="R51" s="173"/>
      <c r="S51" s="220">
        <f t="shared" si="25"/>
        <v>1</v>
      </c>
      <c r="T51" s="173" t="str">
        <f t="shared" si="4"/>
        <v>NorthBound</v>
      </c>
      <c r="U51" s="19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5" t="str">
        <f t="shared" si="5"/>
        <v>https://d0f6bd738d7f1b3e5a7ca70fe4ff75f0.us-east-1.aws.found.io/app/kibana#/discover/Steve-Slow-Train-Analysis-(2080s-and-2083s)?_g=(refreshInterval:(display:Off,pause:!f,section:0,value:0),time:(from:'2017-11-16T07:21:41-0700',mode:absolute,to:'2017-11-16T10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03" t="str">
        <f>IF(AA51&lt;VLOOKUP(AG51,Variables!$AC$3:$AD$8,2,FALSE),"Y","N")</f>
        <v>N</v>
      </c>
      <c r="X51" s="203">
        <f t="shared" si="26"/>
        <v>1</v>
      </c>
      <c r="Y51" s="203">
        <f t="shared" si="27"/>
        <v>4.7100000000000003E-2</v>
      </c>
      <c r="Z51" s="203">
        <f t="shared" si="28"/>
        <v>23.3276</v>
      </c>
      <c r="AA51" s="203">
        <f t="shared" si="9"/>
        <v>23.2805</v>
      </c>
      <c r="AB51" s="54" t="e">
        <f>VLOOKUP(A51,Enforcements!$C$7:$K$9,8,0)</f>
        <v>#N/A</v>
      </c>
      <c r="AC51" s="51" t="e">
        <f>VLOOKUP(A51,Enforcements!$C$7:$E$9,3,0)</f>
        <v>#N/A</v>
      </c>
      <c r="AD51" s="178">
        <f t="shared" si="10"/>
        <v>139</v>
      </c>
      <c r="AE51" s="77" t="str">
        <f t="shared" si="11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51" s="74" t="str">
        <f t="shared" si="12"/>
        <v>"C:\Program Files (x86)\AstroGrep\AstroGrep.exe" /e /r /s /spath="%USERPROFILE%\AppData\Local\Temp\OnboardLogs" /stypes="app*4002*20171116*" /stext=" 16:.+((SYSTEM_STATE.+slice.+state.+changed )|(ment ac)|(multiple cpu faults)|(system.+state.+changed )|(\[timeout)|(PRM\|1\|D)|(kpr)|(kdp)|(train st.+moving)|(\|lc)|(penalty))"</v>
      </c>
      <c r="AG51" s="181" t="str">
        <f t="shared" si="13"/>
        <v>EC</v>
      </c>
      <c r="AH51" s="78" t="str">
        <f t="shared" si="19"/>
        <v>"%USERPROFILE%\Documents\GitHub\eaglep3\Utilities\RefineRTDCRunTimes.py" --tripid 139-16 --locoid 4002 --swversion DE.1.0.9.0 --startMP 204:471 --initTime 2017-11-16T08:21:41 --startdatetime 2017-11-16T08:30:18 --delay 44 --endMP 204:233276 --enddatetime 2017-11-16T09:05:43 --enforcementcount 0 &gt;&gt;%USERPROFILE%\Documents\GitHub\eaglep3-reporting\EC\2017-11-16-refined-times.txt</v>
      </c>
      <c r="AI51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{"issue":{"subject":"","project_id":79,"tracker_id":40,"status_id":1,"priority_id":2,"assigned_to_id":338,"start_date":"2017-11-16","description":"","custom_fields":[{"id":1,"name":"Subdivision","value":"EC"},{"id":4,"name":"Milepost","value":"23.3276"},{"id":17,"name":"Train ID","value":"139-16"},{"id":16,"name":"Locomotive ID","value":"4002"},{"id":130,"name":"Impact","value":""},{"id":150,"name":"Time of Event (Mountain Time)","value":"09:05:43"},{"id":151,"name":"Denver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1" t="str">
        <f t="shared" si="21"/>
        <v>start /low /b %USERPROFILE%\Documents\GitHub\eaglep3\Utilities\DownloadLogsFromS3.py --loco 4002 --day 2017-11-16</v>
      </c>
      <c r="AN51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7" t="str">
        <f t="shared" si="23"/>
        <v>https://d0f6bd738d7f1b3e5a7ca70fe4ff75f0.us-east-1.aws.found.io/app/kibana#/discover/Steve-Slow-Train-Analysis-(2080s-and-2083s)?_g=(refreshInterval:(display:Off,pause:!f,section:0,value:0),time:(from:'2017-11-16T07:21:41-0700',mode:absolute,to:'2017-11-16T10:05:43-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742</v>
      </c>
      <c r="B52" s="7">
        <v>4001</v>
      </c>
      <c r="C52" s="21" t="s">
        <v>192</v>
      </c>
      <c r="D52" s="21" t="s">
        <v>610</v>
      </c>
      <c r="E52" s="13">
        <v>43055.380104166667</v>
      </c>
      <c r="F52" s="13">
        <v>43055.393935185188</v>
      </c>
      <c r="G52" s="7">
        <v>51</v>
      </c>
      <c r="H52" s="21" t="s">
        <v>521</v>
      </c>
      <c r="I52" s="13">
        <v>43055.418900462966</v>
      </c>
      <c r="J52" s="7">
        <v>0</v>
      </c>
      <c r="K52" s="89" t="str">
        <f t="shared" si="0"/>
        <v>4001/4002</v>
      </c>
      <c r="L52" s="184" t="str">
        <f>VLOOKUP(A52,'Trips&amp;Operators'!$C$1:$G$99911,5,FALSE)</f>
        <v>YORK EDGAR</v>
      </c>
      <c r="M52" s="6">
        <f t="shared" si="1"/>
        <v>2.4965277778392192E-2</v>
      </c>
      <c r="N52" s="7">
        <f t="shared" si="24"/>
        <v>35.950000000884756</v>
      </c>
      <c r="O52" s="7"/>
      <c r="P52" s="7"/>
      <c r="Q52" s="22"/>
      <c r="R52" s="173"/>
      <c r="S52" s="220">
        <f t="shared" si="25"/>
        <v>1</v>
      </c>
      <c r="T52" s="173" t="str">
        <f t="shared" si="4"/>
        <v>Southbound</v>
      </c>
      <c r="U52" s="19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5" t="str">
        <f t="shared" si="5"/>
        <v>https://d0f6bd738d7f1b3e5a7ca70fe4ff75f0.us-east-1.aws.found.io/app/kibana#/discover/Steve-Slow-Train-Analysis-(2080s-and-2083s)?_g=(refreshInterval:(display:Off,pause:!f,section:0,value:0),time:(from:'2017-11-16T08:07:21-0700',mode:absolute,to:'2017-11-16T11:03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03" t="str">
        <f>IF(AA52&lt;VLOOKUP(AG52,Variables!$AC$3:$AD$8,2,FALSE),"Y","N")</f>
        <v>N</v>
      </c>
      <c r="X52" s="203">
        <f t="shared" si="26"/>
        <v>1</v>
      </c>
      <c r="Y52" s="203">
        <f t="shared" si="27"/>
        <v>23.296800000000001</v>
      </c>
      <c r="Z52" s="203">
        <f t="shared" si="28"/>
        <v>1.5800000000000002E-2</v>
      </c>
      <c r="AA52" s="203">
        <f t="shared" si="9"/>
        <v>23.281000000000002</v>
      </c>
      <c r="AB52" s="54" t="e">
        <f>VLOOKUP(A52,Enforcements!$C$7:$K$9,8,0)</f>
        <v>#N/A</v>
      </c>
      <c r="AC52" s="51" t="e">
        <f>VLOOKUP(A52,Enforcements!$C$7:$E$9,3,0)</f>
        <v>#N/A</v>
      </c>
      <c r="AD52" s="178">
        <f t="shared" si="10"/>
        <v>140</v>
      </c>
      <c r="AE52" s="77" t="str">
        <f t="shared" si="11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52" s="74" t="str">
        <f t="shared" si="12"/>
        <v>"C:\Program Files (x86)\AstroGrep\AstroGrep.exe" /e /r /s /spath="%USERPROFILE%\AppData\Local\Temp\OnboardLogs" /stypes="app*4001*20171116*" /stext=" 17:.+((SYSTEM_STATE.+slice.+state.+changed )|(ment ac)|(multiple cpu faults)|(system.+state.+changed )|(\[timeout)|(PRM\|1\|D)|(kpr)|(kdp)|(train st.+moving)|(\|lc)|(penalty))"</v>
      </c>
      <c r="AG52" s="181" t="str">
        <f t="shared" si="13"/>
        <v>EC</v>
      </c>
      <c r="AH52" s="78" t="str">
        <f t="shared" si="19"/>
        <v>"%USERPROFILE%\Documents\GitHub\eaglep3\Utilities\RefineRTDCRunTimes.py" --tripid 140-16 --locoid 4001 --swversion DE.1.0.9.0 --startMP 204:232968 --initTime 2017-11-16T09:07:21 --startdatetime 2017-11-16T09:27:16 --delay 51 --endMP 204:158 --enddatetime 2017-11-16T10:03:13 --enforcementcount 0 &gt;&gt;%USERPROFILE%\Documents\GitHub\eaglep3-reporting\EC\2017-11-16-refined-times.txt</v>
      </c>
      <c r="AI52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{"issue":{"subject":"","project_id":79,"tracker_id":40,"status_id":1,"priority_id":2,"assigned_to_id":338,"start_date":"2017-11-16","description":"","custom_fields":[{"id":1,"name":"Subdivision","value":"EC"},{"id":4,"name":"Milepost","value":"0.0158"},{"id":17,"name":"Train ID","value":"140-16"},{"id":16,"name":"Locomotive ID","value":"4001"},{"id":130,"name":"Impact","value":""},{"id":150,"name":"Time of Event (Mountain Time)","value":"10:03:13"},{"id":151,"name":"Denver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1" t="str">
        <f t="shared" si="21"/>
        <v>start /low /b %USERPROFILE%\Documents\GitHub\eaglep3\Utilities\DownloadLogsFromS3.py --loco 4001 --day 2017-11-16</v>
      </c>
      <c r="AN52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7" t="str">
        <f t="shared" si="23"/>
        <v>https://d0f6bd738d7f1b3e5a7ca70fe4ff75f0.us-east-1.aws.found.io/app/kibana#/discover/Steve-Slow-Train-Analysis-(2080s-and-2083s)?_g=(refreshInterval:(display:Off,pause:!f,section:0,value:0),time:(from:'2017-11-16T08:07:21-0700',mode:absolute,to:'2017-11-16T11:03:13-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737</v>
      </c>
      <c r="B53" s="7">
        <v>4062</v>
      </c>
      <c r="C53" s="21" t="s">
        <v>192</v>
      </c>
      <c r="D53" s="21" t="s">
        <v>565</v>
      </c>
      <c r="E53" s="13">
        <v>43055.359456018516</v>
      </c>
      <c r="F53" s="13">
        <v>43055.364733796298</v>
      </c>
      <c r="G53" s="7">
        <v>60</v>
      </c>
      <c r="H53" s="21" t="s">
        <v>922</v>
      </c>
      <c r="I53" s="13">
        <v>43055.38853009259</v>
      </c>
      <c r="J53" s="7">
        <v>0</v>
      </c>
      <c r="K53" s="89" t="str">
        <f t="shared" si="0"/>
        <v>4061/4062</v>
      </c>
      <c r="L53" s="184" t="str">
        <f>VLOOKUP(A53,'Trips&amp;Operators'!$C$1:$G$99911,5,FALSE)</f>
        <v>YANAI IAN</v>
      </c>
      <c r="M53" s="6">
        <f t="shared" si="1"/>
        <v>2.3796296292857733E-2</v>
      </c>
      <c r="N53" s="7">
        <f t="shared" si="24"/>
        <v>34.266666661715135</v>
      </c>
      <c r="O53" s="7"/>
      <c r="P53" s="7"/>
      <c r="Q53" s="22"/>
      <c r="R53" s="173"/>
      <c r="S53" s="220">
        <f t="shared" si="25"/>
        <v>1</v>
      </c>
      <c r="T53" s="173" t="str">
        <f t="shared" si="4"/>
        <v>NorthBound</v>
      </c>
      <c r="U53" s="19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5" t="str">
        <f t="shared" si="5"/>
        <v>https://d0f6bd738d7f1b3e5a7ca70fe4ff75f0.us-east-1.aws.found.io/app/kibana#/discover/Steve-Slow-Train-Analysis-(2080s-and-2083s)?_g=(refreshInterval:(display:Off,pause:!f,section:0,value:0),time:(from:'2017-11-16T07:37:37-0700',mode:absolute,to:'2017-11-16T10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3" s="203" t="str">
        <f>IF(AA53&lt;VLOOKUP(AG53,Variables!$AC$3:$AD$8,2,FALSE),"Y","N")</f>
        <v>N</v>
      </c>
      <c r="X53" s="203">
        <f t="shared" si="26"/>
        <v>1</v>
      </c>
      <c r="Y53" s="203">
        <f t="shared" si="27"/>
        <v>5.2900000000000003E-2</v>
      </c>
      <c r="Z53" s="203">
        <f t="shared" si="28"/>
        <v>23.328900000000001</v>
      </c>
      <c r="AA53" s="203">
        <f t="shared" si="9"/>
        <v>23.276</v>
      </c>
      <c r="AB53" s="54" t="e">
        <f>VLOOKUP(A53,Enforcements!$C$7:$K$9,8,0)</f>
        <v>#N/A</v>
      </c>
      <c r="AC53" s="51" t="e">
        <f>VLOOKUP(A53,Enforcements!$C$7:$E$9,3,0)</f>
        <v>#N/A</v>
      </c>
      <c r="AD53" s="178">
        <f t="shared" si="10"/>
        <v>141</v>
      </c>
      <c r="AE53" s="77" t="str">
        <f t="shared" si="11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53" s="74" t="str">
        <f t="shared" si="12"/>
        <v>"C:\Program Files (x86)\AstroGrep\AstroGrep.exe" /e /r /s /spath="%USERPROFILE%\AppData\Local\Temp\OnboardLogs" /stypes="app*4062*20171116*" /stext=" 16:.+((SYSTEM_STATE.+slice.+state.+changed )|(ment ac)|(multiple cpu faults)|(system.+state.+changed )|(\[timeout)|(PRM\|1\|D)|(kpr)|(kdp)|(train st.+moving)|(\|lc)|(penalty))"</v>
      </c>
      <c r="AG53" s="181" t="str">
        <f t="shared" si="13"/>
        <v>EC</v>
      </c>
      <c r="AH53" s="78" t="str">
        <f t="shared" si="19"/>
        <v>"%USERPROFILE%\Documents\GitHub\eaglep3\Utilities\RefineRTDCRunTimes.py" --tripid 141-16 --locoid 4062 --swversion DE.1.0.9.0 --startMP 204:529 --initTime 2017-11-16T08:37:37 --startdatetime 2017-11-16T08:45:13 --delay 60 --endMP 204:233289 --enddatetime 2017-11-16T09:19:29 --enforcementcount 0 &gt;&gt;%USERPROFILE%\Documents\GitHub\eaglep3-reporting\EC\2017-11-16-refined-times.txt</v>
      </c>
      <c r="AI53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{"issue":{"subject":"","project_id":79,"tracker_id":40,"status_id":1,"priority_id":2,"assigned_to_id":338,"start_date":"2017-11-16","description":"","custom_fields":[{"id":1,"name":"Subdivision","value":"EC"},{"id":4,"name":"Milepost","value":"23.3289"},{"id":17,"name":"Train ID","value":"141-16"},{"id":16,"name":"Locomotive ID","value":"4062"},{"id":130,"name":"Impact","value":""},{"id":150,"name":"Time of Event (Mountain Time)","value":"09:19:29"},{"id":151,"name":"Denver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1" t="str">
        <f t="shared" si="21"/>
        <v>start /low /b %USERPROFILE%\Documents\GitHub\eaglep3\Utilities\DownloadLogsFromS3.py --loco 4062 --day 2017-11-16</v>
      </c>
      <c r="AN53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7" t="str">
        <f t="shared" si="23"/>
        <v>https://d0f6bd738d7f1b3e5a7ca70fe4ff75f0.us-east-1.aws.found.io/app/kibana#/discover/Steve-Slow-Train-Analysis-(2080s-and-2083s)?_g=(refreshInterval:(display:Off,pause:!f,section:0,value:0),time:(from:'2017-11-16T07:37:37-0700',mode:absolute,to:'2017-11-16T10:19:29-0700'))&amp;_a=(columns:!('Message%20ID',Summary),filters:!(),index:'emp_*',interval:auto,query:(query_string:(analyze_wildcard:!t,query:'%22rtdc.l.rtdc.4062%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657</v>
      </c>
      <c r="B54" s="7">
        <v>4061</v>
      </c>
      <c r="C54" s="21" t="s">
        <v>192</v>
      </c>
      <c r="D54" s="21" t="s">
        <v>923</v>
      </c>
      <c r="E54" s="13">
        <v>43055.389675925922</v>
      </c>
      <c r="F54" s="13">
        <v>43055.404432870368</v>
      </c>
      <c r="G54" s="7">
        <v>75</v>
      </c>
      <c r="H54" s="21" t="s">
        <v>924</v>
      </c>
      <c r="I54" s="13">
        <v>43055.430844907409</v>
      </c>
      <c r="J54" s="7">
        <v>0</v>
      </c>
      <c r="K54" s="89" t="str">
        <f t="shared" si="0"/>
        <v>4061/4062</v>
      </c>
      <c r="L54" s="184" t="str">
        <f>VLOOKUP(A54,'Trips&amp;Operators'!$C$1:$G$99911,5,FALSE)</f>
        <v>YANAI IAN</v>
      </c>
      <c r="M54" s="6">
        <f t="shared" si="1"/>
        <v>2.641203704115469E-2</v>
      </c>
      <c r="N54" s="7">
        <f t="shared" si="24"/>
        <v>38.033333339262754</v>
      </c>
      <c r="O54" s="7"/>
      <c r="P54" s="7"/>
      <c r="Q54" s="22"/>
      <c r="R54" s="173"/>
      <c r="S54" s="220">
        <f t="shared" si="25"/>
        <v>1</v>
      </c>
      <c r="T54" s="173" t="str">
        <f t="shared" si="4"/>
        <v>Southbound</v>
      </c>
      <c r="U54" s="19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5" t="str">
        <f t="shared" si="5"/>
        <v>https://d0f6bd738d7f1b3e5a7ca70fe4ff75f0.us-east-1.aws.found.io/app/kibana#/discover/Steve-Slow-Train-Analysis-(2080s-and-2083s)?_g=(refreshInterval:(display:Off,pause:!f,section:0,value:0),time:(from:'2017-11-16T08:21:08-0700',mode:absolute,to:'2017-11-16T11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4" s="203" t="str">
        <f>IF(AA54&lt;VLOOKUP(AG54,Variables!$AC$3:$AD$8,2,FALSE),"Y","N")</f>
        <v>N</v>
      </c>
      <c r="X54" s="203">
        <f t="shared" si="26"/>
        <v>1</v>
      </c>
      <c r="Y54" s="203">
        <f t="shared" si="27"/>
        <v>23.299399999999999</v>
      </c>
      <c r="Z54" s="203">
        <f t="shared" si="28"/>
        <v>2.01E-2</v>
      </c>
      <c r="AA54" s="203">
        <f t="shared" si="9"/>
        <v>23.279299999999999</v>
      </c>
      <c r="AB54" s="54" t="str">
        <f>VLOOKUP(A54,Enforcements!$C$7:$K$9,8,0)</f>
        <v>Signal based authority (5)</v>
      </c>
      <c r="AC54" s="51" t="str">
        <f>VLOOKUP(A54,Enforcements!$C$7:$E$9,3,0)</f>
        <v>SIGNAL</v>
      </c>
      <c r="AD54" s="178">
        <f t="shared" si="10"/>
        <v>142</v>
      </c>
      <c r="AE54" s="77" t="str">
        <f t="shared" si="11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54" s="74" t="str">
        <f t="shared" si="12"/>
        <v>"C:\Program Files (x86)\AstroGrep\AstroGrep.exe" /e /r /s /spath="%USERPROFILE%\AppData\Local\Temp\OnboardLogs" /stypes="app*4061*20171116*" /stext=" 17:.+((SYSTEM_STATE.+slice.+state.+changed )|(ment ac)|(multiple cpu faults)|(system.+state.+changed )|(\[timeout)|(PRM\|1\|D)|(kpr)|(kdp)|(train st.+moving)|(\|lc)|(penalty))"</v>
      </c>
      <c r="AG54" s="181" t="str">
        <f t="shared" si="13"/>
        <v>EC</v>
      </c>
      <c r="AH54" s="78" t="str">
        <f t="shared" si="19"/>
        <v>"%USERPROFILE%\Documents\GitHub\eaglep3\Utilities\RefineRTDCRunTimes.py" --tripid 142-16 --locoid 4061 --swversion DE.1.0.9.0 --startMP 204:232994 --initTime 2017-11-16T09:21:08 --startdatetime 2017-11-16T09:42:23 --delay 75 --endMP 204:201 --enddatetime 2017-11-16T10:20:25 --enforcementcount 0 &gt;&gt;%USERPROFILE%\Documents\GitHub\eaglep3-reporting\EC\2017-11-16-refined-times.txt</v>
      </c>
      <c r="AI54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{"issue":{"subject":"","project_id":79,"tracker_id":40,"status_id":1,"priority_id":2,"assigned_to_id":338,"start_date":"2017-11-16","description":"","custom_fields":[{"id":1,"name":"Subdivision","value":"EC"},{"id":4,"name":"Milepost","value":"0.0201"},{"id":17,"name":"Train ID","value":"142-16"},{"id":16,"name":"Locomotive ID","value":"4061"},{"id":130,"name":"Impact","value":""},{"id":150,"name":"Time of Event (Mountain Time)","value":"10:20:25"},{"id":151,"name":"Denver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1" t="str">
        <f t="shared" si="21"/>
        <v>start /low /b %USERPROFILE%\Documents\GitHub\eaglep3\Utilities\DownloadLogsFromS3.py --loco 4061 --day 2017-11-16</v>
      </c>
      <c r="AN54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7" t="str">
        <f t="shared" si="23"/>
        <v>https://d0f6bd738d7f1b3e5a7ca70fe4ff75f0.us-east-1.aws.found.io/app/kibana#/discover/Steve-Slow-Train-Analysis-(2080s-and-2083s)?_g=(refreshInterval:(display:Off,pause:!f,section:0,value:0),time:(from:'2017-11-16T08:21:08-0700',mode:absolute,to:'2017-11-16T11:20:25-0700'))&amp;_a=(columns:!('Message%20ID',Summary),filters:!(),index:'emp_*',interval:auto,query:(query_string:(analyze_wildcard:!t,query:'%22rtdc.l.rtdc.4061%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739</v>
      </c>
      <c r="B55" s="7">
        <v>4008</v>
      </c>
      <c r="C55" s="21" t="s">
        <v>192</v>
      </c>
      <c r="D55" s="21" t="s">
        <v>526</v>
      </c>
      <c r="E55" s="13">
        <v>43055.370995370373</v>
      </c>
      <c r="F55" s="13">
        <v>43055.375474537039</v>
      </c>
      <c r="G55" s="7">
        <v>52</v>
      </c>
      <c r="H55" s="21" t="s">
        <v>528</v>
      </c>
      <c r="I55" s="13">
        <v>43055.402083333334</v>
      </c>
      <c r="J55" s="7">
        <v>0</v>
      </c>
      <c r="K55" s="89" t="str">
        <f t="shared" si="0"/>
        <v>4007/4008</v>
      </c>
      <c r="L55" s="184" t="str">
        <f>VLOOKUP(A55,'Trips&amp;Operators'!$C$1:$G$99911,5,FALSE)</f>
        <v>MAELZER KURT</v>
      </c>
      <c r="M55" s="6">
        <f t="shared" si="1"/>
        <v>2.6608796295477077E-2</v>
      </c>
      <c r="N55" s="7">
        <f t="shared" si="24"/>
        <v>38.316666665486991</v>
      </c>
      <c r="O55" s="7"/>
      <c r="P55" s="7"/>
      <c r="Q55" s="22"/>
      <c r="R55" s="173"/>
      <c r="S55" s="220">
        <f t="shared" si="25"/>
        <v>1</v>
      </c>
      <c r="T55" s="173" t="str">
        <f t="shared" si="4"/>
        <v>NorthBound</v>
      </c>
      <c r="U55" s="19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5" t="str">
        <f t="shared" si="5"/>
        <v>https://d0f6bd738d7f1b3e5a7ca70fe4ff75f0.us-east-1.aws.found.io/app/kibana#/discover/Steve-Slow-Train-Analysis-(2080s-and-2083s)?_g=(refreshInterval:(display:Off,pause:!f,section:0,value:0),time:(from:'2017-11-16T07:54:14-0700',mode:absolute,to:'2017-11-16T10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203" t="str">
        <f>IF(AA55&lt;VLOOKUP(AG55,Variables!$AC$3:$AD$8,2,FALSE),"Y","N")</f>
        <v>N</v>
      </c>
      <c r="X55" s="203">
        <f t="shared" si="26"/>
        <v>1</v>
      </c>
      <c r="Y55" s="203">
        <f t="shared" si="27"/>
        <v>5.1999999999999998E-2</v>
      </c>
      <c r="Z55" s="203">
        <f t="shared" si="28"/>
        <v>23.329499999999999</v>
      </c>
      <c r="AA55" s="203">
        <f t="shared" si="9"/>
        <v>23.2775</v>
      </c>
      <c r="AB55" s="54" t="e">
        <f>VLOOKUP(A55,Enforcements!$C$7:$K$9,8,0)</f>
        <v>#N/A</v>
      </c>
      <c r="AC55" s="51" t="e">
        <f>VLOOKUP(A55,Enforcements!$C$7:$E$9,3,0)</f>
        <v>#N/A</v>
      </c>
      <c r="AD55" s="178">
        <f t="shared" si="10"/>
        <v>143</v>
      </c>
      <c r="AE55" s="77" t="str">
        <f t="shared" si="11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55" s="74" t="str">
        <f t="shared" si="12"/>
        <v>"C:\Program Files (x86)\AstroGrep\AstroGrep.exe" /e /r /s /spath="%USERPROFILE%\AppData\Local\Temp\OnboardLogs" /stypes="app*4008*20171116*" /stext=" 16:.+((SYSTEM_STATE.+slice.+state.+changed )|(ment ac)|(multiple cpu faults)|(system.+state.+changed )|(\[timeout)|(PRM\|1\|D)|(kpr)|(kdp)|(train st.+moving)|(\|lc)|(penalty))"</v>
      </c>
      <c r="AG55" s="181" t="str">
        <f t="shared" si="13"/>
        <v>EC</v>
      </c>
      <c r="AH55" s="78" t="str">
        <f t="shared" si="19"/>
        <v>"%USERPROFILE%\Documents\GitHub\eaglep3\Utilities\RefineRTDCRunTimes.py" --tripid 143-16 --locoid 4008 --swversion DE.1.0.9.0 --startMP 204:520 --initTime 2017-11-16T08:54:14 --startdatetime 2017-11-16T09:00:41 --delay 52 --endMP 204:233295 --enddatetime 2017-11-16T09:39:00 --enforcementcount 0 &gt;&gt;%USERPROFILE%\Documents\GitHub\eaglep3-reporting\EC\2017-11-16-refined-times.txt</v>
      </c>
      <c r="AI5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{"issue":{"subject":"","project_id":79,"tracker_id":40,"status_id":1,"priority_id":2,"assigned_to_id":338,"start_date":"2017-11-16","description":"","custom_fields":[{"id":1,"name":"Subdivision","value":"EC"},{"id":4,"name":"Milepost","value":"23.3295"},{"id":17,"name":"Train ID","value":"143-16"},{"id":16,"name":"Locomotive ID","value":"4008"},{"id":130,"name":"Impact","value":""},{"id":150,"name":"Time of Event (Mountain Time)","value":"09:39:00"},{"id":151,"name":"Denver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1" t="str">
        <f t="shared" si="21"/>
        <v>start /low /b %USERPROFILE%\Documents\GitHub\eaglep3\Utilities\DownloadLogsFromS3.py --loco 4008 --day 2017-11-16</v>
      </c>
      <c r="AN5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7" t="str">
        <f t="shared" si="23"/>
        <v>https://d0f6bd738d7f1b3e5a7ca70fe4ff75f0.us-east-1.aws.found.io/app/kibana#/discover/Steve-Slow-Train-Analysis-(2080s-and-2083s)?_g=(refreshInterval:(display:Off,pause:!f,section:0,value:0),time:(from:'2017-11-16T07:54:14-0700',mode:absolute,to:'2017-11-16T10:39:00-0700'))&amp;_a=(columns:!('Message%20ID',Summary),filters:!(),index:'emp_*',interval:auto,query:(query_string:(analyze_wildcard:!t,query:'%22rtdc.l.rtdc.4008%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747</v>
      </c>
      <c r="B56" s="7">
        <v>4007</v>
      </c>
      <c r="C56" s="21" t="s">
        <v>192</v>
      </c>
      <c r="D56" s="21" t="s">
        <v>601</v>
      </c>
      <c r="E56" s="13">
        <v>43055.406493055554</v>
      </c>
      <c r="F56" s="13">
        <v>43055.415162037039</v>
      </c>
      <c r="G56" s="7">
        <v>83</v>
      </c>
      <c r="H56" s="21" t="s">
        <v>506</v>
      </c>
      <c r="I56" s="13">
        <v>43055.441365740742</v>
      </c>
      <c r="J56" s="7">
        <v>0</v>
      </c>
      <c r="K56" s="89" t="str">
        <f t="shared" si="0"/>
        <v>4007/4008</v>
      </c>
      <c r="L56" s="184" t="str">
        <f>VLOOKUP(A56,'Trips&amp;Operators'!$C$1:$G$99911,5,FALSE)</f>
        <v>MAELZER KURT</v>
      </c>
      <c r="M56" s="6">
        <f t="shared" si="1"/>
        <v>2.6203703702776693E-2</v>
      </c>
      <c r="N56" s="7">
        <f t="shared" si="24"/>
        <v>37.733333331998438</v>
      </c>
      <c r="O56" s="7"/>
      <c r="P56" s="7"/>
      <c r="Q56" s="22"/>
      <c r="R56" s="173"/>
      <c r="S56" s="220">
        <f t="shared" si="25"/>
        <v>1</v>
      </c>
      <c r="T56" s="173" t="str">
        <f t="shared" si="4"/>
        <v>Southbound</v>
      </c>
      <c r="U56" s="19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5" t="str">
        <f t="shared" si="5"/>
        <v>https://d0f6bd738d7f1b3e5a7ca70fe4ff75f0.us-east-1.aws.found.io/app/kibana#/discover/Steve-Slow-Train-Analysis-(2080s-and-2083s)?_g=(refreshInterval:(display:Off,pause:!f,section:0,value:0),time:(from:'2017-11-16T08:45:21-0700',mode:absolute,to:'2017-11-16T11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203" t="str">
        <f>IF(AA56&lt;VLOOKUP(AG56,Variables!$AC$3:$AD$8,2,FALSE),"Y","N")</f>
        <v>N</v>
      </c>
      <c r="X56" s="203">
        <f t="shared" si="26"/>
        <v>1</v>
      </c>
      <c r="Y56" s="203">
        <f t="shared" si="27"/>
        <v>23.298500000000001</v>
      </c>
      <c r="Z56" s="203">
        <f t="shared" si="28"/>
        <v>1.9099999999999999E-2</v>
      </c>
      <c r="AA56" s="203">
        <f t="shared" si="9"/>
        <v>23.279399999999999</v>
      </c>
      <c r="AB56" s="54" t="e">
        <f>VLOOKUP(A56,Enforcements!$C$7:$K$9,8,0)</f>
        <v>#N/A</v>
      </c>
      <c r="AC56" s="51" t="e">
        <f>VLOOKUP(A56,Enforcements!$C$7:$E$9,3,0)</f>
        <v>#N/A</v>
      </c>
      <c r="AD56" s="178">
        <f t="shared" si="10"/>
        <v>144</v>
      </c>
      <c r="AE56" s="77" t="str">
        <f t="shared" si="11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56" s="74" t="str">
        <f t="shared" si="12"/>
        <v>"C:\Program Files (x86)\AstroGrep\AstroGrep.exe" /e /r /s /spath="%USERPROFILE%\AppData\Local\Temp\OnboardLogs" /stypes="app*4007*20171116*" /stext=" 17:.+((SYSTEM_STATE.+slice.+state.+changed )|(ment ac)|(multiple cpu faults)|(system.+state.+changed )|(\[timeout)|(PRM\|1\|D)|(kpr)|(kdp)|(train st.+moving)|(\|lc)|(penalty))"</v>
      </c>
      <c r="AG56" s="181" t="str">
        <f t="shared" si="13"/>
        <v>EC</v>
      </c>
      <c r="AH56" s="78" t="str">
        <f t="shared" si="19"/>
        <v>"%USERPROFILE%\Documents\GitHub\eaglep3\Utilities\RefineRTDCRunTimes.py" --tripid 144-16 --locoid 4007 --swversion DE.1.0.9.0 --startMP 204:232985 --initTime 2017-11-16T09:45:21 --startdatetime 2017-11-16T09:57:50 --delay 83 --endMP 204:191 --enddatetime 2017-11-16T10:35:34 --enforcementcount 0 &gt;&gt;%USERPROFILE%\Documents\GitHub\eaglep3-reporting\EC\2017-11-16-refined-times.txt</v>
      </c>
      <c r="AI5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{"issue":{"subject":"","project_id":79,"tracker_id":40,"status_id":1,"priority_id":2,"assigned_to_id":338,"start_date":"2017-11-16","description":"","custom_fields":[{"id":1,"name":"Subdivision","value":"EC"},{"id":4,"name":"Milepost","value":"0.0191"},{"id":17,"name":"Train ID","value":"144-16"},{"id":16,"name":"Locomotive ID","value":"4007"},{"id":130,"name":"Impact","value":""},{"id":150,"name":"Time of Event (Mountain Time)","value":"10:35:34"},{"id":151,"name":"Denver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1" t="str">
        <f t="shared" si="21"/>
        <v>start /low /b %USERPROFILE%\Documents\GitHub\eaglep3\Utilities\DownloadLogsFromS3.py --loco 4007 --day 2017-11-16</v>
      </c>
      <c r="AN5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7" t="str">
        <f t="shared" si="23"/>
        <v>https://d0f6bd738d7f1b3e5a7ca70fe4ff75f0.us-east-1.aws.found.io/app/kibana#/discover/Steve-Slow-Train-Analysis-(2080s-and-2083s)?_g=(refreshInterval:(display:Off,pause:!f,section:0,value:0),time:(from:'2017-11-16T08:45:21-0700',mode:absolute,to:'2017-11-16T11:35:34-0700'))&amp;_a=(columns:!('Message%20ID',Summary),filters:!(),index:'emp_*',interval:auto,query:(query_string:(analyze_wildcard:!t,query:'%22rtdc.l.rtdc.4007%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743</v>
      </c>
      <c r="B57" s="7">
        <v>4016</v>
      </c>
      <c r="C57" s="21" t="s">
        <v>192</v>
      </c>
      <c r="D57" s="21" t="s">
        <v>534</v>
      </c>
      <c r="E57" s="13">
        <v>43055.380231481482</v>
      </c>
      <c r="F57" s="13">
        <v>43055.385625000003</v>
      </c>
      <c r="G57" s="7">
        <v>57</v>
      </c>
      <c r="H57" s="21" t="s">
        <v>925</v>
      </c>
      <c r="I57" s="13">
        <v>43055.410451388889</v>
      </c>
      <c r="J57" s="7">
        <v>0</v>
      </c>
      <c r="K57" s="89" t="str">
        <f t="shared" si="0"/>
        <v>4015/4016</v>
      </c>
      <c r="L57" s="184" t="str">
        <f>VLOOKUP(A57,'Trips&amp;Operators'!$C$1:$G$99911,5,FALSE)</f>
        <v>DAVIDSON DAVID</v>
      </c>
      <c r="M57" s="6">
        <f t="shared" si="1"/>
        <v>2.4826388886140194E-2</v>
      </c>
      <c r="N57" s="7">
        <f t="shared" si="24"/>
        <v>35.749999996041879</v>
      </c>
      <c r="O57" s="7"/>
      <c r="P57" s="7"/>
      <c r="Q57" s="22"/>
      <c r="R57" s="173"/>
      <c r="S57" s="220">
        <f t="shared" si="25"/>
        <v>1</v>
      </c>
      <c r="T57" s="173" t="str">
        <f t="shared" si="4"/>
        <v>NorthBound</v>
      </c>
      <c r="U57" s="19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5" t="str">
        <f t="shared" si="5"/>
        <v>https://d0f6bd738d7f1b3e5a7ca70fe4ff75f0.us-east-1.aws.found.io/app/kibana#/discover/Steve-Slow-Train-Analysis-(2080s-and-2083s)?_g=(refreshInterval:(display:Off,pause:!f,section:0,value:0),time:(from:'2017-11-16T08:07:32-0700',mode:absolute,to:'2017-11-16T10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03" t="str">
        <f>IF(AA57&lt;VLOOKUP(AG57,Variables!$AC$3:$AD$8,2,FALSE),"Y","N")</f>
        <v>N</v>
      </c>
      <c r="X57" s="203">
        <f t="shared" si="26"/>
        <v>1</v>
      </c>
      <c r="Y57" s="203">
        <f t="shared" si="27"/>
        <v>5.6399999999999999E-2</v>
      </c>
      <c r="Z57" s="203">
        <f t="shared" si="28"/>
        <v>23.328800000000001</v>
      </c>
      <c r="AA57" s="203">
        <f t="shared" si="9"/>
        <v>23.272400000000001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8">
        <f t="shared" si="10"/>
        <v>145</v>
      </c>
      <c r="AE57" s="77" t="str">
        <f t="shared" si="11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57" s="74" t="str">
        <f t="shared" si="12"/>
        <v>"C:\Program Files (x86)\AstroGrep\AstroGrep.exe" /e /r /s /spath="%USERPROFILE%\AppData\Local\Temp\OnboardLogs" /stypes="app*4016*20171116*" /stext=" 16:.+((SYSTEM_STATE.+slice.+state.+changed )|(ment ac)|(multiple cpu faults)|(system.+state.+changed )|(\[timeout)|(PRM\|1\|D)|(kpr)|(kdp)|(train st.+moving)|(\|lc)|(penalty))"</v>
      </c>
      <c r="AG57" s="181" t="str">
        <f t="shared" si="13"/>
        <v>EC</v>
      </c>
      <c r="AH57" s="78" t="str">
        <f t="shared" si="19"/>
        <v>"%USERPROFILE%\Documents\GitHub\eaglep3\Utilities\RefineRTDCRunTimes.py" --tripid 145-16 --locoid 4016 --swversion DE.1.0.9.0 --startMP 204:564 --initTime 2017-11-16T09:07:32 --startdatetime 2017-11-16T09:15:18 --delay 57 --endMP 204:233288 --enddatetime 2017-11-16T09:51:03 --enforcementcount 0 &gt;&gt;%USERPROFILE%\Documents\GitHub\eaglep3-reporting\EC\2017-11-16-refined-times.txt</v>
      </c>
      <c r="AI57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{"issue":{"subject":"","project_id":79,"tracker_id":40,"status_id":1,"priority_id":2,"assigned_to_id":338,"start_date":"2017-11-16","description":"","custom_fields":[{"id":1,"name":"Subdivision","value":"EC"},{"id":4,"name":"Milepost","value":"23.3288"},{"id":17,"name":"Train ID","value":"145-16"},{"id":16,"name":"Locomotive ID","value":"4016"},{"id":130,"name":"Impact","value":""},{"id":150,"name":"Time of Event (Mountain Time)","value":"09:51:03"},{"id":151,"name":"Denver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1" t="str">
        <f t="shared" si="21"/>
        <v>start /low /b %USERPROFILE%\Documents\GitHub\eaglep3\Utilities\DownloadLogsFromS3.py --loco 4016 --day 2017-11-16</v>
      </c>
      <c r="AN57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7" t="str">
        <f t="shared" si="23"/>
        <v>https://d0f6bd738d7f1b3e5a7ca70fe4ff75f0.us-east-1.aws.found.io/app/kibana#/discover/Steve-Slow-Train-Analysis-(2080s-and-2083s)?_g=(refreshInterval:(display:Off,pause:!f,section:0,value:0),time:(from:'2017-11-16T08:07:32-0700',mode:absolute,to:'2017-11-16T10:51:03-0700'))&amp;_a=(columns:!('Message%20ID',Summary),filters:!(),index:'emp_*',interval:auto,query:(query_string:(analyze_wildcard:!t,query:'%22rtdc.l.rtdc.4016%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748</v>
      </c>
      <c r="B58" s="7">
        <v>4015</v>
      </c>
      <c r="C58" s="21" t="s">
        <v>192</v>
      </c>
      <c r="D58" s="21" t="s">
        <v>549</v>
      </c>
      <c r="E58" s="13">
        <v>43055.41265046296</v>
      </c>
      <c r="F58" s="13">
        <v>43055.425196759257</v>
      </c>
      <c r="G58" s="7">
        <v>55</v>
      </c>
      <c r="H58" s="21" t="s">
        <v>611</v>
      </c>
      <c r="I58" s="13">
        <v>43055.451840277776</v>
      </c>
      <c r="J58" s="7">
        <v>0</v>
      </c>
      <c r="K58" s="89" t="str">
        <f t="shared" si="0"/>
        <v>4015/4016</v>
      </c>
      <c r="L58" s="184" t="str">
        <f>VLOOKUP(A58,'Trips&amp;Operators'!$C$1:$G$99911,5,FALSE)</f>
        <v>DAVIDSON DAVID</v>
      </c>
      <c r="M58" s="6">
        <f t="shared" si="1"/>
        <v>2.6643518518540077E-2</v>
      </c>
      <c r="N58" s="7">
        <f t="shared" si="24"/>
        <v>38.366666666697711</v>
      </c>
      <c r="O58" s="7"/>
      <c r="P58" s="7"/>
      <c r="Q58" s="22"/>
      <c r="R58" s="173"/>
      <c r="S58" s="220">
        <f t="shared" si="25"/>
        <v>1</v>
      </c>
      <c r="T58" s="173" t="str">
        <f t="shared" si="4"/>
        <v>Southbound</v>
      </c>
      <c r="U58" s="19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5" t="str">
        <f t="shared" si="5"/>
        <v>https://d0f6bd738d7f1b3e5a7ca70fe4ff75f0.us-east-1.aws.found.io/app/kibana#/discover/Steve-Slow-Train-Analysis-(2080s-and-2083s)?_g=(refreshInterval:(display:Off,pause:!f,section:0,value:0),time:(from:'2017-11-16T08:54:13-0700',mode:absolute,to:'2017-11-16T11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03" t="str">
        <f>IF(AA58&lt;VLOOKUP(AG58,Variables!$AC$3:$AD$8,2,FALSE),"Y","N")</f>
        <v>N</v>
      </c>
      <c r="X58" s="203">
        <f t="shared" si="26"/>
        <v>1</v>
      </c>
      <c r="Y58" s="203">
        <f t="shared" si="27"/>
        <v>23.2971</v>
      </c>
      <c r="Z58" s="203">
        <f t="shared" si="28"/>
        <v>2.1399999999999999E-2</v>
      </c>
      <c r="AA58" s="203">
        <f t="shared" si="9"/>
        <v>23.275700000000001</v>
      </c>
      <c r="AB58" s="54" t="e">
        <f>VLOOKUP(A58,Enforcements!$C$7:$K$9,8,0)</f>
        <v>#N/A</v>
      </c>
      <c r="AC58" s="51" t="e">
        <f>VLOOKUP(A58,Enforcements!$C$7:$E$9,3,0)</f>
        <v>#N/A</v>
      </c>
      <c r="AD58" s="178">
        <f t="shared" si="10"/>
        <v>146</v>
      </c>
      <c r="AE58" s="77" t="str">
        <f t="shared" si="11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58" s="74" t="str">
        <f t="shared" si="12"/>
        <v>"C:\Program Files (x86)\AstroGrep\AstroGrep.exe" /e /r /s /spath="%USERPROFILE%\AppData\Local\Temp\OnboardLogs" /stypes="app*4015*20171116*" /stext=" 17:.+((SYSTEM_STATE.+slice.+state.+changed )|(ment ac)|(multiple cpu faults)|(system.+state.+changed )|(\[timeout)|(PRM\|1\|D)|(kpr)|(kdp)|(train st.+moving)|(\|lc)|(penalty))"</v>
      </c>
      <c r="AG58" s="181" t="str">
        <f t="shared" si="13"/>
        <v>EC</v>
      </c>
      <c r="AH58" s="78" t="str">
        <f t="shared" si="19"/>
        <v>"%USERPROFILE%\Documents\GitHub\eaglep3\Utilities\RefineRTDCRunTimes.py" --tripid 146-16 --locoid 4015 --swversion DE.1.0.9.0 --startMP 204:232971 --initTime 2017-11-16T09:54:13 --startdatetime 2017-11-16T10:12:17 --delay 55 --endMP 204:214 --enddatetime 2017-11-16T10:50:39 --enforcementcount 0 &gt;&gt;%USERPROFILE%\Documents\GitHub\eaglep3-reporting\EC\2017-11-16-refined-times.txt</v>
      </c>
      <c r="AI58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{"issue":{"subject":"","project_id":79,"tracker_id":40,"status_id":1,"priority_id":2,"assigned_to_id":338,"start_date":"2017-11-16","description":"","custom_fields":[{"id":1,"name":"Subdivision","value":"EC"},{"id":4,"name":"Milepost","value":"0.0214"},{"id":17,"name":"Train ID","value":"146-16"},{"id":16,"name":"Locomotive ID","value":"4015"},{"id":130,"name":"Impact","value":""},{"id":150,"name":"Time of Event (Mountain Time)","value":"10:50:39"},{"id":151,"name":"Denver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1" t="str">
        <f t="shared" si="21"/>
        <v>start /low /b %USERPROFILE%\Documents\GitHub\eaglep3\Utilities\DownloadLogsFromS3.py --loco 4015 --day 2017-11-16</v>
      </c>
      <c r="AN58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7" t="str">
        <f t="shared" si="23"/>
        <v>https://d0f6bd738d7f1b3e5a7ca70fe4ff75f0.us-east-1.aws.found.io/app/kibana#/discover/Steve-Slow-Train-Analysis-(2080s-and-2083s)?_g=(refreshInterval:(display:Off,pause:!f,section:0,value:0),time:(from:'2017-11-16T08:54:13-0700',mode:absolute,to:'2017-11-16T11:50:39-0700'))&amp;_a=(columns:!('Message%20ID',Summary),filters:!(),index:'emp_*',interval:auto,query:(query_string:(analyze_wildcard:!t,query:'%22rtdc.l.rtdc.4015%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744</v>
      </c>
      <c r="B59" s="7">
        <v>4004</v>
      </c>
      <c r="C59" s="21" t="s">
        <v>192</v>
      </c>
      <c r="D59" s="21" t="s">
        <v>926</v>
      </c>
      <c r="E59" s="13">
        <v>43055.395208333335</v>
      </c>
      <c r="F59" s="13">
        <v>43055.396631944444</v>
      </c>
      <c r="G59" s="7">
        <v>46</v>
      </c>
      <c r="H59" s="21" t="s">
        <v>627</v>
      </c>
      <c r="I59" s="13">
        <v>43055.421365740738</v>
      </c>
      <c r="J59" s="7">
        <v>0</v>
      </c>
      <c r="K59" s="89" t="str">
        <f t="shared" si="0"/>
        <v>4003/4004</v>
      </c>
      <c r="L59" s="184" t="str">
        <f>VLOOKUP(A59,'Trips&amp;Operators'!$C$1:$G$99911,5,FALSE)</f>
        <v>AUSTIN THOMPSON</v>
      </c>
      <c r="M59" s="6">
        <f t="shared" si="1"/>
        <v>2.4733796293730848E-2</v>
      </c>
      <c r="N59" s="7">
        <f t="shared" si="24"/>
        <v>35.61666666297242</v>
      </c>
      <c r="O59" s="7"/>
      <c r="P59" s="7"/>
      <c r="Q59" s="22"/>
      <c r="R59" s="173"/>
      <c r="S59" s="220">
        <f t="shared" si="25"/>
        <v>1</v>
      </c>
      <c r="T59" s="173" t="str">
        <f t="shared" si="4"/>
        <v>NorthBound</v>
      </c>
      <c r="U59" s="19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5" t="str">
        <f t="shared" si="5"/>
        <v>https://d0f6bd738d7f1b3e5a7ca70fe4ff75f0.us-east-1.aws.found.io/app/kibana#/discover/Steve-Slow-Train-Analysis-(2080s-and-2083s)?_g=(refreshInterval:(display:Off,pause:!f,section:0,value:0),time:(from:'2017-11-16T08:29:06-0700',mode:absolute,to:'2017-11-16T11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9" s="203" t="str">
        <f>IF(AA59&lt;VLOOKUP(AG59,Variables!$AC$3:$AD$8,2,FALSE),"Y","N")</f>
        <v>N</v>
      </c>
      <c r="X59" s="203">
        <f t="shared" si="26"/>
        <v>1</v>
      </c>
      <c r="Y59" s="203">
        <f t="shared" si="27"/>
        <v>4.4600000000000001E-2</v>
      </c>
      <c r="Z59" s="203">
        <f t="shared" si="28"/>
        <v>23.328099999999999</v>
      </c>
      <c r="AA59" s="203">
        <f t="shared" si="9"/>
        <v>23.2835</v>
      </c>
      <c r="AB59" s="54" t="e">
        <f>VLOOKUP(A59,Enforcements!$C$7:$K$9,8,0)</f>
        <v>#N/A</v>
      </c>
      <c r="AC59" s="51" t="e">
        <f>VLOOKUP(A59,Enforcements!$C$7:$E$9,3,0)</f>
        <v>#N/A</v>
      </c>
      <c r="AD59" s="178">
        <f t="shared" si="10"/>
        <v>147</v>
      </c>
      <c r="AE59" s="77" t="str">
        <f t="shared" si="11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59" s="74" t="str">
        <f t="shared" si="12"/>
        <v>"C:\Program Files (x86)\AstroGrep\AstroGrep.exe" /e /r /s /spath="%USERPROFILE%\AppData\Local\Temp\OnboardLogs" /stypes="app*4004*20171116*" /stext=" 17:.+((SYSTEM_STATE.+slice.+state.+changed )|(ment ac)|(multiple cpu faults)|(system.+state.+changed )|(\[timeout)|(PRM\|1\|D)|(kpr)|(kdp)|(train st.+moving)|(\|lc)|(penalty))"</v>
      </c>
      <c r="AG59" s="181" t="str">
        <f t="shared" si="13"/>
        <v>EC</v>
      </c>
      <c r="AH59" s="78" t="str">
        <f t="shared" si="19"/>
        <v>"%USERPROFILE%\Documents\GitHub\eaglep3\Utilities\RefineRTDCRunTimes.py" --tripid 147-16 --locoid 4004 --swversion DE.1.0.9.0 --startMP 204:446 --initTime 2017-11-16T09:29:06 --startdatetime 2017-11-16T09:31:09 --delay 46 --endMP 204:233281 --enddatetime 2017-11-16T10:06:46 --enforcementcount 0 &gt;&gt;%USERPROFILE%\Documents\GitHub\eaglep3-reporting\EC\2017-11-16-refined-times.txt</v>
      </c>
      <c r="AI59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{"issue":{"subject":"","project_id":79,"tracker_id":40,"status_id":1,"priority_id":2,"assigned_to_id":338,"start_date":"2017-11-16","description":"","custom_fields":[{"id":1,"name":"Subdivision","value":"EC"},{"id":4,"name":"Milepost","value":"23.3281"},{"id":17,"name":"Train ID","value":"147-16"},{"id":16,"name":"Locomotive ID","value":"4004"},{"id":130,"name":"Impact","value":""},{"id":150,"name":"Time of Event (Mountain Time)","value":"10:06:46"},{"id":151,"name":"Denver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1" t="str">
        <f t="shared" si="21"/>
        <v>start /low /b %USERPROFILE%\Documents\GitHub\eaglep3\Utilities\DownloadLogsFromS3.py --loco 4004 --day 2017-11-16</v>
      </c>
      <c r="AN59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7" t="str">
        <f t="shared" si="23"/>
        <v>https://d0f6bd738d7f1b3e5a7ca70fe4ff75f0.us-east-1.aws.found.io/app/kibana#/discover/Steve-Slow-Train-Analysis-(2080s-and-2083s)?_g=(refreshInterval:(display:Off,pause:!f,section:0,value:0),time:(from:'2017-11-16T08:29:06-0700',mode:absolute,to:'2017-11-16T11:06:46-0700'))&amp;_a=(columns:!('Message%20ID',Summary),filters:!(),index:'emp_*',interval:auto,query:(query_string:(analyze_wildcard:!t,query:'%22rtdc.l.rtdc.4004%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753</v>
      </c>
      <c r="B60" s="7">
        <v>4003</v>
      </c>
      <c r="C60" s="21" t="s">
        <v>192</v>
      </c>
      <c r="D60" s="21" t="s">
        <v>505</v>
      </c>
      <c r="E60" s="13">
        <v>43055.431608796294</v>
      </c>
      <c r="F60" s="13">
        <v>43055.435648148145</v>
      </c>
      <c r="G60" s="7">
        <v>87</v>
      </c>
      <c r="H60" s="21" t="s">
        <v>615</v>
      </c>
      <c r="I60" s="13">
        <v>43055.461284722223</v>
      </c>
      <c r="J60" s="7">
        <v>0</v>
      </c>
      <c r="K60" s="89" t="str">
        <f t="shared" si="0"/>
        <v>4003/4004</v>
      </c>
      <c r="L60" s="184" t="str">
        <f>VLOOKUP(A60,'Trips&amp;Operators'!$C$1:$G$99911,5,FALSE)</f>
        <v>AUSTIN THOMPSON</v>
      </c>
      <c r="M60" s="6">
        <f t="shared" si="1"/>
        <v>2.5636574078816921E-2</v>
      </c>
      <c r="N60" s="7">
        <f t="shared" si="24"/>
        <v>36.916666673496366</v>
      </c>
      <c r="O60" s="7"/>
      <c r="P60" s="7"/>
      <c r="Q60" s="22"/>
      <c r="R60" s="173"/>
      <c r="S60" s="220">
        <f t="shared" si="25"/>
        <v>1</v>
      </c>
      <c r="T60" s="173" t="str">
        <f t="shared" si="4"/>
        <v>Southbound</v>
      </c>
      <c r="U60" s="19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5" t="str">
        <f t="shared" si="5"/>
        <v>https://d0f6bd738d7f1b3e5a7ca70fe4ff75f0.us-east-1.aws.found.io/app/kibana#/discover/Steve-Slow-Train-Analysis-(2080s-and-2083s)?_g=(refreshInterval:(display:Off,pause:!f,section:0,value:0),time:(from:'2017-11-16T09:21:31-0700',mode:absolute,to:'2017-11-16T12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203" t="str">
        <f>IF(AA60&lt;VLOOKUP(AG60,Variables!$AC$3:$AD$8,2,FALSE),"Y","N")</f>
        <v>N</v>
      </c>
      <c r="X60" s="203">
        <f t="shared" si="26"/>
        <v>1</v>
      </c>
      <c r="Y60" s="203">
        <f t="shared" si="27"/>
        <v>23.2959</v>
      </c>
      <c r="Z60" s="203">
        <f t="shared" si="28"/>
        <v>2.6499999999999999E-2</v>
      </c>
      <c r="AA60" s="203">
        <f t="shared" si="9"/>
        <v>23.269400000000001</v>
      </c>
      <c r="AB60" s="54" t="e">
        <f>VLOOKUP(A60,Enforcements!$C$7:$K$9,8,0)</f>
        <v>#N/A</v>
      </c>
      <c r="AC60" s="51" t="e">
        <f>VLOOKUP(A60,Enforcements!$C$7:$E$9,3,0)</f>
        <v>#N/A</v>
      </c>
      <c r="AD60" s="178">
        <f t="shared" si="10"/>
        <v>148</v>
      </c>
      <c r="AE60" s="77" t="str">
        <f t="shared" si="11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60" s="74" t="str">
        <f t="shared" si="12"/>
        <v>"C:\Program Files (x86)\AstroGrep\AstroGrep.exe" /e /r /s /spath="%USERPROFILE%\AppData\Local\Temp\OnboardLogs" /stypes="app*4003*20171116*" /stext=" 18:.+((SYSTEM_STATE.+slice.+state.+changed )|(ment ac)|(multiple cpu faults)|(system.+state.+changed )|(\[timeout)|(PRM\|1\|D)|(kpr)|(kdp)|(train st.+moving)|(\|lc)|(penalty))"</v>
      </c>
      <c r="AG60" s="181" t="str">
        <f t="shared" si="13"/>
        <v>EC</v>
      </c>
      <c r="AH60" s="78" t="str">
        <f t="shared" si="19"/>
        <v>"%USERPROFILE%\Documents\GitHub\eaglep3\Utilities\RefineRTDCRunTimes.py" --tripid 148-16 --locoid 4003 --swversion DE.1.0.9.0 --startMP 204:232959 --initTime 2017-11-16T10:21:31 --startdatetime 2017-11-16T10:27:20 --delay 87 --endMP 204:265 --enddatetime 2017-11-16T11:04:15 --enforcementcount 0 &gt;&gt;%USERPROFILE%\Documents\GitHub\eaglep3-reporting\EC\2017-11-16-refined-times.txt</v>
      </c>
      <c r="AI60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{"issue":{"subject":"","project_id":79,"tracker_id":40,"status_id":1,"priority_id":2,"assigned_to_id":338,"start_date":"2017-11-16","description":"","custom_fields":[{"id":1,"name":"Subdivision","value":"EC"},{"id":4,"name":"Milepost","value":"0.0265"},{"id":17,"name":"Train ID","value":"148-16"},{"id":16,"name":"Locomotive ID","value":"4003"},{"id":130,"name":"Impact","value":""},{"id":150,"name":"Time of Event (Mountain Time)","value":"11:04:15"},{"id":151,"name":"Denver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1" t="str">
        <f t="shared" si="21"/>
        <v>start /low /b %USERPROFILE%\Documents\GitHub\eaglep3\Utilities\DownloadLogsFromS3.py --loco 4003 --day 2017-11-16</v>
      </c>
      <c r="AN60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7" t="str">
        <f t="shared" si="23"/>
        <v>https://d0f6bd738d7f1b3e5a7ca70fe4ff75f0.us-east-1.aws.found.io/app/kibana#/discover/Steve-Slow-Train-Analysis-(2080s-and-2083s)?_g=(refreshInterval:(display:Off,pause:!f,section:0,value:0),time:(from:'2017-11-16T09:21:31-0700',mode:absolute,to:'2017-11-16T12:04:15-0700'))&amp;_a=(columns:!('Message%20ID',Summary),filters:!(),index:'emp_*',interval:auto,query:(query_string:(analyze_wildcard:!t,query:'%22rtdc.l.rtdc.4003%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746</v>
      </c>
      <c r="B61" s="7">
        <v>4018</v>
      </c>
      <c r="C61" s="21" t="s">
        <v>192</v>
      </c>
      <c r="D61" s="21" t="s">
        <v>907</v>
      </c>
      <c r="E61" s="13">
        <v>43055.400196759256</v>
      </c>
      <c r="F61" s="13">
        <v>43055.406423611108</v>
      </c>
      <c r="G61" s="7">
        <v>50</v>
      </c>
      <c r="H61" s="21" t="s">
        <v>899</v>
      </c>
      <c r="I61" s="13">
        <v>43055.430081018516</v>
      </c>
      <c r="J61" s="7">
        <v>0</v>
      </c>
      <c r="K61" s="89" t="str">
        <f t="shared" si="0"/>
        <v>4017/4018</v>
      </c>
      <c r="L61" s="184" t="str">
        <f>VLOOKUP(A61,'Trips&amp;Operators'!$C$1:$G$99911,5,FALSE)</f>
        <v>GEBRETEKLE DAGNEW</v>
      </c>
      <c r="M61" s="6">
        <f t="shared" si="1"/>
        <v>2.3657407407881692E-2</v>
      </c>
      <c r="N61" s="7">
        <f t="shared" si="24"/>
        <v>34.066666667349637</v>
      </c>
      <c r="O61" s="7"/>
      <c r="P61" s="7"/>
      <c r="Q61" s="22"/>
      <c r="R61" s="173"/>
      <c r="S61" s="220">
        <f t="shared" si="25"/>
        <v>1</v>
      </c>
      <c r="T61" s="173" t="str">
        <f t="shared" si="4"/>
        <v>NorthBound</v>
      </c>
      <c r="U61" s="19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5" t="str">
        <f t="shared" si="5"/>
        <v>https://d0f6bd738d7f1b3e5a7ca70fe4ff75f0.us-east-1.aws.found.io/app/kibana#/discover/Steve-Slow-Train-Analysis-(2080s-and-2083s)?_g=(refreshInterval:(display:Off,pause:!f,section:0,value:0),time:(from:'2017-11-16T08:36:17-0700',mode:absolute,to:'2017-11-16T11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03" t="str">
        <f>IF(AA61&lt;VLOOKUP(AG61,Variables!$AC$3:$AD$8,2,FALSE),"Y","N")</f>
        <v>N</v>
      </c>
      <c r="X61" s="203">
        <f t="shared" si="26"/>
        <v>1</v>
      </c>
      <c r="Y61" s="203">
        <f t="shared" si="27"/>
        <v>4.7500000000000001E-2</v>
      </c>
      <c r="Z61" s="203">
        <f t="shared" si="28"/>
        <v>23.3261</v>
      </c>
      <c r="AA61" s="203">
        <f t="shared" si="9"/>
        <v>23.278600000000001</v>
      </c>
      <c r="AB61" s="54" t="e">
        <f>VLOOKUP(A61,Enforcements!$C$7:$K$9,8,0)</f>
        <v>#N/A</v>
      </c>
      <c r="AC61" s="51" t="e">
        <f>VLOOKUP(A61,Enforcements!$C$7:$E$9,3,0)</f>
        <v>#N/A</v>
      </c>
      <c r="AD61" s="178">
        <f t="shared" si="10"/>
        <v>149</v>
      </c>
      <c r="AE61" s="77" t="str">
        <f t="shared" si="11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61" s="74" t="str">
        <f t="shared" si="12"/>
        <v>"C:\Program Files (x86)\AstroGrep\AstroGrep.exe" /e /r /s /spath="%USERPROFILE%\AppData\Local\Temp\OnboardLogs" /stypes="app*4018*20171116*" /stext=" 17:.+((SYSTEM_STATE.+slice.+state.+changed )|(ment ac)|(multiple cpu faults)|(system.+state.+changed )|(\[timeout)|(PRM\|1\|D)|(kpr)|(kdp)|(train st.+moving)|(\|lc)|(penalty))"</v>
      </c>
      <c r="AG61" s="181" t="str">
        <f t="shared" si="13"/>
        <v>EC</v>
      </c>
      <c r="AH61" s="78" t="str">
        <f t="shared" si="19"/>
        <v>"%USERPROFILE%\Documents\GitHub\eaglep3\Utilities\RefineRTDCRunTimes.py" --tripid 149-16 --locoid 4018 --swversion DE.1.0.9.0 --startMP 204:475 --initTime 2017-11-16T09:36:17 --startdatetime 2017-11-16T09:45:15 --delay 50 --endMP 204:233261 --enddatetime 2017-11-16T10:19:19 --enforcementcount 0 &gt;&gt;%USERPROFILE%\Documents\GitHub\eaglep3-reporting\EC\2017-11-16-refined-times.txt</v>
      </c>
      <c r="AI61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{"issue":{"subject":"","project_id":79,"tracker_id":40,"status_id":1,"priority_id":2,"assigned_to_id":338,"start_date":"2017-11-16","description":"","custom_fields":[{"id":1,"name":"Subdivision","value":"EC"},{"id":4,"name":"Milepost","value":"23.3261"},{"id":17,"name":"Train ID","value":"149-16"},{"id":16,"name":"Locomotive ID","value":"4018"},{"id":130,"name":"Impact","value":""},{"id":150,"name":"Time of Event (Mountain Time)","value":"10:19:19"},{"id":151,"name":"Denver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1" t="str">
        <f t="shared" si="21"/>
        <v>start /low /b %USERPROFILE%\Documents\GitHub\eaglep3\Utilities\DownloadLogsFromS3.py --loco 4018 --day 2017-11-16</v>
      </c>
      <c r="AN61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7" t="str">
        <f t="shared" si="23"/>
        <v>https://d0f6bd738d7f1b3e5a7ca70fe4ff75f0.us-east-1.aws.found.io/app/kibana#/discover/Steve-Slow-Train-Analysis-(2080s-and-2083s)?_g=(refreshInterval:(display:Off,pause:!f,section:0,value:0),time:(from:'2017-11-16T08:36:17-0700',mode:absolute,to:'2017-11-16T11:19:19-0700'))&amp;_a=(columns:!('Message%20ID',Summary),filters:!(),index:'emp_*',interval:auto,query:(query_string:(analyze_wildcard:!t,query:'%22rtdc.l.rtdc.4018%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752</v>
      </c>
      <c r="B62" s="7">
        <v>4017</v>
      </c>
      <c r="C62" s="21" t="s">
        <v>192</v>
      </c>
      <c r="D62" s="21" t="s">
        <v>520</v>
      </c>
      <c r="E62" s="13">
        <v>43055.431516203702</v>
      </c>
      <c r="F62" s="13">
        <v>43055.446006944447</v>
      </c>
      <c r="G62" s="7">
        <v>58</v>
      </c>
      <c r="H62" s="21" t="s">
        <v>927</v>
      </c>
      <c r="I62" s="13">
        <v>43055.471875000003</v>
      </c>
      <c r="J62" s="7">
        <v>0</v>
      </c>
      <c r="K62" s="89" t="str">
        <f t="shared" si="0"/>
        <v>4017/4018</v>
      </c>
      <c r="L62" s="184" t="str">
        <f>VLOOKUP(A62,'Trips&amp;Operators'!$C$1:$G$99911,5,FALSE)</f>
        <v>GEBRETEKLE DAGNEW</v>
      </c>
      <c r="M62" s="6">
        <f t="shared" si="1"/>
        <v>2.5868055556202307E-2</v>
      </c>
      <c r="N62" s="7">
        <f t="shared" si="24"/>
        <v>37.250000000931323</v>
      </c>
      <c r="O62" s="7"/>
      <c r="P62" s="7"/>
      <c r="Q62" s="22"/>
      <c r="R62" s="173"/>
      <c r="S62" s="220">
        <f t="shared" si="25"/>
        <v>1</v>
      </c>
      <c r="T62" s="173" t="str">
        <f t="shared" si="4"/>
        <v>Southbound</v>
      </c>
      <c r="U62" s="19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5" t="str">
        <f t="shared" si="5"/>
        <v>https://d0f6bd738d7f1b3e5a7ca70fe4ff75f0.us-east-1.aws.found.io/app/kibana#/discover/Steve-Slow-Train-Analysis-(2080s-and-2083s)?_g=(refreshInterval:(display:Off,pause:!f,section:0,value:0),time:(from:'2017-11-16T09:21:23-0700',mode:absolute,to:'2017-11-16T12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03" t="str">
        <f>IF(AA62&lt;VLOOKUP(AG62,Variables!$AC$3:$AD$8,2,FALSE),"Y","N")</f>
        <v>N</v>
      </c>
      <c r="X62" s="203">
        <f t="shared" si="26"/>
        <v>1</v>
      </c>
      <c r="Y62" s="203">
        <f t="shared" si="27"/>
        <v>23.2944</v>
      </c>
      <c r="Z62" s="203">
        <f t="shared" si="28"/>
        <v>1.8499999999999999E-2</v>
      </c>
      <c r="AA62" s="203">
        <f t="shared" si="9"/>
        <v>23.2759</v>
      </c>
      <c r="AB62" s="54" t="e">
        <f>VLOOKUP(A62,Enforcements!$C$7:$K$9,8,0)</f>
        <v>#N/A</v>
      </c>
      <c r="AC62" s="51" t="e">
        <f>VLOOKUP(A62,Enforcements!$C$7:$E$9,3,0)</f>
        <v>#N/A</v>
      </c>
      <c r="AD62" s="178">
        <f t="shared" si="10"/>
        <v>150</v>
      </c>
      <c r="AE62" s="77" t="str">
        <f t="shared" si="11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62" s="74" t="str">
        <f t="shared" si="12"/>
        <v>"C:\Program Files (x86)\AstroGrep\AstroGrep.exe" /e /r /s /spath="%USERPROFILE%\AppData\Local\Temp\OnboardLogs" /stypes="app*4017*20171116*" /stext=" 18:.+((SYSTEM_STATE.+slice.+state.+changed )|(ment ac)|(multiple cpu faults)|(system.+state.+changed )|(\[timeout)|(PRM\|1\|D)|(kpr)|(kdp)|(train st.+moving)|(\|lc)|(penalty))"</v>
      </c>
      <c r="AG62" s="181" t="str">
        <f t="shared" si="13"/>
        <v>EC</v>
      </c>
      <c r="AH62" s="78" t="str">
        <f t="shared" si="19"/>
        <v>"%USERPROFILE%\Documents\GitHub\eaglep3\Utilities\RefineRTDCRunTimes.py" --tripid 150-16 --locoid 4017 --swversion DE.1.0.9.0 --startMP 204:232944 --initTime 2017-11-16T10:21:23 --startdatetime 2017-11-16T10:42:15 --delay 58 --endMP 204:185 --enddatetime 2017-11-16T11:19:30 --enforcementcount 0 &gt;&gt;%USERPROFILE%\Documents\GitHub\eaglep3-reporting\EC\2017-11-16-refined-times.txt</v>
      </c>
      <c r="AI62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{"issue":{"subject":"","project_id":79,"tracker_id":40,"status_id":1,"priority_id":2,"assigned_to_id":338,"start_date":"2017-11-16","description":"","custom_fields":[{"id":1,"name":"Subdivision","value":"EC"},{"id":4,"name":"Milepost","value":"0.0185"},{"id":17,"name":"Train ID","value":"150-16"},{"id":16,"name":"Locomotive ID","value":"4017"},{"id":130,"name":"Impact","value":""},{"id":150,"name":"Time of Event (Mountain Time)","value":"11:19:30"},{"id":151,"name":"Denver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1" t="str">
        <f t="shared" si="21"/>
        <v>start /low /b %USERPROFILE%\Documents\GitHub\eaglep3\Utilities\DownloadLogsFromS3.py --loco 4017 --day 2017-11-16</v>
      </c>
      <c r="AN62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7" t="str">
        <f t="shared" si="23"/>
        <v>https://d0f6bd738d7f1b3e5a7ca70fe4ff75f0.us-east-1.aws.found.io/app/kibana#/discover/Steve-Slow-Train-Analysis-(2080s-and-2083s)?_g=(refreshInterval:(display:Off,pause:!f,section:0,value:0),time:(from:'2017-11-16T09:21:23-0700',mode:absolute,to:'2017-11-16T12:19:30-0700'))&amp;_a=(columns:!('Message%20ID',Summary),filters:!(),index:'emp_*',interval:auto,query:(query_string:(analyze_wildcard:!t,query:'%22rtdc.l.rtdc.4017%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749</v>
      </c>
      <c r="B63" s="7">
        <v>4052</v>
      </c>
      <c r="C63" s="21" t="s">
        <v>192</v>
      </c>
      <c r="D63" s="21" t="s">
        <v>560</v>
      </c>
      <c r="E63" s="13">
        <v>43055.412430555552</v>
      </c>
      <c r="F63" s="13">
        <v>43055.416979166665</v>
      </c>
      <c r="G63" s="7">
        <v>81</v>
      </c>
      <c r="H63" s="21" t="s">
        <v>602</v>
      </c>
      <c r="I63" s="13">
        <v>43055.442569444444</v>
      </c>
      <c r="J63" s="7">
        <v>0</v>
      </c>
      <c r="K63" s="89" t="str">
        <f t="shared" si="0"/>
        <v>4051/4052</v>
      </c>
      <c r="L63" s="184" t="str">
        <f>VLOOKUP(A63,'Trips&amp;Operators'!$C$1:$G$99911,5,FALSE)</f>
        <v>WILLIAMS DONTE</v>
      </c>
      <c r="M63" s="6">
        <f t="shared" si="1"/>
        <v>2.5590277778974269E-2</v>
      </c>
      <c r="N63" s="7">
        <f t="shared" si="24"/>
        <v>36.850000001722947</v>
      </c>
      <c r="O63" s="7"/>
      <c r="P63" s="7"/>
      <c r="Q63" s="22"/>
      <c r="R63" s="173"/>
      <c r="S63" s="220">
        <f t="shared" si="25"/>
        <v>1</v>
      </c>
      <c r="T63" s="173" t="str">
        <f t="shared" si="4"/>
        <v>NorthBound</v>
      </c>
      <c r="U63" s="19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5" t="str">
        <f t="shared" si="5"/>
        <v>https://d0f6bd738d7f1b3e5a7ca70fe4ff75f0.us-east-1.aws.found.io/app/kibana#/discover/Steve-Slow-Train-Analysis-(2080s-and-2083s)?_g=(refreshInterval:(display:Off,pause:!f,section:0,value:0),time:(from:'2017-11-16T08:53:54-0700',mode:absolute,to:'2017-11-16T11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3" s="203" t="str">
        <f>IF(AA63&lt;VLOOKUP(AG63,Variables!$AC$3:$AD$8,2,FALSE),"Y","N")</f>
        <v>N</v>
      </c>
      <c r="X63" s="203">
        <f t="shared" si="26"/>
        <v>1</v>
      </c>
      <c r="Y63" s="203">
        <f t="shared" si="27"/>
        <v>5.04E-2</v>
      </c>
      <c r="Z63" s="203">
        <f t="shared" si="28"/>
        <v>23.323799999999999</v>
      </c>
      <c r="AA63" s="203">
        <f t="shared" si="9"/>
        <v>23.273399999999999</v>
      </c>
      <c r="AB63" s="54" t="e">
        <f>VLOOKUP(A63,Enforcements!$C$7:$K$9,8,0)</f>
        <v>#N/A</v>
      </c>
      <c r="AC63" s="51" t="e">
        <f>VLOOKUP(A63,Enforcements!$C$7:$E$9,3,0)</f>
        <v>#N/A</v>
      </c>
      <c r="AD63" s="178">
        <f t="shared" si="10"/>
        <v>151</v>
      </c>
      <c r="AE63" s="77" t="str">
        <f t="shared" si="11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63" s="74" t="str">
        <f t="shared" si="12"/>
        <v>"C:\Program Files (x86)\AstroGrep\AstroGrep.exe" /e /r /s /spath="%USERPROFILE%\AppData\Local\Temp\OnboardLogs" /stypes="app*4052*20171116*" /stext=" 17:.+((SYSTEM_STATE.+slice.+state.+changed )|(ment ac)|(multiple cpu faults)|(system.+state.+changed )|(\[timeout)|(PRM\|1\|D)|(kpr)|(kdp)|(train st.+moving)|(\|lc)|(penalty))"</v>
      </c>
      <c r="AG63" s="181" t="str">
        <f t="shared" si="13"/>
        <v>EC</v>
      </c>
      <c r="AH63" s="78" t="str">
        <f t="shared" si="19"/>
        <v>"%USERPROFILE%\Documents\GitHub\eaglep3\Utilities\RefineRTDCRunTimes.py" --tripid 151-16 --locoid 4052 --swversion DE.1.0.9.0 --startMP 204:504 --initTime 2017-11-16T09:53:54 --startdatetime 2017-11-16T10:00:27 --delay 81 --endMP 204:233238 --enddatetime 2017-11-16T10:37:18 --enforcementcount 0 &gt;&gt;%USERPROFILE%\Documents\GitHub\eaglep3-reporting\EC\2017-11-16-refined-times.txt</v>
      </c>
      <c r="AI63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{"issue":{"subject":"","project_id":79,"tracker_id":40,"status_id":1,"priority_id":2,"assigned_to_id":338,"start_date":"2017-11-16","description":"","custom_fields":[{"id":1,"name":"Subdivision","value":"EC"},{"id":4,"name":"Milepost","value":"23.3238"},{"id":17,"name":"Train ID","value":"151-16"},{"id":16,"name":"Locomotive ID","value":"4052"},{"id":130,"name":"Impact","value":""},{"id":150,"name":"Time of Event (Mountain Time)","value":"10:37:18"},{"id":151,"name":"Denver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1" t="str">
        <f t="shared" si="21"/>
        <v>start /low /b %USERPROFILE%\Documents\GitHub\eaglep3\Utilities\DownloadLogsFromS3.py --loco 4052 --day 2017-11-16</v>
      </c>
      <c r="AN63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7" t="str">
        <f t="shared" si="23"/>
        <v>https://d0f6bd738d7f1b3e5a7ca70fe4ff75f0.us-east-1.aws.found.io/app/kibana#/discover/Steve-Slow-Train-Analysis-(2080s-and-2083s)?_g=(refreshInterval:(display:Off,pause:!f,section:0,value:0),time:(from:'2017-11-16T08:53:54-0700',mode:absolute,to:'2017-11-16T11:37:18-0700'))&amp;_a=(columns:!('Message%20ID',Summary),filters:!(),index:'emp_*',interval:auto,query:(query_string:(analyze_wildcard:!t,query:'%22rtdc.l.rtdc.4052%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760</v>
      </c>
      <c r="B64" s="7">
        <v>4051</v>
      </c>
      <c r="C64" s="21" t="s">
        <v>192</v>
      </c>
      <c r="D64" s="21" t="s">
        <v>535</v>
      </c>
      <c r="E64" s="13">
        <v>43055.450636574074</v>
      </c>
      <c r="F64" s="13">
        <v>43055.456423611111</v>
      </c>
      <c r="G64" s="7">
        <v>70</v>
      </c>
      <c r="H64" s="21" t="s">
        <v>443</v>
      </c>
      <c r="I64" s="13">
        <v>43055.483148148145</v>
      </c>
      <c r="J64" s="7">
        <v>0</v>
      </c>
      <c r="K64" s="89" t="str">
        <f t="shared" si="0"/>
        <v>4051/4052</v>
      </c>
      <c r="L64" s="184" t="str">
        <f>VLOOKUP(A64,'Trips&amp;Operators'!$C$1:$G$99911,5,FALSE)</f>
        <v>WILLIAMS DONTE</v>
      </c>
      <c r="M64" s="6">
        <f t="shared" si="1"/>
        <v>2.6724537034169771E-2</v>
      </c>
      <c r="N64" s="7">
        <f t="shared" si="24"/>
        <v>38.48333332920447</v>
      </c>
      <c r="O64" s="7"/>
      <c r="P64" s="7"/>
      <c r="Q64" s="22"/>
      <c r="R64" s="173"/>
      <c r="S64" s="220">
        <f t="shared" si="25"/>
        <v>1</v>
      </c>
      <c r="T64" s="173" t="str">
        <f t="shared" si="4"/>
        <v>Southbound</v>
      </c>
      <c r="U64" s="19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5" t="str">
        <f t="shared" si="5"/>
        <v>https://d0f6bd738d7f1b3e5a7ca70fe4ff75f0.us-east-1.aws.found.io/app/kibana#/discover/Steve-Slow-Train-Analysis-(2080s-and-2083s)?_g=(refreshInterval:(display:Off,pause:!f,section:0,value:0),time:(from:'2017-11-16T09:48:55-0700',mode:absolute,to:'2017-11-16T12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4" s="203" t="str">
        <f>IF(AA64&lt;VLOOKUP(AG64,Variables!$AC$3:$AD$8,2,FALSE),"Y","N")</f>
        <v>N</v>
      </c>
      <c r="X64" s="203">
        <f t="shared" si="26"/>
        <v>1</v>
      </c>
      <c r="Y64" s="203">
        <f t="shared" si="27"/>
        <v>23.2925</v>
      </c>
      <c r="Z64" s="203">
        <f t="shared" si="28"/>
        <v>2.3599999999999999E-2</v>
      </c>
      <c r="AA64" s="203">
        <f t="shared" si="9"/>
        <v>23.268900000000002</v>
      </c>
      <c r="AB64" s="54" t="e">
        <f>VLOOKUP(A64,Enforcements!$C$7:$K$9,8,0)</f>
        <v>#N/A</v>
      </c>
      <c r="AC64" s="51" t="e">
        <f>VLOOKUP(A64,Enforcements!$C$7:$E$9,3,0)</f>
        <v>#N/A</v>
      </c>
      <c r="AD64" s="178">
        <f t="shared" si="10"/>
        <v>152</v>
      </c>
      <c r="AE64" s="77" t="str">
        <f t="shared" si="11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64" s="74" t="str">
        <f t="shared" si="12"/>
        <v>"C:\Program Files (x86)\AstroGrep\AstroGrep.exe" /e /r /s /spath="%USERPROFILE%\AppData\Local\Temp\OnboardLogs" /stypes="app*4051*20171116*" /stext=" 18:.+((SYSTEM_STATE.+slice.+state.+changed )|(ment ac)|(multiple cpu faults)|(system.+state.+changed )|(\[timeout)|(PRM\|1\|D)|(kpr)|(kdp)|(train st.+moving)|(\|lc)|(penalty))"</v>
      </c>
      <c r="AG64" s="181" t="str">
        <f t="shared" si="13"/>
        <v>EC</v>
      </c>
      <c r="AH64" s="78" t="str">
        <f t="shared" si="19"/>
        <v>"%USERPROFILE%\Documents\GitHub\eaglep3\Utilities\RefineRTDCRunTimes.py" --tripid 152-16 --locoid 4051 --swversion DE.1.0.9.0 --startMP 204:232925 --initTime 2017-11-16T10:48:55 --startdatetime 2017-11-16T10:57:15 --delay 70 --endMP 204:236 --enddatetime 2017-11-16T11:35:44 --enforcementcount 0 &gt;&gt;%USERPROFILE%\Documents\GitHub\eaglep3-reporting\EC\2017-11-16-refined-times.txt</v>
      </c>
      <c r="AI64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{"issue":{"subject":"","project_id":79,"tracker_id":40,"status_id":1,"priority_id":2,"assigned_to_id":338,"start_date":"2017-11-16","description":"","custom_fields":[{"id":1,"name":"Subdivision","value":"EC"},{"id":4,"name":"Milepost","value":"0.0236"},{"id":17,"name":"Train ID","value":"152-16"},{"id":16,"name":"Locomotive ID","value":"4051"},{"id":130,"name":"Impact","value":""},{"id":150,"name":"Time of Event (Mountain Time)","value":"11:35:44"},{"id":151,"name":"Denver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1" t="str">
        <f t="shared" si="21"/>
        <v>start /low /b %USERPROFILE%\Documents\GitHub\eaglep3\Utilities\DownloadLogsFromS3.py --loco 4051 --day 2017-11-16</v>
      </c>
      <c r="AN64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7" t="str">
        <f t="shared" si="23"/>
        <v>https://d0f6bd738d7f1b3e5a7ca70fe4ff75f0.us-east-1.aws.found.io/app/kibana#/discover/Steve-Slow-Train-Analysis-(2080s-and-2083s)?_g=(refreshInterval:(display:Off,pause:!f,section:0,value:0),time:(from:'2017-11-16T09:48:55-0700',mode:absolute,to:'2017-11-16T12:35:44-0700'))&amp;_a=(columns:!('Message%20ID',Summary),filters:!(),index:'emp_*',interval:auto,query:(query_string:(analyze_wildcard:!t,query:'%22rtdc.l.rtdc.4051%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751</v>
      </c>
      <c r="B65" s="7">
        <v>4002</v>
      </c>
      <c r="C65" s="21" t="s">
        <v>192</v>
      </c>
      <c r="D65" s="21" t="s">
        <v>636</v>
      </c>
      <c r="E65" s="13">
        <v>43055.420717592591</v>
      </c>
      <c r="F65" s="13">
        <v>43055.427453703705</v>
      </c>
      <c r="G65" s="7">
        <v>123</v>
      </c>
      <c r="H65" s="21" t="s">
        <v>928</v>
      </c>
      <c r="I65" s="13">
        <v>43055.452557870369</v>
      </c>
      <c r="J65" s="7">
        <v>0</v>
      </c>
      <c r="K65" s="89" t="str">
        <f t="shared" si="0"/>
        <v>4001/4002</v>
      </c>
      <c r="L65" s="184" t="str">
        <f>VLOOKUP(A65,'Trips&amp;Operators'!$C$1:$G$99911,5,FALSE)</f>
        <v>STRICKLAND EVAN</v>
      </c>
      <c r="M65" s="6">
        <f t="shared" si="1"/>
        <v>2.5104166663368233E-2</v>
      </c>
      <c r="N65" s="7">
        <f t="shared" si="24"/>
        <v>36.149999995250255</v>
      </c>
      <c r="O65" s="7"/>
      <c r="P65" s="7"/>
      <c r="Q65" s="22"/>
      <c r="R65" s="173"/>
      <c r="S65" s="220">
        <f t="shared" si="25"/>
        <v>1</v>
      </c>
      <c r="T65" s="173" t="str">
        <f t="shared" si="4"/>
        <v>NorthBound</v>
      </c>
      <c r="U65" s="19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5" t="str">
        <f t="shared" si="5"/>
        <v>https://d0f6bd738d7f1b3e5a7ca70fe4ff75f0.us-east-1.aws.found.io/app/kibana#/discover/Steve-Slow-Train-Analysis-(2080s-and-2083s)?_g=(refreshInterval:(display:Off,pause:!f,section:0,value:0),time:(from:'2017-11-16T09:05:50-0700',mode:absolute,to:'2017-11-16T11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203" t="str">
        <f>IF(AA65&lt;VLOOKUP(AG65,Variables!$AC$3:$AD$8,2,FALSE),"Y","N")</f>
        <v>N</v>
      </c>
      <c r="X65" s="203">
        <f t="shared" si="26"/>
        <v>1</v>
      </c>
      <c r="Y65" s="203">
        <f t="shared" si="27"/>
        <v>4.6199999999999998E-2</v>
      </c>
      <c r="Z65" s="203">
        <f t="shared" si="28"/>
        <v>23.322600000000001</v>
      </c>
      <c r="AA65" s="203">
        <f t="shared" si="9"/>
        <v>23.276400000000002</v>
      </c>
      <c r="AB65" s="54" t="e">
        <f>VLOOKUP(A65,Enforcements!$C$7:$K$9,8,0)</f>
        <v>#N/A</v>
      </c>
      <c r="AC65" s="51" t="e">
        <f>VLOOKUP(A65,Enforcements!$C$7:$E$9,3,0)</f>
        <v>#N/A</v>
      </c>
      <c r="AD65" s="178">
        <f t="shared" si="10"/>
        <v>153</v>
      </c>
      <c r="AE65" s="77" t="str">
        <f t="shared" si="11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65" s="74" t="str">
        <f t="shared" si="12"/>
        <v>"C:\Program Files (x86)\AstroGrep\AstroGrep.exe" /e /r /s /spath="%USERPROFILE%\AppData\Local\Temp\OnboardLogs" /stypes="app*4002*20171116*" /stext=" 17:.+((SYSTEM_STATE.+slice.+state.+changed )|(ment ac)|(multiple cpu faults)|(system.+state.+changed )|(\[timeout)|(PRM\|1\|D)|(kpr)|(kdp)|(train st.+moving)|(\|lc)|(penalty))"</v>
      </c>
      <c r="AG65" s="181" t="str">
        <f t="shared" si="13"/>
        <v>EC</v>
      </c>
      <c r="AH65" s="78" t="str">
        <f t="shared" si="19"/>
        <v>"%USERPROFILE%\Documents\GitHub\eaglep3\Utilities\RefineRTDCRunTimes.py" --tripid 153-16 --locoid 4002 --swversion DE.1.0.9.0 --startMP 204:462 --initTime 2017-11-16T10:05:50 --startdatetime 2017-11-16T10:15:32 --delay 123 --endMP 204:233226 --enddatetime 2017-11-16T10:51:41 --enforcementcount 0 &gt;&gt;%USERPROFILE%\Documents\GitHub\eaglep3-reporting\EC\2017-11-16-refined-times.txt</v>
      </c>
      <c r="AI6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{"issue":{"subject":"","project_id":79,"tracker_id":40,"status_id":1,"priority_id":2,"assigned_to_id":338,"start_date":"2017-11-16","description":"","custom_fields":[{"id":1,"name":"Subdivision","value":"EC"},{"id":4,"name":"Milepost","value":"23.3226"},{"id":17,"name":"Train ID","value":"153-16"},{"id":16,"name":"Locomotive ID","value":"4002"},{"id":130,"name":"Impact","value":""},{"id":150,"name":"Time of Event (Mountain Time)","value":"10:51:41"},{"id":151,"name":"Denver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1" t="str">
        <f t="shared" si="21"/>
        <v>start /low /b %USERPROFILE%\Documents\GitHub\eaglep3\Utilities\DownloadLogsFromS3.py --loco 4002 --day 2017-11-16</v>
      </c>
      <c r="AN6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7" t="str">
        <f t="shared" si="23"/>
        <v>https://d0f6bd738d7f1b3e5a7ca70fe4ff75f0.us-east-1.aws.found.io/app/kibana#/discover/Steve-Slow-Train-Analysis-(2080s-and-2083s)?_g=(refreshInterval:(display:Off,pause:!f,section:0,value:0),time:(from:'2017-11-16T09:05:50-0700',mode:absolute,to:'2017-11-16T11:51:41-0700'))&amp;_a=(columns:!('Message%20ID',Summary),filters:!(),index:'emp_*',interval:auto,query:(query_string:(analyze_wildcard:!t,query:'%22rtdc.l.rtdc.4002%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762</v>
      </c>
      <c r="B66" s="7">
        <v>4001</v>
      </c>
      <c r="C66" s="21" t="s">
        <v>192</v>
      </c>
      <c r="D66" s="21" t="s">
        <v>929</v>
      </c>
      <c r="E66" s="13">
        <v>43055.454340277778</v>
      </c>
      <c r="F66" s="13">
        <v>43055.466851851852</v>
      </c>
      <c r="G66" s="7">
        <v>75</v>
      </c>
      <c r="H66" s="21" t="s">
        <v>530</v>
      </c>
      <c r="I66" s="13">
        <v>43055.493946759256</v>
      </c>
      <c r="J66" s="7">
        <v>0</v>
      </c>
      <c r="K66" s="89" t="str">
        <f t="shared" si="0"/>
        <v>4001/4002</v>
      </c>
      <c r="L66" s="184" t="str">
        <f>VLOOKUP(A66,'Trips&amp;Operators'!$C$1:$G$99911,5,FALSE)</f>
        <v>STRICKLAND EVAN</v>
      </c>
      <c r="M66" s="6">
        <f t="shared" si="1"/>
        <v>2.7094907403807156E-2</v>
      </c>
      <c r="N66" s="7">
        <f t="shared" si="24"/>
        <v>39.016666661482304</v>
      </c>
      <c r="O66" s="7"/>
      <c r="P66" s="7"/>
      <c r="Q66" s="22"/>
      <c r="R66" s="173"/>
      <c r="S66" s="220">
        <f t="shared" si="25"/>
        <v>1</v>
      </c>
      <c r="T66" s="173" t="str">
        <f t="shared" si="4"/>
        <v>Southbound</v>
      </c>
      <c r="U66" s="19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5" t="str">
        <f t="shared" si="5"/>
        <v>https://d0f6bd738d7f1b3e5a7ca70fe4ff75f0.us-east-1.aws.found.io/app/kibana#/discover/Steve-Slow-Train-Analysis-(2080s-and-2083s)?_g=(refreshInterval:(display:Off,pause:!f,section:0,value:0),time:(from:'2017-11-16T09:54:15-0700',mode:absolute,to:'2017-11-16T12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203" t="str">
        <f>IF(AA66&lt;VLOOKUP(AG66,Variables!$AC$3:$AD$8,2,FALSE),"Y","N")</f>
        <v>N</v>
      </c>
      <c r="X66" s="203">
        <f t="shared" si="26"/>
        <v>1</v>
      </c>
      <c r="Y66" s="203">
        <f t="shared" si="27"/>
        <v>23.290700000000001</v>
      </c>
      <c r="Z66" s="203">
        <f t="shared" si="28"/>
        <v>1.9599999999999999E-2</v>
      </c>
      <c r="AA66" s="203">
        <f t="shared" si="9"/>
        <v>23.271100000000001</v>
      </c>
      <c r="AB66" s="54" t="e">
        <f>VLOOKUP(A66,Enforcements!$C$7:$K$9,8,0)</f>
        <v>#N/A</v>
      </c>
      <c r="AC66" s="51" t="e">
        <f>VLOOKUP(A66,Enforcements!$C$7:$E$9,3,0)</f>
        <v>#N/A</v>
      </c>
      <c r="AD66" s="178">
        <f t="shared" si="10"/>
        <v>154</v>
      </c>
      <c r="AE66" s="77" t="str">
        <f t="shared" si="11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66" s="74" t="str">
        <f t="shared" si="12"/>
        <v>"C:\Program Files (x86)\AstroGrep\AstroGrep.exe" /e /r /s /spath="%USERPROFILE%\AppData\Local\Temp\OnboardLogs" /stypes="app*4001*20171116*" /stext=" 18:.+((SYSTEM_STATE.+slice.+state.+changed )|(ment ac)|(multiple cpu faults)|(system.+state.+changed )|(\[timeout)|(PRM\|1\|D)|(kpr)|(kdp)|(train st.+moving)|(\|lc)|(penalty))"</v>
      </c>
      <c r="AG66" s="181" t="str">
        <f t="shared" si="13"/>
        <v>EC</v>
      </c>
      <c r="AH66" s="78" t="str">
        <f t="shared" si="19"/>
        <v>"%USERPROFILE%\Documents\GitHub\eaglep3\Utilities\RefineRTDCRunTimes.py" --tripid 154-16 --locoid 4001 --swversion DE.1.0.9.0 --startMP 204:232907 --initTime 2017-11-16T10:54:15 --startdatetime 2017-11-16T11:12:16 --delay 75 --endMP 204:196 --enddatetime 2017-11-16T11:51:17 --enforcementcount 0 &gt;&gt;%USERPROFILE%\Documents\GitHub\eaglep3-reporting\EC\2017-11-16-refined-times.txt</v>
      </c>
      <c r="AI6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{"issue":{"subject":"","project_id":79,"tracker_id":40,"status_id":1,"priority_id":2,"assigned_to_id":338,"start_date":"2017-11-16","description":"","custom_fields":[{"id":1,"name":"Subdivision","value":"EC"},{"id":4,"name":"Milepost","value":"0.0196"},{"id":17,"name":"Train ID","value":"154-16"},{"id":16,"name":"Locomotive ID","value":"4001"},{"id":130,"name":"Impact","value":""},{"id":150,"name":"Time of Event (Mountain Time)","value":"11:51:17"},{"id":151,"name":"Denver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1" t="str">
        <f t="shared" si="21"/>
        <v>start /low /b %USERPROFILE%\Documents\GitHub\eaglep3\Utilities\DownloadLogsFromS3.py --loco 4001 --day 2017-11-16</v>
      </c>
      <c r="AN6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7" t="str">
        <f t="shared" si="23"/>
        <v>https://d0f6bd738d7f1b3e5a7ca70fe4ff75f0.us-east-1.aws.found.io/app/kibana#/discover/Steve-Slow-Train-Analysis-(2080s-and-2083s)?_g=(refreshInterval:(display:Off,pause:!f,section:0,value:0),time:(from:'2017-11-16T09:54:15-0700',mode:absolute,to:'2017-11-16T12:51:17-0700'))&amp;_a=(columns:!('Message%20ID',Summary),filters:!(),index:'emp_*',interval:auto,query:(query_string:(analyze_wildcard:!t,query:'%22rtdc.l.rtdc.4001%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754</v>
      </c>
      <c r="B67" s="7">
        <v>4062</v>
      </c>
      <c r="C67" s="21" t="s">
        <v>192</v>
      </c>
      <c r="D67" s="21" t="s">
        <v>444</v>
      </c>
      <c r="E67" s="13">
        <v>43055.432557870372</v>
      </c>
      <c r="F67" s="13">
        <v>43055.437673611108</v>
      </c>
      <c r="G67" s="7">
        <v>77</v>
      </c>
      <c r="H67" s="21" t="s">
        <v>930</v>
      </c>
      <c r="I67" s="13">
        <v>43055.462291666663</v>
      </c>
      <c r="J67" s="7">
        <v>0</v>
      </c>
      <c r="K67" s="89" t="str">
        <f t="shared" si="0"/>
        <v>4061/4062</v>
      </c>
      <c r="L67" s="184" t="str">
        <f>VLOOKUP(A67,'Trips&amp;Operators'!$C$1:$G$99911,5,FALSE)</f>
        <v>YANAI IAN</v>
      </c>
      <c r="M67" s="6">
        <f t="shared" si="1"/>
        <v>2.4618055555038154E-2</v>
      </c>
      <c r="N67" s="7">
        <f t="shared" si="24"/>
        <v>35.449999999254942</v>
      </c>
      <c r="O67" s="7"/>
      <c r="P67" s="7"/>
      <c r="Q67" s="22"/>
      <c r="R67" s="173"/>
      <c r="S67" s="220">
        <f t="shared" si="25"/>
        <v>1</v>
      </c>
      <c r="T67" s="173" t="str">
        <f t="shared" si="4"/>
        <v>NorthBound</v>
      </c>
      <c r="U67" s="19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5" t="str">
        <f t="shared" si="5"/>
        <v>https://d0f6bd738d7f1b3e5a7ca70fe4ff75f0.us-east-1.aws.found.io/app/kibana#/discover/Steve-Slow-Train-Analysis-(2080s-and-2083s)?_g=(refreshInterval:(display:Off,pause:!f,section:0,value:0),time:(from:'2017-11-16T09:22:53-0700',mode:absolute,to:'2017-11-16T12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7" s="203" t="str">
        <f>IF(AA67&lt;VLOOKUP(AG67,Variables!$AC$3:$AD$8,2,FALSE),"Y","N")</f>
        <v>N</v>
      </c>
      <c r="X67" s="203">
        <f t="shared" si="26"/>
        <v>1</v>
      </c>
      <c r="Y67" s="203">
        <f t="shared" si="27"/>
        <v>5.1700000000000003E-2</v>
      </c>
      <c r="Z67" s="203">
        <f t="shared" si="28"/>
        <v>23.324400000000001</v>
      </c>
      <c r="AA67" s="203">
        <f t="shared" si="9"/>
        <v>23.2727</v>
      </c>
      <c r="AB67" s="54" t="e">
        <f>VLOOKUP(A67,Enforcements!$C$7:$K$9,8,0)</f>
        <v>#N/A</v>
      </c>
      <c r="AC67" s="51" t="e">
        <f>VLOOKUP(A67,Enforcements!$C$7:$E$9,3,0)</f>
        <v>#N/A</v>
      </c>
      <c r="AD67" s="178">
        <f t="shared" si="10"/>
        <v>155</v>
      </c>
      <c r="AE67" s="77" t="str">
        <f t="shared" si="11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67" s="74" t="str">
        <f t="shared" si="12"/>
        <v>"C:\Program Files (x86)\AstroGrep\AstroGrep.exe" /e /r /s /spath="%USERPROFILE%\AppData\Local\Temp\OnboardLogs" /stypes="app*4062*20171116*" /stext=" 18:.+((SYSTEM_STATE.+slice.+state.+changed )|(ment ac)|(multiple cpu faults)|(system.+state.+changed )|(\[timeout)|(PRM\|1\|D)|(kpr)|(kdp)|(train st.+moving)|(\|lc)|(penalty))"</v>
      </c>
      <c r="AG67" s="181" t="str">
        <f t="shared" si="13"/>
        <v>EC</v>
      </c>
      <c r="AH67" s="78" t="str">
        <f t="shared" si="19"/>
        <v>"%USERPROFILE%\Documents\GitHub\eaglep3\Utilities\RefineRTDCRunTimes.py" --tripid 155-16 --locoid 4062 --swversion DE.1.0.9.0 --startMP 204:517 --initTime 2017-11-16T10:22:53 --startdatetime 2017-11-16T10:30:15 --delay 77 --endMP 204:233244 --enddatetime 2017-11-16T11:05:42 --enforcementcount 0 &gt;&gt;%USERPROFILE%\Documents\GitHub\eaglep3-reporting\EC\2017-11-16-refined-times.txt</v>
      </c>
      <c r="AI67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{"issue":{"subject":"","project_id":79,"tracker_id":40,"status_id":1,"priority_id":2,"assigned_to_id":338,"start_date":"2017-11-16","description":"","custom_fields":[{"id":1,"name":"Subdivision","value":"EC"},{"id":4,"name":"Milepost","value":"23.3244"},{"id":17,"name":"Train ID","value":"155-16"},{"id":16,"name":"Locomotive ID","value":"4062"},{"id":130,"name":"Impact","value":""},{"id":150,"name":"Time of Event (Mountain Time)","value":"11:05:42"},{"id":151,"name":"Denver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1" t="str">
        <f t="shared" si="21"/>
        <v>start /low /b %USERPROFILE%\Documents\GitHub\eaglep3\Utilities\DownloadLogsFromS3.py --loco 4062 --day 2017-11-16</v>
      </c>
      <c r="AN67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7" t="str">
        <f t="shared" si="23"/>
        <v>https://d0f6bd738d7f1b3e5a7ca70fe4ff75f0.us-east-1.aws.found.io/app/kibana#/discover/Steve-Slow-Train-Analysis-(2080s-and-2083s)?_g=(refreshInterval:(display:Off,pause:!f,section:0,value:0),time:(from:'2017-11-16T09:22:53-0700',mode:absolute,to:'2017-11-16T12:05:42-0700'))&amp;_a=(columns:!('Message%20ID',Summary),filters:!(),index:'emp_*',interval:auto,query:(query_string:(analyze_wildcard:!t,query:'%22rtdc.l.rtdc.4062%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767</v>
      </c>
      <c r="B68" s="7">
        <v>4061</v>
      </c>
      <c r="C68" s="21" t="s">
        <v>192</v>
      </c>
      <c r="D68" s="21" t="s">
        <v>931</v>
      </c>
      <c r="E68" s="13">
        <v>43055.463437500002</v>
      </c>
      <c r="F68" s="13">
        <v>43055.477256944447</v>
      </c>
      <c r="G68" s="7">
        <v>49</v>
      </c>
      <c r="H68" s="21" t="s">
        <v>932</v>
      </c>
      <c r="I68" s="13">
        <v>43055.502511574072</v>
      </c>
      <c r="J68" s="7">
        <v>0</v>
      </c>
      <c r="K68" s="89" t="str">
        <f t="shared" si="0"/>
        <v>4061/4062</v>
      </c>
      <c r="L68" s="184" t="str">
        <f>VLOOKUP(A68,'Trips&amp;Operators'!$C$1:$G$99911,5,FALSE)</f>
        <v>YANAI IAN</v>
      </c>
      <c r="M68" s="6">
        <f t="shared" si="1"/>
        <v>2.5254629625123926E-2</v>
      </c>
      <c r="N68" s="7">
        <f t="shared" si="24"/>
        <v>36.366666660178453</v>
      </c>
      <c r="O68" s="7"/>
      <c r="P68" s="7"/>
      <c r="Q68" s="22"/>
      <c r="R68" s="173"/>
      <c r="S68" s="220">
        <f t="shared" si="25"/>
        <v>1</v>
      </c>
      <c r="T68" s="173" t="str">
        <f t="shared" si="4"/>
        <v>Southbound</v>
      </c>
      <c r="U68" s="19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5" t="str">
        <f t="shared" si="5"/>
        <v>https://d0f6bd738d7f1b3e5a7ca70fe4ff75f0.us-east-1.aws.found.io/app/kibana#/discover/Steve-Slow-Train-Analysis-(2080s-and-2083s)?_g=(refreshInterval:(display:Off,pause:!f,section:0,value:0),time:(from:'2017-11-16T10:07:21-0700',mode:absolute,to:'2017-11-16T13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8" s="203" t="str">
        <f>IF(AA68&lt;VLOOKUP(AG68,Variables!$AC$3:$AD$8,2,FALSE),"Y","N")</f>
        <v>N</v>
      </c>
      <c r="X68" s="203">
        <f t="shared" si="26"/>
        <v>1</v>
      </c>
      <c r="Y68" s="203">
        <f t="shared" si="27"/>
        <v>23.2928</v>
      </c>
      <c r="Z68" s="203">
        <f t="shared" si="28"/>
        <v>1.6500000000000001E-2</v>
      </c>
      <c r="AA68" s="203">
        <f t="shared" si="9"/>
        <v>23.276299999999999</v>
      </c>
      <c r="AB68" s="54" t="e">
        <f>VLOOKUP(A68,Enforcements!$C$7:$K$9,8,0)</f>
        <v>#N/A</v>
      </c>
      <c r="AC68" s="51" t="e">
        <f>VLOOKUP(A68,Enforcements!$C$7:$E$9,3,0)</f>
        <v>#N/A</v>
      </c>
      <c r="AD68" s="178">
        <f t="shared" si="10"/>
        <v>156</v>
      </c>
      <c r="AE68" s="77" t="str">
        <f t="shared" si="11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68" s="74" t="str">
        <f t="shared" si="12"/>
        <v>"C:\Program Files (x86)\AstroGrep\AstroGrep.exe" /e /r /s /spath="%USERPROFILE%\AppData\Local\Temp\OnboardLogs" /stypes="app*4061*20171116*" /stext=" 19:.+((SYSTEM_STATE.+slice.+state.+changed )|(ment ac)|(multiple cpu faults)|(system.+state.+changed )|(\[timeout)|(PRM\|1\|D)|(kpr)|(kdp)|(train st.+moving)|(\|lc)|(penalty))"</v>
      </c>
      <c r="AG68" s="181" t="str">
        <f t="shared" si="13"/>
        <v>EC</v>
      </c>
      <c r="AH68" s="78" t="str">
        <f t="shared" si="19"/>
        <v>"%USERPROFILE%\Documents\GitHub\eaglep3\Utilities\RefineRTDCRunTimes.py" --tripid 156-16 --locoid 4061 --swversion DE.1.0.9.0 --startMP 204:232928 --initTime 2017-11-16T11:07:21 --startdatetime 2017-11-16T11:27:15 --delay 49 --endMP 204:165 --enddatetime 2017-11-16T12:03:37 --enforcementcount 0 &gt;&gt;%USERPROFILE%\Documents\GitHub\eaglep3-reporting\EC\2017-11-16-refined-times.txt</v>
      </c>
      <c r="AI68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{"issue":{"subject":"","project_id":79,"tracker_id":40,"status_id":1,"priority_id":2,"assigned_to_id":338,"start_date":"2017-11-16","description":"","custom_fields":[{"id":1,"name":"Subdivision","value":"EC"},{"id":4,"name":"Milepost","value":"0.0165"},{"id":17,"name":"Train ID","value":"156-16"},{"id":16,"name":"Locomotive ID","value":"4061"},{"id":130,"name":"Impact","value":""},{"id":150,"name":"Time of Event (Mountain Time)","value":"12:03:37"},{"id":151,"name":"Denver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1" t="str">
        <f t="shared" si="21"/>
        <v>start /low /b %USERPROFILE%\Documents\GitHub\eaglep3\Utilities\DownloadLogsFromS3.py --loco 4061 --day 2017-11-16</v>
      </c>
      <c r="AN68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7" t="str">
        <f t="shared" si="23"/>
        <v>https://d0f6bd738d7f1b3e5a7ca70fe4ff75f0.us-east-1.aws.found.io/app/kibana#/discover/Steve-Slow-Train-Analysis-(2080s-and-2083s)?_g=(refreshInterval:(display:Off,pause:!f,section:0,value:0),time:(from:'2017-11-16T10:07:21-0700',mode:absolute,to:'2017-11-16T13:03:37-0700'))&amp;_a=(columns:!('Message%20ID',Summary),filters:!(),index:'emp_*',interval:auto,query:(query_string:(analyze_wildcard:!t,query:'%22rtdc.l.rtdc.4061%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756</v>
      </c>
      <c r="B69" s="7">
        <v>4008</v>
      </c>
      <c r="C69" s="21" t="s">
        <v>192</v>
      </c>
      <c r="D69" s="21" t="s">
        <v>896</v>
      </c>
      <c r="E69" s="13">
        <v>43055.443576388891</v>
      </c>
      <c r="F69" s="13">
        <v>43055.448275462964</v>
      </c>
      <c r="G69" s="7">
        <v>79</v>
      </c>
      <c r="H69" s="21" t="s">
        <v>933</v>
      </c>
      <c r="I69" s="13">
        <v>43055.473194444443</v>
      </c>
      <c r="J69" s="7">
        <v>0</v>
      </c>
      <c r="K69" s="89" t="str">
        <f t="shared" si="0"/>
        <v>4007/4008</v>
      </c>
      <c r="L69" s="184" t="str">
        <f>VLOOKUP(A69,'Trips&amp;Operators'!$C$1:$G$99911,5,FALSE)</f>
        <v>BADERTSCHER DIANE</v>
      </c>
      <c r="M69" s="6">
        <f t="shared" si="1"/>
        <v>2.491898147854954E-2</v>
      </c>
      <c r="N69" s="7">
        <f t="shared" si="24"/>
        <v>35.883333329111338</v>
      </c>
      <c r="O69" s="7"/>
      <c r="P69" s="7"/>
      <c r="Q69" s="22"/>
      <c r="R69" s="173"/>
      <c r="S69" s="220">
        <f t="shared" si="25"/>
        <v>1</v>
      </c>
      <c r="T69" s="173" t="str">
        <f t="shared" si="4"/>
        <v>NorthBound</v>
      </c>
      <c r="U69" s="19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5" t="str">
        <f t="shared" si="5"/>
        <v>https://d0f6bd738d7f1b3e5a7ca70fe4ff75f0.us-east-1.aws.found.io/app/kibana#/discover/Steve-Slow-Train-Analysis-(2080s-and-2083s)?_g=(refreshInterval:(display:Off,pause:!f,section:0,value:0),time:(from:'2017-11-16T09:38:45-0700',mode:absolute,to:'2017-11-16T12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203" t="str">
        <f>IF(AA69&lt;VLOOKUP(AG69,Variables!$AC$3:$AD$8,2,FALSE),"Y","N")</f>
        <v>N</v>
      </c>
      <c r="X69" s="203">
        <f t="shared" si="26"/>
        <v>1</v>
      </c>
      <c r="Y69" s="203">
        <f t="shared" si="27"/>
        <v>5.0200000000000002E-2</v>
      </c>
      <c r="Z69" s="203">
        <f t="shared" si="28"/>
        <v>23.324100000000001</v>
      </c>
      <c r="AA69" s="203">
        <f t="shared" si="9"/>
        <v>23.273900000000001</v>
      </c>
      <c r="AB69" s="54" t="e">
        <f>VLOOKUP(A69,Enforcements!$C$7:$K$9,8,0)</f>
        <v>#N/A</v>
      </c>
      <c r="AC69" s="51" t="e">
        <f>VLOOKUP(A69,Enforcements!$C$7:$E$9,3,0)</f>
        <v>#N/A</v>
      </c>
      <c r="AD69" s="178">
        <f t="shared" si="10"/>
        <v>157</v>
      </c>
      <c r="AE69" s="77" t="str">
        <f t="shared" si="11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69" s="74" t="str">
        <f t="shared" si="12"/>
        <v>"C:\Program Files (x86)\AstroGrep\AstroGrep.exe" /e /r /s /spath="%USERPROFILE%\AppData\Local\Temp\OnboardLogs" /stypes="app*4008*20171116*" /stext=" 18:.+((SYSTEM_STATE.+slice.+state.+changed )|(ment ac)|(multiple cpu faults)|(system.+state.+changed )|(\[timeout)|(PRM\|1\|D)|(kpr)|(kdp)|(train st.+moving)|(\|lc)|(penalty))"</v>
      </c>
      <c r="AG69" s="181" t="str">
        <f t="shared" si="13"/>
        <v>EC</v>
      </c>
      <c r="AH69" s="78" t="str">
        <f t="shared" si="19"/>
        <v>"%USERPROFILE%\Documents\GitHub\eaglep3\Utilities\RefineRTDCRunTimes.py" --tripid 157-16 --locoid 4008 --swversion DE.1.0.9.0 --startMP 204:502 --initTime 2017-11-16T10:38:45 --startdatetime 2017-11-16T10:45:31 --delay 79 --endMP 204:233241 --enddatetime 2017-11-16T11:21:24 --enforcementcount 0 &gt;&gt;%USERPROFILE%\Documents\GitHub\eaglep3-reporting\EC\2017-11-16-refined-times.txt</v>
      </c>
      <c r="AI69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{"issue":{"subject":"","project_id":79,"tracker_id":40,"status_id":1,"priority_id":2,"assigned_to_id":338,"start_date":"2017-11-16","description":"","custom_fields":[{"id":1,"name":"Subdivision","value":"EC"},{"id":4,"name":"Milepost","value":"23.3241"},{"id":17,"name":"Train ID","value":"157-16"},{"id":16,"name":"Locomotive ID","value":"4008"},{"id":130,"name":"Impact","value":""},{"id":150,"name":"Time of Event (Mountain Time)","value":"11:21:24"},{"id":151,"name":"Denver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1" t="str">
        <f t="shared" si="21"/>
        <v>start /low /b %USERPROFILE%\Documents\GitHub\eaglep3\Utilities\DownloadLogsFromS3.py --loco 4008 --day 2017-11-16</v>
      </c>
      <c r="AN69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7" t="str">
        <f t="shared" si="23"/>
        <v>https://d0f6bd738d7f1b3e5a7ca70fe4ff75f0.us-east-1.aws.found.io/app/kibana#/discover/Steve-Slow-Train-Analysis-(2080s-and-2083s)?_g=(refreshInterval:(display:Off,pause:!f,section:0,value:0),time:(from:'2017-11-16T09:38:45-0700',mode:absolute,to:'2017-11-16T12:21:24-0700'))&amp;_a=(columns:!('Message%20ID',Summary),filters:!(),index:'emp_*',interval:auto,query:(query_string:(analyze_wildcard:!t,query:'%22rtdc.l.rtdc.4008%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771</v>
      </c>
      <c r="B70" s="7">
        <v>4007</v>
      </c>
      <c r="C70" s="21" t="s">
        <v>192</v>
      </c>
      <c r="D70" s="21" t="s">
        <v>494</v>
      </c>
      <c r="E70" s="13">
        <v>43055.482303240744</v>
      </c>
      <c r="F70" s="13">
        <v>43055.487650462965</v>
      </c>
      <c r="G70" s="7">
        <v>49</v>
      </c>
      <c r="H70" s="21" t="s">
        <v>553</v>
      </c>
      <c r="I70" s="13">
        <v>43055.514675925922</v>
      </c>
      <c r="J70" s="7">
        <v>0</v>
      </c>
      <c r="K70" s="89" t="str">
        <f t="shared" si="0"/>
        <v>4007/4008</v>
      </c>
      <c r="L70" s="184" t="str">
        <f>VLOOKUP(A70,'Trips&amp;Operators'!$C$1:$G$99911,5,FALSE)</f>
        <v>BADERTSCHER DIANE</v>
      </c>
      <c r="M70" s="6">
        <f t="shared" si="1"/>
        <v>2.7025462957681157E-2</v>
      </c>
      <c r="N70" s="7">
        <f t="shared" si="24"/>
        <v>38.916666659060866</v>
      </c>
      <c r="O70" s="7"/>
      <c r="P70" s="7"/>
      <c r="Q70" s="22"/>
      <c r="R70" s="173"/>
      <c r="S70" s="220">
        <f t="shared" si="25"/>
        <v>1</v>
      </c>
      <c r="T70" s="173" t="str">
        <f t="shared" si="4"/>
        <v>Southbound</v>
      </c>
      <c r="U70" s="19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5" t="str">
        <f t="shared" si="5"/>
        <v>https://d0f6bd738d7f1b3e5a7ca70fe4ff75f0.us-east-1.aws.found.io/app/kibana#/discover/Steve-Slow-Train-Analysis-(2080s-and-2083s)?_g=(refreshInterval:(display:Off,pause:!f,section:0,value:0),time:(from:'2017-11-16T10:34:31-0700',mode:absolute,to:'2017-11-16T13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203" t="str">
        <f>IF(AA70&lt;VLOOKUP(AG70,Variables!$AC$3:$AD$8,2,FALSE),"Y","N")</f>
        <v>N</v>
      </c>
      <c r="X70" s="203">
        <f t="shared" si="26"/>
        <v>1</v>
      </c>
      <c r="Y70" s="203">
        <f t="shared" si="27"/>
        <v>23.291499999999999</v>
      </c>
      <c r="Z70" s="203">
        <f t="shared" si="28"/>
        <v>2.1600000000000001E-2</v>
      </c>
      <c r="AA70" s="203">
        <f t="shared" si="9"/>
        <v>23.2699</v>
      </c>
      <c r="AB70" s="54" t="e">
        <f>VLOOKUP(A70,Enforcements!$C$7:$K$9,8,0)</f>
        <v>#N/A</v>
      </c>
      <c r="AC70" s="51" t="e">
        <f>VLOOKUP(A70,Enforcements!$C$7:$E$9,3,0)</f>
        <v>#N/A</v>
      </c>
      <c r="AD70" s="178">
        <f t="shared" si="10"/>
        <v>158</v>
      </c>
      <c r="AE70" s="77" t="str">
        <f t="shared" si="11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70" s="74" t="str">
        <f t="shared" si="12"/>
        <v>"C:\Program Files (x86)\AstroGrep\AstroGrep.exe" /e /r /s /spath="%USERPROFILE%\AppData\Local\Temp\OnboardLogs" /stypes="app*4007*20171116*" /stext=" 19:.+((SYSTEM_STATE.+slice.+state.+changed )|(ment ac)|(multiple cpu faults)|(system.+state.+changed )|(\[timeout)|(PRM\|1\|D)|(kpr)|(kdp)|(train st.+moving)|(\|lc)|(penalty))"</v>
      </c>
      <c r="AG70" s="181" t="str">
        <f t="shared" si="13"/>
        <v>EC</v>
      </c>
      <c r="AH70" s="78" t="str">
        <f t="shared" si="19"/>
        <v>"%USERPROFILE%\Documents\GitHub\eaglep3\Utilities\RefineRTDCRunTimes.py" --tripid 158-16 --locoid 4007 --swversion DE.1.0.9.0 --startMP 204:232915 --initTime 2017-11-16T11:34:31 --startdatetime 2017-11-16T11:42:13 --delay 49 --endMP 204:216 --enddatetime 2017-11-16T12:21:08 --enforcementcount 0 &gt;&gt;%USERPROFILE%\Documents\GitHub\eaglep3-reporting\EC\2017-11-16-refined-times.txt</v>
      </c>
      <c r="AI70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{"issue":{"subject":"","project_id":79,"tracker_id":40,"status_id":1,"priority_id":2,"assigned_to_id":338,"start_date":"2017-11-16","description":"","custom_fields":[{"id":1,"name":"Subdivision","value":"EC"},{"id":4,"name":"Milepost","value":"0.0216"},{"id":17,"name":"Train ID","value":"158-16"},{"id":16,"name":"Locomotive ID","value":"4007"},{"id":130,"name":"Impact","value":""},{"id":150,"name":"Time of Event (Mountain Time)","value":"12:21:08"},{"id":151,"name":"Denver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1" t="str">
        <f t="shared" si="21"/>
        <v>start /low /b %USERPROFILE%\Documents\GitHub\eaglep3\Utilities\DownloadLogsFromS3.py --loco 4007 --day 2017-11-16</v>
      </c>
      <c r="AN70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7" t="str">
        <f t="shared" si="23"/>
        <v>https://d0f6bd738d7f1b3e5a7ca70fe4ff75f0.us-east-1.aws.found.io/app/kibana#/discover/Steve-Slow-Train-Analysis-(2080s-and-2083s)?_g=(refreshInterval:(display:Off,pause:!f,section:0,value:0),time:(from:'2017-11-16T10:34:31-0700',mode:absolute,to:'2017-11-16T13:21:08-0700'))&amp;_a=(columns:!('Message%20ID',Summary),filters:!(),index:'emp_*',interval:auto,query:(query_string:(analyze_wildcard:!t,query:'%22rtdc.l.rtdc.4007%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761</v>
      </c>
      <c r="B71" s="7">
        <v>4016</v>
      </c>
      <c r="C71" s="21" t="s">
        <v>192</v>
      </c>
      <c r="D71" s="21" t="s">
        <v>509</v>
      </c>
      <c r="E71" s="13">
        <v>43055.453553240739</v>
      </c>
      <c r="F71" s="13">
        <v>43055.458541666667</v>
      </c>
      <c r="G71" s="7">
        <v>52</v>
      </c>
      <c r="H71" s="21" t="s">
        <v>934</v>
      </c>
      <c r="I71" s="13">
        <v>43055.483807870369</v>
      </c>
      <c r="J71" s="7">
        <v>0</v>
      </c>
      <c r="K71" s="89" t="str">
        <f t="shared" si="0"/>
        <v>4015/4016</v>
      </c>
      <c r="L71" s="184" t="str">
        <f>VLOOKUP(A71,'Trips&amp;Operators'!$C$1:$G$99911,5,FALSE)</f>
        <v>DAVIDSON DAVID</v>
      </c>
      <c r="M71" s="6">
        <f t="shared" si="1"/>
        <v>2.5266203701903578E-2</v>
      </c>
      <c r="N71" s="7">
        <f t="shared" si="24"/>
        <v>36.383333330741152</v>
      </c>
      <c r="O71" s="7"/>
      <c r="P71" s="7"/>
      <c r="Q71" s="22"/>
      <c r="R71" s="173"/>
      <c r="S71" s="220">
        <f t="shared" si="25"/>
        <v>1</v>
      </c>
      <c r="T71" s="173" t="str">
        <f t="shared" si="4"/>
        <v>NorthBound</v>
      </c>
      <c r="U71" s="19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5" t="str">
        <f t="shared" si="5"/>
        <v>https://d0f6bd738d7f1b3e5a7ca70fe4ff75f0.us-east-1.aws.found.io/app/kibana#/discover/Steve-Slow-Train-Analysis-(2080s-and-2083s)?_g=(refreshInterval:(display:Off,pause:!f,section:0,value:0),time:(from:'2017-11-16T09:53:07-0700',mode:absolute,to:'2017-11-16T12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03" t="str">
        <f>IF(AA71&lt;VLOOKUP(AG71,Variables!$AC$3:$AD$8,2,FALSE),"Y","N")</f>
        <v>N</v>
      </c>
      <c r="X71" s="203">
        <f t="shared" ref="X71:X72" si="29">VALUE(LEFT(AD71,4))-VALUE(LEFT(AD70,4))</f>
        <v>1</v>
      </c>
      <c r="Y71" s="203">
        <f t="shared" si="27"/>
        <v>5.5300000000000002E-2</v>
      </c>
      <c r="Z71" s="203">
        <f t="shared" si="28"/>
        <v>23.324200000000001</v>
      </c>
      <c r="AA71" s="203">
        <f t="shared" si="9"/>
        <v>23.268900000000002</v>
      </c>
      <c r="AB71" s="54" t="e">
        <f>VLOOKUP(A71,Enforcements!$C$7:$K$9,8,0)</f>
        <v>#N/A</v>
      </c>
      <c r="AC71" s="51" t="e">
        <f>VLOOKUP(A71,Enforcements!$C$7:$E$9,3,0)</f>
        <v>#N/A</v>
      </c>
      <c r="AD71" s="178">
        <f t="shared" si="10"/>
        <v>159</v>
      </c>
      <c r="AE71" s="77" t="str">
        <f t="shared" si="11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71" s="74" t="str">
        <f t="shared" si="12"/>
        <v>"C:\Program Files (x86)\AstroGrep\AstroGrep.exe" /e /r /s /spath="%USERPROFILE%\AppData\Local\Temp\OnboardLogs" /stypes="app*4016*20171116*" /stext=" 18:.+((SYSTEM_STATE.+slice.+state.+changed )|(ment ac)|(multiple cpu faults)|(system.+state.+changed )|(\[timeout)|(PRM\|1\|D)|(kpr)|(kdp)|(train st.+moving)|(\|lc)|(penalty))"</v>
      </c>
      <c r="AG71" s="181" t="str">
        <f t="shared" si="13"/>
        <v>EC</v>
      </c>
      <c r="AH71" s="78" t="str">
        <f t="shared" si="19"/>
        <v>"%USERPROFILE%\Documents\GitHub\eaglep3\Utilities\RefineRTDCRunTimes.py" --tripid 159-16 --locoid 4016 --swversion DE.1.0.9.0 --startMP 204:553 --initTime 2017-11-16T10:53:07 --startdatetime 2017-11-16T11:00:18 --delay 52 --endMP 204:233242 --enddatetime 2017-11-16T11:36:41 --enforcementcount 0 &gt;&gt;%USERPROFILE%\Documents\GitHub\eaglep3-reporting\EC\2017-11-16-refined-times.txt</v>
      </c>
      <c r="AI71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{"issue":{"subject":"","project_id":79,"tracker_id":40,"status_id":1,"priority_id":2,"assigned_to_id":338,"start_date":"2017-11-16","description":"","custom_fields":[{"id":1,"name":"Subdivision","value":"EC"},{"id":4,"name":"Milepost","value":"23.3242"},{"id":17,"name":"Train ID","value":"159-16"},{"id":16,"name":"Locomotive ID","value":"4016"},{"id":130,"name":"Impact","value":""},{"id":150,"name":"Time of Event (Mountain Time)","value":"11:36:41"},{"id":151,"name":"Denver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1" t="str">
        <f t="shared" si="21"/>
        <v>start /low /b %USERPROFILE%\Documents\GitHub\eaglep3\Utilities\DownloadLogsFromS3.py --loco 4016 --day 2017-11-16</v>
      </c>
      <c r="AN71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7" t="str">
        <f t="shared" si="23"/>
        <v>https://d0f6bd738d7f1b3e5a7ca70fe4ff75f0.us-east-1.aws.found.io/app/kibana#/discover/Steve-Slow-Train-Analysis-(2080s-and-2083s)?_g=(refreshInterval:(display:Off,pause:!f,section:0,value:0),time:(from:'2017-11-16T09:53:07-0700',mode:absolute,to:'2017-11-16T12:36:41-0700'))&amp;_a=(columns:!('Message%20ID',Summary),filters:!(),index:'emp_*',interval:auto,query:(query_string:(analyze_wildcard:!t,query:'%22rtdc.l.rtdc.4016%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773</v>
      </c>
      <c r="B72" s="7">
        <v>4015</v>
      </c>
      <c r="C72" s="21" t="s">
        <v>192</v>
      </c>
      <c r="D72" s="21" t="s">
        <v>900</v>
      </c>
      <c r="E72" s="13">
        <v>43055.485902777778</v>
      </c>
      <c r="F72" s="13">
        <v>43055.498113425929</v>
      </c>
      <c r="G72" s="7">
        <v>49</v>
      </c>
      <c r="H72" s="21" t="s">
        <v>556</v>
      </c>
      <c r="I72" s="13">
        <v>43055.524513888886</v>
      </c>
      <c r="J72" s="7">
        <v>0</v>
      </c>
      <c r="K72" s="89" t="str">
        <f t="shared" si="0"/>
        <v>4015/4016</v>
      </c>
      <c r="L72" s="184" t="str">
        <f>VLOOKUP(A72,'Trips&amp;Operators'!$C$1:$G$99911,5,FALSE)</f>
        <v>DAVIDSON DAVID</v>
      </c>
      <c r="M72" s="6">
        <f t="shared" si="1"/>
        <v>2.640046295709908E-2</v>
      </c>
      <c r="N72" s="7">
        <f t="shared" si="24"/>
        <v>38.016666658222675</v>
      </c>
      <c r="O72" s="7"/>
      <c r="P72" s="7"/>
      <c r="Q72" s="22"/>
      <c r="R72" s="173"/>
      <c r="S72" s="220">
        <f t="shared" si="25"/>
        <v>1</v>
      </c>
      <c r="T72" s="173" t="str">
        <f t="shared" si="4"/>
        <v>Southbound</v>
      </c>
      <c r="U72" s="19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5" t="str">
        <f t="shared" si="5"/>
        <v>https://d0f6bd738d7f1b3e5a7ca70fe4ff75f0.us-east-1.aws.found.io/app/kibana#/discover/Steve-Slow-Train-Analysis-(2080s-and-2083s)?_g=(refreshInterval:(display:Off,pause:!f,section:0,value:0),time:(from:'2017-11-16T10:39:42-0700',mode:absolute,to:'2017-11-16T13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03" t="str">
        <f>IF(AA72&lt;VLOOKUP(AG72,Variables!$AC$3:$AD$8,2,FALSE),"Y","N")</f>
        <v>N</v>
      </c>
      <c r="X72" s="203">
        <f t="shared" si="29"/>
        <v>1</v>
      </c>
      <c r="Y72" s="203">
        <f t="shared" si="27"/>
        <v>23.2942</v>
      </c>
      <c r="Z72" s="203">
        <f t="shared" si="28"/>
        <v>2.3099999999999999E-2</v>
      </c>
      <c r="AA72" s="203">
        <f t="shared" si="9"/>
        <v>23.271100000000001</v>
      </c>
      <c r="AB72" s="54" t="e">
        <f>VLOOKUP(A72,Enforcements!$C$7:$K$9,8,0)</f>
        <v>#N/A</v>
      </c>
      <c r="AC72" s="51" t="e">
        <f>VLOOKUP(A72,Enforcements!$C$7:$E$9,3,0)</f>
        <v>#N/A</v>
      </c>
      <c r="AD72" s="178">
        <f t="shared" si="10"/>
        <v>160</v>
      </c>
      <c r="AE72" s="77" t="str">
        <f t="shared" si="11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72" s="74" t="str">
        <f t="shared" si="12"/>
        <v>"C:\Program Files (x86)\AstroGrep\AstroGrep.exe" /e /r /s /spath="%USERPROFILE%\AppData\Local\Temp\OnboardLogs" /stypes="app*4015*20171116*" /stext=" 19:.+((SYSTEM_STATE.+slice.+state.+changed )|(ment ac)|(multiple cpu faults)|(system.+state.+changed )|(\[timeout)|(PRM\|1\|D)|(kpr)|(kdp)|(train st.+moving)|(\|lc)|(penalty))"</v>
      </c>
      <c r="AG72" s="181" t="str">
        <f t="shared" si="13"/>
        <v>EC</v>
      </c>
      <c r="AH72" s="78" t="str">
        <f t="shared" si="19"/>
        <v>"%USERPROFILE%\Documents\GitHub\eaglep3\Utilities\RefineRTDCRunTimes.py" --tripid 160-16 --locoid 4015 --swversion DE.1.0.9.0 --startMP 204:232942 --initTime 2017-11-16T11:39:42 --startdatetime 2017-11-16T11:57:17 --delay 49 --endMP 204:231 --enddatetime 2017-11-16T12:35:18 --enforcementcount 0 &gt;&gt;%USERPROFILE%\Documents\GitHub\eaglep3-reporting\EC\2017-11-16-refined-times.txt</v>
      </c>
      <c r="AI72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{"issue":{"subject":"","project_id":79,"tracker_id":40,"status_id":1,"priority_id":2,"assigned_to_id":338,"start_date":"2017-11-16","description":"","custom_fields":[{"id":1,"name":"Subdivision","value":"EC"},{"id":4,"name":"Milepost","value":"0.0231"},{"id":17,"name":"Train ID","value":"160-16"},{"id":16,"name":"Locomotive ID","value":"4015"},{"id":130,"name":"Impact","value":""},{"id":150,"name":"Time of Event (Mountain Time)","value":"12:35:18"},{"id":151,"name":"Denver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1" t="str">
        <f t="shared" si="21"/>
        <v>start /low /b %USERPROFILE%\Documents\GitHub\eaglep3\Utilities\DownloadLogsFromS3.py --loco 4015 --day 2017-11-16</v>
      </c>
      <c r="AN72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7" t="str">
        <f t="shared" si="23"/>
        <v>https://d0f6bd738d7f1b3e5a7ca70fe4ff75f0.us-east-1.aws.found.io/app/kibana#/discover/Steve-Slow-Train-Analysis-(2080s-and-2083s)?_g=(refreshInterval:(display:Off,pause:!f,section:0,value:0),time:(from:'2017-11-16T10:39:42-0700',mode:absolute,to:'2017-11-16T13:35:18-0700'))&amp;_a=(columns:!('Message%20ID',Summary),filters:!(),index:'emp_*',interval:auto,query:(query_string:(analyze_wildcard:!t,query:'%22rtdc.l.rtdc.4015%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768</v>
      </c>
      <c r="B73" s="7">
        <v>4004</v>
      </c>
      <c r="C73" s="21" t="s">
        <v>192</v>
      </c>
      <c r="D73" s="21" t="s">
        <v>935</v>
      </c>
      <c r="E73" s="13">
        <v>43055.464722222219</v>
      </c>
      <c r="F73" s="13">
        <v>43055.468912037039</v>
      </c>
      <c r="G73" s="7">
        <v>92</v>
      </c>
      <c r="H73" s="21" t="s">
        <v>532</v>
      </c>
      <c r="I73" s="13">
        <v>43055.492731481485</v>
      </c>
      <c r="J73" s="7">
        <v>0</v>
      </c>
      <c r="K73" s="89" t="str">
        <f t="shared" si="0"/>
        <v>4003/4004</v>
      </c>
      <c r="L73" s="184" t="str">
        <f>VLOOKUP(A73,'Trips&amp;Operators'!$C$1:$G$99911,5,FALSE)</f>
        <v>BRUDER RICHARD</v>
      </c>
      <c r="M73" s="6">
        <f t="shared" si="1"/>
        <v>2.3819444446417037E-2</v>
      </c>
      <c r="N73" s="7">
        <f t="shared" si="24"/>
        <v>34.300000002840534</v>
      </c>
      <c r="O73" s="7"/>
      <c r="P73" s="7"/>
      <c r="Q73" s="22"/>
      <c r="R73" s="173"/>
      <c r="S73" s="220">
        <f t="shared" si="25"/>
        <v>1</v>
      </c>
      <c r="T73" s="173" t="str">
        <f t="shared" si="4"/>
        <v>NorthBound</v>
      </c>
      <c r="U73" s="19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5" t="str">
        <f t="shared" si="5"/>
        <v>https://d0f6bd738d7f1b3e5a7ca70fe4ff75f0.us-east-1.aws.found.io/app/kibana#/discover/Steve-Slow-Train-Analysis-(2080s-and-2083s)?_g=(refreshInterval:(display:Off,pause:!f,section:0,value:0),time:(from:'2017-11-16T10:09:12-0700',mode:absolute,to:'2017-11-16T12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203" t="str">
        <f>IF(AA73&lt;VLOOKUP(AG73,Variables!$AC$3:$AD$8,2,FALSE),"Y","N")</f>
        <v>N</v>
      </c>
      <c r="X73" s="203">
        <f t="shared" ref="X73:X81" si="30">VALUE(LEFT(AD73,4))-VALUE(LEFT(AD72,4))</f>
        <v>1</v>
      </c>
      <c r="Y73" s="203">
        <f t="shared" si="27"/>
        <v>5.5899999999999998E-2</v>
      </c>
      <c r="Z73" s="203">
        <f t="shared" si="28"/>
        <v>23.319700000000001</v>
      </c>
      <c r="AA73" s="203">
        <f t="shared" si="9"/>
        <v>23.2638</v>
      </c>
      <c r="AB73" s="54" t="e">
        <f>VLOOKUP(A73,Enforcements!$C$7:$K$9,8,0)</f>
        <v>#N/A</v>
      </c>
      <c r="AC73" s="51" t="e">
        <f>VLOOKUP(A73,Enforcements!$C$7:$E$9,3,0)</f>
        <v>#N/A</v>
      </c>
      <c r="AD73" s="178">
        <f t="shared" si="10"/>
        <v>161</v>
      </c>
      <c r="AE73" s="77" t="str">
        <f t="shared" si="11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73" s="74" t="str">
        <f t="shared" si="12"/>
        <v>"C:\Program Files (x86)\AstroGrep\AstroGrep.exe" /e /r /s /spath="%USERPROFILE%\AppData\Local\Temp\OnboardLogs" /stypes="app*4004*20171116*" /stext=" 18:.+((SYSTEM_STATE.+slice.+state.+changed )|(ment ac)|(multiple cpu faults)|(system.+state.+changed )|(\[timeout)|(PRM\|1\|D)|(kpr)|(kdp)|(train st.+moving)|(\|lc)|(penalty))"</v>
      </c>
      <c r="AG73" s="181" t="str">
        <f t="shared" si="13"/>
        <v>EC</v>
      </c>
      <c r="AH73" s="78" t="str">
        <f t="shared" si="19"/>
        <v>"%USERPROFILE%\Documents\GitHub\eaglep3\Utilities\RefineRTDCRunTimes.py" --tripid 161-16 --locoid 4004 --swversion DE.1.0.9.0 --startMP 204:559 --initTime 2017-11-16T11:09:12 --startdatetime 2017-11-16T11:15:14 --delay 92 --endMP 204:233197 --enddatetime 2017-11-16T11:49:32 --enforcementcount 0 &gt;&gt;%USERPROFILE%\Documents\GitHub\eaglep3-reporting\EC\2017-11-16-refined-times.txt</v>
      </c>
      <c r="AI73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{"issue":{"subject":"","project_id":79,"tracker_id":40,"status_id":1,"priority_id":2,"assigned_to_id":338,"start_date":"2017-11-16","description":"","custom_fields":[{"id":1,"name":"Subdivision","value":"EC"},{"id":4,"name":"Milepost","value":"23.3197"},{"id":17,"name":"Train ID","value":"161-16"},{"id":16,"name":"Locomotive ID","value":"4004"},{"id":130,"name":"Impact","value":""},{"id":150,"name":"Time of Event (Mountain Time)","value":"11:49:32"},{"id":151,"name":"Denver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1" t="str">
        <f t="shared" si="21"/>
        <v>start /low /b %USERPROFILE%\Documents\GitHub\eaglep3\Utilities\DownloadLogsFromS3.py --loco 4004 --day 2017-11-16</v>
      </c>
      <c r="AN73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7" t="str">
        <f t="shared" si="23"/>
        <v>https://d0f6bd738d7f1b3e5a7ca70fe4ff75f0.us-east-1.aws.found.io/app/kibana#/discover/Steve-Slow-Train-Analysis-(2080s-and-2083s)?_g=(refreshInterval:(display:Off,pause:!f,section:0,value:0),time:(from:'2017-11-16T10:09:12-0700',mode:absolute,to:'2017-11-16T12:49:32-0700'))&amp;_a=(columns:!('Message%20ID',Summary),filters:!(),index:'emp_*',interval:auto,query:(query_string:(analyze_wildcard:!t,query:'%22rtdc.l.rtdc.4004%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778</v>
      </c>
      <c r="B74" s="7">
        <v>4003</v>
      </c>
      <c r="C74" s="21" t="s">
        <v>192</v>
      </c>
      <c r="D74" s="21" t="s">
        <v>555</v>
      </c>
      <c r="E74" s="13">
        <v>43055.504976851851</v>
      </c>
      <c r="F74" s="13">
        <v>43055.508553240739</v>
      </c>
      <c r="G74" s="7">
        <v>106</v>
      </c>
      <c r="H74" s="21" t="s">
        <v>456</v>
      </c>
      <c r="I74" s="13">
        <v>43055.534259259257</v>
      </c>
      <c r="J74" s="7">
        <v>0</v>
      </c>
      <c r="K74" s="89" t="str">
        <f t="shared" si="0"/>
        <v>4003/4004</v>
      </c>
      <c r="L74" s="184" t="str">
        <f>VLOOKUP(A74,'Trips&amp;Operators'!$C$1:$G$99911,5,FALSE)</f>
        <v>BRUDER RICHARD</v>
      </c>
      <c r="M74" s="6">
        <f t="shared" si="1"/>
        <v>2.5706018517666962E-2</v>
      </c>
      <c r="N74" s="7">
        <f t="shared" si="24"/>
        <v>37.016666665440425</v>
      </c>
      <c r="O74" s="7"/>
      <c r="P74" s="7"/>
      <c r="Q74" s="22"/>
      <c r="R74" s="173"/>
      <c r="S74" s="220">
        <f t="shared" si="25"/>
        <v>1</v>
      </c>
      <c r="T74" s="173" t="str">
        <f t="shared" si="4"/>
        <v>Southbound</v>
      </c>
      <c r="U74" s="19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5" t="str">
        <f t="shared" si="5"/>
        <v>https://d0f6bd738d7f1b3e5a7ca70fe4ff75f0.us-east-1.aws.found.io/app/kibana#/discover/Steve-Slow-Train-Analysis-(2080s-and-2083s)?_g=(refreshInterval:(display:Off,pause:!f,section:0,value:0),time:(from:'2017-11-16T11:07:10-0700',mode:absolute,to:'2017-11-16T13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203" t="str">
        <f>IF(AA74&lt;VLOOKUP(AG74,Variables!$AC$3:$AD$8,2,FALSE),"Y","N")</f>
        <v>N</v>
      </c>
      <c r="X74" s="203">
        <f t="shared" si="30"/>
        <v>1</v>
      </c>
      <c r="Y74" s="203">
        <f t="shared" si="27"/>
        <v>23.2881</v>
      </c>
      <c r="Z74" s="203">
        <f t="shared" si="28"/>
        <v>2.29E-2</v>
      </c>
      <c r="AA74" s="203">
        <f t="shared" si="9"/>
        <v>23.2652</v>
      </c>
      <c r="AB74" s="54" t="e">
        <f>VLOOKUP(A74,Enforcements!$C$7:$K$9,8,0)</f>
        <v>#N/A</v>
      </c>
      <c r="AC74" s="51" t="e">
        <f>VLOOKUP(A74,Enforcements!$C$7:$E$9,3,0)</f>
        <v>#N/A</v>
      </c>
      <c r="AD74" s="178">
        <f t="shared" si="10"/>
        <v>162</v>
      </c>
      <c r="AE74" s="77" t="str">
        <f t="shared" si="11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74" s="74" t="str">
        <f t="shared" si="12"/>
        <v>"C:\Program Files (x86)\AstroGrep\AstroGrep.exe" /e /r /s /spath="%USERPROFILE%\AppData\Local\Temp\OnboardLogs" /stypes="app*4003*20171116*" /stext=" 19:.+((SYSTEM_STATE.+slice.+state.+changed )|(ment ac)|(multiple cpu faults)|(system.+state.+changed )|(\[timeout)|(PRM\|1\|D)|(kpr)|(kdp)|(train st.+moving)|(\|lc)|(penalty))"</v>
      </c>
      <c r="AG74" s="181" t="str">
        <f t="shared" si="13"/>
        <v>EC</v>
      </c>
      <c r="AH74" s="78" t="str">
        <f t="shared" si="19"/>
        <v>"%USERPROFILE%\Documents\GitHub\eaglep3\Utilities\RefineRTDCRunTimes.py" --tripid 162-16 --locoid 4003 --swversion DE.1.0.9.0 --startMP 204:232881 --initTime 2017-11-16T12:07:10 --startdatetime 2017-11-16T12:12:19 --delay 106 --endMP 204:229 --enddatetime 2017-11-16T12:49:20 --enforcementcount 0 &gt;&gt;%USERPROFILE%\Documents\GitHub\eaglep3-reporting\EC\2017-11-16-refined-times.txt</v>
      </c>
      <c r="AI74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{"issue":{"subject":"","project_id":79,"tracker_id":40,"status_id":1,"priority_id":2,"assigned_to_id":338,"start_date":"2017-11-16","description":"","custom_fields":[{"id":1,"name":"Subdivision","value":"EC"},{"id":4,"name":"Milepost","value":"0.0229"},{"id":17,"name":"Train ID","value":"162-16"},{"id":16,"name":"Locomotive ID","value":"4003"},{"id":130,"name":"Impact","value":""},{"id":150,"name":"Time of Event (Mountain Time)","value":"12:49:20"},{"id":151,"name":"Denver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1" t="str">
        <f t="shared" si="21"/>
        <v>start /low /b %USERPROFILE%\Documents\GitHub\eaglep3\Utilities\DownloadLogsFromS3.py --loco 4003 --day 2017-11-16</v>
      </c>
      <c r="AN74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7" t="str">
        <f t="shared" si="23"/>
        <v>https://d0f6bd738d7f1b3e5a7ca70fe4ff75f0.us-east-1.aws.found.io/app/kibana#/discover/Steve-Slow-Train-Analysis-(2080s-and-2083s)?_g=(refreshInterval:(display:Off,pause:!f,section:0,value:0),time:(from:'2017-11-16T11:07:10-0700',mode:absolute,to:'2017-11-16T13:49:20-0700'))&amp;_a=(columns:!('Message%20ID',Summary),filters:!(),index:'emp_*',interval:auto,query:(query_string:(analyze_wildcard:!t,query:'%22rtdc.l.rtdc.4003%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769</v>
      </c>
      <c r="B75" s="7">
        <v>4018</v>
      </c>
      <c r="C75" s="21" t="s">
        <v>192</v>
      </c>
      <c r="D75" s="21" t="s">
        <v>637</v>
      </c>
      <c r="E75" s="13">
        <v>43055.473912037036</v>
      </c>
      <c r="F75" s="13">
        <v>43055.479409722226</v>
      </c>
      <c r="G75" s="7">
        <v>108</v>
      </c>
      <c r="H75" s="21" t="s">
        <v>936</v>
      </c>
      <c r="I75" s="13">
        <v>43055.504837962966</v>
      </c>
      <c r="J75" s="7">
        <v>0</v>
      </c>
      <c r="K75" s="89" t="str">
        <f t="shared" si="0"/>
        <v>4017/4018</v>
      </c>
      <c r="L75" s="184" t="str">
        <f>VLOOKUP(A75,'Trips&amp;Operators'!$C$1:$G$99911,5,FALSE)</f>
        <v>STEWART MICHAEL</v>
      </c>
      <c r="M75" s="6">
        <f t="shared" si="1"/>
        <v>2.5428240740438923E-2</v>
      </c>
      <c r="N75" s="7">
        <f t="shared" si="24"/>
        <v>36.616666666232049</v>
      </c>
      <c r="O75" s="7"/>
      <c r="P75" s="7"/>
      <c r="Q75" s="22"/>
      <c r="R75" s="173"/>
      <c r="S75" s="220">
        <f t="shared" si="25"/>
        <v>1</v>
      </c>
      <c r="T75" s="173" t="str">
        <f t="shared" si="4"/>
        <v>NorthBound</v>
      </c>
      <c r="U75" s="19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5" t="str">
        <f t="shared" si="5"/>
        <v>https://d0f6bd738d7f1b3e5a7ca70fe4ff75f0.us-east-1.aws.found.io/app/kibana#/discover/Steve-Slow-Train-Analysis-(2080s-and-2083s)?_g=(refreshInterval:(display:Off,pause:!f,section:0,value:0),time:(from:'2017-11-16T10:22:26-0700',mode:absolute,to:'2017-11-16T13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03" t="str">
        <f>IF(AA75&lt;VLOOKUP(AG75,Variables!$AC$3:$AD$8,2,FALSE),"Y","N")</f>
        <v>N</v>
      </c>
      <c r="X75" s="203">
        <f t="shared" si="30"/>
        <v>1</v>
      </c>
      <c r="Y75" s="203">
        <f t="shared" si="27"/>
        <v>4.9700000000000001E-2</v>
      </c>
      <c r="Z75" s="203">
        <f t="shared" si="28"/>
        <v>23.322299999999998</v>
      </c>
      <c r="AA75" s="203">
        <f t="shared" si="9"/>
        <v>23.272599999999997</v>
      </c>
      <c r="AB75" s="54" t="e">
        <f>VLOOKUP(A75,Enforcements!$C$7:$K$9,8,0)</f>
        <v>#N/A</v>
      </c>
      <c r="AC75" s="51" t="e">
        <f>VLOOKUP(A75,Enforcements!$C$7:$E$9,3,0)</f>
        <v>#N/A</v>
      </c>
      <c r="AD75" s="178">
        <f t="shared" si="10"/>
        <v>163</v>
      </c>
      <c r="AE75" s="77" t="str">
        <f t="shared" si="11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75" s="74" t="str">
        <f t="shared" si="12"/>
        <v>"C:\Program Files (x86)\AstroGrep\AstroGrep.exe" /e /r /s /spath="%USERPROFILE%\AppData\Local\Temp\OnboardLogs" /stypes="app*4018*20171116*" /stext=" 19:.+((SYSTEM_STATE.+slice.+state.+changed )|(ment ac)|(multiple cpu faults)|(system.+state.+changed )|(\[timeout)|(PRM\|1\|D)|(kpr)|(kdp)|(train st.+moving)|(\|lc)|(penalty))"</v>
      </c>
      <c r="AG75" s="181" t="str">
        <f t="shared" si="13"/>
        <v>EC</v>
      </c>
      <c r="AH75" s="78" t="str">
        <f t="shared" si="19"/>
        <v>"%USERPROFILE%\Documents\GitHub\eaglep3\Utilities\RefineRTDCRunTimes.py" --tripid 163-16 --locoid 4018 --swversion DE.1.0.9.0 --startMP 204:497 --initTime 2017-11-16T11:22:26 --startdatetime 2017-11-16T11:30:21 --delay 108 --endMP 204:233223 --enddatetime 2017-11-16T12:06:58 --enforcementcount 0 &gt;&gt;%USERPROFILE%\Documents\GitHub\eaglep3-reporting\EC\2017-11-16-refined-times.txt</v>
      </c>
      <c r="AI75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{"issue":{"subject":"","project_id":79,"tracker_id":40,"status_id":1,"priority_id":2,"assigned_to_id":338,"start_date":"2017-11-16","description":"","custom_fields":[{"id":1,"name":"Subdivision","value":"EC"},{"id":4,"name":"Milepost","value":"23.3223"},{"id":17,"name":"Train ID","value":"163-16"},{"id":16,"name":"Locomotive ID","value":"4018"},{"id":130,"name":"Impact","value":""},{"id":150,"name":"Time of Event (Mountain Time)","value":"12:06:58"},{"id":151,"name":"Denver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1" t="str">
        <f t="shared" si="21"/>
        <v>start /low /b %USERPROFILE%\Documents\GitHub\eaglep3\Utilities\DownloadLogsFromS3.py --loco 4018 --day 2017-11-16</v>
      </c>
      <c r="AN75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7" t="str">
        <f t="shared" si="23"/>
        <v>https://d0f6bd738d7f1b3e5a7ca70fe4ff75f0.us-east-1.aws.found.io/app/kibana#/discover/Steve-Slow-Train-Analysis-(2080s-and-2083s)?_g=(refreshInterval:(display:Off,pause:!f,section:0,value:0),time:(from:'2017-11-16T10:22:26-0700',mode:absolute,to:'2017-11-16T13:06:58-0700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779</v>
      </c>
      <c r="B76" s="7">
        <v>4017</v>
      </c>
      <c r="C76" s="21" t="s">
        <v>192</v>
      </c>
      <c r="D76" s="21" t="s">
        <v>937</v>
      </c>
      <c r="E76" s="13">
        <v>43055.516805555555</v>
      </c>
      <c r="F76" s="13">
        <v>43055.51898148148</v>
      </c>
      <c r="G76" s="7">
        <v>70</v>
      </c>
      <c r="H76" s="21" t="s">
        <v>553</v>
      </c>
      <c r="I76" s="13">
        <v>43055.545416666668</v>
      </c>
      <c r="J76" s="7">
        <v>0</v>
      </c>
      <c r="K76" s="89" t="str">
        <f t="shared" si="0"/>
        <v>4017/4018</v>
      </c>
      <c r="L76" s="184" t="str">
        <f>VLOOKUP(A76,'Trips&amp;Operators'!$C$1:$G$99911,5,FALSE)</f>
        <v>STEWART MICHAEL</v>
      </c>
      <c r="M76" s="6">
        <f t="shared" si="1"/>
        <v>2.6435185187438037E-2</v>
      </c>
      <c r="N76" s="7">
        <f t="shared" si="24"/>
        <v>38.066666669910774</v>
      </c>
      <c r="O76" s="7"/>
      <c r="P76" s="7"/>
      <c r="Q76" s="22"/>
      <c r="R76" s="173"/>
      <c r="S76" s="220">
        <f t="shared" si="25"/>
        <v>1</v>
      </c>
      <c r="T76" s="173" t="str">
        <f t="shared" si="4"/>
        <v>Southbound</v>
      </c>
      <c r="U76" s="19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5" t="str">
        <f t="shared" si="5"/>
        <v>https://d0f6bd738d7f1b3e5a7ca70fe4ff75f0.us-east-1.aws.found.io/app/kibana#/discover/Steve-Slow-Train-Analysis-(2080s-and-2083s)?_g=(refreshInterval:(display:Off,pause:!f,section:0,value:0),time:(from:'2017-11-16T11:24:12-0700',mode:absolute,to:'2017-11-16T14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03" t="str">
        <f>IF(AA76&lt;VLOOKUP(AG76,Variables!$AC$3:$AD$8,2,FALSE),"Y","N")</f>
        <v>N</v>
      </c>
      <c r="X76" s="203">
        <f t="shared" si="30"/>
        <v>1</v>
      </c>
      <c r="Y76" s="203">
        <f t="shared" si="27"/>
        <v>23.2913</v>
      </c>
      <c r="Z76" s="203">
        <f t="shared" si="28"/>
        <v>2.1600000000000001E-2</v>
      </c>
      <c r="AA76" s="203">
        <f t="shared" si="9"/>
        <v>23.2697</v>
      </c>
      <c r="AB76" s="54" t="e">
        <f>VLOOKUP(A76,Enforcements!$C$7:$K$9,8,0)</f>
        <v>#N/A</v>
      </c>
      <c r="AC76" s="51" t="e">
        <f>VLOOKUP(A76,Enforcements!$C$7:$E$9,3,0)</f>
        <v>#N/A</v>
      </c>
      <c r="AD76" s="178">
        <f t="shared" si="10"/>
        <v>164</v>
      </c>
      <c r="AE76" s="77" t="str">
        <f t="shared" si="11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76" s="74" t="str">
        <f t="shared" si="12"/>
        <v>"C:\Program Files (x86)\AstroGrep\AstroGrep.exe" /e /r /s /spath="%USERPROFILE%\AppData\Local\Temp\OnboardLogs" /stypes="app*4017*20171116*" /stext=" 20:.+((SYSTEM_STATE.+slice.+state.+changed )|(ment ac)|(multiple cpu faults)|(system.+state.+changed )|(\[timeout)|(PRM\|1\|D)|(kpr)|(kdp)|(train st.+moving)|(\|lc)|(penalty))"</v>
      </c>
      <c r="AG76" s="181" t="str">
        <f t="shared" si="13"/>
        <v>EC</v>
      </c>
      <c r="AH76" s="78" t="str">
        <f t="shared" si="19"/>
        <v>"%USERPROFILE%\Documents\GitHub\eaglep3\Utilities\RefineRTDCRunTimes.py" --tripid 164-16 --locoid 4017 --swversion DE.1.0.9.0 --startMP 204:232913 --initTime 2017-11-16T12:24:12 --startdatetime 2017-11-16T12:27:20 --delay 70 --endMP 204:216 --enddatetime 2017-11-16T13:05:24 --enforcementcount 0 &gt;&gt;%USERPROFILE%\Documents\GitHub\eaglep3-reporting\EC\2017-11-16-refined-times.txt</v>
      </c>
      <c r="AI76" s="96" t="str">
        <f t="shared" si="20"/>
        <v>echo {"issue":{"subject":"","project_id":79,"tracker_id":40,"status_id":1,"priority_id":2,"assigned_to_id":338,"start_date":"2017-11-16","description":"","custom_fields":[{"id":1,"name":"Subdivision","value":"EC"},{"id":4,"name":"Milepost","value":"0.0216"},{"id":17,"name":"Train ID","value":"164-16"},{"id":16,"name":"Locomotive ID","value":"4017"},{"id":130,"name":"Impact","value":""},{"id":150,"name":"Time of Event (Mountain Time)","value":"13:05:24"},{"id":151,"name":"Denver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1" t="str">
        <f t="shared" si="21"/>
        <v>start /low /b %USERPROFILE%\Documents\GitHub\eaglep3\Utilities\DownloadLogsFromS3.py --loco 4017 --day 2017-11-16</v>
      </c>
      <c r="AN76" s="150" t="str">
        <f t="shared" si="22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7" t="str">
        <f t="shared" si="23"/>
        <v>https://d0f6bd738d7f1b3e5a7ca70fe4ff75f0.us-east-1.aws.found.io/app/kibana#/discover/Steve-Slow-Train-Analysis-(2080s-and-2083s)?_g=(refreshInterval:(display:Off,pause:!f,section:0,value:0),time:(from:'2017-11-16T11:24:12-0700',mode:absolute,to:'2017-11-16T14:05:24-0700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772</v>
      </c>
      <c r="B77" s="7">
        <v>4052</v>
      </c>
      <c r="C77" s="21" t="s">
        <v>192</v>
      </c>
      <c r="D77" s="21" t="s">
        <v>938</v>
      </c>
      <c r="E77" s="13">
        <v>43055.484791666669</v>
      </c>
      <c r="F77" s="13">
        <v>43055.489756944444</v>
      </c>
      <c r="G77" s="7">
        <v>101</v>
      </c>
      <c r="H77" s="21" t="s">
        <v>500</v>
      </c>
      <c r="I77" s="13">
        <v>43055.513495370367</v>
      </c>
      <c r="J77" s="7">
        <v>0</v>
      </c>
      <c r="K77" s="89" t="str">
        <f t="shared" ref="K77:K140" si="31">IF(ISEVEN(B77),(B77-1)&amp;"/"&amp;B77,B77&amp;"/"&amp;(B77+1))</f>
        <v>4051/4052</v>
      </c>
      <c r="L77" s="184" t="str">
        <f>VLOOKUP(A77,'Trips&amp;Operators'!$C$1:$G$99911,5,FALSE)</f>
        <v>LEVIN SCOTT</v>
      </c>
      <c r="M77" s="6">
        <f t="shared" ref="M77:M140" si="32">I77-F77</f>
        <v>2.3738425923511386E-2</v>
      </c>
      <c r="N77" s="7">
        <f t="shared" si="24"/>
        <v>34.183333329856396</v>
      </c>
      <c r="O77" s="7"/>
      <c r="P77" s="7"/>
      <c r="Q77" s="22"/>
      <c r="R77" s="173"/>
      <c r="S77" s="220">
        <f t="shared" si="25"/>
        <v>1</v>
      </c>
      <c r="T77" s="173" t="str">
        <f t="shared" ref="T77:T140" si="33">IF(ISEVEN(LEFT(AD77,4)),"Southbound","NorthBound")</f>
        <v>NorthBound</v>
      </c>
      <c r="U77" s="19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5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-16T10:38:06-0700',mode:absolute,to:'2017-11-16T13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7" s="203" t="str">
        <f>IF(AA77&lt;VLOOKUP(AG77,Variables!$AC$3:$AD$8,2,FALSE),"Y","N")</f>
        <v>N</v>
      </c>
      <c r="X77" s="203">
        <f t="shared" si="30"/>
        <v>1</v>
      </c>
      <c r="Y77" s="203">
        <f t="shared" si="27"/>
        <v>5.5500000000000001E-2</v>
      </c>
      <c r="Z77" s="203">
        <f t="shared" si="28"/>
        <v>23.327999999999999</v>
      </c>
      <c r="AA77" s="203">
        <f t="shared" ref="AA77:AA140" si="35">ABS(Z77-Y77)</f>
        <v>23.272500000000001</v>
      </c>
      <c r="AB77" s="54" t="e">
        <f>VLOOKUP(A77,Enforcements!$C$7:$K$9,8,0)</f>
        <v>#N/A</v>
      </c>
      <c r="AC77" s="51" t="e">
        <f>VLOOKUP(A77,Enforcements!$C$7:$E$9,3,0)</f>
        <v>#N/A</v>
      </c>
      <c r="AD77" s="178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/stypes="app*4052*20171116*" /stext=" 19:.+((SYSTEM_STATE.+slice.+state.+changed )|(ment ac)|(multiple cpu faults)|(system.+state.+changed )|(\[timeout)|(PRM\|1\|D)|(kpr)|(kdp)|(train st.+moving)|(\|lc)|(penalty))"</v>
      </c>
      <c r="AG77" s="181" t="str">
        <f t="shared" ref="AG77:AG140" si="39">DetSubdiv(A77)</f>
        <v>EC</v>
      </c>
      <c r="AH77" s="78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165-16 --locoid 4052 --swversion DE.1.0.9.0 --startMP 204:555 --initTime 2017-11-16T11:38:06 --startdatetime 2017-11-16T11:45:15 --delay 101 --endMP 204:233280 --enddatetime 2017-11-16T12:19:26 --enforcementcount 0 &gt;&gt;%USERPROFILE%\Documents\GitHub\eaglep3-reporting\EC\2017-11-16-refined-times.txt</v>
      </c>
      <c r="AI77" s="96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{"issue":{"subject":"","project_id":79,"tracker_id":40,"status_id":1,"priority_id":2,"assigned_to_id":338,"start_date":"2017-11-16","description":"","custom_fields":[{"id":1,"name":"Subdivision","value":"EC"},{"id":4,"name":"Milepost","value":"23.328"},{"id":17,"name":"Train ID","value":"165-16"},{"id":16,"name":"Locomotive ID","value":"4052"},{"id":130,"name":"Impact","value":""},{"id":150,"name":"Time of Event (Mountain Time)","value":"12:19:26"},{"id":151,"name":"Denver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1" t="str">
        <f t="shared" ref="AM77:AM140" si="42">"start /low /b "&amp;dls3logs&amp;" --loco "&amp;B77&amp;" --day "&amp;TEXT(F77,"YYYY-MM-DD")</f>
        <v>start /low /b %USERPROFILE%\Documents\GitHub\eaglep3\Utilities\DownloadLogsFromS3.py --loco 4052 --day 2017-11-16</v>
      </c>
      <c r="AN77" s="150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7" t="str">
        <f t="shared" ref="AO77:AO140" si="4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-16T10:38:06-0700',mode:absolute,to:'2017-11-16T13:19:26-0700'))&amp;_a=(columns:!('Message%20ID',Summary),filters:!(),index:'emp_*',interval:auto,query:(query_string:(analyze_wildcard:!t,query:'%22rtdc.l.rtdc.4052%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782</v>
      </c>
      <c r="B78" s="7">
        <v>4051</v>
      </c>
      <c r="C78" s="21" t="s">
        <v>192</v>
      </c>
      <c r="D78" s="21" t="s">
        <v>939</v>
      </c>
      <c r="E78" s="13">
        <v>43055.52071759259</v>
      </c>
      <c r="F78" s="13">
        <v>43055.529363425929</v>
      </c>
      <c r="G78" s="7">
        <v>76</v>
      </c>
      <c r="H78" s="21" t="s">
        <v>501</v>
      </c>
      <c r="I78" s="13">
        <v>43055.556284722225</v>
      </c>
      <c r="J78" s="7">
        <v>0</v>
      </c>
      <c r="K78" s="89" t="str">
        <f t="shared" si="31"/>
        <v>4051/4052</v>
      </c>
      <c r="L78" s="184" t="str">
        <f>VLOOKUP(A78,'Trips&amp;Operators'!$C$1:$G$99911,5,FALSE)</f>
        <v>LEVIN SCOTT</v>
      </c>
      <c r="M78" s="6">
        <f t="shared" si="32"/>
        <v>2.6921296295768116E-2</v>
      </c>
      <c r="N78" s="7">
        <f t="shared" si="24"/>
        <v>38.766666665906087</v>
      </c>
      <c r="O78" s="7"/>
      <c r="P78" s="7"/>
      <c r="Q78" s="22"/>
      <c r="R78" s="173"/>
      <c r="S78" s="220">
        <f t="shared" si="25"/>
        <v>1</v>
      </c>
      <c r="T78" s="173" t="str">
        <f t="shared" si="33"/>
        <v>Southbound</v>
      </c>
      <c r="U78" s="19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5" t="str">
        <f t="shared" si="34"/>
        <v>https://d0f6bd738d7f1b3e5a7ca70fe4ff75f0.us-east-1.aws.found.io/app/kibana#/discover/Steve-Slow-Train-Analysis-(2080s-and-2083s)?_g=(refreshInterval:(display:Off,pause:!f,section:0,value:0),time:(from:'2017-11-16T11:29:50-0700',mode:absolute,to:'2017-11-16T14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8" s="203" t="str">
        <f>IF(AA78&lt;VLOOKUP(AG78,Variables!$AC$3:$AD$8,2,FALSE),"Y","N")</f>
        <v>N</v>
      </c>
      <c r="X78" s="203">
        <f t="shared" si="30"/>
        <v>1</v>
      </c>
      <c r="Y78" s="203">
        <f t="shared" si="27"/>
        <v>23.294599999999999</v>
      </c>
      <c r="Z78" s="203">
        <f t="shared" si="28"/>
        <v>0.02</v>
      </c>
      <c r="AA78" s="203">
        <f t="shared" si="35"/>
        <v>23.2746</v>
      </c>
      <c r="AB78" s="54" t="e">
        <f>VLOOKUP(A78,Enforcements!$C$7:$K$9,8,0)</f>
        <v>#N/A</v>
      </c>
      <c r="AC78" s="51" t="e">
        <f>VLOOKUP(A78,Enforcements!$C$7:$E$9,3,0)</f>
        <v>#N/A</v>
      </c>
      <c r="AD78" s="178">
        <f t="shared" si="36"/>
        <v>166</v>
      </c>
      <c r="AE78" s="77" t="str">
        <f t="shared" si="37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78" s="74" t="str">
        <f t="shared" si="38"/>
        <v>"C:\Program Files (x86)\AstroGrep\AstroGrep.exe" /e /r /s /spath="%USERPROFILE%\AppData\Local\Temp\OnboardLogs" /stypes="app*4051*20171116*" /stext=" 20:.+((SYSTEM_STATE.+slice.+state.+changed )|(ment ac)|(multiple cpu faults)|(system.+state.+changed )|(\[timeout)|(PRM\|1\|D)|(kpr)|(kdp)|(train st.+moving)|(\|lc)|(penalty))"</v>
      </c>
      <c r="AG78" s="181" t="str">
        <f t="shared" si="39"/>
        <v>EC</v>
      </c>
      <c r="AH78" s="78" t="str">
        <f t="shared" si="40"/>
        <v>"%USERPROFILE%\Documents\GitHub\eaglep3\Utilities\RefineRTDCRunTimes.py" --tripid 166-16 --locoid 4051 --swversion DE.1.0.9.0 --startMP 204:232946 --initTime 2017-11-16T12:29:50 --startdatetime 2017-11-16T12:42:17 --delay 76 --endMP 204:200 --enddatetime 2017-11-16T13:21:03 --enforcementcount 0 &gt;&gt;%USERPROFILE%\Documents\GitHub\eaglep3-reporting\EC\2017-11-16-refined-times.txt</v>
      </c>
      <c r="AI7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{"issue":{"subject":"","project_id":79,"tracker_id":40,"status_id":1,"priority_id":2,"assigned_to_id":338,"start_date":"2017-11-16","description":"","custom_fields":[{"id":1,"name":"Subdivision","value":"EC"},{"id":4,"name":"Milepost","value":"0.02"},{"id":17,"name":"Train ID","value":"166-16"},{"id":16,"name":"Locomotive ID","value":"4051"},{"id":130,"name":"Impact","value":""},{"id":150,"name":"Time of Event (Mountain Time)","value":"13:21:03"},{"id":151,"name":"Denver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1" t="str">
        <f t="shared" si="42"/>
        <v>start /low /b %USERPROFILE%\Documents\GitHub\eaglep3\Utilities\DownloadLogsFromS3.py --loco 4051 --day 2017-11-16</v>
      </c>
      <c r="AN78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7" t="str">
        <f t="shared" si="44"/>
        <v>https://d0f6bd738d7f1b3e5a7ca70fe4ff75f0.us-east-1.aws.found.io/app/kibana#/discover/Steve-Slow-Train-Analysis-(2080s-and-2083s)?_g=(refreshInterval:(display:Off,pause:!f,section:0,value:0),time:(from:'2017-11-16T11:29:50-0700',mode:absolute,to:'2017-11-16T14:21:03-0700'))&amp;_a=(columns:!('Message%20ID',Summary),filters:!(),index:'emp_*',interval:auto,query:(query_string:(analyze_wildcard:!t,query:'%22rtdc.l.rtdc.4051%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774</v>
      </c>
      <c r="B79" s="7">
        <v>4002</v>
      </c>
      <c r="C79" s="21" t="s">
        <v>192</v>
      </c>
      <c r="D79" s="21" t="s">
        <v>560</v>
      </c>
      <c r="E79" s="13">
        <v>43055.495625000003</v>
      </c>
      <c r="F79" s="13">
        <v>43055.500196759262</v>
      </c>
      <c r="G79" s="7">
        <v>106</v>
      </c>
      <c r="H79" s="21" t="s">
        <v>940</v>
      </c>
      <c r="I79" s="13">
        <v>43055.525752314818</v>
      </c>
      <c r="J79" s="7">
        <v>0</v>
      </c>
      <c r="K79" s="89" t="str">
        <f t="shared" si="31"/>
        <v>4001/4002</v>
      </c>
      <c r="L79" s="184" t="str">
        <f>VLOOKUP(A79,'Trips&amp;Operators'!$C$1:$G$99911,5,FALSE)</f>
        <v>KILLION DAVID</v>
      </c>
      <c r="M79" s="6">
        <f t="shared" si="32"/>
        <v>2.5555555555911269E-2</v>
      </c>
      <c r="N79" s="7">
        <f t="shared" si="24"/>
        <v>36.800000000512227</v>
      </c>
      <c r="O79" s="7"/>
      <c r="P79" s="7"/>
      <c r="Q79" s="22"/>
      <c r="R79" s="173"/>
      <c r="S79" s="220">
        <f t="shared" si="25"/>
        <v>1</v>
      </c>
      <c r="T79" s="173" t="str">
        <f t="shared" si="33"/>
        <v>NorthBound</v>
      </c>
      <c r="U79" s="19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5" t="str">
        <f t="shared" si="34"/>
        <v>https://d0f6bd738d7f1b3e5a7ca70fe4ff75f0.us-east-1.aws.found.io/app/kibana#/discover/Steve-Slow-Train-Analysis-(2080s-and-2083s)?_g=(refreshInterval:(display:Off,pause:!f,section:0,value:0),time:(from:'2017-11-16T10:53:42-0700',mode:absolute,to:'2017-11-16T13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203" t="str">
        <f>IF(AA79&lt;VLOOKUP(AG79,Variables!$AC$3:$AD$8,2,FALSE),"Y","N")</f>
        <v>N</v>
      </c>
      <c r="X79" s="203">
        <f t="shared" si="30"/>
        <v>1</v>
      </c>
      <c r="Y79" s="203">
        <f t="shared" si="27"/>
        <v>5.04E-2</v>
      </c>
      <c r="Z79" s="203">
        <f t="shared" si="28"/>
        <v>23.325500000000002</v>
      </c>
      <c r="AA79" s="203">
        <f t="shared" si="35"/>
        <v>23.275100000000002</v>
      </c>
      <c r="AB79" s="54" t="e">
        <f>VLOOKUP(A79,Enforcements!$C$7:$K$9,8,0)</f>
        <v>#N/A</v>
      </c>
      <c r="AC79" s="51" t="e">
        <f>VLOOKUP(A79,Enforcements!$C$7:$E$9,3,0)</f>
        <v>#N/A</v>
      </c>
      <c r="AD79" s="178">
        <f t="shared" si="36"/>
        <v>167</v>
      </c>
      <c r="AE79" s="77" t="str">
        <f t="shared" si="3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79" s="74" t="str">
        <f t="shared" si="38"/>
        <v>"C:\Program Files (x86)\AstroGrep\AstroGrep.exe" /e /r /s /spath="%USERPROFILE%\AppData\Local\Temp\OnboardLogs" /stypes="app*4002*20171116*" /stext=" 19:.+((SYSTEM_STATE.+slice.+state.+changed )|(ment ac)|(multiple cpu faults)|(system.+state.+changed )|(\[timeout)|(PRM\|1\|D)|(kpr)|(kdp)|(train st.+moving)|(\|lc)|(penalty))"</v>
      </c>
      <c r="AG79" s="181" t="str">
        <f t="shared" si="39"/>
        <v>EC</v>
      </c>
      <c r="AH79" s="78" t="str">
        <f t="shared" si="40"/>
        <v>"%USERPROFILE%\Documents\GitHub\eaglep3\Utilities\RefineRTDCRunTimes.py" --tripid 167-16 --locoid 4002 --swversion DE.1.0.9.0 --startMP 204:504 --initTime 2017-11-16T11:53:42 --startdatetime 2017-11-16T12:00:17 --delay 106 --endMP 204:233255 --enddatetime 2017-11-16T12:37:05 --enforcementcount 0 &gt;&gt;%USERPROFILE%\Documents\GitHub\eaglep3-reporting\EC\2017-11-16-refined-times.txt</v>
      </c>
      <c r="AI7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{"issue":{"subject":"","project_id":79,"tracker_id":40,"status_id":1,"priority_id":2,"assigned_to_id":338,"start_date":"2017-11-16","description":"","custom_fields":[{"id":1,"name":"Subdivision","value":"EC"},{"id":4,"name":"Milepost","value":"23.3255"},{"id":17,"name":"Train ID","value":"167-16"},{"id":16,"name":"Locomotive ID","value":"4002"},{"id":130,"name":"Impact","value":""},{"id":150,"name":"Time of Event (Mountain Time)","value":"12:37:05"},{"id":151,"name":"Denver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1" t="str">
        <f t="shared" si="42"/>
        <v>start /low /b %USERPROFILE%\Documents\GitHub\eaglep3\Utilities\DownloadLogsFromS3.py --loco 4002 --day 2017-11-16</v>
      </c>
      <c r="AN79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7" t="str">
        <f t="shared" si="44"/>
        <v>https://d0f6bd738d7f1b3e5a7ca70fe4ff75f0.us-east-1.aws.found.io/app/kibana#/discover/Steve-Slow-Train-Analysis-(2080s-and-2083s)?_g=(refreshInterval:(display:Off,pause:!f,section:0,value:0),time:(from:'2017-11-16T10:53:42-0700',mode:absolute,to:'2017-11-16T13:37:05-0700'))&amp;_a=(columns:!('Message%20ID',Summary),filters:!(),index:'emp_*',interval:auto,query:(query_string:(analyze_wildcard:!t,query:'%22rtdc.l.rtdc.4002%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784</v>
      </c>
      <c r="B80" s="7">
        <v>4001</v>
      </c>
      <c r="C80" s="21" t="s">
        <v>192</v>
      </c>
      <c r="D80" s="21" t="s">
        <v>920</v>
      </c>
      <c r="E80" s="13">
        <v>43055.531597222223</v>
      </c>
      <c r="F80" s="13">
        <v>43055.539826388886</v>
      </c>
      <c r="G80" s="7">
        <v>72</v>
      </c>
      <c r="H80" s="21" t="s">
        <v>941</v>
      </c>
      <c r="I80" s="13">
        <v>43055.566712962966</v>
      </c>
      <c r="J80" s="7">
        <v>0</v>
      </c>
      <c r="K80" s="89" t="str">
        <f t="shared" si="31"/>
        <v>4001/4002</v>
      </c>
      <c r="L80" s="184" t="str">
        <f>VLOOKUP(A80,'Trips&amp;Operators'!$C$1:$G$99911,5,FALSE)</f>
        <v>KILLION DAVID</v>
      </c>
      <c r="M80" s="6">
        <f t="shared" si="32"/>
        <v>2.6886574079981074E-2</v>
      </c>
      <c r="N80" s="7">
        <f t="shared" si="24"/>
        <v>38.716666675172746</v>
      </c>
      <c r="O80" s="7"/>
      <c r="P80" s="7"/>
      <c r="Q80" s="22"/>
      <c r="R80" s="173"/>
      <c r="S80" s="220">
        <f t="shared" si="25"/>
        <v>1</v>
      </c>
      <c r="T80" s="173" t="str">
        <f t="shared" si="33"/>
        <v>Southbound</v>
      </c>
      <c r="U80" s="19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5" t="str">
        <f t="shared" si="34"/>
        <v>https://d0f6bd738d7f1b3e5a7ca70fe4ff75f0.us-east-1.aws.found.io/app/kibana#/discover/Steve-Slow-Train-Analysis-(2080s-and-2083s)?_g=(refreshInterval:(display:Off,pause:!f,section:0,value:0),time:(from:'2017-11-16T11:45:30-0700',mode:absolute,to:'2017-11-16T14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203" t="str">
        <f>IF(AA80&lt;VLOOKUP(AG80,Variables!$AC$3:$AD$8,2,FALSE),"Y","N")</f>
        <v>N</v>
      </c>
      <c r="X80" s="203">
        <f t="shared" si="30"/>
        <v>1</v>
      </c>
      <c r="Y80" s="203">
        <f t="shared" si="27"/>
        <v>23.294</v>
      </c>
      <c r="Z80" s="203">
        <f t="shared" si="28"/>
        <v>1.6299999999999999E-2</v>
      </c>
      <c r="AA80" s="203">
        <f t="shared" si="35"/>
        <v>23.277699999999999</v>
      </c>
      <c r="AB80" s="54" t="e">
        <f>VLOOKUP(A80,Enforcements!$C$7:$K$9,8,0)</f>
        <v>#N/A</v>
      </c>
      <c r="AC80" s="51" t="e">
        <f>VLOOKUP(A80,Enforcements!$C$7:$E$9,3,0)</f>
        <v>#N/A</v>
      </c>
      <c r="AD80" s="178">
        <f t="shared" si="36"/>
        <v>168</v>
      </c>
      <c r="AE80" s="77" t="str">
        <f t="shared" si="3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80" s="74" t="str">
        <f t="shared" si="38"/>
        <v>"C:\Program Files (x86)\AstroGrep\AstroGrep.exe" /e /r /s /spath="%USERPROFILE%\AppData\Local\Temp\OnboardLogs" /stypes="app*4001*20171116*" /stext=" 20:.+((SYSTEM_STATE.+slice.+state.+changed )|(ment ac)|(multiple cpu faults)|(system.+state.+changed )|(\[timeout)|(PRM\|1\|D)|(kpr)|(kdp)|(train st.+moving)|(\|lc)|(penalty))"</v>
      </c>
      <c r="AG80" s="181" t="str">
        <f t="shared" si="39"/>
        <v>EC</v>
      </c>
      <c r="AH80" s="78" t="str">
        <f t="shared" si="40"/>
        <v>"%USERPROFILE%\Documents\GitHub\eaglep3\Utilities\RefineRTDCRunTimes.py" --tripid 168-16 --locoid 4001 --swversion DE.1.0.9.0 --startMP 204:232940 --initTime 2017-11-16T12:45:30 --startdatetime 2017-11-16T12:57:21 --delay 72 --endMP 204:163 --enddatetime 2017-11-16T13:36:04 --enforcementcount 0 &gt;&gt;%USERPROFILE%\Documents\GitHub\eaglep3-reporting\EC\2017-11-16-refined-times.txt</v>
      </c>
      <c r="AI8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{"issue":{"subject":"","project_id":79,"tracker_id":40,"status_id":1,"priority_id":2,"assigned_to_id":338,"start_date":"2017-11-16","description":"","custom_fields":[{"id":1,"name":"Subdivision","value":"EC"},{"id":4,"name":"Milepost","value":"0.0163"},{"id":17,"name":"Train ID","value":"168-16"},{"id":16,"name":"Locomotive ID","value":"4001"},{"id":130,"name":"Impact","value":""},{"id":150,"name":"Time of Event (Mountain Time)","value":"13:36:04"},{"id":151,"name":"Denver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1" t="str">
        <f t="shared" si="42"/>
        <v>start /low /b %USERPROFILE%\Documents\GitHub\eaglep3\Utilities\DownloadLogsFromS3.py --loco 4001 --day 2017-11-16</v>
      </c>
      <c r="AN80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7" t="str">
        <f t="shared" si="44"/>
        <v>https://d0f6bd738d7f1b3e5a7ca70fe4ff75f0.us-east-1.aws.found.io/app/kibana#/discover/Steve-Slow-Train-Analysis-(2080s-and-2083s)?_g=(refreshInterval:(display:Off,pause:!f,section:0,value:0),time:(from:'2017-11-16T11:45:30-0700',mode:absolute,to:'2017-11-16T14:36:04-0700'))&amp;_a=(columns:!('Message%20ID',Summary),filters:!(),index:'emp_*',interval:auto,query:(query_string:(analyze_wildcard:!t,query:'%22rtdc.l.rtdc.4001%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660</v>
      </c>
      <c r="B81" s="7">
        <v>4062</v>
      </c>
      <c r="C81" s="21" t="s">
        <v>192</v>
      </c>
      <c r="D81" s="21" t="s">
        <v>903</v>
      </c>
      <c r="E81" s="13">
        <v>43055.503275462965</v>
      </c>
      <c r="F81" s="13">
        <v>43055.510798611111</v>
      </c>
      <c r="G81" s="7">
        <v>103</v>
      </c>
      <c r="H81" s="21" t="s">
        <v>933</v>
      </c>
      <c r="I81" s="13">
        <v>43055.525868055556</v>
      </c>
      <c r="J81" s="7">
        <v>0</v>
      </c>
      <c r="K81" s="89" t="str">
        <f t="shared" si="31"/>
        <v>4061/4062</v>
      </c>
      <c r="L81" s="184" t="str">
        <f>VLOOKUP(A81,'Trips&amp;Operators'!$C$1:$G$99911,5,FALSE)</f>
        <v>ROBINSON KADDIBA</v>
      </c>
      <c r="M81" s="6">
        <f t="shared" si="32"/>
        <v>1.5069444445543922E-2</v>
      </c>
      <c r="N81" s="7"/>
      <c r="O81" s="7"/>
      <c r="P81" s="7">
        <f>24*60*SUM($M81:$M82)</f>
        <v>39.516666663112119</v>
      </c>
      <c r="Q81" s="22"/>
      <c r="R81" s="173" t="s">
        <v>538</v>
      </c>
      <c r="S81" s="220">
        <f t="shared" si="25"/>
        <v>1</v>
      </c>
      <c r="T81" s="173" t="str">
        <f t="shared" si="33"/>
        <v>NorthBound</v>
      </c>
      <c r="U81" s="19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5" t="str">
        <f t="shared" si="34"/>
        <v>https://d0f6bd738d7f1b3e5a7ca70fe4ff75f0.us-east-1.aws.found.io/app/kibana#/discover/Steve-Slow-Train-Analysis-(2080s-and-2083s)?_g=(refreshInterval:(display:Off,pause:!f,section:0,value:0),time:(from:'2017-11-16T11:04:43-0700',mode:absolute,to:'2017-11-16T13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1" s="203" t="str">
        <f>IF(AA81&lt;VLOOKUP(AG81,Variables!$AC$3:$AD$8,2,FALSE),"Y","N")</f>
        <v>Y</v>
      </c>
      <c r="X81" s="203">
        <f t="shared" si="30"/>
        <v>1</v>
      </c>
      <c r="Y81" s="203">
        <f t="shared" si="27"/>
        <v>4.5499999999999999E-2</v>
      </c>
      <c r="Z81" s="203">
        <v>12.15</v>
      </c>
      <c r="AA81" s="203">
        <f t="shared" si="35"/>
        <v>12.1045</v>
      </c>
      <c r="AB81" s="54" t="str">
        <f>VLOOKUP(A81,Enforcements!$C$7:$K$9,8,0)</f>
        <v>Speed (6)</v>
      </c>
      <c r="AC81" s="51" t="str">
        <f>VLOOKUP(A81,Enforcements!$C$7:$E$9,3,0)</f>
        <v>PERMANENT SPEED RESTRICTION</v>
      </c>
      <c r="AD81" s="178">
        <f t="shared" si="36"/>
        <v>169</v>
      </c>
      <c r="AE81" s="77" t="str">
        <f t="shared" si="37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81" s="74" t="str">
        <f t="shared" si="38"/>
        <v>"C:\Program Files (x86)\AstroGrep\AstroGrep.exe" /e /r /s /spath="%USERPROFILE%\AppData\Local\Temp\OnboardLogs" /stypes="app*4062*20171116*" /stext=" 19:.+((SYSTEM_STATE.+slice.+state.+changed )|(ment ac)|(multiple cpu faults)|(system.+state.+changed )|(\[timeout)|(PRM\|1\|D)|(kpr)|(kdp)|(train st.+moving)|(\|lc)|(penalty))"</v>
      </c>
      <c r="AG81" s="181" t="str">
        <f t="shared" si="39"/>
        <v>EC</v>
      </c>
      <c r="AH81" s="78" t="str">
        <f t="shared" si="40"/>
        <v>"%USERPROFILE%\Documents\GitHub\eaglep3\Utilities\RefineRTDCRunTimes.py" --tripid 169-16 --locoid 4062 --swversion DE.1.0.9.0 --startMP 204:455 --initTime 2017-11-16T12:04:43 --startdatetime 2017-11-16T12:15:33 --delay 103 --endMP 204:233241 --enddatetime 2017-11-16T12:37:15 --enforcementcount 0 &gt;&gt;%USERPROFILE%\Documents\GitHub\eaglep3-reporting\EC\2017-11-16-refined-times.txt</v>
      </c>
      <c r="AI81" s="96" t="str">
        <f t="shared" si="41"/>
        <v>echo {"issue":{"subject":"Wi-MAX data drop","project_id":79,"tracker_id":40,"status_id":1,"priority_id":2,"assigned_to_id":338,"start_date":"2017-11-16","description":"","custom_fields":[{"id":1,"name":"Subdivision","value":"EC"},{"id":4,"name":"Milepost","value":"12.15"},{"id":17,"name":"Train ID","value":"169-16"},{"id":16,"name":"Locomotive ID","value":"4062"},{"id":130,"name":"Impact","value":""},{"id":150,"name":"Time of Event (Mountain Time)","value":"12:37:15"},{"id":151,"name":"Denver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1" t="str">
        <f t="shared" si="42"/>
        <v>start /low /b %USERPROFILE%\Documents\GitHub\eaglep3\Utilities\DownloadLogsFromS3.py --loco 4062 --day 2017-11-16</v>
      </c>
      <c r="AN81" s="150" t="str">
        <f t="shared" si="43"/>
        <v>echo {"issue":{"subject":"Wi-MAX data drop","project_id":30,"tracker_id":4,"status_id":1,"priority_id":1,"assigned_to_id":10,"start_date":"2017-11-16","description":"","custom_fields":[{"id":30,"name":"Category","value":"Issue"},{"id":3,"name":"Functional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7" t="str">
        <f t="shared" si="44"/>
        <v>https://d0f6bd738d7f1b3e5a7ca70fe4ff75f0.us-east-1.aws.found.io/app/kibana#/discover/Steve-Slow-Train-Analysis-(2080s-and-2083s)?_g=(refreshInterval:(display:Off,pause:!f,section:0,value:0),time:(from:'2017-11-16T11:04:43-0700',mode:absolute,to:'2017-11-16T13:37:15-0700'))&amp;_a=(columns:!('Message%20ID',Summary),filters:!(),index:'emp_*',interval:auto,query:(query_string:(analyze_wildcard:!t,query:'%22rtdc.l.rtdc.4062%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660</v>
      </c>
      <c r="B82" s="7">
        <v>4062</v>
      </c>
      <c r="C82" s="21" t="s">
        <v>192</v>
      </c>
      <c r="D82" s="21" t="s">
        <v>903</v>
      </c>
      <c r="E82" s="13">
        <v>43055.503275462965</v>
      </c>
      <c r="F82" s="13">
        <v>43055.525937500002</v>
      </c>
      <c r="G82" s="7">
        <v>103</v>
      </c>
      <c r="H82" s="21" t="s">
        <v>933</v>
      </c>
      <c r="I82" s="13">
        <v>43055.538310185184</v>
      </c>
      <c r="J82" s="7">
        <v>0</v>
      </c>
      <c r="K82" s="89" t="str">
        <f t="shared" si="31"/>
        <v>4061/4062</v>
      </c>
      <c r="L82" s="184" t="str">
        <f>VLOOKUP(A82,'Trips&amp;Operators'!$C$1:$G$99911,5,FALSE)</f>
        <v>ROBINSON KADDIBA</v>
      </c>
      <c r="M82" s="6">
        <f t="shared" si="32"/>
        <v>1.2372685181617271E-2</v>
      </c>
      <c r="N82" s="7"/>
      <c r="O82" s="7"/>
      <c r="P82" s="7"/>
      <c r="Q82" s="22"/>
      <c r="R82" s="173"/>
      <c r="S82" s="220"/>
      <c r="T82" s="173" t="str">
        <f t="shared" si="33"/>
        <v>NorthBound</v>
      </c>
      <c r="U82" s="19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215" t="str">
        <f t="shared" si="34"/>
        <v>https://d0f6bd738d7f1b3e5a7ca70fe4ff75f0.us-east-1.aws.found.io/app/kibana#/discover/Steve-Slow-Train-Analysis-(2080s-and-2083s)?_g=(refreshInterval:(display:Off,pause:!f,section:0,value:0),time:(from:'2017-11-16T11:04:43-0700',mode:absolute,to:'2017-11-16T13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2" s="203" t="str">
        <f>IF(AA82&lt;VLOOKUP(AG82,Variables!$AC$3:$AD$8,2,FALSE),"Y","N")</f>
        <v>Y</v>
      </c>
      <c r="X82" s="203">
        <f t="shared" ref="X82:X84" si="45">VALUE(LEFT(AD82,4))-VALUE(LEFT(AD81,4))</f>
        <v>0</v>
      </c>
      <c r="Y82" s="203">
        <v>12.6</v>
      </c>
      <c r="Z82" s="203">
        <v>23.3</v>
      </c>
      <c r="AA82" s="203">
        <f t="shared" si="35"/>
        <v>10.700000000000001</v>
      </c>
      <c r="AB82" s="54" t="str">
        <f>VLOOKUP(A82,Enforcements!$C$7:$K$9,8,0)</f>
        <v>Speed (6)</v>
      </c>
      <c r="AC82" s="51" t="str">
        <f>VLOOKUP(A82,Enforcements!$C$7:$E$9,3,0)</f>
        <v>PERMANENT SPEED RESTRICTION</v>
      </c>
      <c r="AD82" s="178">
        <f t="shared" si="36"/>
        <v>169</v>
      </c>
      <c r="AE82" s="77" t="str">
        <f t="shared" si="37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82" s="74" t="str">
        <f t="shared" si="38"/>
        <v>"C:\Program Files (x86)\AstroGrep\AstroGrep.exe" /e /r /s /spath="%USERPROFILE%\AppData\Local\Temp\OnboardLogs" /stypes="app*4062*20171116*" /stext=" 19:.+((SYSTEM_STATE.+slice.+state.+changed )|(ment ac)|(multiple cpu faults)|(system.+state.+changed )|(\[timeout)|(PRM\|1\|D)|(kpr)|(kdp)|(train st.+moving)|(\|lc)|(penalty))"</v>
      </c>
      <c r="AG82" s="181" t="str">
        <f t="shared" si="39"/>
        <v>EC</v>
      </c>
      <c r="AH82" s="78" t="str">
        <f t="shared" ref="AH82" si="46"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169-16 --locoid 4062 --swversion DE.1.0.9.0 --startMP 204:455 --initTime 2017-11-16T12:04:43 --startdatetime 2017-11-16T12:37:21 --delay 103 --endMP 204:233241 --enddatetime 2017-11-16T12:55:10 --enforcementcount 0 &gt;&gt;%USERPROFILE%\Documents\GitHub\eaglep3-reporting\EC\2017-11-16-refined-times.txt</v>
      </c>
      <c r="AI82" s="96" t="str">
        <f t="shared" ref="AI82" si="47"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{"issue":{"subject":"","project_id":79,"tracker_id":40,"status_id":1,"priority_id":2,"assigned_to_id":338,"start_date":"2017-11-16","description":"","custom_fields":[{"id":1,"name":"Subdivision","value":"EC"},{"id":4,"name":"Milepost","value":"23.3"},{"id":17,"name":"Train ID","value":"169-16"},{"id":16,"name":"Locomotive ID","value":"4062"},{"id":130,"name":"Impact","value":""},{"id":150,"name":"Time of Event (Mountain Time)","value":"12:55:10"},{"id":151,"name":"Denver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1" t="str">
        <f t="shared" ref="AM82" si="48">"start /low /b "&amp;dls3logs&amp;" --loco "&amp;B82&amp;" --day "&amp;TEXT(F82,"YYYY-MM-DD")</f>
        <v>start /low /b %USERPROFILE%\Documents\GitHub\eaglep3\Utilities\DownloadLogsFromS3.py --loco 4062 --day 2017-11-16</v>
      </c>
      <c r="AN82" s="150" t="str">
        <f t="shared" ref="AN82" si="49">"echo {""issue"":{""subject"":"""&amp;R82&amp;""",""project_id"":30,""tracker_id"":4,""status_id"":"&amp;redmine_status_wcr&amp;",""priority_id"":"&amp;redmine_priority_wcr&amp;",""assigned_to_id"":"&amp;redmine_assignee_wcr&amp;",""start_date"":"""&amp;TEXT(I82-utc_offset/24,"YYYY-mm-dd")&amp;""",""description"":"""&amp;AJ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7" t="str">
        <f t="shared" ref="AO82" si="50"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Message%20ID',Summary),filters:!(),index:'emp_*',interval:auto,query:"&amp;"(query_string:(analyze_wildcard:!t,query:'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-16T11:04:43-0700',mode:absolute,to:'2017-11-16T13:55:10-0700'))&amp;_a=(columns:!('Message%20ID',Summary),filters:!(),index:'emp_*',interval:auto,query:(query_string:(analyze_wildcard:!t,query:'%22rtdc.l.rtdc.4062%22')),sort:!(Time.ISO8601,asc))</v>
      </c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</row>
    <row r="83" spans="1:91" s="1" customFormat="1" x14ac:dyDescent="0.25">
      <c r="A83" s="32" t="s">
        <v>786</v>
      </c>
      <c r="B83" s="7">
        <v>4061</v>
      </c>
      <c r="C83" s="21" t="s">
        <v>192</v>
      </c>
      <c r="D83" s="21" t="s">
        <v>942</v>
      </c>
      <c r="E83" s="13">
        <v>43055.540462962963</v>
      </c>
      <c r="F83" s="13">
        <v>43055.550219907411</v>
      </c>
      <c r="G83" s="7">
        <v>58</v>
      </c>
      <c r="H83" s="21" t="s">
        <v>504</v>
      </c>
      <c r="I83" s="13">
        <v>43055.576597222222</v>
      </c>
      <c r="J83" s="7">
        <v>0</v>
      </c>
      <c r="K83" s="89" t="str">
        <f t="shared" si="31"/>
        <v>4061/4062</v>
      </c>
      <c r="L83" s="184" t="str">
        <f>VLOOKUP(A83,'Trips&amp;Operators'!$C$1:$G$99911,5,FALSE)</f>
        <v>ROBINSON KADDIBA</v>
      </c>
      <c r="M83" s="6">
        <f t="shared" si="32"/>
        <v>2.6377314810815733E-2</v>
      </c>
      <c r="N83" s="7">
        <f t="shared" ref="N83:N114" si="51">24*60*SUM($M83:$M83)</f>
        <v>37.983333327574655</v>
      </c>
      <c r="O83" s="7"/>
      <c r="P83" s="7"/>
      <c r="Q83" s="22"/>
      <c r="R83" s="173"/>
      <c r="S83" s="220">
        <f t="shared" ref="S83:S114" si="52">1/IF(AG83="EC",12,1)*SUM(U83:U83)</f>
        <v>1</v>
      </c>
      <c r="T83" s="173" t="str">
        <f t="shared" si="33"/>
        <v>Southbound</v>
      </c>
      <c r="U83" s="19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5" t="str">
        <f t="shared" si="34"/>
        <v>https://d0f6bd738d7f1b3e5a7ca70fe4ff75f0.us-east-1.aws.found.io/app/kibana#/discover/Steve-Slow-Train-Analysis-(2080s-and-2083s)?_g=(refreshInterval:(display:Off,pause:!f,section:0,value:0),time:(from:'2017-11-16T11:58:16-0700',mode:absolute,to:'2017-11-16T14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3" s="203" t="str">
        <f>IF(AA83&lt;VLOOKUP(AG83,Variables!$AC$3:$AD$8,2,FALSE),"Y","N")</f>
        <v>N</v>
      </c>
      <c r="X83" s="203">
        <f t="shared" si="45"/>
        <v>1</v>
      </c>
      <c r="Y83" s="203">
        <f t="shared" ref="Y83:Y114" si="53">RIGHT(D83,LEN(D83)-4)/10000</f>
        <v>23.292300000000001</v>
      </c>
      <c r="Z83" s="203">
        <f t="shared" ref="Z83:Z114" si="54">RIGHT(H83,LEN(H83)-4)/10000</f>
        <v>2.23E-2</v>
      </c>
      <c r="AA83" s="203">
        <f t="shared" si="35"/>
        <v>23.27</v>
      </c>
      <c r="AB83" s="54" t="e">
        <f>VLOOKUP(A83,Enforcements!$C$7:$K$9,8,0)</f>
        <v>#N/A</v>
      </c>
      <c r="AC83" s="51" t="e">
        <f>VLOOKUP(A83,Enforcements!$C$7:$E$9,3,0)</f>
        <v>#N/A</v>
      </c>
      <c r="AD83" s="178">
        <f t="shared" si="36"/>
        <v>170</v>
      </c>
      <c r="AE83" s="77" t="str">
        <f t="shared" si="37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83" s="74" t="str">
        <f t="shared" si="38"/>
        <v>"C:\Program Files (x86)\AstroGrep\AstroGrep.exe" /e /r /s /spath="%USERPROFILE%\AppData\Local\Temp\OnboardLogs" /stypes="app*4061*20171116*" /stext=" 20:.+((SYSTEM_STATE.+slice.+state.+changed )|(ment ac)|(multiple cpu faults)|(system.+state.+changed )|(\[timeout)|(PRM\|1\|D)|(kpr)|(kdp)|(train st.+moving)|(\|lc)|(penalty))"</v>
      </c>
      <c r="AG83" s="181" t="str">
        <f t="shared" si="39"/>
        <v>EC</v>
      </c>
      <c r="AH83" s="78" t="str">
        <f t="shared" si="40"/>
        <v>"%USERPROFILE%\Documents\GitHub\eaglep3\Utilities\RefineRTDCRunTimes.py" --tripid 170-16 --locoid 4061 --swversion DE.1.0.9.0 --startMP 204:232923 --initTime 2017-11-16T12:58:16 --startdatetime 2017-11-16T13:12:19 --delay 58 --endMP 204:223 --enddatetime 2017-11-16T13:50:18 --enforcementcount 0 &gt;&gt;%USERPROFILE%\Documents\GitHub\eaglep3-reporting\EC\2017-11-16-refined-times.txt</v>
      </c>
      <c r="AI83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{"issue":{"subject":"","project_id":79,"tracker_id":40,"status_id":1,"priority_id":2,"assigned_to_id":338,"start_date":"2017-11-16","description":"","custom_fields":[{"id":1,"name":"Subdivision","value":"EC"},{"id":4,"name":"Milepost","value":"0.0223"},{"id":17,"name":"Train ID","value":"170-16"},{"id":16,"name":"Locomotive ID","value":"4061"},{"id":130,"name":"Impact","value":""},{"id":150,"name":"Time of Event (Mountain Time)","value":"13:50:18"},{"id":151,"name":"Denver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1" t="str">
        <f t="shared" si="42"/>
        <v>start /low /b %USERPROFILE%\Documents\GitHub\eaglep3\Utilities\DownloadLogsFromS3.py --loco 4061 --day 2017-11-16</v>
      </c>
      <c r="AN83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7" t="str">
        <f t="shared" si="44"/>
        <v>https://d0f6bd738d7f1b3e5a7ca70fe4ff75f0.us-east-1.aws.found.io/app/kibana#/discover/Steve-Slow-Train-Analysis-(2080s-and-2083s)?_g=(refreshInterval:(display:Off,pause:!f,section:0,value:0),time:(from:'2017-11-16T11:58:16-0700',mode:absolute,to:'2017-11-16T14:50:18-0700'))&amp;_a=(columns:!('Message%20ID',Summary),filters:!(),index:'emp_*',interval:auto,query:(query_string:(analyze_wildcard:!t,query:'%22rtdc.l.rtdc.4061%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780</v>
      </c>
      <c r="B84" s="7">
        <v>4008</v>
      </c>
      <c r="C84" s="21" t="s">
        <v>192</v>
      </c>
      <c r="D84" s="21" t="s">
        <v>565</v>
      </c>
      <c r="E84" s="13">
        <v>43055.517222222225</v>
      </c>
      <c r="F84" s="13">
        <v>43055.521145833336</v>
      </c>
      <c r="G84" s="7">
        <v>64</v>
      </c>
      <c r="H84" s="21" t="s">
        <v>930</v>
      </c>
      <c r="I84" s="13">
        <v>43055.5468287037</v>
      </c>
      <c r="J84" s="7">
        <v>0</v>
      </c>
      <c r="K84" s="89" t="str">
        <f t="shared" si="31"/>
        <v>4007/4008</v>
      </c>
      <c r="L84" s="184" t="str">
        <f>VLOOKUP(A84,'Trips&amp;Operators'!$C$1:$G$99911,5,FALSE)</f>
        <v>BADERTSCHER DIANE</v>
      </c>
      <c r="M84" s="6">
        <f t="shared" si="32"/>
        <v>2.5682870364107657E-2</v>
      </c>
      <c r="N84" s="7">
        <f t="shared" si="51"/>
        <v>36.983333324315026</v>
      </c>
      <c r="O84" s="7"/>
      <c r="P84" s="7"/>
      <c r="Q84" s="22"/>
      <c r="R84" s="173"/>
      <c r="S84" s="220">
        <f t="shared" si="52"/>
        <v>1</v>
      </c>
      <c r="T84" s="173" t="str">
        <f t="shared" si="33"/>
        <v>NorthBound</v>
      </c>
      <c r="U84" s="19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5" t="str">
        <f t="shared" si="34"/>
        <v>https://d0f6bd738d7f1b3e5a7ca70fe4ff75f0.us-east-1.aws.found.io/app/kibana#/discover/Steve-Slow-Train-Analysis-(2080s-and-2083s)?_g=(refreshInterval:(display:Off,pause:!f,section:0,value:0),time:(from:'2017-11-16T11:24:48-0700',mode:absolute,to:'2017-11-16T14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4" s="203" t="str">
        <f>IF(AA84&lt;VLOOKUP(AG84,Variables!$AC$3:$AD$8,2,FALSE),"Y","N")</f>
        <v>N</v>
      </c>
      <c r="X84" s="203">
        <f t="shared" si="45"/>
        <v>1</v>
      </c>
      <c r="Y84" s="203">
        <f t="shared" si="53"/>
        <v>5.2900000000000003E-2</v>
      </c>
      <c r="Z84" s="203">
        <f t="shared" si="54"/>
        <v>23.324400000000001</v>
      </c>
      <c r="AA84" s="203">
        <f t="shared" si="35"/>
        <v>23.2715</v>
      </c>
      <c r="AB84" s="54" t="e">
        <f>VLOOKUP(A84,Enforcements!$C$7:$K$9,8,0)</f>
        <v>#N/A</v>
      </c>
      <c r="AC84" s="51" t="e">
        <f>VLOOKUP(A84,Enforcements!$C$7:$E$9,3,0)</f>
        <v>#N/A</v>
      </c>
      <c r="AD84" s="178">
        <f t="shared" si="36"/>
        <v>171</v>
      </c>
      <c r="AE84" s="77" t="str">
        <f t="shared" si="3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84" s="74" t="str">
        <f t="shared" si="38"/>
        <v>"C:\Program Files (x86)\AstroGrep\AstroGrep.exe" /e /r /s /spath="%USERPROFILE%\AppData\Local\Temp\OnboardLogs" /stypes="app*4008*20171116*" /stext=" 20:.+((SYSTEM_STATE.+slice.+state.+changed )|(ment ac)|(multiple cpu faults)|(system.+state.+changed )|(\[timeout)|(PRM\|1\|D)|(kpr)|(kdp)|(train st.+moving)|(\|lc)|(penalty))"</v>
      </c>
      <c r="AG84" s="181" t="str">
        <f t="shared" si="39"/>
        <v>EC</v>
      </c>
      <c r="AH84" s="78" t="str">
        <f t="shared" si="40"/>
        <v>"%USERPROFILE%\Documents\GitHub\eaglep3\Utilities\RefineRTDCRunTimes.py" --tripid 171-16 --locoid 4008 --swversion DE.1.0.9.0 --startMP 204:529 --initTime 2017-11-16T12:24:48 --startdatetime 2017-11-16T12:30:27 --delay 64 --endMP 204:233244 --enddatetime 2017-11-16T13:07:26 --enforcementcount 0 &gt;&gt;%USERPROFILE%\Documents\GitHub\eaglep3-reporting\EC\2017-11-16-refined-times.txt</v>
      </c>
      <c r="AI84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{"issue":{"subject":"","project_id":79,"tracker_id":40,"status_id":1,"priority_id":2,"assigned_to_id":338,"start_date":"2017-11-16","description":"","custom_fields":[{"id":1,"name":"Subdivision","value":"EC"},{"id":4,"name":"Milepost","value":"23.3244"},{"id":17,"name":"Train ID","value":"171-16"},{"id":16,"name":"Locomotive ID","value":"4008"},{"id":130,"name":"Impact","value":""},{"id":150,"name":"Time of Event (Mountain Time)","value":"13:07:26"},{"id":151,"name":"Denver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1" t="str">
        <f t="shared" si="42"/>
        <v>start /low /b %USERPROFILE%\Documents\GitHub\eaglep3\Utilities\DownloadLogsFromS3.py --loco 4008 --day 2017-11-16</v>
      </c>
      <c r="AN84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7" t="str">
        <f t="shared" si="44"/>
        <v>https://d0f6bd738d7f1b3e5a7ca70fe4ff75f0.us-east-1.aws.found.io/app/kibana#/discover/Steve-Slow-Train-Analysis-(2080s-and-2083s)?_g=(refreshInterval:(display:Off,pause:!f,section:0,value:0),time:(from:'2017-11-16T11:24:48-0700',mode:absolute,to:'2017-11-16T14:07:26-0700'))&amp;_a=(columns:!('Message%20ID',Summary),filters:!(),index:'emp_*',interval:auto,query:(query_string:(analyze_wildcard:!t,query:'%22rtdc.l.rtdc.4008%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789</v>
      </c>
      <c r="B85" s="7">
        <v>4007</v>
      </c>
      <c r="C85" s="21" t="s">
        <v>192</v>
      </c>
      <c r="D85" s="21" t="s">
        <v>943</v>
      </c>
      <c r="E85" s="13">
        <v>43055.556932870371</v>
      </c>
      <c r="F85" s="13">
        <v>43055.560567129629</v>
      </c>
      <c r="G85" s="7">
        <v>107</v>
      </c>
      <c r="H85" s="21" t="s">
        <v>457</v>
      </c>
      <c r="I85" s="13">
        <v>43055.587777777779</v>
      </c>
      <c r="J85" s="7">
        <v>0</v>
      </c>
      <c r="K85" s="89" t="str">
        <f t="shared" si="31"/>
        <v>4007/4008</v>
      </c>
      <c r="L85" s="184" t="str">
        <f>VLOOKUP(A85,'Trips&amp;Operators'!$C$1:$G$99911,5,FALSE)</f>
        <v>BADERTSCHER DIANE</v>
      </c>
      <c r="M85" s="6">
        <f t="shared" si="32"/>
        <v>2.7210648149775807E-2</v>
      </c>
      <c r="N85" s="7">
        <f t="shared" si="51"/>
        <v>39.183333335677162</v>
      </c>
      <c r="O85" s="7"/>
      <c r="P85" s="7"/>
      <c r="Q85" s="22"/>
      <c r="R85" s="173"/>
      <c r="S85" s="220">
        <f t="shared" si="52"/>
        <v>1</v>
      </c>
      <c r="T85" s="173" t="str">
        <f t="shared" si="33"/>
        <v>Southbound</v>
      </c>
      <c r="U85" s="19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5" t="str">
        <f t="shared" si="34"/>
        <v>https://d0f6bd738d7f1b3e5a7ca70fe4ff75f0.us-east-1.aws.found.io/app/kibana#/discover/Steve-Slow-Train-Analysis-(2080s-and-2083s)?_g=(refreshInterval:(display:Off,pause:!f,section:0,value:0),time:(from:'2017-11-16T12:21:59-0700',mode:absolute,to:'2017-11-16T15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5" s="203" t="str">
        <f>IF(AA85&lt;VLOOKUP(AG85,Variables!$AC$3:$AD$8,2,FALSE),"Y","N")</f>
        <v>N</v>
      </c>
      <c r="X85" s="203">
        <f t="shared" ref="X85:X116" si="55">VALUE(LEFT(AD85,4))-VALUE(LEFT(AD84,4))</f>
        <v>1</v>
      </c>
      <c r="Y85" s="203">
        <f t="shared" si="53"/>
        <v>23.294499999999999</v>
      </c>
      <c r="Z85" s="203">
        <f t="shared" si="54"/>
        <v>2.0899999999999998E-2</v>
      </c>
      <c r="AA85" s="203">
        <f t="shared" si="35"/>
        <v>23.273599999999998</v>
      </c>
      <c r="AB85" s="54" t="e">
        <f>VLOOKUP(A85,Enforcements!$C$7:$K$9,8,0)</f>
        <v>#N/A</v>
      </c>
      <c r="AC85" s="51" t="e">
        <f>VLOOKUP(A85,Enforcements!$C$7:$E$9,3,0)</f>
        <v>#N/A</v>
      </c>
      <c r="AD85" s="178">
        <f t="shared" si="36"/>
        <v>172</v>
      </c>
      <c r="AE85" s="77" t="str">
        <f t="shared" si="37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85" s="74" t="str">
        <f t="shared" si="38"/>
        <v>"C:\Program Files (x86)\AstroGrep\AstroGrep.exe" /e /r /s /spath="%USERPROFILE%\AppData\Local\Temp\OnboardLogs" /stypes="app*4007*20171116*" /stext=" 21:.+((SYSTEM_STATE.+slice.+state.+changed )|(ment ac)|(multiple cpu faults)|(system.+state.+changed )|(\[timeout)|(PRM\|1\|D)|(kpr)|(kdp)|(train st.+moving)|(\|lc)|(penalty))"</v>
      </c>
      <c r="AG85" s="181" t="str">
        <f t="shared" si="39"/>
        <v>EC</v>
      </c>
      <c r="AH85" s="78" t="str">
        <f t="shared" si="40"/>
        <v>"%USERPROFILE%\Documents\GitHub\eaglep3\Utilities\RefineRTDCRunTimes.py" --tripid 172-16 --locoid 4007 --swversion DE.1.0.9.0 --startMP 204:232945 --initTime 2017-11-16T13:21:59 --startdatetime 2017-11-16T13:27:13 --delay 107 --endMP 204:209 --enddatetime 2017-11-16T14:06:24 --enforcementcount 0 &gt;&gt;%USERPROFILE%\Documents\GitHub\eaglep3-reporting\EC\2017-11-16-refined-times.txt</v>
      </c>
      <c r="AI85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{"issue":{"subject":"","project_id":79,"tracker_id":40,"status_id":1,"priority_id":2,"assigned_to_id":338,"start_date":"2017-11-16","description":"","custom_fields":[{"id":1,"name":"Subdivision","value":"EC"},{"id":4,"name":"Milepost","value":"0.0209"},{"id":17,"name":"Train ID","value":"172-16"},{"id":16,"name":"Locomotive ID","value":"4007"},{"id":130,"name":"Impact","value":""},{"id":150,"name":"Time of Event (Mountain Time)","value":"14:06:24"},{"id":151,"name":"Denver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1" t="str">
        <f t="shared" si="42"/>
        <v>start /low /b %USERPROFILE%\Documents\GitHub\eaglep3\Utilities\DownloadLogsFromS3.py --loco 4007 --day 2017-11-16</v>
      </c>
      <c r="AN85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7" t="str">
        <f t="shared" si="44"/>
        <v>https://d0f6bd738d7f1b3e5a7ca70fe4ff75f0.us-east-1.aws.found.io/app/kibana#/discover/Steve-Slow-Train-Analysis-(2080s-and-2083s)?_g=(refreshInterval:(display:Off,pause:!f,section:0,value:0),time:(from:'2017-11-16T12:21:59-0700',mode:absolute,to:'2017-11-16T15:06:24-0700'))&amp;_a=(columns:!('Message%20ID',Summary),filters:!(),index:'emp_*',interval:auto,query:(query_string:(analyze_wildcard:!t,query:'%22rtdc.l.rtdc.4007%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783</v>
      </c>
      <c r="B86" s="7">
        <v>4016</v>
      </c>
      <c r="C86" s="21" t="s">
        <v>192</v>
      </c>
      <c r="D86" s="21" t="s">
        <v>564</v>
      </c>
      <c r="E86" s="13">
        <v>43055.527488425927</v>
      </c>
      <c r="F86" s="13">
        <v>43055.531469907408</v>
      </c>
      <c r="G86" s="7">
        <v>74</v>
      </c>
      <c r="H86" s="21" t="s">
        <v>946</v>
      </c>
      <c r="I86" s="13">
        <v>43055.554803240739</v>
      </c>
      <c r="J86" s="7">
        <v>0</v>
      </c>
      <c r="K86" s="89" t="str">
        <f t="shared" si="31"/>
        <v>4015/4016</v>
      </c>
      <c r="L86" s="184" t="str">
        <f>VLOOKUP(A86,'Trips&amp;Operators'!$C$1:$G$99911,5,FALSE)</f>
        <v>HOLCOMB KAMDEN</v>
      </c>
      <c r="M86" s="6">
        <f t="shared" si="32"/>
        <v>2.3333333330811001E-2</v>
      </c>
      <c r="N86" s="7">
        <f t="shared" si="51"/>
        <v>33.599999996367842</v>
      </c>
      <c r="O86" s="7"/>
      <c r="P86" s="7"/>
      <c r="Q86" s="22"/>
      <c r="R86" s="173"/>
      <c r="S86" s="220">
        <f t="shared" si="52"/>
        <v>1</v>
      </c>
      <c r="T86" s="173" t="str">
        <f t="shared" si="33"/>
        <v>NorthBound</v>
      </c>
      <c r="U86" s="19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5" t="str">
        <f t="shared" si="34"/>
        <v>https://d0f6bd738d7f1b3e5a7ca70fe4ff75f0.us-east-1.aws.found.io/app/kibana#/discover/Steve-Slow-Train-Analysis-(2080s-and-2083s)?_g=(refreshInterval:(display:Off,pause:!f,section:0,value:0),time:(from:'2017-11-16T11:39:35-0700',mode:absolute,to:'2017-11-16T14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03" t="str">
        <f>IF(AA86&lt;VLOOKUP(AG86,Variables!$AC$3:$AD$8,2,FALSE),"Y","N")</f>
        <v>N</v>
      </c>
      <c r="X86" s="203">
        <f t="shared" si="55"/>
        <v>1</v>
      </c>
      <c r="Y86" s="203">
        <f t="shared" si="53"/>
        <v>5.3499999999999999E-2</v>
      </c>
      <c r="Z86" s="203">
        <f t="shared" si="54"/>
        <v>23.314</v>
      </c>
      <c r="AA86" s="203">
        <f t="shared" si="35"/>
        <v>23.2605</v>
      </c>
      <c r="AB86" s="54" t="e">
        <f>VLOOKUP(A86,Enforcements!$C$7:$K$9,8,0)</f>
        <v>#N/A</v>
      </c>
      <c r="AC86" s="51" t="e">
        <f>VLOOKUP(A86,Enforcements!$C$7:$E$9,3,0)</f>
        <v>#N/A</v>
      </c>
      <c r="AD86" s="178">
        <f t="shared" si="36"/>
        <v>173</v>
      </c>
      <c r="AE86" s="77" t="str">
        <f t="shared" si="37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86" s="74" t="str">
        <f t="shared" si="38"/>
        <v>"C:\Program Files (x86)\AstroGrep\AstroGrep.exe" /e /r /s /spath="%USERPROFILE%\AppData\Local\Temp\OnboardLogs" /stypes="app*4016*20171116*" /stext=" 20:.+((SYSTEM_STATE.+slice.+state.+changed )|(ment ac)|(multiple cpu faults)|(system.+state.+changed )|(\[timeout)|(PRM\|1\|D)|(kpr)|(kdp)|(train st.+moving)|(\|lc)|(penalty))"</v>
      </c>
      <c r="AG86" s="181" t="str">
        <f t="shared" si="39"/>
        <v>EC</v>
      </c>
      <c r="AH86" s="78" t="str">
        <f t="shared" si="40"/>
        <v>"%USERPROFILE%\Documents\GitHub\eaglep3\Utilities\RefineRTDCRunTimes.py" --tripid 173-16 --locoid 4016 --swversion DE.1.0.9.0 --startMP 204:535 --initTime 2017-11-16T12:39:35 --startdatetime 2017-11-16T12:45:19 --delay 74 --endMP 204:233140 --enddatetime 2017-11-16T13:18:55 --enforcementcount 0 &gt;&gt;%USERPROFILE%\Documents\GitHub\eaglep3-reporting\EC\2017-11-16-refined-times.txt</v>
      </c>
      <c r="AI86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{"issue":{"subject":"","project_id":79,"tracker_id":40,"status_id":1,"priority_id":2,"assigned_to_id":338,"start_date":"2017-11-16","description":"","custom_fields":[{"id":1,"name":"Subdivision","value":"EC"},{"id":4,"name":"Milepost","value":"23.314"},{"id":17,"name":"Train ID","value":"173-16"},{"id":16,"name":"Locomotive ID","value":"4016"},{"id":130,"name":"Impact","value":""},{"id":150,"name":"Time of Event (Mountain Time)","value":"13:18:55"},{"id":151,"name":"Denver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1" t="str">
        <f t="shared" si="42"/>
        <v>start /low /b %USERPROFILE%\Documents\GitHub\eaglep3\Utilities\DownloadLogsFromS3.py --loco 4016 --day 2017-11-16</v>
      </c>
      <c r="AN86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7" t="str">
        <f t="shared" si="44"/>
        <v>https://d0f6bd738d7f1b3e5a7ca70fe4ff75f0.us-east-1.aws.found.io/app/kibana#/discover/Steve-Slow-Train-Analysis-(2080s-and-2083s)?_g=(refreshInterval:(display:Off,pause:!f,section:0,value:0),time:(from:'2017-11-16T11:39:35-0700',mode:absolute,to:'2017-11-16T14:18:55-0700'))&amp;_a=(columns:!('Message%20ID',Summary),filters:!(),index:'emp_*',interval:auto,query:(query_string:(analyze_wildcard:!t,query:'%22rtdc.l.rtdc.4016%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792</v>
      </c>
      <c r="B87" s="7">
        <v>4015</v>
      </c>
      <c r="C87" s="21" t="s">
        <v>192</v>
      </c>
      <c r="D87" s="21" t="s">
        <v>947</v>
      </c>
      <c r="E87" s="13">
        <v>43055.566574074073</v>
      </c>
      <c r="F87" s="13">
        <v>43055.571157407408</v>
      </c>
      <c r="G87" s="7">
        <v>86</v>
      </c>
      <c r="H87" s="21" t="s">
        <v>525</v>
      </c>
      <c r="I87" s="13">
        <v>43055.596122685187</v>
      </c>
      <c r="J87" s="7">
        <v>0</v>
      </c>
      <c r="K87" s="89" t="str">
        <f t="shared" si="31"/>
        <v>4015/4016</v>
      </c>
      <c r="L87" s="184" t="str">
        <f>VLOOKUP(A87,'Trips&amp;Operators'!$C$1:$G$99911,5,FALSE)</f>
        <v>HOLCOMB KAMDEN</v>
      </c>
      <c r="M87" s="6">
        <f t="shared" si="32"/>
        <v>2.4965277778392192E-2</v>
      </c>
      <c r="N87" s="7">
        <f t="shared" si="51"/>
        <v>35.950000000884756</v>
      </c>
      <c r="O87" s="7"/>
      <c r="P87" s="7"/>
      <c r="Q87" s="22"/>
      <c r="R87" s="173"/>
      <c r="S87" s="220">
        <f t="shared" si="52"/>
        <v>1</v>
      </c>
      <c r="T87" s="173" t="str">
        <f t="shared" si="33"/>
        <v>Southbound</v>
      </c>
      <c r="U87" s="19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5" t="str">
        <f t="shared" si="34"/>
        <v>https://d0f6bd738d7f1b3e5a7ca70fe4ff75f0.us-east-1.aws.found.io/app/kibana#/discover/Steve-Slow-Train-Analysis-(2080s-and-2083s)?_g=(refreshInterval:(display:Off,pause:!f,section:0,value:0),time:(from:'2017-11-16T12:35:52-0700',mode:absolute,to:'2017-11-16T15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03" t="str">
        <f>IF(AA87&lt;VLOOKUP(AG87,Variables!$AC$3:$AD$8,2,FALSE),"Y","N")</f>
        <v>N</v>
      </c>
      <c r="X87" s="203">
        <f t="shared" si="55"/>
        <v>1</v>
      </c>
      <c r="Y87" s="203">
        <f t="shared" si="53"/>
        <v>23.2806</v>
      </c>
      <c r="Z87" s="203">
        <f t="shared" si="54"/>
        <v>2.1100000000000001E-2</v>
      </c>
      <c r="AA87" s="203">
        <f t="shared" si="35"/>
        <v>23.259499999999999</v>
      </c>
      <c r="AB87" s="54" t="e">
        <f>VLOOKUP(A87,Enforcements!$C$7:$K$9,8,0)</f>
        <v>#N/A</v>
      </c>
      <c r="AC87" s="51" t="e">
        <f>VLOOKUP(A87,Enforcements!$C$7:$E$9,3,0)</f>
        <v>#N/A</v>
      </c>
      <c r="AD87" s="178">
        <f t="shared" si="36"/>
        <v>174</v>
      </c>
      <c r="AE87" s="77" t="str">
        <f t="shared" si="37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87" s="74" t="str">
        <f t="shared" si="38"/>
        <v>"C:\Program Files (x86)\AstroGrep\AstroGrep.exe" /e /r /s /spath="%USERPROFILE%\AppData\Local\Temp\OnboardLogs" /stypes="app*4015*20171116*" /stext=" 21:.+((SYSTEM_STATE.+slice.+state.+changed )|(ment ac)|(multiple cpu faults)|(system.+state.+changed )|(\[timeout)|(PRM\|1\|D)|(kpr)|(kdp)|(train st.+moving)|(\|lc)|(penalty))"</v>
      </c>
      <c r="AG87" s="181" t="str">
        <f t="shared" si="39"/>
        <v>EC</v>
      </c>
      <c r="AH87" s="78" t="str">
        <f t="shared" si="40"/>
        <v>"%USERPROFILE%\Documents\GitHub\eaglep3\Utilities\RefineRTDCRunTimes.py" --tripid 174-16 --locoid 4015 --swversion DE.1.0.9.0 --startMP 204:232806 --initTime 2017-11-16T13:35:52 --startdatetime 2017-11-16T13:42:28 --delay 86 --endMP 204:211 --enddatetime 2017-11-16T14:18:25 --enforcementcount 0 &gt;&gt;%USERPROFILE%\Documents\GitHub\eaglep3-reporting\EC\2017-11-16-refined-times.txt</v>
      </c>
      <c r="AI87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{"issue":{"subject":"","project_id":79,"tracker_id":40,"status_id":1,"priority_id":2,"assigned_to_id":338,"start_date":"2017-11-16","description":"","custom_fields":[{"id":1,"name":"Subdivision","value":"EC"},{"id":4,"name":"Milepost","value":"0.0211"},{"id":17,"name":"Train ID","value":"174-16"},{"id":16,"name":"Locomotive ID","value":"4015"},{"id":130,"name":"Impact","value":""},{"id":150,"name":"Time of Event (Mountain Time)","value":"14:18:25"},{"id":151,"name":"Denver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1" t="str">
        <f t="shared" si="42"/>
        <v>start /low /b %USERPROFILE%\Documents\GitHub\eaglep3\Utilities\DownloadLogsFromS3.py --loco 4015 --day 2017-11-16</v>
      </c>
      <c r="AN87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7" t="str">
        <f t="shared" si="44"/>
        <v>https://d0f6bd738d7f1b3e5a7ca70fe4ff75f0.us-east-1.aws.found.io/app/kibana#/discover/Steve-Slow-Train-Analysis-(2080s-and-2083s)?_g=(refreshInterval:(display:Off,pause:!f,section:0,value:0),time:(from:'2017-11-16T12:35:52-0700',mode:absolute,to:'2017-11-16T15:18:25-0700'))&amp;_a=(columns:!('Message%20ID',Summary),filters:!(),index:'emp_*',interval:auto,query:(query_string:(analyze_wildcard:!t,query:'%22rtdc.l.rtdc.4015%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785</v>
      </c>
      <c r="B88" s="7">
        <v>4004</v>
      </c>
      <c r="C88" s="21" t="s">
        <v>192</v>
      </c>
      <c r="D88" s="21" t="s">
        <v>531</v>
      </c>
      <c r="E88" s="13">
        <v>43055.538240740738</v>
      </c>
      <c r="F88" s="13">
        <v>43055.541875000003</v>
      </c>
      <c r="G88" s="7">
        <v>61</v>
      </c>
      <c r="H88" s="21" t="s">
        <v>563</v>
      </c>
      <c r="I88" s="13">
        <v>43055.566678240742</v>
      </c>
      <c r="J88" s="7">
        <v>0</v>
      </c>
      <c r="K88" s="89" t="str">
        <f t="shared" si="31"/>
        <v>4003/4004</v>
      </c>
      <c r="L88" s="184" t="str">
        <f>VLOOKUP(A88,'Trips&amp;Operators'!$C$1:$G$99911,5,FALSE)</f>
        <v>BRUDER RICHARD</v>
      </c>
      <c r="M88" s="6">
        <f t="shared" si="32"/>
        <v>2.4803240739856847E-2</v>
      </c>
      <c r="N88" s="7">
        <f t="shared" si="51"/>
        <v>35.716666665393859</v>
      </c>
      <c r="O88" s="7"/>
      <c r="P88" s="7"/>
      <c r="Q88" s="22"/>
      <c r="R88" s="173"/>
      <c r="S88" s="220">
        <f t="shared" si="52"/>
        <v>1</v>
      </c>
      <c r="T88" s="173" t="str">
        <f t="shared" si="33"/>
        <v>NorthBound</v>
      </c>
      <c r="U88" s="19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5" t="str">
        <f t="shared" si="34"/>
        <v>https://d0f6bd738d7f1b3e5a7ca70fe4ff75f0.us-east-1.aws.found.io/app/kibana#/discover/Steve-Slow-Train-Analysis-(2080s-and-2083s)?_g=(refreshInterval:(display:Off,pause:!f,section:0,value:0),time:(from:'2017-11-16T11:55:04-0700',mode:absolute,to:'2017-11-16T14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203" t="str">
        <f>IF(AA88&lt;VLOOKUP(AG88,Variables!$AC$3:$AD$8,2,FALSE),"Y","N")</f>
        <v>N</v>
      </c>
      <c r="X88" s="203">
        <f t="shared" si="55"/>
        <v>1</v>
      </c>
      <c r="Y88" s="203">
        <f t="shared" si="53"/>
        <v>5.2600000000000001E-2</v>
      </c>
      <c r="Z88" s="203">
        <f t="shared" si="54"/>
        <v>23.321899999999999</v>
      </c>
      <c r="AA88" s="203">
        <f t="shared" si="35"/>
        <v>23.269299999999998</v>
      </c>
      <c r="AB88" s="54" t="e">
        <f>VLOOKUP(A88,Enforcements!$C$7:$K$9,8,0)</f>
        <v>#N/A</v>
      </c>
      <c r="AC88" s="51" t="e">
        <f>VLOOKUP(A88,Enforcements!$C$7:$E$9,3,0)</f>
        <v>#N/A</v>
      </c>
      <c r="AD88" s="178">
        <f t="shared" si="36"/>
        <v>175</v>
      </c>
      <c r="AE88" s="77" t="str">
        <f t="shared" si="37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88" s="74" t="str">
        <f t="shared" si="38"/>
        <v>"C:\Program Files (x86)\AstroGrep\AstroGrep.exe" /e /r /s /spath="%USERPROFILE%\AppData\Local\Temp\OnboardLogs" /stypes="app*4004*20171116*" /stext=" 20:.+((SYSTEM_STATE.+slice.+state.+changed )|(ment ac)|(multiple cpu faults)|(system.+state.+changed )|(\[timeout)|(PRM\|1\|D)|(kpr)|(kdp)|(train st.+moving)|(\|lc)|(penalty))"</v>
      </c>
      <c r="AG88" s="181" t="str">
        <f t="shared" si="39"/>
        <v>EC</v>
      </c>
      <c r="AH88" s="78" t="str">
        <f t="shared" si="40"/>
        <v>"%USERPROFILE%\Documents\GitHub\eaglep3\Utilities\RefineRTDCRunTimes.py" --tripid 175-16 --locoid 4004 --swversion DE.1.0.9.0 --startMP 204:526 --initTime 2017-11-16T12:55:04 --startdatetime 2017-11-16T13:00:18 --delay 61 --endMP 204:233219 --enddatetime 2017-11-16T13:36:01 --enforcementcount 0 &gt;&gt;%USERPROFILE%\Documents\GitHub\eaglep3-reporting\EC\2017-11-16-refined-times.txt</v>
      </c>
      <c r="AI8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{"issue":{"subject":"","project_id":79,"tracker_id":40,"status_id":1,"priority_id":2,"assigned_to_id":338,"start_date":"2017-11-16","description":"","custom_fields":[{"id":1,"name":"Subdivision","value":"EC"},{"id":4,"name":"Milepost","value":"23.3219"},{"id":17,"name":"Train ID","value":"175-16"},{"id":16,"name":"Locomotive ID","value":"4004"},{"id":130,"name":"Impact","value":""},{"id":150,"name":"Time of Event (Mountain Time)","value":"13:36:01"},{"id":151,"name":"Denver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1" t="str">
        <f t="shared" si="42"/>
        <v>start /low /b %USERPROFILE%\Documents\GitHub\eaglep3\Utilities\DownloadLogsFromS3.py --loco 4004 --day 2017-11-16</v>
      </c>
      <c r="AN88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7" t="str">
        <f t="shared" si="44"/>
        <v>https://d0f6bd738d7f1b3e5a7ca70fe4ff75f0.us-east-1.aws.found.io/app/kibana#/discover/Steve-Slow-Train-Analysis-(2080s-and-2083s)?_g=(refreshInterval:(display:Off,pause:!f,section:0,value:0),time:(from:'2017-11-16T11:55:04-0700',mode:absolute,to:'2017-11-16T14:36:01-0700'))&amp;_a=(columns:!('Message%20ID',Summary),filters:!(),index:'emp_*',interval:auto,query:(query_string:(analyze_wildcard:!t,query:'%22rtdc.l.rtdc.4004%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794</v>
      </c>
      <c r="B89" s="7">
        <v>4003</v>
      </c>
      <c r="C89" s="21" t="s">
        <v>192</v>
      </c>
      <c r="D89" s="21" t="s">
        <v>606</v>
      </c>
      <c r="E89" s="13">
        <v>43055.578194444446</v>
      </c>
      <c r="F89" s="13">
        <v>43055.581423611111</v>
      </c>
      <c r="G89" s="7">
        <v>86</v>
      </c>
      <c r="H89" s="21" t="s">
        <v>459</v>
      </c>
      <c r="I89" s="13">
        <v>43055.606956018521</v>
      </c>
      <c r="J89" s="7">
        <v>0</v>
      </c>
      <c r="K89" s="89" t="str">
        <f t="shared" si="31"/>
        <v>4003/4004</v>
      </c>
      <c r="L89" s="184" t="str">
        <f>VLOOKUP(A89,'Trips&amp;Operators'!$C$1:$G$99911,5,FALSE)</f>
        <v>BRUDER RICHARD</v>
      </c>
      <c r="M89" s="6">
        <f t="shared" si="32"/>
        <v>2.5532407409627922E-2</v>
      </c>
      <c r="N89" s="7">
        <f t="shared" si="51"/>
        <v>36.766666669864208</v>
      </c>
      <c r="O89" s="7"/>
      <c r="P89" s="7"/>
      <c r="Q89" s="22"/>
      <c r="R89" s="173"/>
      <c r="S89" s="220">
        <f t="shared" si="52"/>
        <v>1</v>
      </c>
      <c r="T89" s="173" t="str">
        <f t="shared" si="33"/>
        <v>Southbound</v>
      </c>
      <c r="U89" s="19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5" t="str">
        <f t="shared" si="34"/>
        <v>https://d0f6bd738d7f1b3e5a7ca70fe4ff75f0.us-east-1.aws.found.io/app/kibana#/discover/Steve-Slow-Train-Analysis-(2080s-and-2083s)?_g=(refreshInterval:(display:Off,pause:!f,section:0,value:0),time:(from:'2017-11-16T12:52:36-0700',mode:absolute,to:'2017-11-16T15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203" t="str">
        <f>IF(AA89&lt;VLOOKUP(AG89,Variables!$AC$3:$AD$8,2,FALSE),"Y","N")</f>
        <v>N</v>
      </c>
      <c r="X89" s="203">
        <f t="shared" si="55"/>
        <v>1</v>
      </c>
      <c r="Y89" s="203">
        <f t="shared" si="53"/>
        <v>23.289200000000001</v>
      </c>
      <c r="Z89" s="203">
        <f t="shared" si="54"/>
        <v>2.2700000000000001E-2</v>
      </c>
      <c r="AA89" s="203">
        <f t="shared" si="35"/>
        <v>23.266500000000001</v>
      </c>
      <c r="AB89" s="54" t="e">
        <f>VLOOKUP(A89,Enforcements!$C$7:$K$9,8,0)</f>
        <v>#N/A</v>
      </c>
      <c r="AC89" s="51" t="e">
        <f>VLOOKUP(A89,Enforcements!$C$7:$E$9,3,0)</f>
        <v>#N/A</v>
      </c>
      <c r="AD89" s="178">
        <f t="shared" si="36"/>
        <v>176</v>
      </c>
      <c r="AE89" s="77" t="str">
        <f t="shared" si="37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89" s="74" t="str">
        <f t="shared" si="38"/>
        <v>"C:\Program Files (x86)\AstroGrep\AstroGrep.exe" /e /r /s /spath="%USERPROFILE%\AppData\Local\Temp\OnboardLogs" /stypes="app*4003*20171116*" /stext=" 21:.+((SYSTEM_STATE.+slice.+state.+changed )|(ment ac)|(multiple cpu faults)|(system.+state.+changed )|(\[timeout)|(PRM\|1\|D)|(kpr)|(kdp)|(train st.+moving)|(\|lc)|(penalty))"</v>
      </c>
      <c r="AG89" s="181" t="str">
        <f t="shared" si="39"/>
        <v>EC</v>
      </c>
      <c r="AH89" s="78" t="str">
        <f t="shared" si="40"/>
        <v>"%USERPROFILE%\Documents\GitHub\eaglep3\Utilities\RefineRTDCRunTimes.py" --tripid 176-16 --locoid 4003 --swversion DE.1.0.9.0 --startMP 204:232892 --initTime 2017-11-16T13:52:36 --startdatetime 2017-11-16T13:57:15 --delay 86 --endMP 204:227 --enddatetime 2017-11-16T14:34:01 --enforcementcount 0 &gt;&gt;%USERPROFILE%\Documents\GitHub\eaglep3-reporting\EC\2017-11-16-refined-times.txt</v>
      </c>
      <c r="AI8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{"issue":{"subject":"","project_id":79,"tracker_id":40,"status_id":1,"priority_id":2,"assigned_to_id":338,"start_date":"2017-11-16","description":"","custom_fields":[{"id":1,"name":"Subdivision","value":"EC"},{"id":4,"name":"Milepost","value":"0.0227"},{"id":17,"name":"Train ID","value":"176-16"},{"id":16,"name":"Locomotive ID","value":"4003"},{"id":130,"name":"Impact","value":""},{"id":150,"name":"Time of Event (Mountain Time)","value":"14:34:01"},{"id":151,"name":"Denver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1" t="str">
        <f t="shared" si="42"/>
        <v>start /low /b %USERPROFILE%\Documents\GitHub\eaglep3\Utilities\DownloadLogsFromS3.py --loco 4003 --day 2017-11-16</v>
      </c>
      <c r="AN89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7" t="str">
        <f t="shared" si="44"/>
        <v>https://d0f6bd738d7f1b3e5a7ca70fe4ff75f0.us-east-1.aws.found.io/app/kibana#/discover/Steve-Slow-Train-Analysis-(2080s-and-2083s)?_g=(refreshInterval:(display:Off,pause:!f,section:0,value:0),time:(from:'2017-11-16T12:52:36-0700',mode:absolute,to:'2017-11-16T15:34:01-0700'))&amp;_a=(columns:!('Message%20ID',Summary),filters:!(),index:'emp_*',interval:auto,query:(query_string:(analyze_wildcard:!t,query:'%22rtdc.l.rtdc.4003%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788</v>
      </c>
      <c r="B90" s="7">
        <v>4018</v>
      </c>
      <c r="C90" s="21" t="s">
        <v>192</v>
      </c>
      <c r="D90" s="21" t="s">
        <v>637</v>
      </c>
      <c r="E90" s="13">
        <v>43055.547650462962</v>
      </c>
      <c r="F90" s="13">
        <v>43055.552291666667</v>
      </c>
      <c r="G90" s="7">
        <v>62</v>
      </c>
      <c r="H90" s="21" t="s">
        <v>622</v>
      </c>
      <c r="I90" s="13">
        <v>43055.577430555553</v>
      </c>
      <c r="J90" s="7">
        <v>0</v>
      </c>
      <c r="K90" s="89" t="str">
        <f t="shared" si="31"/>
        <v>4017/4018</v>
      </c>
      <c r="L90" s="184" t="str">
        <f>VLOOKUP(A90,'Trips&amp;Operators'!$C$1:$G$99911,5,FALSE)</f>
        <v>STEWART MICHAEL</v>
      </c>
      <c r="M90" s="6">
        <f t="shared" si="32"/>
        <v>2.5138888886431232E-2</v>
      </c>
      <c r="N90" s="7">
        <f t="shared" si="51"/>
        <v>36.199999996460974</v>
      </c>
      <c r="O90" s="7"/>
      <c r="P90" s="7"/>
      <c r="Q90" s="22"/>
      <c r="R90" s="173"/>
      <c r="S90" s="220">
        <f t="shared" si="52"/>
        <v>1</v>
      </c>
      <c r="T90" s="173" t="str">
        <f t="shared" si="33"/>
        <v>NorthBound</v>
      </c>
      <c r="U90" s="19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5" t="str">
        <f t="shared" si="34"/>
        <v>https://d0f6bd738d7f1b3e5a7ca70fe4ff75f0.us-east-1.aws.found.io/app/kibana#/discover/Steve-Slow-Train-Analysis-(2080s-and-2083s)?_g=(refreshInterval:(display:Off,pause:!f,section:0,value:0),time:(from:'2017-11-16T12:08:37-0700',mode:absolute,to:'2017-11-16T14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203" t="str">
        <f>IF(AA90&lt;VLOOKUP(AG90,Variables!$AC$3:$AD$8,2,FALSE),"Y","N")</f>
        <v>N</v>
      </c>
      <c r="X90" s="203">
        <f t="shared" si="55"/>
        <v>1</v>
      </c>
      <c r="Y90" s="203">
        <f t="shared" si="53"/>
        <v>4.9700000000000001E-2</v>
      </c>
      <c r="Z90" s="203">
        <f t="shared" si="54"/>
        <v>23.3184</v>
      </c>
      <c r="AA90" s="203">
        <f t="shared" si="35"/>
        <v>23.268699999999999</v>
      </c>
      <c r="AB90" s="54" t="e">
        <f>VLOOKUP(A90,Enforcements!$C$7:$K$9,8,0)</f>
        <v>#N/A</v>
      </c>
      <c r="AC90" s="51" t="e">
        <f>VLOOKUP(A90,Enforcements!$C$7:$E$9,3,0)</f>
        <v>#N/A</v>
      </c>
      <c r="AD90" s="178">
        <f t="shared" si="36"/>
        <v>177</v>
      </c>
      <c r="AE90" s="77" t="str">
        <f t="shared" si="37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90" s="74" t="str">
        <f t="shared" si="38"/>
        <v>"C:\Program Files (x86)\AstroGrep\AstroGrep.exe" /e /r /s /spath="%USERPROFILE%\AppData\Local\Temp\OnboardLogs" /stypes="app*4018*20171116*" /stext=" 20:.+((SYSTEM_STATE.+slice.+state.+changed )|(ment ac)|(multiple cpu faults)|(system.+state.+changed )|(\[timeout)|(PRM\|1\|D)|(kpr)|(kdp)|(train st.+moving)|(\|lc)|(penalty))"</v>
      </c>
      <c r="AG90" s="181" t="str">
        <f t="shared" si="39"/>
        <v>EC</v>
      </c>
      <c r="AH90" s="78" t="str">
        <f t="shared" si="40"/>
        <v>"%USERPROFILE%\Documents\GitHub\eaglep3\Utilities\RefineRTDCRunTimes.py" --tripid 177-16 --locoid 4018 --swversion DE.1.0.9.0 --startMP 204:497 --initTime 2017-11-16T13:08:37 --startdatetime 2017-11-16T13:15:18 --delay 62 --endMP 204:233184 --enddatetime 2017-11-16T13:51:30 --enforcementcount 0 &gt;&gt;%USERPROFILE%\Documents\GitHub\eaglep3-reporting\EC\2017-11-16-refined-times.txt</v>
      </c>
      <c r="AI9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{"issue":{"subject":"","project_id":79,"tracker_id":40,"status_id":1,"priority_id":2,"assigned_to_id":338,"start_date":"2017-11-16","description":"","custom_fields":[{"id":1,"name":"Subdivision","value":"EC"},{"id":4,"name":"Milepost","value":"23.3184"},{"id":17,"name":"Train ID","value":"177-16"},{"id":16,"name":"Locomotive ID","value":"4018"},{"id":130,"name":"Impact","value":""},{"id":150,"name":"Time of Event (Mountain Time)","value":"13:51:30"},{"id":151,"name":"Denver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1" t="str">
        <f t="shared" si="42"/>
        <v>start /low /b %USERPROFILE%\Documents\GitHub\eaglep3\Utilities\DownloadLogsFromS3.py --loco 4018 --day 2017-11-16</v>
      </c>
      <c r="AN90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7" t="str">
        <f t="shared" si="44"/>
        <v>https://d0f6bd738d7f1b3e5a7ca70fe4ff75f0.us-east-1.aws.found.io/app/kibana#/discover/Steve-Slow-Train-Analysis-(2080s-and-2083s)?_g=(refreshInterval:(display:Off,pause:!f,section:0,value:0),time:(from:'2017-11-16T12:08:37-0700',mode:absolute,to:'2017-11-16T14:51:30-0700'))&amp;_a=(columns:!('Message%20ID',Summary),filters:!(),index:'emp_*',interval:auto,query:(query_string:(analyze_wildcard:!t,query:'%22rtdc.l.rtdc.4018%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797</v>
      </c>
      <c r="B91" s="7">
        <v>4017</v>
      </c>
      <c r="C91" s="21" t="s">
        <v>192</v>
      </c>
      <c r="D91" s="21" t="s">
        <v>608</v>
      </c>
      <c r="E91" s="13">
        <v>43055.587465277778</v>
      </c>
      <c r="F91" s="13">
        <v>43055.591863425929</v>
      </c>
      <c r="G91" s="7">
        <v>58</v>
      </c>
      <c r="H91" s="21" t="s">
        <v>493</v>
      </c>
      <c r="I91" s="13">
        <v>43055.618125000001</v>
      </c>
      <c r="J91" s="7">
        <v>0</v>
      </c>
      <c r="K91" s="89" t="str">
        <f t="shared" si="31"/>
        <v>4017/4018</v>
      </c>
      <c r="L91" s="184" t="str">
        <f>VLOOKUP(A91,'Trips&amp;Operators'!$C$1:$G$99911,5,FALSE)</f>
        <v>STEWART MICHAEL</v>
      </c>
      <c r="M91" s="6">
        <f t="shared" si="32"/>
        <v>2.626157407212304E-2</v>
      </c>
      <c r="N91" s="7">
        <f t="shared" si="51"/>
        <v>37.816666663857177</v>
      </c>
      <c r="O91" s="7"/>
      <c r="P91" s="7"/>
      <c r="Q91" s="22"/>
      <c r="R91" s="173"/>
      <c r="S91" s="220">
        <f t="shared" si="52"/>
        <v>1</v>
      </c>
      <c r="T91" s="173" t="str">
        <f t="shared" si="33"/>
        <v>Southbound</v>
      </c>
      <c r="U91" s="19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5" t="str">
        <f t="shared" si="34"/>
        <v>https://d0f6bd738d7f1b3e5a7ca70fe4ff75f0.us-east-1.aws.found.io/app/kibana#/discover/Steve-Slow-Train-Analysis-(2080s-and-2083s)?_g=(refreshInterval:(display:Off,pause:!f,section:0,value:0),time:(from:'2017-11-16T13:05:57-0700',mode:absolute,to:'2017-11-16T15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203" t="str">
        <f>IF(AA91&lt;VLOOKUP(AG91,Variables!$AC$3:$AD$8,2,FALSE),"Y","N")</f>
        <v>N</v>
      </c>
      <c r="X91" s="203">
        <f t="shared" si="55"/>
        <v>1</v>
      </c>
      <c r="Y91" s="203">
        <f t="shared" si="53"/>
        <v>23.287299999999998</v>
      </c>
      <c r="Z91" s="203">
        <f t="shared" si="54"/>
        <v>2.2499999999999999E-2</v>
      </c>
      <c r="AA91" s="203">
        <f t="shared" si="35"/>
        <v>23.264799999999997</v>
      </c>
      <c r="AB91" s="54" t="e">
        <f>VLOOKUP(A91,Enforcements!$C$7:$K$9,8,0)</f>
        <v>#N/A</v>
      </c>
      <c r="AC91" s="51" t="e">
        <f>VLOOKUP(A91,Enforcements!$C$7:$E$9,3,0)</f>
        <v>#N/A</v>
      </c>
      <c r="AD91" s="178">
        <f t="shared" si="36"/>
        <v>178</v>
      </c>
      <c r="AE91" s="77" t="str">
        <f t="shared" si="37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91" s="74" t="str">
        <f t="shared" si="38"/>
        <v>"C:\Program Files (x86)\AstroGrep\AstroGrep.exe" /e /r /s /spath="%USERPROFILE%\AppData\Local\Temp\OnboardLogs" /stypes="app*4017*20171116*" /stext=" 21:.+((SYSTEM_STATE.+slice.+state.+changed )|(ment ac)|(multiple cpu faults)|(system.+state.+changed )|(\[timeout)|(PRM\|1\|D)|(kpr)|(kdp)|(train st.+moving)|(\|lc)|(penalty))"</v>
      </c>
      <c r="AG91" s="181" t="str">
        <f t="shared" si="39"/>
        <v>EC</v>
      </c>
      <c r="AH91" s="78" t="str">
        <f t="shared" si="40"/>
        <v>"%USERPROFILE%\Documents\GitHub\eaglep3\Utilities\RefineRTDCRunTimes.py" --tripid 178-16 --locoid 4017 --swversion DE.1.0.9.0 --startMP 204:232873 --initTime 2017-11-16T14:05:57 --startdatetime 2017-11-16T14:12:17 --delay 58 --endMP 204:225 --enddatetime 2017-11-16T14:50:06 --enforcementcount 0 &gt;&gt;%USERPROFILE%\Documents\GitHub\eaglep3-reporting\EC\2017-11-16-refined-times.txt</v>
      </c>
      <c r="AI91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{"issue":{"subject":"","project_id":79,"tracker_id":40,"status_id":1,"priority_id":2,"assigned_to_id":338,"start_date":"2017-11-16","description":"","custom_fields":[{"id":1,"name":"Subdivision","value":"EC"},{"id":4,"name":"Milepost","value":"0.0225"},{"id":17,"name":"Train ID","value":"178-16"},{"id":16,"name":"Locomotive ID","value":"4017"},{"id":130,"name":"Impact","value":""},{"id":150,"name":"Time of Event (Mountain Time)","value":"14:50:06"},{"id":151,"name":"Denver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1" t="str">
        <f t="shared" si="42"/>
        <v>start /low /b %USERPROFILE%\Documents\GitHub\eaglep3\Utilities\DownloadLogsFromS3.py --loco 4017 --day 2017-11-16</v>
      </c>
      <c r="AN91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7" t="str">
        <f t="shared" si="44"/>
        <v>https://d0f6bd738d7f1b3e5a7ca70fe4ff75f0.us-east-1.aws.found.io/app/kibana#/discover/Steve-Slow-Train-Analysis-(2080s-and-2083s)?_g=(refreshInterval:(display:Off,pause:!f,section:0,value:0),time:(from:'2017-11-16T13:05:57-0700',mode:absolute,to:'2017-11-16T15:50:06-0700'))&amp;_a=(columns:!('Message%20ID',Summary),filters:!(),index:'emp_*',interval:auto,query:(query_string:(analyze_wildcard:!t,query:'%22rtdc.l.rtdc.4017%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790</v>
      </c>
      <c r="B92" s="7">
        <v>4052</v>
      </c>
      <c r="C92" s="21" t="s">
        <v>192</v>
      </c>
      <c r="D92" s="21" t="s">
        <v>529</v>
      </c>
      <c r="E92" s="13">
        <v>43055.559317129628</v>
      </c>
      <c r="F92" s="13">
        <v>43055.562662037039</v>
      </c>
      <c r="G92" s="7">
        <v>50</v>
      </c>
      <c r="H92" s="21" t="s">
        <v>632</v>
      </c>
      <c r="I92" s="13">
        <v>43055.587175925924</v>
      </c>
      <c r="J92" s="7">
        <v>0</v>
      </c>
      <c r="K92" s="89" t="str">
        <f t="shared" si="31"/>
        <v>4051/4052</v>
      </c>
      <c r="L92" s="184" t="str">
        <f>VLOOKUP(A92,'Trips&amp;Operators'!$C$1:$G$99911,5,FALSE)</f>
        <v>LEVIN SCOTT</v>
      </c>
      <c r="M92" s="6">
        <f t="shared" si="32"/>
        <v>2.4513888885849155E-2</v>
      </c>
      <c r="N92" s="7">
        <f t="shared" si="51"/>
        <v>35.299999995622784</v>
      </c>
      <c r="O92" s="7"/>
      <c r="P92" s="7"/>
      <c r="Q92" s="22"/>
      <c r="R92" s="173"/>
      <c r="S92" s="220">
        <f t="shared" si="52"/>
        <v>1</v>
      </c>
      <c r="T92" s="173" t="str">
        <f t="shared" si="33"/>
        <v>NorthBound</v>
      </c>
      <c r="U92" s="19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5" t="str">
        <f t="shared" si="34"/>
        <v>https://d0f6bd738d7f1b3e5a7ca70fe4ff75f0.us-east-1.aws.found.io/app/kibana#/discover/Steve-Slow-Train-Analysis-(2080s-and-2083s)?_g=(refreshInterval:(display:Off,pause:!f,section:0,value:0),time:(from:'2017-11-16T12:25:25-0700',mode:absolute,to:'2017-11-16T15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2" s="203" t="str">
        <f>IF(AA92&lt;VLOOKUP(AG92,Variables!$AC$3:$AD$8,2,FALSE),"Y","N")</f>
        <v>N</v>
      </c>
      <c r="X92" s="203">
        <f t="shared" si="55"/>
        <v>1</v>
      </c>
      <c r="Y92" s="203">
        <f t="shared" si="53"/>
        <v>4.9299999999999997E-2</v>
      </c>
      <c r="Z92" s="203">
        <f t="shared" si="54"/>
        <v>23.3263</v>
      </c>
      <c r="AA92" s="203">
        <f t="shared" si="35"/>
        <v>23.277000000000001</v>
      </c>
      <c r="AB92" s="54" t="e">
        <f>VLOOKUP(A92,Enforcements!$C$7:$K$9,8,0)</f>
        <v>#N/A</v>
      </c>
      <c r="AC92" s="51" t="e">
        <f>VLOOKUP(A92,Enforcements!$C$7:$E$9,3,0)</f>
        <v>#N/A</v>
      </c>
      <c r="AD92" s="178">
        <f t="shared" si="36"/>
        <v>179</v>
      </c>
      <c r="AE92" s="77" t="str">
        <f t="shared" si="37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92" s="74" t="str">
        <f t="shared" si="38"/>
        <v>"C:\Program Files (x86)\AstroGrep\AstroGrep.exe" /e /r /s /spath="%USERPROFILE%\AppData\Local\Temp\OnboardLogs" /stypes="app*4052*20171116*" /stext=" 21:.+((SYSTEM_STATE.+slice.+state.+changed )|(ment ac)|(multiple cpu faults)|(system.+state.+changed )|(\[timeout)|(PRM\|1\|D)|(kpr)|(kdp)|(train st.+moving)|(\|lc)|(penalty))"</v>
      </c>
      <c r="AG92" s="181" t="str">
        <f t="shared" si="39"/>
        <v>EC</v>
      </c>
      <c r="AH92" s="78" t="str">
        <f t="shared" si="40"/>
        <v>"%USERPROFILE%\Documents\GitHub\eaglep3\Utilities\RefineRTDCRunTimes.py" --tripid 179-16 --locoid 4052 --swversion DE.1.0.9.0 --startMP 204:493 --initTime 2017-11-16T13:25:25 --startdatetime 2017-11-16T13:30:14 --delay 50 --endMP 204:233263 --enddatetime 2017-11-16T14:05:32 --enforcementcount 0 &gt;&gt;%USERPROFILE%\Documents\GitHub\eaglep3-reporting\EC\2017-11-16-refined-times.txt</v>
      </c>
      <c r="AI92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{"issue":{"subject":"","project_id":79,"tracker_id":40,"status_id":1,"priority_id":2,"assigned_to_id":338,"start_date":"2017-11-16","description":"","custom_fields":[{"id":1,"name":"Subdivision","value":"EC"},{"id":4,"name":"Milepost","value":"23.3263"},{"id":17,"name":"Train ID","value":"179-16"},{"id":16,"name":"Locomotive ID","value":"4052"},{"id":130,"name":"Impact","value":""},{"id":150,"name":"Time of Event (Mountain Time)","value":"14:05:32"},{"id":151,"name":"Denver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1" t="str">
        <f t="shared" si="42"/>
        <v>start /low /b %USERPROFILE%\Documents\GitHub\eaglep3\Utilities\DownloadLogsFromS3.py --loco 4052 --day 2017-11-16</v>
      </c>
      <c r="AN92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7" t="str">
        <f t="shared" si="44"/>
        <v>https://d0f6bd738d7f1b3e5a7ca70fe4ff75f0.us-east-1.aws.found.io/app/kibana#/discover/Steve-Slow-Train-Analysis-(2080s-and-2083s)?_g=(refreshInterval:(display:Off,pause:!f,section:0,value:0),time:(from:'2017-11-16T12:25:25-0700',mode:absolute,to:'2017-11-16T15:05:32-0700'))&amp;_a=(columns:!('Message%20ID',Summary),filters:!(),index:'emp_*',interval:auto,query:(query_string:(analyze_wildcard:!t,query:'%22rtdc.l.rtdc.4052%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802</v>
      </c>
      <c r="B93" s="7">
        <v>4051</v>
      </c>
      <c r="C93" s="21" t="s">
        <v>192</v>
      </c>
      <c r="D93" s="21" t="s">
        <v>505</v>
      </c>
      <c r="E93" s="13">
        <v>43055.591527777775</v>
      </c>
      <c r="F93" s="13">
        <v>43055.60229166667</v>
      </c>
      <c r="G93" s="7">
        <v>50</v>
      </c>
      <c r="H93" s="21" t="s">
        <v>910</v>
      </c>
      <c r="I93" s="13">
        <v>43055.628032407411</v>
      </c>
      <c r="J93" s="7">
        <v>0</v>
      </c>
      <c r="K93" s="89" t="str">
        <f t="shared" si="31"/>
        <v>4051/4052</v>
      </c>
      <c r="L93" s="184" t="str">
        <f>VLOOKUP(A93,'Trips&amp;Operators'!$C$1:$G$99911,5,FALSE)</f>
        <v>LEVIN SCOTT</v>
      </c>
      <c r="M93" s="6">
        <f t="shared" si="32"/>
        <v>2.5740740740729962E-2</v>
      </c>
      <c r="N93" s="7">
        <f t="shared" si="51"/>
        <v>37.066666666651145</v>
      </c>
      <c r="O93" s="7"/>
      <c r="P93" s="7"/>
      <c r="Q93" s="22"/>
      <c r="R93" s="173"/>
      <c r="S93" s="220">
        <f t="shared" si="52"/>
        <v>1</v>
      </c>
      <c r="T93" s="173" t="str">
        <f t="shared" si="33"/>
        <v>Southbound</v>
      </c>
      <c r="U93" s="19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5" t="str">
        <f t="shared" si="34"/>
        <v>https://d0f6bd738d7f1b3e5a7ca70fe4ff75f0.us-east-1.aws.found.io/app/kibana#/discover/Steve-Slow-Train-Analysis-(2080s-and-2083s)?_g=(refreshInterval:(display:Off,pause:!f,section:0,value:0),time:(from:'2017-11-16T13:11:48-0700',mode:absolute,to:'2017-11-16T16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3" s="203" t="str">
        <f>IF(AA93&lt;VLOOKUP(AG93,Variables!$AC$3:$AD$8,2,FALSE),"Y","N")</f>
        <v>N</v>
      </c>
      <c r="X93" s="203">
        <f t="shared" si="55"/>
        <v>1</v>
      </c>
      <c r="Y93" s="203">
        <f t="shared" si="53"/>
        <v>23.2959</v>
      </c>
      <c r="Z93" s="203">
        <f t="shared" si="54"/>
        <v>2.0500000000000001E-2</v>
      </c>
      <c r="AA93" s="203">
        <f t="shared" si="35"/>
        <v>23.275400000000001</v>
      </c>
      <c r="AB93" s="54" t="e">
        <f>VLOOKUP(A93,Enforcements!$C$7:$K$9,8,0)</f>
        <v>#N/A</v>
      </c>
      <c r="AC93" s="51" t="e">
        <f>VLOOKUP(A93,Enforcements!$C$7:$E$9,3,0)</f>
        <v>#N/A</v>
      </c>
      <c r="AD93" s="178">
        <f t="shared" si="36"/>
        <v>180</v>
      </c>
      <c r="AE93" s="77" t="str">
        <f t="shared" si="37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93" s="74" t="str">
        <f t="shared" si="38"/>
        <v>"C:\Program Files (x86)\AstroGrep\AstroGrep.exe" /e /r /s /spath="%USERPROFILE%\AppData\Local\Temp\OnboardLogs" /stypes="app*4051*20171116*" /stext=" 22:.+((SYSTEM_STATE.+slice.+state.+changed )|(ment ac)|(multiple cpu faults)|(system.+state.+changed )|(\[timeout)|(PRM\|1\|D)|(kpr)|(kdp)|(train st.+moving)|(\|lc)|(penalty))"</v>
      </c>
      <c r="AG93" s="181" t="str">
        <f t="shared" si="39"/>
        <v>EC</v>
      </c>
      <c r="AH93" s="78" t="str">
        <f t="shared" si="40"/>
        <v>"%USERPROFILE%\Documents\GitHub\eaglep3\Utilities\RefineRTDCRunTimes.py" --tripid 180-16 --locoid 4051 --swversion DE.1.0.9.0 --startMP 204:232959 --initTime 2017-11-16T14:11:48 --startdatetime 2017-11-16T14:27:18 --delay 50 --endMP 204:205 --enddatetime 2017-11-16T15:04:22 --enforcementcount 0 &gt;&gt;%USERPROFILE%\Documents\GitHub\eaglep3-reporting\EC\2017-11-16-refined-times.txt</v>
      </c>
      <c r="AI93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{"issue":{"subject":"","project_id":79,"tracker_id":40,"status_id":1,"priority_id":2,"assigned_to_id":338,"start_date":"2017-11-16","description":"","custom_fields":[{"id":1,"name":"Subdivision","value":"EC"},{"id":4,"name":"Milepost","value":"0.0205"},{"id":17,"name":"Train ID","value":"180-16"},{"id":16,"name":"Locomotive ID","value":"4051"},{"id":130,"name":"Impact","value":""},{"id":150,"name":"Time of Event (Mountain Time)","value":"15:04:22"},{"id":151,"name":"Denver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1" t="str">
        <f t="shared" si="42"/>
        <v>start /low /b %USERPROFILE%\Documents\GitHub\eaglep3\Utilities\DownloadLogsFromS3.py --loco 4051 --day 2017-11-16</v>
      </c>
      <c r="AN93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7" t="str">
        <f t="shared" si="44"/>
        <v>https://d0f6bd738d7f1b3e5a7ca70fe4ff75f0.us-east-1.aws.found.io/app/kibana#/discover/Steve-Slow-Train-Analysis-(2080s-and-2083s)?_g=(refreshInterval:(display:Off,pause:!f,section:0,value:0),time:(from:'2017-11-16T13:11:48-0700',mode:absolute,to:'2017-11-16T16:04:22-0700'))&amp;_a=(columns:!('Message%20ID',Summary),filters:!(),index:'emp_*',interval:auto,query:(query_string:(analyze_wildcard:!t,query:'%22rtdc.l.rtdc.4051%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793</v>
      </c>
      <c r="B94" s="7">
        <v>4002</v>
      </c>
      <c r="C94" s="21" t="s">
        <v>192</v>
      </c>
      <c r="D94" s="21" t="s">
        <v>550</v>
      </c>
      <c r="E94" s="13">
        <v>43055.568761574075</v>
      </c>
      <c r="F94" s="13">
        <v>43055.573206018518</v>
      </c>
      <c r="G94" s="7">
        <v>74</v>
      </c>
      <c r="H94" s="21" t="s">
        <v>948</v>
      </c>
      <c r="I94" s="13">
        <v>43055.598564814813</v>
      </c>
      <c r="J94" s="7">
        <v>0</v>
      </c>
      <c r="K94" s="89" t="str">
        <f t="shared" si="31"/>
        <v>4001/4002</v>
      </c>
      <c r="L94" s="184" t="str">
        <f>VLOOKUP(A94,'Trips&amp;Operators'!$C$1:$G$99911,5,FALSE)</f>
        <v>BERLING GARY</v>
      </c>
      <c r="M94" s="6">
        <f t="shared" si="32"/>
        <v>2.5358796294312924E-2</v>
      </c>
      <c r="N94" s="7">
        <f t="shared" si="51"/>
        <v>36.516666663810611</v>
      </c>
      <c r="O94" s="7"/>
      <c r="P94" s="7"/>
      <c r="Q94" s="22"/>
      <c r="R94" s="173"/>
      <c r="S94" s="220">
        <f t="shared" si="52"/>
        <v>1</v>
      </c>
      <c r="T94" s="173" t="str">
        <f t="shared" si="33"/>
        <v>NorthBound</v>
      </c>
      <c r="U94" s="19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5" t="str">
        <f t="shared" si="34"/>
        <v>https://d0f6bd738d7f1b3e5a7ca70fe4ff75f0.us-east-1.aws.found.io/app/kibana#/discover/Steve-Slow-Train-Analysis-(2080s-and-2083s)?_g=(refreshInterval:(display:Off,pause:!f,section:0,value:0),time:(from:'2017-11-16T12:39:01-0700',mode:absolute,to:'2017-11-16T15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203" t="str">
        <f>IF(AA94&lt;VLOOKUP(AG94,Variables!$AC$3:$AD$8,2,FALSE),"Y","N")</f>
        <v>N</v>
      </c>
      <c r="X94" s="203">
        <f t="shared" si="55"/>
        <v>1</v>
      </c>
      <c r="Y94" s="203">
        <f t="shared" si="53"/>
        <v>4.6600000000000003E-2</v>
      </c>
      <c r="Z94" s="203">
        <f t="shared" si="54"/>
        <v>23.3245</v>
      </c>
      <c r="AA94" s="203">
        <f t="shared" si="35"/>
        <v>23.277899999999999</v>
      </c>
      <c r="AB94" s="54" t="e">
        <f>VLOOKUP(A94,Enforcements!$C$7:$K$9,8,0)</f>
        <v>#N/A</v>
      </c>
      <c r="AC94" s="51" t="e">
        <f>VLOOKUP(A94,Enforcements!$C$7:$E$9,3,0)</f>
        <v>#N/A</v>
      </c>
      <c r="AD94" s="178">
        <f t="shared" si="36"/>
        <v>181</v>
      </c>
      <c r="AE94" s="77" t="str">
        <f t="shared" si="3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94" s="74" t="str">
        <f t="shared" si="38"/>
        <v>"C:\Program Files (x86)\AstroGrep\AstroGrep.exe" /e /r /s /spath="%USERPROFILE%\AppData\Local\Temp\OnboardLogs" /stypes="app*4002*20171116*" /stext=" 21:.+((SYSTEM_STATE.+slice.+state.+changed )|(ment ac)|(multiple cpu faults)|(system.+state.+changed )|(\[timeout)|(PRM\|1\|D)|(kpr)|(kdp)|(train st.+moving)|(\|lc)|(penalty))"</v>
      </c>
      <c r="AG94" s="181" t="str">
        <f t="shared" si="39"/>
        <v>EC</v>
      </c>
      <c r="AH94" s="78" t="str">
        <f t="shared" si="40"/>
        <v>"%USERPROFILE%\Documents\GitHub\eaglep3\Utilities\RefineRTDCRunTimes.py" --tripid 181-16 --locoid 4002 --swversion DE.1.0.9.0 --startMP 204:466 --initTime 2017-11-16T13:39:01 --startdatetime 2017-11-16T13:45:25 --delay 74 --endMP 204:233245 --enddatetime 2017-11-16T14:21:56 --enforcementcount 0 &gt;&gt;%USERPROFILE%\Documents\GitHub\eaglep3-reporting\EC\2017-11-16-refined-times.txt</v>
      </c>
      <c r="AI94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{"issue":{"subject":"","project_id":79,"tracker_id":40,"status_id":1,"priority_id":2,"assigned_to_id":338,"start_date":"2017-11-16","description":"","custom_fields":[{"id":1,"name":"Subdivision","value":"EC"},{"id":4,"name":"Milepost","value":"23.3245"},{"id":17,"name":"Train ID","value":"181-16"},{"id":16,"name":"Locomotive ID","value":"4002"},{"id":130,"name":"Impact","value":""},{"id":150,"name":"Time of Event (Mountain Time)","value":"14:21:56"},{"id":151,"name":"Denver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1" t="str">
        <f t="shared" si="42"/>
        <v>start /low /b %USERPROFILE%\Documents\GitHub\eaglep3\Utilities\DownloadLogsFromS3.py --loco 4002 --day 2017-11-16</v>
      </c>
      <c r="AN94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7" t="str">
        <f t="shared" si="44"/>
        <v>https://d0f6bd738d7f1b3e5a7ca70fe4ff75f0.us-east-1.aws.found.io/app/kibana#/discover/Steve-Slow-Train-Analysis-(2080s-and-2083s)?_g=(refreshInterval:(display:Off,pause:!f,section:0,value:0),time:(from:'2017-11-16T12:39:01-0700',mode:absolute,to:'2017-11-16T15:21:56-0700'))&amp;_a=(columns:!('Message%20ID',Summary),filters:!(),index:'emp_*',interval:auto,query:(query_string:(analyze_wildcard:!t,query:'%22rtdc.l.rtdc.4002%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805</v>
      </c>
      <c r="B95" s="7">
        <v>4001</v>
      </c>
      <c r="C95" s="21" t="s">
        <v>192</v>
      </c>
      <c r="D95" s="21" t="s">
        <v>942</v>
      </c>
      <c r="E95" s="13">
        <v>43055.607708333337</v>
      </c>
      <c r="F95" s="13">
        <v>43055.612974537034</v>
      </c>
      <c r="G95" s="7">
        <v>111</v>
      </c>
      <c r="H95" s="21" t="s">
        <v>611</v>
      </c>
      <c r="I95" s="13">
        <v>43055.639178240737</v>
      </c>
      <c r="J95" s="7">
        <v>0</v>
      </c>
      <c r="K95" s="89" t="str">
        <f t="shared" si="31"/>
        <v>4001/4002</v>
      </c>
      <c r="L95" s="184" t="str">
        <f>VLOOKUP(A95,'Trips&amp;Operators'!$C$1:$G$99911,5,FALSE)</f>
        <v>BERLING GARY</v>
      </c>
      <c r="M95" s="6">
        <f t="shared" si="32"/>
        <v>2.6203703702776693E-2</v>
      </c>
      <c r="N95" s="7">
        <f t="shared" si="51"/>
        <v>37.733333331998438</v>
      </c>
      <c r="O95" s="7"/>
      <c r="P95" s="7"/>
      <c r="Q95" s="22"/>
      <c r="R95" s="173"/>
      <c r="S95" s="220">
        <f t="shared" si="52"/>
        <v>1</v>
      </c>
      <c r="T95" s="173" t="str">
        <f t="shared" si="33"/>
        <v>Southbound</v>
      </c>
      <c r="U95" s="19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5" t="str">
        <f t="shared" si="34"/>
        <v>https://d0f6bd738d7f1b3e5a7ca70fe4ff75f0.us-east-1.aws.found.io/app/kibana#/discover/Steve-Slow-Train-Analysis-(2080s-and-2083s)?_g=(refreshInterval:(display:Off,pause:!f,section:0,value:0),time:(from:'2017-11-16T13:35:06-0700',mode:absolute,to:'2017-11-16T16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203" t="str">
        <f>IF(AA95&lt;VLOOKUP(AG95,Variables!$AC$3:$AD$8,2,FALSE),"Y","N")</f>
        <v>N</v>
      </c>
      <c r="X95" s="203">
        <f t="shared" si="55"/>
        <v>1</v>
      </c>
      <c r="Y95" s="203">
        <f t="shared" si="53"/>
        <v>23.292300000000001</v>
      </c>
      <c r="Z95" s="203">
        <f t="shared" si="54"/>
        <v>2.1399999999999999E-2</v>
      </c>
      <c r="AA95" s="203">
        <f t="shared" si="35"/>
        <v>23.270900000000001</v>
      </c>
      <c r="AB95" s="54" t="e">
        <f>VLOOKUP(A95,Enforcements!$C$7:$K$9,8,0)</f>
        <v>#N/A</v>
      </c>
      <c r="AC95" s="51" t="e">
        <f>VLOOKUP(A95,Enforcements!$C$7:$E$9,3,0)</f>
        <v>#N/A</v>
      </c>
      <c r="AD95" s="178">
        <f t="shared" si="36"/>
        <v>182</v>
      </c>
      <c r="AE95" s="77" t="str">
        <f t="shared" si="3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95" s="74" t="str">
        <f t="shared" si="38"/>
        <v>"C:\Program Files (x86)\AstroGrep\AstroGrep.exe" /e /r /s /spath="%USERPROFILE%\AppData\Local\Temp\OnboardLogs" /stypes="app*4001*20171116*" /stext=" 22:.+((SYSTEM_STATE.+slice.+state.+changed )|(ment ac)|(multiple cpu faults)|(system.+state.+changed )|(\[timeout)|(PRM\|1\|D)|(kpr)|(kdp)|(train st.+moving)|(\|lc)|(penalty))"</v>
      </c>
      <c r="AG95" s="181" t="str">
        <f t="shared" si="39"/>
        <v>EC</v>
      </c>
      <c r="AH95" s="78" t="str">
        <f t="shared" si="40"/>
        <v>"%USERPROFILE%\Documents\GitHub\eaglep3\Utilities\RefineRTDCRunTimes.py" --tripid 182-16 --locoid 4001 --swversion DE.1.0.9.0 --startMP 204:232923 --initTime 2017-11-16T14:35:06 --startdatetime 2017-11-16T14:42:41 --delay 111 --endMP 204:214 --enddatetime 2017-11-16T15:20:25 --enforcementcount 0 &gt;&gt;%USERPROFILE%\Documents\GitHub\eaglep3-reporting\EC\2017-11-16-refined-times.txt</v>
      </c>
      <c r="AI95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{"issue":{"subject":"","project_id":79,"tracker_id":40,"status_id":1,"priority_id":2,"assigned_to_id":338,"start_date":"2017-11-16","description":"","custom_fields":[{"id":1,"name":"Subdivision","value":"EC"},{"id":4,"name":"Milepost","value":"0.0214"},{"id":17,"name":"Train ID","value":"182-16"},{"id":16,"name":"Locomotive ID","value":"4001"},{"id":130,"name":"Impact","value":""},{"id":150,"name":"Time of Event (Mountain Time)","value":"15:20:25"},{"id":151,"name":"Denver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1" t="str">
        <f t="shared" si="42"/>
        <v>start /low /b %USERPROFILE%\Documents\GitHub\eaglep3\Utilities\DownloadLogsFromS3.py --loco 4001 --day 2017-11-16</v>
      </c>
      <c r="AN95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7" t="str">
        <f t="shared" si="44"/>
        <v>https://d0f6bd738d7f1b3e5a7ca70fe4ff75f0.us-east-1.aws.found.io/app/kibana#/discover/Steve-Slow-Train-Analysis-(2080s-and-2083s)?_g=(refreshInterval:(display:Off,pause:!f,section:0,value:0),time:(from:'2017-11-16T13:35:06-0700',mode:absolute,to:'2017-11-16T16:20:25-0700'))&amp;_a=(columns:!('Message%20ID',Summary),filters:!(),index:'emp_*',interval:auto,query:(query_string:(analyze_wildcard:!t,query:'%22rtdc.l.rtdc.4001%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795</v>
      </c>
      <c r="B96" s="7">
        <v>4062</v>
      </c>
      <c r="C96" s="21" t="s">
        <v>192</v>
      </c>
      <c r="D96" s="21" t="s">
        <v>564</v>
      </c>
      <c r="E96" s="13">
        <v>43055.579502314817</v>
      </c>
      <c r="F96" s="13">
        <v>43055.58388888889</v>
      </c>
      <c r="G96" s="7">
        <v>77</v>
      </c>
      <c r="H96" s="21" t="s">
        <v>502</v>
      </c>
      <c r="I96" s="13">
        <v>43055.608749999999</v>
      </c>
      <c r="J96" s="7">
        <v>0</v>
      </c>
      <c r="K96" s="89" t="str">
        <f t="shared" si="31"/>
        <v>4061/4062</v>
      </c>
      <c r="L96" s="184" t="str">
        <f>VLOOKUP(A96,'Trips&amp;Operators'!$C$1:$G$99911,5,FALSE)</f>
        <v>LEVERE CRAIG</v>
      </c>
      <c r="M96" s="6">
        <f t="shared" si="32"/>
        <v>2.4861111109203193E-2</v>
      </c>
      <c r="N96" s="7">
        <f t="shared" si="51"/>
        <v>35.799999997252598</v>
      </c>
      <c r="O96" s="7"/>
      <c r="P96" s="7"/>
      <c r="Q96" s="22"/>
      <c r="R96" s="173"/>
      <c r="S96" s="220">
        <f t="shared" si="52"/>
        <v>1</v>
      </c>
      <c r="T96" s="173" t="str">
        <f t="shared" si="33"/>
        <v>NorthBound</v>
      </c>
      <c r="U96" s="19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5" t="str">
        <f t="shared" si="34"/>
        <v>https://d0f6bd738d7f1b3e5a7ca70fe4ff75f0.us-east-1.aws.found.io/app/kibana#/discover/Steve-Slow-Train-Analysis-(2080s-and-2083s)?_g=(refreshInterval:(display:Off,pause:!f,section:0,value:0),time:(from:'2017-11-16T12:54:29-0700',mode:absolute,to:'2017-11-16T15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6" s="203" t="str">
        <f>IF(AA96&lt;VLOOKUP(AG96,Variables!$AC$3:$AD$8,2,FALSE),"Y","N")</f>
        <v>N</v>
      </c>
      <c r="X96" s="203">
        <f t="shared" si="55"/>
        <v>1</v>
      </c>
      <c r="Y96" s="203">
        <f t="shared" si="53"/>
        <v>5.3499999999999999E-2</v>
      </c>
      <c r="Z96" s="203">
        <f t="shared" si="54"/>
        <v>23.3249</v>
      </c>
      <c r="AA96" s="203">
        <f t="shared" si="35"/>
        <v>23.2714</v>
      </c>
      <c r="AB96" s="54" t="e">
        <f>VLOOKUP(A96,Enforcements!$C$7:$K$9,8,0)</f>
        <v>#N/A</v>
      </c>
      <c r="AC96" s="51" t="e">
        <f>VLOOKUP(A96,Enforcements!$C$7:$E$9,3,0)</f>
        <v>#N/A</v>
      </c>
      <c r="AD96" s="178">
        <f t="shared" si="36"/>
        <v>183</v>
      </c>
      <c r="AE96" s="77" t="str">
        <f t="shared" si="37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96" s="74" t="str">
        <f t="shared" si="38"/>
        <v>"C:\Program Files (x86)\AstroGrep\AstroGrep.exe" /e /r /s /spath="%USERPROFILE%\AppData\Local\Temp\OnboardLogs" /stypes="app*4062*20171116*" /stext=" 21:.+((SYSTEM_STATE.+slice.+state.+changed )|(ment ac)|(multiple cpu faults)|(system.+state.+changed )|(\[timeout)|(PRM\|1\|D)|(kpr)|(kdp)|(train st.+moving)|(\|lc)|(penalty))"</v>
      </c>
      <c r="AG96" s="181" t="str">
        <f t="shared" si="39"/>
        <v>EC</v>
      </c>
      <c r="AH96" s="78" t="str">
        <f t="shared" si="40"/>
        <v>"%USERPROFILE%\Documents\GitHub\eaglep3\Utilities\RefineRTDCRunTimes.py" --tripid 183-16 --locoid 4062 --swversion DE.1.0.9.0 --startMP 204:535 --initTime 2017-11-16T13:54:29 --startdatetime 2017-11-16T14:00:48 --delay 77 --endMP 204:233249 --enddatetime 2017-11-16T14:36:36 --enforcementcount 0 &gt;&gt;%USERPROFILE%\Documents\GitHub\eaglep3-reporting\EC\2017-11-16-refined-times.txt</v>
      </c>
      <c r="AI96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{"issue":{"subject":"","project_id":79,"tracker_id":40,"status_id":1,"priority_id":2,"assigned_to_id":338,"start_date":"2017-11-16","description":"","custom_fields":[{"id":1,"name":"Subdivision","value":"EC"},{"id":4,"name":"Milepost","value":"23.3249"},{"id":17,"name":"Train ID","value":"183-16"},{"id":16,"name":"Locomotive ID","value":"4062"},{"id":130,"name":"Impact","value":""},{"id":150,"name":"Time of Event (Mountain Time)","value":"14:36:36"},{"id":151,"name":"Denver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1" t="str">
        <f t="shared" si="42"/>
        <v>start /low /b %USERPROFILE%\Documents\GitHub\eaglep3\Utilities\DownloadLogsFromS3.py --loco 4062 --day 2017-11-16</v>
      </c>
      <c r="AN96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7" t="str">
        <f t="shared" si="44"/>
        <v>https://d0f6bd738d7f1b3e5a7ca70fe4ff75f0.us-east-1.aws.found.io/app/kibana#/discover/Steve-Slow-Train-Analysis-(2080s-and-2083s)?_g=(refreshInterval:(display:Off,pause:!f,section:0,value:0),time:(from:'2017-11-16T12:54:29-0700',mode:absolute,to:'2017-11-16T15:36:36-0700'))&amp;_a=(columns:!('Message%20ID',Summary),filters:!(),index:'emp_*',interval:auto,query:(query_string:(analyze_wildcard:!t,query:'%22rtdc.l.rtdc.4062%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807</v>
      </c>
      <c r="B97" s="7">
        <v>4061</v>
      </c>
      <c r="C97" s="21" t="s">
        <v>192</v>
      </c>
      <c r="D97" s="21" t="s">
        <v>949</v>
      </c>
      <c r="E97" s="13">
        <v>43055.616435185184</v>
      </c>
      <c r="F97" s="13">
        <v>43055.623182870368</v>
      </c>
      <c r="G97" s="7">
        <v>78</v>
      </c>
      <c r="H97" s="21" t="s">
        <v>631</v>
      </c>
      <c r="I97" s="13">
        <v>43055.650208333333</v>
      </c>
      <c r="J97" s="7">
        <v>0</v>
      </c>
      <c r="K97" s="89" t="str">
        <f t="shared" si="31"/>
        <v>4061/4062</v>
      </c>
      <c r="L97" s="184" t="str">
        <f>VLOOKUP(A97,'Trips&amp;Operators'!$C$1:$G$99911,5,FALSE)</f>
        <v>LEVERE CRAIG</v>
      </c>
      <c r="M97" s="6">
        <f t="shared" si="32"/>
        <v>2.7025462964957114E-2</v>
      </c>
      <c r="N97" s="7">
        <f t="shared" si="51"/>
        <v>38.916666669538245</v>
      </c>
      <c r="O97" s="7"/>
      <c r="P97" s="7"/>
      <c r="Q97" s="22"/>
      <c r="R97" s="173"/>
      <c r="S97" s="220">
        <f t="shared" si="52"/>
        <v>1</v>
      </c>
      <c r="T97" s="173" t="str">
        <f t="shared" si="33"/>
        <v>Southbound</v>
      </c>
      <c r="U97" s="19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5" t="str">
        <f t="shared" si="34"/>
        <v>https://d0f6bd738d7f1b3e5a7ca70fe4ff75f0.us-east-1.aws.found.io/app/kibana#/discover/Steve-Slow-Train-Analysis-(2080s-and-2083s)?_g=(refreshInterval:(display:Off,pause:!f,section:0,value:0),time:(from:'2017-11-16T13:47:40-0700',mode:absolute,to:'2017-11-16T16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7" s="203" t="str">
        <f>IF(AA97&lt;VLOOKUP(AG97,Variables!$AC$3:$AD$8,2,FALSE),"Y","N")</f>
        <v>N</v>
      </c>
      <c r="X97" s="203">
        <f t="shared" si="55"/>
        <v>1</v>
      </c>
      <c r="Y97" s="203">
        <f t="shared" si="53"/>
        <v>23.293199999999999</v>
      </c>
      <c r="Z97" s="203">
        <f t="shared" si="54"/>
        <v>2.5100000000000001E-2</v>
      </c>
      <c r="AA97" s="203">
        <f t="shared" si="35"/>
        <v>23.2681</v>
      </c>
      <c r="AB97" s="54" t="e">
        <f>VLOOKUP(A97,Enforcements!$C$7:$K$9,8,0)</f>
        <v>#N/A</v>
      </c>
      <c r="AC97" s="51" t="e">
        <f>VLOOKUP(A97,Enforcements!$C$7:$E$9,3,0)</f>
        <v>#N/A</v>
      </c>
      <c r="AD97" s="178">
        <f t="shared" si="36"/>
        <v>184</v>
      </c>
      <c r="AE97" s="77" t="str">
        <f t="shared" si="37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97" s="74" t="str">
        <f t="shared" si="38"/>
        <v>"C:\Program Files (x86)\AstroGrep\AstroGrep.exe" /e /r /s /spath="%USERPROFILE%\AppData\Local\Temp\OnboardLogs" /stypes="app*4061*20171116*" /stext=" 22:.+((SYSTEM_STATE.+slice.+state.+changed )|(ment ac)|(multiple cpu faults)|(system.+state.+changed )|(\[timeout)|(PRM\|1\|D)|(kpr)|(kdp)|(train st.+moving)|(\|lc)|(penalty))"</v>
      </c>
      <c r="AG97" s="181" t="str">
        <f t="shared" si="39"/>
        <v>EC</v>
      </c>
      <c r="AH97" s="78" t="str">
        <f t="shared" si="40"/>
        <v>"%USERPROFILE%\Documents\GitHub\eaglep3\Utilities\RefineRTDCRunTimes.py" --tripid 184-16 --locoid 4061 --swversion DE.1.0.9.0 --startMP 204:232932 --initTime 2017-11-16T14:47:40 --startdatetime 2017-11-16T14:57:23 --delay 78 --endMP 204:251 --enddatetime 2017-11-16T15:36:18 --enforcementcount 0 &gt;&gt;%USERPROFILE%\Documents\GitHub\eaglep3-reporting\EC\2017-11-16-refined-times.txt</v>
      </c>
      <c r="AI97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{"issue":{"subject":"","project_id":79,"tracker_id":40,"status_id":1,"priority_id":2,"assigned_to_id":338,"start_date":"2017-11-16","description":"","custom_fields":[{"id":1,"name":"Subdivision","value":"EC"},{"id":4,"name":"Milepost","value":"0.0251"},{"id":17,"name":"Train ID","value":"184-16"},{"id":16,"name":"Locomotive ID","value":"4061"},{"id":130,"name":"Impact","value":""},{"id":150,"name":"Time of Event (Mountain Time)","value":"15:36:18"},{"id":151,"name":"Denver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1" t="str">
        <f t="shared" si="42"/>
        <v>start /low /b %USERPROFILE%\Documents\GitHub\eaglep3\Utilities\DownloadLogsFromS3.py --loco 4061 --day 2017-11-16</v>
      </c>
      <c r="AN97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7" t="str">
        <f t="shared" si="44"/>
        <v>https://d0f6bd738d7f1b3e5a7ca70fe4ff75f0.us-east-1.aws.found.io/app/kibana#/discover/Steve-Slow-Train-Analysis-(2080s-and-2083s)?_g=(refreshInterval:(display:Off,pause:!f,section:0,value:0),time:(from:'2017-11-16T13:47:40-0700',mode:absolute,to:'2017-11-16T16:36:18-0700'))&amp;_a=(columns:!('Message%20ID',Summary),filters:!(),index:'emp_*',interval:auto,query:(query_string:(analyze_wildcard:!t,query:'%22rtdc.l.rtdc.4061%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801</v>
      </c>
      <c r="B98" s="7">
        <v>4008</v>
      </c>
      <c r="C98" s="21" t="s">
        <v>192</v>
      </c>
      <c r="D98" s="21" t="s">
        <v>950</v>
      </c>
      <c r="E98" s="13">
        <v>43055.589745370373</v>
      </c>
      <c r="F98" s="13">
        <v>43055.593958333331</v>
      </c>
      <c r="G98" s="7">
        <v>90</v>
      </c>
      <c r="H98" s="21" t="s">
        <v>602</v>
      </c>
      <c r="I98" s="13">
        <v>43055.618958333333</v>
      </c>
      <c r="J98" s="7">
        <v>0</v>
      </c>
      <c r="K98" s="89" t="str">
        <f t="shared" si="31"/>
        <v>4007/4008</v>
      </c>
      <c r="L98" s="184" t="str">
        <f>VLOOKUP(A98,'Trips&amp;Operators'!$C$1:$G$99911,5,FALSE)</f>
        <v>MOSES BRADLEY</v>
      </c>
      <c r="M98" s="6">
        <f t="shared" si="32"/>
        <v>2.5000000001455192E-2</v>
      </c>
      <c r="N98" s="7">
        <f t="shared" si="51"/>
        <v>36.000000002095476</v>
      </c>
      <c r="O98" s="7"/>
      <c r="P98" s="7"/>
      <c r="Q98" s="22"/>
      <c r="R98" s="173"/>
      <c r="S98" s="220">
        <f t="shared" si="52"/>
        <v>1</v>
      </c>
      <c r="T98" s="173" t="str">
        <f t="shared" si="33"/>
        <v>NorthBound</v>
      </c>
      <c r="U98" s="19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5" t="str">
        <f t="shared" si="34"/>
        <v>https://d0f6bd738d7f1b3e5a7ca70fe4ff75f0.us-east-1.aws.found.io/app/kibana#/discover/Steve-Slow-Train-Analysis-(2080s-and-2083s)?_g=(refreshInterval:(display:Off,pause:!f,section:0,value:0),time:(from:'2017-11-16T13:09:14-0700',mode:absolute,to:'2017-11-16T15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8" s="203" t="str">
        <f>IF(AA98&lt;VLOOKUP(AG98,Variables!$AC$3:$AD$8,2,FALSE),"Y","N")</f>
        <v>N</v>
      </c>
      <c r="X98" s="203">
        <f t="shared" si="55"/>
        <v>1</v>
      </c>
      <c r="Y98" s="203">
        <f t="shared" si="53"/>
        <v>4.9500000000000002E-2</v>
      </c>
      <c r="Z98" s="203">
        <f t="shared" si="54"/>
        <v>23.323799999999999</v>
      </c>
      <c r="AA98" s="203">
        <f t="shared" si="35"/>
        <v>23.2743</v>
      </c>
      <c r="AB98" s="54" t="e">
        <f>VLOOKUP(A98,Enforcements!$C$7:$K$9,8,0)</f>
        <v>#N/A</v>
      </c>
      <c r="AC98" s="51" t="e">
        <f>VLOOKUP(A98,Enforcements!$C$7:$E$9,3,0)</f>
        <v>#N/A</v>
      </c>
      <c r="AD98" s="178">
        <f t="shared" si="36"/>
        <v>185</v>
      </c>
      <c r="AE98" s="77" t="str">
        <f t="shared" si="3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98" s="74" t="str">
        <f t="shared" si="38"/>
        <v>"C:\Program Files (x86)\AstroGrep\AstroGrep.exe" /e /r /s /spath="%USERPROFILE%\AppData\Local\Temp\OnboardLogs" /stypes="app*4008*20171116*" /stext=" 21:.+((SYSTEM_STATE.+slice.+state.+changed )|(ment ac)|(multiple cpu faults)|(system.+state.+changed )|(\[timeout)|(PRM\|1\|D)|(kpr)|(kdp)|(train st.+moving)|(\|lc)|(penalty))"</v>
      </c>
      <c r="AG98" s="181" t="str">
        <f t="shared" si="39"/>
        <v>EC</v>
      </c>
      <c r="AH98" s="78" t="str">
        <f t="shared" si="40"/>
        <v>"%USERPROFILE%\Documents\GitHub\eaglep3\Utilities\RefineRTDCRunTimes.py" --tripid 185-16 --locoid 4008 --swversion DE.1.0.9.0 --startMP 204:495 --initTime 2017-11-16T14:09:14 --startdatetime 2017-11-16T14:15:18 --delay 90 --endMP 204:233238 --enddatetime 2017-11-16T14:51:18 --enforcementcount 0 &gt;&gt;%USERPROFILE%\Documents\GitHub\eaglep3-reporting\EC\2017-11-16-refined-times.txt</v>
      </c>
      <c r="AI9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{"issue":{"subject":"","project_id":79,"tracker_id":40,"status_id":1,"priority_id":2,"assigned_to_id":338,"start_date":"2017-11-16","description":"","custom_fields":[{"id":1,"name":"Subdivision","value":"EC"},{"id":4,"name":"Milepost","value":"23.3238"},{"id":17,"name":"Train ID","value":"185-16"},{"id":16,"name":"Locomotive ID","value":"4008"},{"id":130,"name":"Impact","value":""},{"id":150,"name":"Time of Event (Mountain Time)","value":"14:51:18"},{"id":151,"name":"Denver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1" t="str">
        <f t="shared" si="42"/>
        <v>start /low /b %USERPROFILE%\Documents\GitHub\eaglep3\Utilities\DownloadLogsFromS3.py --loco 4008 --day 2017-11-16</v>
      </c>
      <c r="AN98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7" t="str">
        <f t="shared" si="44"/>
        <v>https://d0f6bd738d7f1b3e5a7ca70fe4ff75f0.us-east-1.aws.found.io/app/kibana#/discover/Steve-Slow-Train-Analysis-(2080s-and-2083s)?_g=(refreshInterval:(display:Off,pause:!f,section:0,value:0),time:(from:'2017-11-16T13:09:14-0700',mode:absolute,to:'2017-11-16T15:51:18-0700'))&amp;_a=(columns:!('Message%20ID',Summary),filters:!(),index:'emp_*',interval:auto,query:(query_string:(analyze_wildcard:!t,query:'%22rtdc.l.rtdc.4008%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810</v>
      </c>
      <c r="B99" s="7">
        <v>4007</v>
      </c>
      <c r="C99" s="21" t="s">
        <v>192</v>
      </c>
      <c r="D99" s="21" t="s">
        <v>535</v>
      </c>
      <c r="E99" s="13">
        <v>43055.630370370367</v>
      </c>
      <c r="F99" s="13">
        <v>43055.633576388886</v>
      </c>
      <c r="G99" s="7">
        <v>75</v>
      </c>
      <c r="H99" s="21" t="s">
        <v>457</v>
      </c>
      <c r="I99" s="13">
        <v>43055.659444444442</v>
      </c>
      <c r="J99" s="7">
        <v>0</v>
      </c>
      <c r="K99" s="89" t="str">
        <f t="shared" si="31"/>
        <v>4007/4008</v>
      </c>
      <c r="L99" s="184" t="str">
        <f>VLOOKUP(A99,'Trips&amp;Operators'!$C$1:$G$99911,5,FALSE)</f>
        <v>MOSES BRADLEY</v>
      </c>
      <c r="M99" s="6">
        <f t="shared" si="32"/>
        <v>2.5868055556202307E-2</v>
      </c>
      <c r="N99" s="7">
        <f t="shared" si="51"/>
        <v>37.250000000931323</v>
      </c>
      <c r="O99" s="7"/>
      <c r="P99" s="7"/>
      <c r="Q99" s="22"/>
      <c r="R99" s="173"/>
      <c r="S99" s="220">
        <f t="shared" si="52"/>
        <v>1</v>
      </c>
      <c r="T99" s="173" t="str">
        <f t="shared" si="33"/>
        <v>Southbound</v>
      </c>
      <c r="U99" s="19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5" t="str">
        <f t="shared" si="34"/>
        <v>https://d0f6bd738d7f1b3e5a7ca70fe4ff75f0.us-east-1.aws.found.io/app/kibana#/discover/Steve-Slow-Train-Analysis-(2080s-and-2083s)?_g=(refreshInterval:(display:Off,pause:!f,section:0,value:0),time:(from:'2017-11-16T14:07:44-0700',mode:absolute,to:'2017-11-16T16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203" t="str">
        <f>IF(AA99&lt;VLOOKUP(AG99,Variables!$AC$3:$AD$8,2,FALSE),"Y","N")</f>
        <v>N</v>
      </c>
      <c r="X99" s="203">
        <f t="shared" si="55"/>
        <v>1</v>
      </c>
      <c r="Y99" s="203">
        <f t="shared" si="53"/>
        <v>23.2925</v>
      </c>
      <c r="Z99" s="203">
        <f t="shared" si="54"/>
        <v>2.0899999999999998E-2</v>
      </c>
      <c r="AA99" s="203">
        <f t="shared" si="35"/>
        <v>23.271599999999999</v>
      </c>
      <c r="AB99" s="54" t="e">
        <f>VLOOKUP(A99,Enforcements!$C$7:$K$9,8,0)</f>
        <v>#N/A</v>
      </c>
      <c r="AC99" s="51" t="e">
        <f>VLOOKUP(A99,Enforcements!$C$7:$E$9,3,0)</f>
        <v>#N/A</v>
      </c>
      <c r="AD99" s="178">
        <f t="shared" si="36"/>
        <v>186</v>
      </c>
      <c r="AE99" s="77" t="str">
        <f t="shared" si="37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99" s="74" t="str">
        <f t="shared" si="38"/>
        <v>"C:\Program Files (x86)\AstroGrep\AstroGrep.exe" /e /r /s /spath="%USERPROFILE%\AppData\Local\Temp\OnboardLogs" /stypes="app*4007*20171116*" /stext=" 22:.+((SYSTEM_STATE.+slice.+state.+changed )|(ment ac)|(multiple cpu faults)|(system.+state.+changed )|(\[timeout)|(PRM\|1\|D)|(kpr)|(kdp)|(train st.+moving)|(\|lc)|(penalty))"</v>
      </c>
      <c r="AG99" s="181" t="str">
        <f t="shared" si="39"/>
        <v>EC</v>
      </c>
      <c r="AH99" s="78" t="str">
        <f t="shared" si="40"/>
        <v>"%USERPROFILE%\Documents\GitHub\eaglep3\Utilities\RefineRTDCRunTimes.py" --tripid 186-16 --locoid 4007 --swversion DE.1.0.9.0 --startMP 204:232925 --initTime 2017-11-16T15:07:44 --startdatetime 2017-11-16T15:12:21 --delay 75 --endMP 204:209 --enddatetime 2017-11-16T15:49:36 --enforcementcount 0 &gt;&gt;%USERPROFILE%\Documents\GitHub\eaglep3-reporting\EC\2017-11-16-refined-times.txt</v>
      </c>
      <c r="AI9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{"issue":{"subject":"","project_id":79,"tracker_id":40,"status_id":1,"priority_id":2,"assigned_to_id":338,"start_date":"2017-11-16","description":"","custom_fields":[{"id":1,"name":"Subdivision","value":"EC"},{"id":4,"name":"Milepost","value":"0.0209"},{"id":17,"name":"Train ID","value":"186-16"},{"id":16,"name":"Locomotive ID","value":"4007"},{"id":130,"name":"Impact","value":""},{"id":150,"name":"Time of Event (Mountain Time)","value":"15:49:36"},{"id":151,"name":"Denver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1" t="str">
        <f t="shared" si="42"/>
        <v>start /low /b %USERPROFILE%\Documents\GitHub\eaglep3\Utilities\DownloadLogsFromS3.py --loco 4007 --day 2017-11-16</v>
      </c>
      <c r="AN99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7" t="str">
        <f t="shared" si="44"/>
        <v>https://d0f6bd738d7f1b3e5a7ca70fe4ff75f0.us-east-1.aws.found.io/app/kibana#/discover/Steve-Slow-Train-Analysis-(2080s-and-2083s)?_g=(refreshInterval:(display:Off,pause:!f,section:0,value:0),time:(from:'2017-11-16T14:07:44-0700',mode:absolute,to:'2017-11-16T16:49:36-0700'))&amp;_a=(columns:!('Message%20ID',Summary),filters:!(),index:'emp_*',interval:auto,query:(query_string:(analyze_wildcard:!t,query:'%22rtdc.l.rtdc.4007%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803</v>
      </c>
      <c r="B100" s="7">
        <v>4016</v>
      </c>
      <c r="C100" s="21" t="s">
        <v>192</v>
      </c>
      <c r="D100" s="21" t="s">
        <v>564</v>
      </c>
      <c r="E100" s="13">
        <v>43055.599756944444</v>
      </c>
      <c r="F100" s="13">
        <v>43055.604398148149</v>
      </c>
      <c r="G100" s="7">
        <v>50</v>
      </c>
      <c r="H100" s="21" t="s">
        <v>899</v>
      </c>
      <c r="I100" s="13">
        <v>43055.628472222219</v>
      </c>
      <c r="J100" s="7">
        <v>0</v>
      </c>
      <c r="K100" s="89" t="str">
        <f t="shared" si="31"/>
        <v>4015/4016</v>
      </c>
      <c r="L100" s="184" t="str">
        <f>VLOOKUP(A100,'Trips&amp;Operators'!$C$1:$G$99911,5,FALSE)</f>
        <v>HOLCOMB KAMDEN</v>
      </c>
      <c r="M100" s="6">
        <f t="shared" si="32"/>
        <v>2.4074074070085771E-2</v>
      </c>
      <c r="N100" s="7">
        <f t="shared" si="51"/>
        <v>34.666666660923511</v>
      </c>
      <c r="O100" s="7"/>
      <c r="P100" s="7"/>
      <c r="Q100" s="22"/>
      <c r="R100" s="173"/>
      <c r="S100" s="220">
        <f t="shared" si="52"/>
        <v>1</v>
      </c>
      <c r="T100" s="173" t="str">
        <f t="shared" si="33"/>
        <v>NorthBound</v>
      </c>
      <c r="U100" s="19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5" t="str">
        <f t="shared" si="34"/>
        <v>https://d0f6bd738d7f1b3e5a7ca70fe4ff75f0.us-east-1.aws.found.io/app/kibana#/discover/Steve-Slow-Train-Analysis-(2080s-and-2083s)?_g=(refreshInterval:(display:Off,pause:!f,section:0,value:0),time:(from:'2017-11-16T13:23:39-0700',mode:absolute,to:'2017-11-16T16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203" t="str">
        <f>IF(AA100&lt;VLOOKUP(AG100,Variables!$AC$3:$AD$8,2,FALSE),"Y","N")</f>
        <v>N</v>
      </c>
      <c r="X100" s="203">
        <f t="shared" si="55"/>
        <v>1</v>
      </c>
      <c r="Y100" s="203">
        <f t="shared" si="53"/>
        <v>5.3499999999999999E-2</v>
      </c>
      <c r="Z100" s="203">
        <f t="shared" si="54"/>
        <v>23.3261</v>
      </c>
      <c r="AA100" s="203">
        <f t="shared" si="35"/>
        <v>23.272600000000001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8">
        <f t="shared" si="36"/>
        <v>187</v>
      </c>
      <c r="AE100" s="77" t="str">
        <f t="shared" si="37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100" s="74" t="str">
        <f t="shared" si="38"/>
        <v>"C:\Program Files (x86)\AstroGrep\AstroGrep.exe" /e /r /s /spath="%USERPROFILE%\AppData\Local\Temp\OnboardLogs" /stypes="app*4016*20171116*" /stext=" 22:.+((SYSTEM_STATE.+slice.+state.+changed )|(ment ac)|(multiple cpu faults)|(system.+state.+changed )|(\[timeout)|(PRM\|1\|D)|(kpr)|(kdp)|(train st.+moving)|(\|lc)|(penalty))"</v>
      </c>
      <c r="AG100" s="181" t="str">
        <f t="shared" si="39"/>
        <v>EC</v>
      </c>
      <c r="AH100" s="78" t="str">
        <f t="shared" si="40"/>
        <v>"%USERPROFILE%\Documents\GitHub\eaglep3\Utilities\RefineRTDCRunTimes.py" --tripid 187-16 --locoid 4016 --swversion DE.1.0.9.0 --startMP 204:535 --initTime 2017-11-16T14:23:39 --startdatetime 2017-11-16T14:30:20 --delay 50 --endMP 204:233261 --enddatetime 2017-11-16T15:05:00 --enforcementcount 0 &gt;&gt;%USERPROFILE%\Documents\GitHub\eaglep3-reporting\EC\2017-11-16-refined-times.txt</v>
      </c>
      <c r="AI10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{"issue":{"subject":"","project_id":79,"tracker_id":40,"status_id":1,"priority_id":2,"assigned_to_id":338,"start_date":"2017-11-16","description":"","custom_fields":[{"id":1,"name":"Subdivision","value":"EC"},{"id":4,"name":"Milepost","value":"23.3261"},{"id":17,"name":"Train ID","value":"187-16"},{"id":16,"name":"Locomotive ID","value":"4016"},{"id":130,"name":"Impact","value":""},{"id":150,"name":"Time of Event (Mountain Time)","value":"15:05:00"},{"id":151,"name":"Denver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1" t="str">
        <f t="shared" si="42"/>
        <v>start /low /b %USERPROFILE%\Documents\GitHub\eaglep3\Utilities\DownloadLogsFromS3.py --loco 4016 --day 2017-11-16</v>
      </c>
      <c r="AN100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7" t="str">
        <f t="shared" si="44"/>
        <v>https://d0f6bd738d7f1b3e5a7ca70fe4ff75f0.us-east-1.aws.found.io/app/kibana#/discover/Steve-Slow-Train-Analysis-(2080s-and-2083s)?_g=(refreshInterval:(display:Off,pause:!f,section:0,value:0),time:(from:'2017-11-16T13:23:39-0700',mode:absolute,to:'2017-11-16T16:05:00-0700'))&amp;_a=(columns:!('Message%20ID',Summary),filters:!(),index:'emp_*',interval:auto,query:(query_string:(analyze_wildcard:!t,query:'%22rtdc.l.rtdc.4016%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813</v>
      </c>
      <c r="B101" s="7">
        <v>4015</v>
      </c>
      <c r="C101" s="21" t="s">
        <v>192</v>
      </c>
      <c r="D101" s="21" t="s">
        <v>951</v>
      </c>
      <c r="E101" s="13">
        <v>43055.6405787037</v>
      </c>
      <c r="F101" s="13">
        <v>43055.644016203703</v>
      </c>
      <c r="G101" s="7">
        <v>56</v>
      </c>
      <c r="H101" s="21" t="s">
        <v>952</v>
      </c>
      <c r="I101" s="13">
        <v>43055.669247685182</v>
      </c>
      <c r="J101" s="7">
        <v>0</v>
      </c>
      <c r="K101" s="89" t="str">
        <f t="shared" si="31"/>
        <v>4015/4016</v>
      </c>
      <c r="L101" s="184" t="str">
        <f>VLOOKUP(A101,'Trips&amp;Operators'!$C$1:$G$99911,5,FALSE)</f>
        <v>HOLCOMB KAMDEN</v>
      </c>
      <c r="M101" s="6">
        <f t="shared" si="32"/>
        <v>2.5231481478840578E-2</v>
      </c>
      <c r="N101" s="7">
        <f t="shared" si="51"/>
        <v>36.333333329530433</v>
      </c>
      <c r="O101" s="7"/>
      <c r="P101" s="7"/>
      <c r="Q101" s="22"/>
      <c r="R101" s="173"/>
      <c r="S101" s="220">
        <f t="shared" si="52"/>
        <v>1</v>
      </c>
      <c r="T101" s="173" t="str">
        <f t="shared" si="33"/>
        <v>Southbound</v>
      </c>
      <c r="U101" s="19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5" t="str">
        <f t="shared" si="34"/>
        <v>https://d0f6bd738d7f1b3e5a7ca70fe4ff75f0.us-east-1.aws.found.io/app/kibana#/discover/Steve-Slow-Train-Analysis-(2080s-and-2083s)?_g=(refreshInterval:(display:Off,pause:!f,section:0,value:0),time:(from:'2017-11-16T14:22:26-0700',mode:absolute,to:'2017-11-16T17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203" t="str">
        <f>IF(AA101&lt;VLOOKUP(AG101,Variables!$AC$3:$AD$8,2,FALSE),"Y","N")</f>
        <v>N</v>
      </c>
      <c r="X101" s="203">
        <f t="shared" si="55"/>
        <v>1</v>
      </c>
      <c r="Y101" s="203">
        <f t="shared" si="53"/>
        <v>23.294699999999999</v>
      </c>
      <c r="Z101" s="203">
        <f t="shared" si="54"/>
        <v>2.4199999999999999E-2</v>
      </c>
      <c r="AA101" s="203">
        <f t="shared" si="35"/>
        <v>23.270499999999998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8">
        <f t="shared" si="36"/>
        <v>188</v>
      </c>
      <c r="AE101" s="77" t="str">
        <f t="shared" si="37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101" s="74" t="str">
        <f t="shared" si="38"/>
        <v>"C:\Program Files (x86)\AstroGrep\AstroGrep.exe" /e /r /s /spath="%USERPROFILE%\AppData\Local\Temp\OnboardLogs" /stypes="app*4015*20171116*" /stext=" 23:.+((SYSTEM_STATE.+slice.+state.+changed )|(ment ac)|(multiple cpu faults)|(system.+state.+changed )|(\[timeout)|(PRM\|1\|D)|(kpr)|(kdp)|(train st.+moving)|(\|lc)|(penalty))"</v>
      </c>
      <c r="AG101" s="181" t="str">
        <f t="shared" si="39"/>
        <v>EC</v>
      </c>
      <c r="AH101" s="78" t="str">
        <f t="shared" si="40"/>
        <v>"%USERPROFILE%\Documents\GitHub\eaglep3\Utilities\RefineRTDCRunTimes.py" --tripid 188-16 --locoid 4015 --swversion DE.1.0.9.0 --startMP 204:232947 --initTime 2017-11-16T15:22:26 --startdatetime 2017-11-16T15:27:23 --delay 56 --endMP 204:242 --enddatetime 2017-11-16T16:03:43 --enforcementcount 0 &gt;&gt;%USERPROFILE%\Documents\GitHub\eaglep3-reporting\EC\2017-11-16-refined-times.txt</v>
      </c>
      <c r="AI101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{"issue":{"subject":"","project_id":79,"tracker_id":40,"status_id":1,"priority_id":2,"assigned_to_id":338,"start_date":"2017-11-16","description":"","custom_fields":[{"id":1,"name":"Subdivision","value":"EC"},{"id":4,"name":"Milepost","value":"0.0242"},{"id":17,"name":"Train ID","value":"188-16"},{"id":16,"name":"Locomotive ID","value":"4015"},{"id":130,"name":"Impact","value":""},{"id":150,"name":"Time of Event (Mountain Time)","value":"16:03:43"},{"id":151,"name":"Denver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1" t="str">
        <f t="shared" si="42"/>
        <v>start /low /b %USERPROFILE%\Documents\GitHub\eaglep3\Utilities\DownloadLogsFromS3.py --loco 4015 --day 2017-11-16</v>
      </c>
      <c r="AN101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7" t="str">
        <f t="shared" si="44"/>
        <v>https://d0f6bd738d7f1b3e5a7ca70fe4ff75f0.us-east-1.aws.found.io/app/kibana#/discover/Steve-Slow-Train-Analysis-(2080s-and-2083s)?_g=(refreshInterval:(display:Off,pause:!f,section:0,value:0),time:(from:'2017-11-16T14:22:26-0700',mode:absolute,to:'2017-11-16T17:03:43-0700'))&amp;_a=(columns:!('Message%20ID',Summary),filters:!(),index:'emp_*',interval:auto,query:(query_string:(analyze_wildcard:!t,query:'%22rtdc.l.rtdc.4015%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806</v>
      </c>
      <c r="B102" s="7">
        <v>4004</v>
      </c>
      <c r="C102" s="21" t="s">
        <v>192</v>
      </c>
      <c r="D102" s="21" t="s">
        <v>953</v>
      </c>
      <c r="E102" s="13">
        <v>43055.609988425924</v>
      </c>
      <c r="F102" s="13">
        <v>43055.614895833336</v>
      </c>
      <c r="G102" s="7">
        <v>63</v>
      </c>
      <c r="H102" s="21" t="s">
        <v>954</v>
      </c>
      <c r="I102" s="13">
        <v>43055.640266203707</v>
      </c>
      <c r="J102" s="7">
        <v>0</v>
      </c>
      <c r="K102" s="89" t="str">
        <f t="shared" si="31"/>
        <v>4003/4004</v>
      </c>
      <c r="L102" s="184" t="str">
        <f>VLOOKUP(A102,'Trips&amp;Operators'!$C$1:$G$99911,5,FALSE)</f>
        <v>KILLION DAVID</v>
      </c>
      <c r="M102" s="6">
        <f t="shared" si="32"/>
        <v>2.5370370371092577E-2</v>
      </c>
      <c r="N102" s="7">
        <f t="shared" si="51"/>
        <v>36.53333333437331</v>
      </c>
      <c r="O102" s="7"/>
      <c r="P102" s="7"/>
      <c r="Q102" s="22"/>
      <c r="R102" s="173"/>
      <c r="S102" s="220">
        <f t="shared" si="52"/>
        <v>1</v>
      </c>
      <c r="T102" s="173" t="str">
        <f t="shared" si="33"/>
        <v>NorthBound</v>
      </c>
      <c r="U102" s="19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5" t="str">
        <f t="shared" si="34"/>
        <v>https://d0f6bd738d7f1b3e5a7ca70fe4ff75f0.us-east-1.aws.found.io/app/kibana#/discover/Steve-Slow-Train-Analysis-(2080s-and-2083s)?_g=(refreshInterval:(display:Off,pause:!f,section:0,value:0),time:(from:'2017-11-16T13:38:23-0700',mode:absolute,to:'2017-11-16T16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203" t="str">
        <f>IF(AA102&lt;VLOOKUP(AG102,Variables!$AC$3:$AD$8,2,FALSE),"Y","N")</f>
        <v>N</v>
      </c>
      <c r="X102" s="203">
        <f t="shared" si="55"/>
        <v>1</v>
      </c>
      <c r="Y102" s="203">
        <f t="shared" si="53"/>
        <v>5.3999999999999999E-2</v>
      </c>
      <c r="Z102" s="203">
        <f t="shared" si="54"/>
        <v>23.316500000000001</v>
      </c>
      <c r="AA102" s="203">
        <f t="shared" si="35"/>
        <v>23.262500000000003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8">
        <f t="shared" si="36"/>
        <v>189</v>
      </c>
      <c r="AE102" s="77" t="str">
        <f t="shared" si="37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102" s="74" t="str">
        <f t="shared" si="38"/>
        <v>"C:\Program Files (x86)\AstroGrep\AstroGrep.exe" /e /r /s /spath="%USERPROFILE%\AppData\Local\Temp\OnboardLogs" /stypes="app*4004*20171116*" /stext=" 22:.+((SYSTEM_STATE.+slice.+state.+changed )|(ment ac)|(multiple cpu faults)|(system.+state.+changed )|(\[timeout)|(PRM\|1\|D)|(kpr)|(kdp)|(train st.+moving)|(\|lc)|(penalty))"</v>
      </c>
      <c r="AG102" s="181" t="str">
        <f t="shared" si="39"/>
        <v>EC</v>
      </c>
      <c r="AH102" s="78" t="str">
        <f t="shared" si="40"/>
        <v>"%USERPROFILE%\Documents\GitHub\eaglep3\Utilities\RefineRTDCRunTimes.py" --tripid 189-16 --locoid 4004 --swversion DE.1.0.9.0 --startMP 204:540 --initTime 2017-11-16T14:38:23 --startdatetime 2017-11-16T14:45:27 --delay 63 --endMP 204:233165 --enddatetime 2017-11-16T15:21:59 --enforcementcount 0 &gt;&gt;%USERPROFILE%\Documents\GitHub\eaglep3-reporting\EC\2017-11-16-refined-times.txt</v>
      </c>
      <c r="AI102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{"issue":{"subject":"","project_id":79,"tracker_id":40,"status_id":1,"priority_id":2,"assigned_to_id":338,"start_date":"2017-11-16","description":"","custom_fields":[{"id":1,"name":"Subdivision","value":"EC"},{"id":4,"name":"Milepost","value":"23.3165"},{"id":17,"name":"Train ID","value":"189-16"},{"id":16,"name":"Locomotive ID","value":"4004"},{"id":130,"name":"Impact","value":""},{"id":150,"name":"Time of Event (Mountain Time)","value":"15:21:59"},{"id":151,"name":"Denver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1" t="str">
        <f t="shared" si="42"/>
        <v>start /low /b %USERPROFILE%\Documents\GitHub\eaglep3\Utilities\DownloadLogsFromS3.py --loco 4004 --day 2017-11-16</v>
      </c>
      <c r="AN102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7" t="str">
        <f t="shared" si="44"/>
        <v>https://d0f6bd738d7f1b3e5a7ca70fe4ff75f0.us-east-1.aws.found.io/app/kibana#/discover/Steve-Slow-Train-Analysis-(2080s-and-2083s)?_g=(refreshInterval:(display:Off,pause:!f,section:0,value:0),time:(from:'2017-11-16T13:38:23-0700',mode:absolute,to:'2017-11-16T16:21:59-0700'))&amp;_a=(columns:!('Message%20ID',Summary),filters:!(),index:'emp_*',interval:auto,query:(query_string:(analyze_wildcard:!t,query:'%22rtdc.l.rtdc.4004%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816</v>
      </c>
      <c r="B103" s="7">
        <v>4003</v>
      </c>
      <c r="C103" s="21" t="s">
        <v>192</v>
      </c>
      <c r="D103" s="21" t="s">
        <v>608</v>
      </c>
      <c r="E103" s="13">
        <v>43055.647314814814</v>
      </c>
      <c r="F103" s="13">
        <v>43055.654618055552</v>
      </c>
      <c r="G103" s="7">
        <v>78</v>
      </c>
      <c r="H103" s="21" t="s">
        <v>506</v>
      </c>
      <c r="I103" s="13">
        <v>43055.680706018517</v>
      </c>
      <c r="J103" s="7">
        <v>0</v>
      </c>
      <c r="K103" s="89" t="str">
        <f t="shared" si="31"/>
        <v>4003/4004</v>
      </c>
      <c r="L103" s="184" t="str">
        <f>VLOOKUP(A103,'Trips&amp;Operators'!$C$1:$G$99911,5,FALSE)</f>
        <v>KILLION DAVID</v>
      </c>
      <c r="M103" s="6">
        <f t="shared" si="32"/>
        <v>2.6087962964083999E-2</v>
      </c>
      <c r="N103" s="7">
        <f t="shared" si="51"/>
        <v>37.566666668280959</v>
      </c>
      <c r="O103" s="7"/>
      <c r="P103" s="7"/>
      <c r="Q103" s="22"/>
      <c r="R103" s="173"/>
      <c r="S103" s="220">
        <f t="shared" si="52"/>
        <v>1</v>
      </c>
      <c r="T103" s="173" t="str">
        <f t="shared" si="33"/>
        <v>Southbound</v>
      </c>
      <c r="U103" s="19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5" t="str">
        <f t="shared" si="34"/>
        <v>https://d0f6bd738d7f1b3e5a7ca70fe4ff75f0.us-east-1.aws.found.io/app/kibana#/discover/Steve-Slow-Train-Analysis-(2080s-and-2083s)?_g=(refreshInterval:(display:Off,pause:!f,section:0,value:0),time:(from:'2017-11-16T14:32:08-0700',mode:absolute,to:'2017-11-16T17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203" t="str">
        <f>IF(AA103&lt;VLOOKUP(AG103,Variables!$AC$3:$AD$8,2,FALSE),"Y","N")</f>
        <v>N</v>
      </c>
      <c r="X103" s="203">
        <f t="shared" si="55"/>
        <v>1</v>
      </c>
      <c r="Y103" s="203">
        <f t="shared" si="53"/>
        <v>23.287299999999998</v>
      </c>
      <c r="Z103" s="203">
        <f t="shared" si="54"/>
        <v>1.9099999999999999E-2</v>
      </c>
      <c r="AA103" s="203">
        <f t="shared" si="35"/>
        <v>23.268199999999997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8">
        <f t="shared" si="36"/>
        <v>190</v>
      </c>
      <c r="AE103" s="77" t="str">
        <f t="shared" si="37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103" s="74" t="str">
        <f t="shared" si="38"/>
        <v>"C:\Program Files (x86)\AstroGrep\AstroGrep.exe" /e /r /s /spath="%USERPROFILE%\AppData\Local\Temp\OnboardLogs" /stypes="app*4003*20171116*" /stext=" 23:.+((SYSTEM_STATE.+slice.+state.+changed )|(ment ac)|(multiple cpu faults)|(system.+state.+changed )|(\[timeout)|(PRM\|1\|D)|(kpr)|(kdp)|(train st.+moving)|(\|lc)|(penalty))"</v>
      </c>
      <c r="AG103" s="181" t="str">
        <f t="shared" si="39"/>
        <v>EC</v>
      </c>
      <c r="AH103" s="78" t="str">
        <f t="shared" si="40"/>
        <v>"%USERPROFILE%\Documents\GitHub\eaglep3\Utilities\RefineRTDCRunTimes.py" --tripid 190-16 --locoid 4003 --swversion DE.1.0.9.0 --startMP 204:232873 --initTime 2017-11-16T15:32:08 --startdatetime 2017-11-16T15:42:39 --delay 78 --endMP 204:191 --enddatetime 2017-11-16T16:20:13 --enforcementcount 0 &gt;&gt;%USERPROFILE%\Documents\GitHub\eaglep3-reporting\EC\2017-11-16-refined-times.txt</v>
      </c>
      <c r="AI103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{"issue":{"subject":"","project_id":79,"tracker_id":40,"status_id":1,"priority_id":2,"assigned_to_id":338,"start_date":"2017-11-16","description":"","custom_fields":[{"id":1,"name":"Subdivision","value":"EC"},{"id":4,"name":"Milepost","value":"0.0191"},{"id":17,"name":"Train ID","value":"190-16"},{"id":16,"name":"Locomotive ID","value":"4003"},{"id":130,"name":"Impact","value":""},{"id":150,"name":"Time of Event (Mountain Time)","value":"16:20:13"},{"id":151,"name":"Denver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1" t="str">
        <f t="shared" si="42"/>
        <v>start /low /b %USERPROFILE%\Documents\GitHub\eaglep3\Utilities\DownloadLogsFromS3.py --loco 4003 --day 2017-11-16</v>
      </c>
      <c r="AN103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7" t="str">
        <f t="shared" si="44"/>
        <v>https://d0f6bd738d7f1b3e5a7ca70fe4ff75f0.us-east-1.aws.found.io/app/kibana#/discover/Steve-Slow-Train-Analysis-(2080s-and-2083s)?_g=(refreshInterval:(display:Off,pause:!f,section:0,value:0),time:(from:'2017-11-16T14:32:08-0700',mode:absolute,to:'2017-11-16T17:20:13-0700'))&amp;_a=(columns:!('Message%20ID',Summary),filters:!(),index:'emp_*',interval:auto,query:(query_string:(analyze_wildcard:!t,query:'%22rtdc.l.rtdc.4003%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808</v>
      </c>
      <c r="B104" s="7">
        <v>4018</v>
      </c>
      <c r="C104" s="21" t="s">
        <v>192</v>
      </c>
      <c r="D104" s="21" t="s">
        <v>955</v>
      </c>
      <c r="E104" s="13">
        <v>43055.620173611111</v>
      </c>
      <c r="F104" s="13">
        <v>43055.625254629631</v>
      </c>
      <c r="G104" s="7">
        <v>55</v>
      </c>
      <c r="H104" s="21" t="s">
        <v>956</v>
      </c>
      <c r="I104" s="13">
        <v>43055.650625000002</v>
      </c>
      <c r="J104" s="7">
        <v>0</v>
      </c>
      <c r="K104" s="89" t="str">
        <f t="shared" si="31"/>
        <v>4017/4018</v>
      </c>
      <c r="L104" s="184" t="str">
        <f>VLOOKUP(A104,'Trips&amp;Operators'!$C$1:$G$99911,5,FALSE)</f>
        <v>STEWART MICHAEL</v>
      </c>
      <c r="M104" s="6">
        <f t="shared" si="32"/>
        <v>2.5370370371092577E-2</v>
      </c>
      <c r="N104" s="7">
        <f t="shared" si="51"/>
        <v>36.53333333437331</v>
      </c>
      <c r="O104" s="7"/>
      <c r="P104" s="7"/>
      <c r="Q104" s="22"/>
      <c r="R104" s="173"/>
      <c r="S104" s="220">
        <f t="shared" si="52"/>
        <v>1</v>
      </c>
      <c r="T104" s="173" t="str">
        <f t="shared" si="33"/>
        <v>NorthBound</v>
      </c>
      <c r="U104" s="19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5" t="str">
        <f t="shared" si="34"/>
        <v>https://d0f6bd738d7f1b3e5a7ca70fe4ff75f0.us-east-1.aws.found.io/app/kibana#/discover/Steve-Slow-Train-Analysis-(2080s-and-2083s)?_g=(refreshInterval:(display:Off,pause:!f,section:0,value:0),time:(from:'2017-11-16T13:53:03-0700',mode:absolute,to:'2017-11-16T16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203" t="str">
        <f>IF(AA104&lt;VLOOKUP(AG104,Variables!$AC$3:$AD$8,2,FALSE),"Y","N")</f>
        <v>N</v>
      </c>
      <c r="X104" s="203">
        <f t="shared" si="55"/>
        <v>1</v>
      </c>
      <c r="Y104" s="203">
        <f t="shared" si="53"/>
        <v>5.11E-2</v>
      </c>
      <c r="Z104" s="203">
        <f t="shared" si="54"/>
        <v>23.3202</v>
      </c>
      <c r="AA104" s="203">
        <f t="shared" si="35"/>
        <v>23.269099999999998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8">
        <f t="shared" si="36"/>
        <v>191</v>
      </c>
      <c r="AE104" s="77" t="str">
        <f t="shared" si="37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104" s="74" t="str">
        <f t="shared" si="38"/>
        <v>"C:\Program Files (x86)\AstroGrep\AstroGrep.exe" /e /r /s /spath="%USERPROFILE%\AppData\Local\Temp\OnboardLogs" /stypes="app*4018*20171116*" /stext=" 22:.+((SYSTEM_STATE.+slice.+state.+changed )|(ment ac)|(multiple cpu faults)|(system.+state.+changed )|(\[timeout)|(PRM\|1\|D)|(kpr)|(kdp)|(train st.+moving)|(\|lc)|(penalty))"</v>
      </c>
      <c r="AG104" s="181" t="str">
        <f t="shared" si="39"/>
        <v>EC</v>
      </c>
      <c r="AH104" s="78" t="str">
        <f t="shared" si="40"/>
        <v>"%USERPROFILE%\Documents\GitHub\eaglep3\Utilities\RefineRTDCRunTimes.py" --tripid 191-16 --locoid 4018 --swversion DE.1.0.9.0 --startMP 204:511 --initTime 2017-11-16T14:53:03 --startdatetime 2017-11-16T15:00:22 --delay 55 --endMP 204:233202 --enddatetime 2017-11-16T15:36:54 --enforcementcount 0 &gt;&gt;%USERPROFILE%\Documents\GitHub\eaglep3-reporting\EC\2017-11-16-refined-times.txt</v>
      </c>
      <c r="AI104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{"issue":{"subject":"","project_id":79,"tracker_id":40,"status_id":1,"priority_id":2,"assigned_to_id":338,"start_date":"2017-11-16","description":"","custom_fields":[{"id":1,"name":"Subdivision","value":"EC"},{"id":4,"name":"Milepost","value":"23.3202"},{"id":17,"name":"Train ID","value":"191-16"},{"id":16,"name":"Locomotive ID","value":"4018"},{"id":130,"name":"Impact","value":""},{"id":150,"name":"Time of Event (Mountain Time)","value":"15:36:54"},{"id":151,"name":"Denver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1" t="str">
        <f t="shared" si="42"/>
        <v>start /low /b %USERPROFILE%\Documents\GitHub\eaglep3\Utilities\DownloadLogsFromS3.py --loco 4018 --day 2017-11-16</v>
      </c>
      <c r="AN104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7" t="str">
        <f t="shared" si="44"/>
        <v>https://d0f6bd738d7f1b3e5a7ca70fe4ff75f0.us-east-1.aws.found.io/app/kibana#/discover/Steve-Slow-Train-Analysis-(2080s-and-2083s)?_g=(refreshInterval:(display:Off,pause:!f,section:0,value:0),time:(from:'2017-11-16T13:53:03-0700',mode:absolute,to:'2017-11-16T16:36:54-0700'))&amp;_a=(columns:!('Message%20ID',Summary),filters:!(),index:'emp_*',interval:auto,query:(query_string:(analyze_wildcard:!t,query:'%22rtdc.l.rtdc.4018%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819</v>
      </c>
      <c r="B105" s="7">
        <v>4017</v>
      </c>
      <c r="C105" s="21" t="s">
        <v>192</v>
      </c>
      <c r="D105" s="21" t="s">
        <v>628</v>
      </c>
      <c r="E105" s="13">
        <v>43055.661828703705</v>
      </c>
      <c r="F105" s="13">
        <v>43055.665000000001</v>
      </c>
      <c r="G105" s="7">
        <v>50</v>
      </c>
      <c r="H105" s="21" t="s">
        <v>493</v>
      </c>
      <c r="I105" s="13">
        <v>43055.692349537036</v>
      </c>
      <c r="J105" s="7">
        <v>0</v>
      </c>
      <c r="K105" s="89" t="str">
        <f t="shared" si="31"/>
        <v>4017/4018</v>
      </c>
      <c r="L105" s="184" t="str">
        <f>VLOOKUP(A105,'Trips&amp;Operators'!$C$1:$G$99911,5,FALSE)</f>
        <v>STEWART MICHAEL</v>
      </c>
      <c r="M105" s="6">
        <f t="shared" si="32"/>
        <v>2.7349537034751847E-2</v>
      </c>
      <c r="N105" s="7">
        <f t="shared" si="51"/>
        <v>39.38333333004266</v>
      </c>
      <c r="O105" s="7"/>
      <c r="P105" s="7"/>
      <c r="Q105" s="22"/>
      <c r="R105" s="173"/>
      <c r="S105" s="220">
        <f t="shared" si="52"/>
        <v>1</v>
      </c>
      <c r="T105" s="173" t="str">
        <f t="shared" si="33"/>
        <v>Southbound</v>
      </c>
      <c r="U105" s="19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5" t="str">
        <f t="shared" si="34"/>
        <v>https://d0f6bd738d7f1b3e5a7ca70fe4ff75f0.us-east-1.aws.found.io/app/kibana#/discover/Steve-Slow-Train-Analysis-(2080s-and-2083s)?_g=(refreshInterval:(display:Off,pause:!f,section:0,value:0),time:(from:'2017-11-16T14:53:02-0700',mode:absolute,to:'2017-11-16T17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203" t="str">
        <f>IF(AA105&lt;VLOOKUP(AG105,Variables!$AC$3:$AD$8,2,FALSE),"Y","N")</f>
        <v>N</v>
      </c>
      <c r="X105" s="203">
        <f t="shared" si="55"/>
        <v>1</v>
      </c>
      <c r="Y105" s="203">
        <f t="shared" si="53"/>
        <v>23.290199999999999</v>
      </c>
      <c r="Z105" s="203">
        <f t="shared" si="54"/>
        <v>2.2499999999999999E-2</v>
      </c>
      <c r="AA105" s="203">
        <f t="shared" si="35"/>
        <v>23.267699999999998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8">
        <f t="shared" si="36"/>
        <v>192</v>
      </c>
      <c r="AE105" s="77" t="str">
        <f t="shared" si="37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105" s="74" t="str">
        <f t="shared" si="38"/>
        <v>"C:\Program Files (x86)\AstroGrep\AstroGrep.exe" /e /r /s /spath="%USERPROFILE%\AppData\Local\Temp\OnboardLogs" /stypes="app*4017*20171116*" /stext=" 23:.+((SYSTEM_STATE.+slice.+state.+changed )|(ment ac)|(multiple cpu faults)|(system.+state.+changed )|(\[timeout)|(PRM\|1\|D)|(kpr)|(kdp)|(train st.+moving)|(\|lc)|(penalty))"</v>
      </c>
      <c r="AG105" s="181" t="str">
        <f t="shared" si="39"/>
        <v>EC</v>
      </c>
      <c r="AH105" s="78" t="str">
        <f t="shared" si="40"/>
        <v>"%USERPROFILE%\Documents\GitHub\eaglep3\Utilities\RefineRTDCRunTimes.py" --tripid 192-16 --locoid 4017 --swversion DE.1.0.9.0 --startMP 204:232902 --initTime 2017-11-16T15:53:02 --startdatetime 2017-11-16T15:57:36 --delay 50 --endMP 204:225 --enddatetime 2017-11-16T16:36:59 --enforcementcount 0 &gt;&gt;%USERPROFILE%\Documents\GitHub\eaglep3-reporting\EC\2017-11-16-refined-times.txt</v>
      </c>
      <c r="AI105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{"issue":{"subject":"","project_id":79,"tracker_id":40,"status_id":1,"priority_id":2,"assigned_to_id":338,"start_date":"2017-11-16","description":"","custom_fields":[{"id":1,"name":"Subdivision","value":"EC"},{"id":4,"name":"Milepost","value":"0.0225"},{"id":17,"name":"Train ID","value":"192-16"},{"id":16,"name":"Locomotive ID","value":"4017"},{"id":130,"name":"Impact","value":""},{"id":150,"name":"Time of Event (Mountain Time)","value":"16:36:59"},{"id":151,"name":"Denver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1" t="str">
        <f t="shared" si="42"/>
        <v>start /low /b %USERPROFILE%\Documents\GitHub\eaglep3\Utilities\DownloadLogsFromS3.py --loco 4017 --day 2017-11-16</v>
      </c>
      <c r="AN105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7" t="str">
        <f t="shared" si="44"/>
        <v>https://d0f6bd738d7f1b3e5a7ca70fe4ff75f0.us-east-1.aws.found.io/app/kibana#/discover/Steve-Slow-Train-Analysis-(2080s-and-2083s)?_g=(refreshInterval:(display:Off,pause:!f,section:0,value:0),time:(from:'2017-11-16T14:53:02-0700',mode:absolute,to:'2017-11-16T17:36:59-0700'))&amp;_a=(columns:!('Message%20ID',Summary),filters:!(),index:'emp_*',interval:auto,query:(query_string:(analyze_wildcard:!t,query:'%22rtdc.l.rtdc.4017%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811</v>
      </c>
      <c r="B106" s="7">
        <v>4052</v>
      </c>
      <c r="C106" s="21" t="s">
        <v>192</v>
      </c>
      <c r="D106" s="21" t="s">
        <v>446</v>
      </c>
      <c r="E106" s="13">
        <v>43055.632210648146</v>
      </c>
      <c r="F106" s="13">
        <v>43055.635578703703</v>
      </c>
      <c r="G106" s="7">
        <v>58</v>
      </c>
      <c r="H106" s="21" t="s">
        <v>500</v>
      </c>
      <c r="I106" s="13">
        <v>43055.660763888889</v>
      </c>
      <c r="J106" s="7">
        <v>0</v>
      </c>
      <c r="K106" s="89" t="str">
        <f t="shared" si="31"/>
        <v>4051/4052</v>
      </c>
      <c r="L106" s="184" t="str">
        <f>VLOOKUP(A106,'Trips&amp;Operators'!$C$1:$G$99911,5,FALSE)</f>
        <v>LEVIN SCOTT</v>
      </c>
      <c r="M106" s="6">
        <f t="shared" si="32"/>
        <v>2.5185185186273884E-2</v>
      </c>
      <c r="N106" s="7">
        <f t="shared" si="51"/>
        <v>36.266666668234393</v>
      </c>
      <c r="O106" s="7"/>
      <c r="P106" s="7"/>
      <c r="Q106" s="22"/>
      <c r="R106" s="173"/>
      <c r="S106" s="220">
        <f t="shared" si="52"/>
        <v>1</v>
      </c>
      <c r="T106" s="173" t="str">
        <f t="shared" si="33"/>
        <v>NorthBound</v>
      </c>
      <c r="U106" s="19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5" t="str">
        <f t="shared" si="34"/>
        <v>https://d0f6bd738d7f1b3e5a7ca70fe4ff75f0.us-east-1.aws.found.io/app/kibana#/discover/Steve-Slow-Train-Analysis-(2080s-and-2083s)?_g=(refreshInterval:(display:Off,pause:!f,section:0,value:0),time:(from:'2017-11-16T14:10:23-0700',mode:absolute,to:'2017-11-16T16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6" s="203" t="str">
        <f>IF(AA106&lt;VLOOKUP(AG106,Variables!$AC$3:$AD$8,2,FALSE),"Y","N")</f>
        <v>N</v>
      </c>
      <c r="X106" s="203">
        <f t="shared" si="55"/>
        <v>1</v>
      </c>
      <c r="Y106" s="203">
        <f t="shared" si="53"/>
        <v>5.0599999999999999E-2</v>
      </c>
      <c r="Z106" s="203">
        <f t="shared" si="54"/>
        <v>23.327999999999999</v>
      </c>
      <c r="AA106" s="203">
        <f t="shared" si="35"/>
        <v>23.2774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8">
        <f t="shared" si="36"/>
        <v>193</v>
      </c>
      <c r="AE106" s="77" t="str">
        <f t="shared" si="37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106" s="74" t="str">
        <f t="shared" si="38"/>
        <v>"C:\Program Files (x86)\AstroGrep\AstroGrep.exe" /e /r /s /spath="%USERPROFILE%\AppData\Local\Temp\OnboardLogs" /stypes="app*4052*20171116*" /stext=" 22:.+((SYSTEM_STATE.+slice.+state.+changed )|(ment ac)|(multiple cpu faults)|(system.+state.+changed )|(\[timeout)|(PRM\|1\|D)|(kpr)|(kdp)|(train st.+moving)|(\|lc)|(penalty))"</v>
      </c>
      <c r="AG106" s="181" t="str">
        <f t="shared" si="39"/>
        <v>EC</v>
      </c>
      <c r="AH106" s="78" t="str">
        <f t="shared" si="40"/>
        <v>"%USERPROFILE%\Documents\GitHub\eaglep3\Utilities\RefineRTDCRunTimes.py" --tripid 193-16 --locoid 4052 --swversion DE.1.0.9.0 --startMP 204:506 --initTime 2017-11-16T15:10:23 --startdatetime 2017-11-16T15:15:14 --delay 58 --endMP 204:233280 --enddatetime 2017-11-16T15:51:30 --enforcementcount 0 &gt;&gt;%USERPROFILE%\Documents\GitHub\eaglep3-reporting\EC\2017-11-16-refined-times.txt</v>
      </c>
      <c r="AI106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{"issue":{"subject":"","project_id":79,"tracker_id":40,"status_id":1,"priority_id":2,"assigned_to_id":338,"start_date":"2017-11-16","description":"","custom_fields":[{"id":1,"name":"Subdivision","value":"EC"},{"id":4,"name":"Milepost","value":"23.328"},{"id":17,"name":"Train ID","value":"193-16"},{"id":16,"name":"Locomotive ID","value":"4052"},{"id":130,"name":"Impact","value":""},{"id":150,"name":"Time of Event (Mountain Time)","value":"15:51:30"},{"id":151,"name":"Denver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1" t="str">
        <f t="shared" si="42"/>
        <v>start /low /b %USERPROFILE%\Documents\GitHub\eaglep3\Utilities\DownloadLogsFromS3.py --loco 4052 --day 2017-11-16</v>
      </c>
      <c r="AN106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7" t="str">
        <f t="shared" si="44"/>
        <v>https://d0f6bd738d7f1b3e5a7ca70fe4ff75f0.us-east-1.aws.found.io/app/kibana#/discover/Steve-Slow-Train-Analysis-(2080s-and-2083s)?_g=(refreshInterval:(display:Off,pause:!f,section:0,value:0),time:(from:'2017-11-16T14:10:23-0700',mode:absolute,to:'2017-11-16T16:51:30-0700'))&amp;_a=(columns:!('Message%20ID',Summary),filters:!(),index:'emp_*',interval:auto,query:(query_string:(analyze_wildcard:!t,query:'%22rtdc.l.rtdc.4052%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821</v>
      </c>
      <c r="B107" s="7">
        <v>4051</v>
      </c>
      <c r="C107" s="21" t="s">
        <v>192</v>
      </c>
      <c r="D107" s="21" t="s">
        <v>609</v>
      </c>
      <c r="E107" s="13">
        <v>43055.66978009259</v>
      </c>
      <c r="F107" s="13">
        <v>43055.675196759257</v>
      </c>
      <c r="G107" s="7">
        <v>45</v>
      </c>
      <c r="H107" s="21" t="s">
        <v>910</v>
      </c>
      <c r="I107" s="13">
        <v>43055.70113425926</v>
      </c>
      <c r="J107" s="7">
        <v>0</v>
      </c>
      <c r="K107" s="89" t="str">
        <f t="shared" si="31"/>
        <v>4051/4052</v>
      </c>
      <c r="L107" s="184" t="str">
        <f>VLOOKUP(A107,'Trips&amp;Operators'!$C$1:$G$99911,5,FALSE)</f>
        <v>LEVIN SCOTT</v>
      </c>
      <c r="M107" s="6">
        <f t="shared" si="32"/>
        <v>2.5937500002328306E-2</v>
      </c>
      <c r="N107" s="7">
        <f t="shared" si="51"/>
        <v>37.350000003352761</v>
      </c>
      <c r="O107" s="7"/>
      <c r="P107" s="7"/>
      <c r="Q107" s="22"/>
      <c r="R107" s="173"/>
      <c r="S107" s="220">
        <f t="shared" si="52"/>
        <v>1</v>
      </c>
      <c r="T107" s="173" t="str">
        <f t="shared" si="33"/>
        <v>Southbound</v>
      </c>
      <c r="U107" s="19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5" t="str">
        <f t="shared" si="34"/>
        <v>https://d0f6bd738d7f1b3e5a7ca70fe4ff75f0.us-east-1.aws.found.io/app/kibana#/discover/Steve-Slow-Train-Analysis-(2080s-and-2083s)?_g=(refreshInterval:(display:Off,pause:!f,section:0,value:0),time:(from:'2017-11-16T15:04:29-0700',mode:absolute,to:'2017-11-16T17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7" s="203" t="str">
        <f>IF(AA107&lt;VLOOKUP(AG107,Variables!$AC$3:$AD$8,2,FALSE),"Y","N")</f>
        <v>N</v>
      </c>
      <c r="X107" s="203">
        <f t="shared" si="55"/>
        <v>1</v>
      </c>
      <c r="Y107" s="203">
        <f t="shared" si="53"/>
        <v>23.296299999999999</v>
      </c>
      <c r="Z107" s="203">
        <f t="shared" si="54"/>
        <v>2.0500000000000001E-2</v>
      </c>
      <c r="AA107" s="203">
        <f t="shared" si="35"/>
        <v>23.2758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8">
        <f t="shared" si="36"/>
        <v>194</v>
      </c>
      <c r="AE107" s="77" t="str">
        <f t="shared" si="37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107" s="74" t="str">
        <f t="shared" si="38"/>
        <v>"C:\Program Files (x86)\AstroGrep\AstroGrep.exe" /e /r /s /spath="%USERPROFILE%\AppData\Local\Temp\OnboardLogs" /stypes="app*4051*20171116*" /stext=" 23:.+((SYSTEM_STATE.+slice.+state.+changed )|(ment ac)|(multiple cpu faults)|(system.+state.+changed )|(\[timeout)|(PRM\|1\|D)|(kpr)|(kdp)|(train st.+moving)|(\|lc)|(penalty))"</v>
      </c>
      <c r="AG107" s="181" t="str">
        <f t="shared" si="39"/>
        <v>EC</v>
      </c>
      <c r="AH107" s="78" t="str">
        <f t="shared" si="40"/>
        <v>"%USERPROFILE%\Documents\GitHub\eaglep3\Utilities\RefineRTDCRunTimes.py" --tripid 194-16 --locoid 4051 --swversion DE.1.0.9.0 --startMP 204:232963 --initTime 2017-11-16T16:04:29 --startdatetime 2017-11-16T16:12:17 --delay 45 --endMP 204:205 --enddatetime 2017-11-16T16:49:38 --enforcementcount 0 &gt;&gt;%USERPROFILE%\Documents\GitHub\eaglep3-reporting\EC\2017-11-16-refined-times.txt</v>
      </c>
      <c r="AI107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{"issue":{"subject":"","project_id":79,"tracker_id":40,"status_id":1,"priority_id":2,"assigned_to_id":338,"start_date":"2017-11-16","description":"","custom_fields":[{"id":1,"name":"Subdivision","value":"EC"},{"id":4,"name":"Milepost","value":"0.0205"},{"id":17,"name":"Train ID","value":"194-16"},{"id":16,"name":"Locomotive ID","value":"4051"},{"id":130,"name":"Impact","value":""},{"id":150,"name":"Time of Event (Mountain Time)","value":"16:49:38"},{"id":151,"name":"Denver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1" t="str">
        <f t="shared" si="42"/>
        <v>start /low /b %USERPROFILE%\Documents\GitHub\eaglep3\Utilities\DownloadLogsFromS3.py --loco 4051 --day 2017-11-16</v>
      </c>
      <c r="AN107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7" t="str">
        <f t="shared" si="44"/>
        <v>https://d0f6bd738d7f1b3e5a7ca70fe4ff75f0.us-east-1.aws.found.io/app/kibana#/discover/Steve-Slow-Train-Analysis-(2080s-and-2083s)?_g=(refreshInterval:(display:Off,pause:!f,section:0,value:0),time:(from:'2017-11-16T15:04:29-0700',mode:absolute,to:'2017-11-16T17:49:38-0700'))&amp;_a=(columns:!('Message%20ID',Summary),filters:!(),index:'emp_*',interval:auto,query:(query_string:(analyze_wildcard:!t,query:'%22rtdc.l.rtdc.4051%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814</v>
      </c>
      <c r="B108" s="7">
        <v>4002</v>
      </c>
      <c r="C108" s="21" t="s">
        <v>192</v>
      </c>
      <c r="D108" s="21" t="s">
        <v>446</v>
      </c>
      <c r="E108" s="13">
        <v>43055.64166666667</v>
      </c>
      <c r="F108" s="13">
        <v>43055.646157407406</v>
      </c>
      <c r="G108" s="7">
        <v>58</v>
      </c>
      <c r="H108" s="21" t="s">
        <v>957</v>
      </c>
      <c r="I108" s="13">
        <v>43055.671134259261</v>
      </c>
      <c r="J108" s="7">
        <v>0</v>
      </c>
      <c r="K108" s="89" t="str">
        <f t="shared" si="31"/>
        <v>4001/4002</v>
      </c>
      <c r="L108" s="184" t="str">
        <f>VLOOKUP(A108,'Trips&amp;Operators'!$C$1:$G$99911,5,FALSE)</f>
        <v>BERLING GARY</v>
      </c>
      <c r="M108" s="6">
        <f t="shared" si="32"/>
        <v>2.4976851855171844E-2</v>
      </c>
      <c r="N108" s="7">
        <f t="shared" si="51"/>
        <v>35.966666671447456</v>
      </c>
      <c r="O108" s="7"/>
      <c r="P108" s="7"/>
      <c r="Q108" s="22"/>
      <c r="R108" s="173"/>
      <c r="S108" s="220">
        <f t="shared" si="52"/>
        <v>1</v>
      </c>
      <c r="T108" s="173" t="str">
        <f t="shared" si="33"/>
        <v>NorthBound</v>
      </c>
      <c r="U108" s="19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5" t="str">
        <f t="shared" si="34"/>
        <v>https://d0f6bd738d7f1b3e5a7ca70fe4ff75f0.us-east-1.aws.found.io/app/kibana#/discover/Steve-Slow-Train-Analysis-(2080s-and-2083s)?_g=(refreshInterval:(display:Off,pause:!f,section:0,value:0),time:(from:'2017-11-16T14:24:00-0700',mode:absolute,to:'2017-11-16T17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203" t="str">
        <f>IF(AA108&lt;VLOOKUP(AG108,Variables!$AC$3:$AD$8,2,FALSE),"Y","N")</f>
        <v>N</v>
      </c>
      <c r="X108" s="203">
        <f t="shared" si="55"/>
        <v>1</v>
      </c>
      <c r="Y108" s="203">
        <f t="shared" si="53"/>
        <v>5.0599999999999999E-2</v>
      </c>
      <c r="Z108" s="203">
        <f t="shared" si="54"/>
        <v>23.325900000000001</v>
      </c>
      <c r="AA108" s="203">
        <f t="shared" si="35"/>
        <v>23.275300000000001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8">
        <f t="shared" si="36"/>
        <v>195</v>
      </c>
      <c r="AE108" s="77" t="str">
        <f t="shared" si="3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108" s="74" t="str">
        <f t="shared" si="38"/>
        <v>"C:\Program Files (x86)\AstroGrep\AstroGrep.exe" /e /r /s /spath="%USERPROFILE%\AppData\Local\Temp\OnboardLogs" /stypes="app*4002*20171116*" /stext=" 23:.+((SYSTEM_STATE.+slice.+state.+changed )|(ment ac)|(multiple cpu faults)|(system.+state.+changed )|(\[timeout)|(PRM\|1\|D)|(kpr)|(kdp)|(train st.+moving)|(\|lc)|(penalty))"</v>
      </c>
      <c r="AG108" s="181" t="str">
        <f t="shared" si="39"/>
        <v>EC</v>
      </c>
      <c r="AH108" s="78" t="str">
        <f t="shared" si="40"/>
        <v>"%USERPROFILE%\Documents\GitHub\eaglep3\Utilities\RefineRTDCRunTimes.py" --tripid 195-16 --locoid 4002 --swversion DE.1.0.9.0 --startMP 204:506 --initTime 2017-11-16T15:24:00 --startdatetime 2017-11-16T15:30:28 --delay 58 --endMP 204:233259 --enddatetime 2017-11-16T16:06:26 --enforcementcount 0 &gt;&gt;%USERPROFILE%\Documents\GitHub\eaglep3-reporting\EC\2017-11-16-refined-times.txt</v>
      </c>
      <c r="AI10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{"issue":{"subject":"","project_id":79,"tracker_id":40,"status_id":1,"priority_id":2,"assigned_to_id":338,"start_date":"2017-11-16","description":"","custom_fields":[{"id":1,"name":"Subdivision","value":"EC"},{"id":4,"name":"Milepost","value":"23.3259"},{"id":17,"name":"Train ID","value":"195-16"},{"id":16,"name":"Locomotive ID","value":"4002"},{"id":130,"name":"Impact","value":""},{"id":150,"name":"Time of Event (Mountain Time)","value":"16:06:26"},{"id":151,"name":"Denver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1" t="str">
        <f t="shared" si="42"/>
        <v>start /low /b %USERPROFILE%\Documents\GitHub\eaglep3\Utilities\DownloadLogsFromS3.py --loco 4002 --day 2017-11-16</v>
      </c>
      <c r="AN108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7" t="str">
        <f t="shared" si="44"/>
        <v>https://d0f6bd738d7f1b3e5a7ca70fe4ff75f0.us-east-1.aws.found.io/app/kibana#/discover/Steve-Slow-Train-Analysis-(2080s-and-2083s)?_g=(refreshInterval:(display:Off,pause:!f,section:0,value:0),time:(from:'2017-11-16T14:24:00-0700',mode:absolute,to:'2017-11-16T17:06:26-0700'))&amp;_a=(columns:!('Message%20ID',Summary),filters:!(),index:'emp_*',interval:auto,query:(query_string:(analyze_wildcard:!t,query:'%22rtdc.l.rtdc.4002%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823</v>
      </c>
      <c r="B109" s="7">
        <v>4001</v>
      </c>
      <c r="C109" s="21" t="s">
        <v>192</v>
      </c>
      <c r="D109" s="21" t="s">
        <v>900</v>
      </c>
      <c r="E109" s="13">
        <v>43055.681076388886</v>
      </c>
      <c r="F109" s="13">
        <v>43055.685578703706</v>
      </c>
      <c r="G109" s="7">
        <v>104</v>
      </c>
      <c r="H109" s="21" t="s">
        <v>910</v>
      </c>
      <c r="I109" s="13">
        <v>43055.712939814817</v>
      </c>
      <c r="J109" s="7">
        <v>0</v>
      </c>
      <c r="K109" s="89" t="str">
        <f t="shared" si="31"/>
        <v>4001/4002</v>
      </c>
      <c r="L109" s="184" t="str">
        <f>VLOOKUP(A109,'Trips&amp;Operators'!$C$1:$G$99911,5,FALSE)</f>
        <v>BERLING GARY</v>
      </c>
      <c r="M109" s="6">
        <f t="shared" si="32"/>
        <v>2.73611111115315E-2</v>
      </c>
      <c r="N109" s="7">
        <f t="shared" si="51"/>
        <v>39.40000000060536</v>
      </c>
      <c r="O109" s="7"/>
      <c r="P109" s="7"/>
      <c r="Q109" s="22"/>
      <c r="R109" s="173"/>
      <c r="S109" s="220">
        <f t="shared" si="52"/>
        <v>1</v>
      </c>
      <c r="T109" s="173" t="str">
        <f t="shared" si="33"/>
        <v>Southbound</v>
      </c>
      <c r="U109" s="19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5" t="str">
        <f t="shared" si="34"/>
        <v>https://d0f6bd738d7f1b3e5a7ca70fe4ff75f0.us-east-1.aws.found.io/app/kibana#/discover/Steve-Slow-Train-Analysis-(2080s-and-2083s)?_g=(refreshInterval:(display:Off,pause:!f,section:0,value:0),time:(from:'2017-11-16T15:20:45-0700',mode:absolute,to:'2017-11-16T18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203" t="str">
        <f>IF(AA109&lt;VLOOKUP(AG109,Variables!$AC$3:$AD$8,2,FALSE),"Y","N")</f>
        <v>N</v>
      </c>
      <c r="X109" s="203">
        <f t="shared" si="55"/>
        <v>1</v>
      </c>
      <c r="Y109" s="203">
        <f t="shared" si="53"/>
        <v>23.2942</v>
      </c>
      <c r="Z109" s="203">
        <f t="shared" si="54"/>
        <v>2.0500000000000001E-2</v>
      </c>
      <c r="AA109" s="203">
        <f t="shared" si="35"/>
        <v>23.273700000000002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8">
        <f t="shared" si="36"/>
        <v>196</v>
      </c>
      <c r="AE109" s="77" t="str">
        <f t="shared" si="3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109" s="74" t="str">
        <f t="shared" si="38"/>
        <v>"C:\Program Files (x86)\AstroGrep\AstroGrep.exe" /e /r /s /spath="%USERPROFILE%\AppData\Local\Temp\OnboardLogs" /stypes="app*4001*20171117*" /stext=" 00:.+((SYSTEM_STATE.+slice.+state.+changed )|(ment ac)|(multiple cpu faults)|(system.+state.+changed )|(\[timeout)|(PRM\|1\|D)|(kpr)|(kdp)|(train st.+moving)|(\|lc)|(penalty))"</v>
      </c>
      <c r="AG109" s="181" t="str">
        <f t="shared" si="39"/>
        <v>EC</v>
      </c>
      <c r="AH109" s="78" t="str">
        <f t="shared" si="40"/>
        <v>"%USERPROFILE%\Documents\GitHub\eaglep3\Utilities\RefineRTDCRunTimes.py" --tripid 196-16 --locoid 4001 --swversion DE.1.0.9.0 --startMP 204:232942 --initTime 2017-11-16T16:20:45 --startdatetime 2017-11-16T16:27:14 --delay 104 --endMP 204:205 --enddatetime 2017-11-16T17:06:38 --enforcementcount 0 &gt;&gt;%USERPROFILE%\Documents\GitHub\eaglep3-reporting\EC\2017-11-16-refined-times.txt</v>
      </c>
      <c r="AI10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{"issue":{"subject":"","project_id":79,"tracker_id":40,"status_id":1,"priority_id":2,"assigned_to_id":338,"start_date":"2017-11-16","description":"","custom_fields":[{"id":1,"name":"Subdivision","value":"EC"},{"id":4,"name":"Milepost","value":"0.0205"},{"id":17,"name":"Train ID","value":"196-16"},{"id":16,"name":"Locomotive ID","value":"4001"},{"id":130,"name":"Impact","value":""},{"id":150,"name":"Time of Event (Mountain Time)","value":"17:06:38"},{"id":151,"name":"Denver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1" t="str">
        <f t="shared" si="42"/>
        <v>start /low /b %USERPROFILE%\Documents\GitHub\eaglep3\Utilities\DownloadLogsFromS3.py --loco 4001 --day 2017-11-16</v>
      </c>
      <c r="AN109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7" t="str">
        <f t="shared" si="44"/>
        <v>https://d0f6bd738d7f1b3e5a7ca70fe4ff75f0.us-east-1.aws.found.io/app/kibana#/discover/Steve-Slow-Train-Analysis-(2080s-and-2083s)?_g=(refreshInterval:(display:Off,pause:!f,section:0,value:0),time:(from:'2017-11-16T15:20:45-0700',mode:absolute,to:'2017-11-16T18:06:38-0700'))&amp;_a=(columns:!('Message%20ID',Summary),filters:!(),index:'emp_*',interval:auto,query:(query_string:(analyze_wildcard:!t,query:'%22rtdc.l.rtdc.4001%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817</v>
      </c>
      <c r="B110" s="7">
        <v>4062</v>
      </c>
      <c r="C110" s="21" t="s">
        <v>192</v>
      </c>
      <c r="D110" s="21" t="s">
        <v>605</v>
      </c>
      <c r="E110" s="13">
        <v>43055.651620370372</v>
      </c>
      <c r="F110" s="13">
        <v>43055.656782407408</v>
      </c>
      <c r="G110" s="7">
        <v>52</v>
      </c>
      <c r="H110" s="21" t="s">
        <v>958</v>
      </c>
      <c r="I110" s="13">
        <v>43055.683368055557</v>
      </c>
      <c r="J110" s="7">
        <v>0</v>
      </c>
      <c r="K110" s="89" t="str">
        <f t="shared" si="31"/>
        <v>4061/4062</v>
      </c>
      <c r="L110" s="184" t="str">
        <f>VLOOKUP(A110,'Trips&amp;Operators'!$C$1:$G$99911,5,FALSE)</f>
        <v>LEVERE CRAIG</v>
      </c>
      <c r="M110" s="6">
        <f t="shared" si="32"/>
        <v>2.658564814919373E-2</v>
      </c>
      <c r="N110" s="7">
        <f t="shared" si="51"/>
        <v>38.283333334838971</v>
      </c>
      <c r="O110" s="7"/>
      <c r="P110" s="7"/>
      <c r="Q110" s="22"/>
      <c r="R110" s="173"/>
      <c r="S110" s="220">
        <f t="shared" si="52"/>
        <v>1</v>
      </c>
      <c r="T110" s="173" t="str">
        <f t="shared" si="33"/>
        <v>NorthBound</v>
      </c>
      <c r="U110" s="19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5" t="str">
        <f t="shared" si="34"/>
        <v>https://d0f6bd738d7f1b3e5a7ca70fe4ff75f0.us-east-1.aws.found.io/app/kibana#/discover/Steve-Slow-Train-Analysis-(2080s-and-2083s)?_g=(refreshInterval:(display:Off,pause:!f,section:0,value:0),time:(from:'2017-11-16T14:38:20-0700',mode:absolute,to:'2017-11-16T17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0" s="203" t="str">
        <f>IF(AA110&lt;VLOOKUP(AG110,Variables!$AC$3:$AD$8,2,FALSE),"Y","N")</f>
        <v>N</v>
      </c>
      <c r="X110" s="203">
        <f t="shared" si="55"/>
        <v>1</v>
      </c>
      <c r="Y110" s="203">
        <f t="shared" si="53"/>
        <v>5.6800000000000003E-2</v>
      </c>
      <c r="Z110" s="203">
        <f t="shared" si="54"/>
        <v>23.3216</v>
      </c>
      <c r="AA110" s="203">
        <f t="shared" si="35"/>
        <v>23.264800000000001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8">
        <f t="shared" si="36"/>
        <v>197</v>
      </c>
      <c r="AE110" s="77" t="str">
        <f t="shared" si="37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110" s="74" t="str">
        <f t="shared" si="38"/>
        <v>"C:\Program Files (x86)\AstroGrep\AstroGrep.exe" /e /r /s /spath="%USERPROFILE%\AppData\Local\Temp\OnboardLogs" /stypes="app*4062*20171116*" /stext=" 23:.+((SYSTEM_STATE.+slice.+state.+changed )|(ment ac)|(multiple cpu faults)|(system.+state.+changed )|(\[timeout)|(PRM\|1\|D)|(kpr)|(kdp)|(train st.+moving)|(\|lc)|(penalty))"</v>
      </c>
      <c r="AG110" s="181" t="str">
        <f t="shared" si="39"/>
        <v>EC</v>
      </c>
      <c r="AH110" s="78" t="str">
        <f t="shared" si="40"/>
        <v>"%USERPROFILE%\Documents\GitHub\eaglep3\Utilities\RefineRTDCRunTimes.py" --tripid 197-16 --locoid 4062 --swversion DE.1.0.9.0 --startMP 204:568 --initTime 2017-11-16T15:38:20 --startdatetime 2017-11-16T15:45:46 --delay 52 --endMP 204:233216 --enddatetime 2017-11-16T16:24:03 --enforcementcount 0 &gt;&gt;%USERPROFILE%\Documents\GitHub\eaglep3-reporting\EC\2017-11-16-refined-times.txt</v>
      </c>
      <c r="AI11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{"issue":{"subject":"","project_id":79,"tracker_id":40,"status_id":1,"priority_id":2,"assigned_to_id":338,"start_date":"2017-11-16","description":"","custom_fields":[{"id":1,"name":"Subdivision","value":"EC"},{"id":4,"name":"Milepost","value":"23.3216"},{"id":17,"name":"Train ID","value":"197-16"},{"id":16,"name":"Locomotive ID","value":"4062"},{"id":130,"name":"Impact","value":""},{"id":150,"name":"Time of Event (Mountain Time)","value":"16:24:03"},{"id":151,"name":"Denver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1" t="str">
        <f t="shared" si="42"/>
        <v>start /low /b %USERPROFILE%\Documents\GitHub\eaglep3\Utilities\DownloadLogsFromS3.py --loco 4062 --day 2017-11-16</v>
      </c>
      <c r="AN110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7" t="str">
        <f t="shared" si="44"/>
        <v>https://d0f6bd738d7f1b3e5a7ca70fe4ff75f0.us-east-1.aws.found.io/app/kibana#/discover/Steve-Slow-Train-Analysis-(2080s-and-2083s)?_g=(refreshInterval:(display:Off,pause:!f,section:0,value:0),time:(from:'2017-11-16T14:38:20-0700',mode:absolute,to:'2017-11-16T17:24:03-0700'))&amp;_a=(columns:!('Message%20ID',Summary),filters:!(),index:'emp_*',interval:auto,query:(query_string:(analyze_wildcard:!t,query:'%22rtdc.l.rtdc.4062%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827</v>
      </c>
      <c r="B111" s="7">
        <v>4061</v>
      </c>
      <c r="C111" s="21" t="s">
        <v>192</v>
      </c>
      <c r="D111" s="21" t="s">
        <v>612</v>
      </c>
      <c r="E111" s="13">
        <v>43055.69158564815</v>
      </c>
      <c r="F111" s="13">
        <v>43055.69604166667</v>
      </c>
      <c r="G111" s="7">
        <v>56</v>
      </c>
      <c r="H111" s="21" t="s">
        <v>491</v>
      </c>
      <c r="I111" s="13">
        <v>43055.722754629627</v>
      </c>
      <c r="J111" s="7">
        <v>0</v>
      </c>
      <c r="K111" s="89" t="str">
        <f t="shared" si="31"/>
        <v>4061/4062</v>
      </c>
      <c r="L111" s="184" t="str">
        <f>VLOOKUP(A111,'Trips&amp;Operators'!$C$1:$G$99911,5,FALSE)</f>
        <v>LEVERE CRAIG</v>
      </c>
      <c r="M111" s="6">
        <f t="shared" si="32"/>
        <v>2.6712962957390118E-2</v>
      </c>
      <c r="N111" s="7">
        <f t="shared" si="51"/>
        <v>38.46666665864177</v>
      </c>
      <c r="O111" s="7"/>
      <c r="P111" s="7"/>
      <c r="Q111" s="22"/>
      <c r="R111" s="173"/>
      <c r="S111" s="220">
        <f t="shared" si="52"/>
        <v>1</v>
      </c>
      <c r="T111" s="173" t="str">
        <f t="shared" si="33"/>
        <v>Southbound</v>
      </c>
      <c r="U111" s="19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5" t="str">
        <f t="shared" si="34"/>
        <v>https://d0f6bd738d7f1b3e5a7ca70fe4ff75f0.us-east-1.aws.found.io/app/kibana#/discover/Steve-Slow-Train-Analysis-(2080s-and-2083s)?_g=(refreshInterval:(display:Off,pause:!f,section:0,value:0),time:(from:'2017-11-16T15:35:53-0700',mode:absolute,to:'2017-11-16T18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1" s="203" t="str">
        <f>IF(AA111&lt;VLOOKUP(AG111,Variables!$AC$3:$AD$8,2,FALSE),"Y","N")</f>
        <v>N</v>
      </c>
      <c r="X111" s="203">
        <f t="shared" si="55"/>
        <v>1</v>
      </c>
      <c r="Y111" s="203">
        <f t="shared" si="53"/>
        <v>23.288799999999998</v>
      </c>
      <c r="Z111" s="203">
        <f t="shared" si="54"/>
        <v>2.3199999999999998E-2</v>
      </c>
      <c r="AA111" s="203">
        <f t="shared" si="35"/>
        <v>23.265599999999999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8">
        <f t="shared" si="36"/>
        <v>198</v>
      </c>
      <c r="AE111" s="77" t="str">
        <f t="shared" si="37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111" s="74" t="str">
        <f t="shared" si="38"/>
        <v>"C:\Program Files (x86)\AstroGrep\AstroGrep.exe" /e /r /s /spath="%USERPROFILE%\AppData\Local\Temp\OnboardLogs" /stypes="app*4061*20171117*" /stext=" 00:.+((SYSTEM_STATE.+slice.+state.+changed )|(ment ac)|(multiple cpu faults)|(system.+state.+changed )|(\[timeout)|(PRM\|1\|D)|(kpr)|(kdp)|(train st.+moving)|(\|lc)|(penalty))"</v>
      </c>
      <c r="AG111" s="181" t="str">
        <f t="shared" si="39"/>
        <v>EC</v>
      </c>
      <c r="AH111" s="78" t="str">
        <f t="shared" si="40"/>
        <v>"%USERPROFILE%\Documents\GitHub\eaglep3\Utilities\RefineRTDCRunTimes.py" --tripid 198-16 --locoid 4061 --swversion DE.1.0.9.0 --startMP 204:232888 --initTime 2017-11-16T16:35:53 --startdatetime 2017-11-16T16:42:18 --delay 56 --endMP 204:232 --enddatetime 2017-11-16T17:20:46 --enforcementcount 0 &gt;&gt;%USERPROFILE%\Documents\GitHub\eaglep3-reporting\EC\2017-11-16-refined-times.txt</v>
      </c>
      <c r="AI111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{"issue":{"subject":"","project_id":79,"tracker_id":40,"status_id":1,"priority_id":2,"assigned_to_id":338,"start_date":"2017-11-16","description":"","custom_fields":[{"id":1,"name":"Subdivision","value":"EC"},{"id":4,"name":"Milepost","value":"0.0232"},{"id":17,"name":"Train ID","value":"198-16"},{"id":16,"name":"Locomotive ID","value":"4061"},{"id":130,"name":"Impact","value":""},{"id":150,"name":"Time of Event (Mountain Time)","value":"17:20:46"},{"id":151,"name":"Denver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1" t="str">
        <f t="shared" si="42"/>
        <v>start /low /b %USERPROFILE%\Documents\GitHub\eaglep3\Utilities\DownloadLogsFromS3.py --loco 4061 --day 2017-11-16</v>
      </c>
      <c r="AN111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7" t="str">
        <f t="shared" si="44"/>
        <v>https://d0f6bd738d7f1b3e5a7ca70fe4ff75f0.us-east-1.aws.found.io/app/kibana#/discover/Steve-Slow-Train-Analysis-(2080s-and-2083s)?_g=(refreshInterval:(display:Off,pause:!f,section:0,value:0),time:(from:'2017-11-16T15:35:53-0700',mode:absolute,to:'2017-11-16T18:20:46-0700'))&amp;_a=(columns:!('Message%20ID',Summary),filters:!(),index:'emp_*',interval:auto,query:(query_string:(analyze_wildcard:!t,query:'%22rtdc.l.rtdc.4061%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818</v>
      </c>
      <c r="B112" s="7">
        <v>4008</v>
      </c>
      <c r="C112" s="21" t="s">
        <v>192</v>
      </c>
      <c r="D112" s="21" t="s">
        <v>454</v>
      </c>
      <c r="E112" s="13">
        <v>43055.661365740743</v>
      </c>
      <c r="F112" s="13">
        <v>43055.66684027778</v>
      </c>
      <c r="G112" s="7">
        <v>68</v>
      </c>
      <c r="H112" s="21" t="s">
        <v>495</v>
      </c>
      <c r="I112" s="13">
        <v>43055.69253472222</v>
      </c>
      <c r="J112" s="7">
        <v>0</v>
      </c>
      <c r="K112" s="89" t="str">
        <f t="shared" si="31"/>
        <v>4007/4008</v>
      </c>
      <c r="L112" s="184" t="str">
        <f>VLOOKUP(A112,'Trips&amp;Operators'!$C$1:$G$99911,5,FALSE)</f>
        <v>BADERTSCHER DIANE</v>
      </c>
      <c r="M112" s="6">
        <f t="shared" si="32"/>
        <v>2.569444444088731E-2</v>
      </c>
      <c r="N112" s="7">
        <f t="shared" si="51"/>
        <v>36.999999994877726</v>
      </c>
      <c r="O112" s="7"/>
      <c r="P112" s="7"/>
      <c r="Q112" s="22"/>
      <c r="R112" s="173"/>
      <c r="S112" s="220">
        <f t="shared" si="52"/>
        <v>1</v>
      </c>
      <c r="T112" s="173" t="str">
        <f t="shared" si="33"/>
        <v>NorthBound</v>
      </c>
      <c r="U112" s="19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5" t="str">
        <f t="shared" si="34"/>
        <v>https://d0f6bd738d7f1b3e5a7ca70fe4ff75f0.us-east-1.aws.found.io/app/kibana#/discover/Steve-Slow-Train-Analysis-(2080s-and-2083s)?_g=(refreshInterval:(display:Off,pause:!f,section:0,value:0),time:(from:'2017-11-16T14:52:22-0700',mode:absolute,to:'2017-11-16T17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203" t="str">
        <f>IF(AA112&lt;VLOOKUP(AG112,Variables!$AC$3:$AD$8,2,FALSE),"Y","N")</f>
        <v>N</v>
      </c>
      <c r="X112" s="203">
        <f t="shared" si="55"/>
        <v>1</v>
      </c>
      <c r="Y112" s="203">
        <f t="shared" si="53"/>
        <v>5.0900000000000001E-2</v>
      </c>
      <c r="Z112" s="203">
        <f t="shared" si="54"/>
        <v>23.325099999999999</v>
      </c>
      <c r="AA112" s="203">
        <f t="shared" si="35"/>
        <v>23.2742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8">
        <f t="shared" si="36"/>
        <v>199</v>
      </c>
      <c r="AE112" s="77" t="str">
        <f t="shared" si="3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112" s="74" t="str">
        <f t="shared" si="38"/>
        <v>"C:\Program Files (x86)\AstroGrep\AstroGrep.exe" /e /r /s /spath="%USERPROFILE%\AppData\Local\Temp\OnboardLogs" /stypes="app*4008*20171116*" /stext=" 23:.+((SYSTEM_STATE.+slice.+state.+changed )|(ment ac)|(multiple cpu faults)|(system.+state.+changed )|(\[timeout)|(PRM\|1\|D)|(kpr)|(kdp)|(train st.+moving)|(\|lc)|(penalty))"</v>
      </c>
      <c r="AG112" s="181" t="str">
        <f t="shared" si="39"/>
        <v>EC</v>
      </c>
      <c r="AH112" s="78" t="str">
        <f t="shared" si="40"/>
        <v>"%USERPROFILE%\Documents\GitHub\eaglep3\Utilities\RefineRTDCRunTimes.py" --tripid 199-16 --locoid 4008 --swversion DE.1.0.9.0 --startMP 204:509 --initTime 2017-11-16T15:52:22 --startdatetime 2017-11-16T16:00:15 --delay 68 --endMP 204:233251 --enddatetime 2017-11-16T16:37:15 --enforcementcount 0 &gt;&gt;%USERPROFILE%\Documents\GitHub\eaglep3-reporting\EC\2017-11-16-refined-times.txt</v>
      </c>
      <c r="AI112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{"issue":{"subject":"","project_id":79,"tracker_id":40,"status_id":1,"priority_id":2,"assigned_to_id":338,"start_date":"2017-11-16","description":"","custom_fields":[{"id":1,"name":"Subdivision","value":"EC"},{"id":4,"name":"Milepost","value":"23.3251"},{"id":17,"name":"Train ID","value":"199-16"},{"id":16,"name":"Locomotive ID","value":"4008"},{"id":130,"name":"Impact","value":""},{"id":150,"name":"Time of Event (Mountain Time)","value":"16:37:15"},{"id":151,"name":"Denver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1" t="str">
        <f t="shared" si="42"/>
        <v>start /low /b %USERPROFILE%\Documents\GitHub\eaglep3\Utilities\DownloadLogsFromS3.py --loco 4008 --day 2017-11-16</v>
      </c>
      <c r="AN112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7" t="str">
        <f t="shared" si="44"/>
        <v>https://d0f6bd738d7f1b3e5a7ca70fe4ff75f0.us-east-1.aws.found.io/app/kibana#/discover/Steve-Slow-Train-Analysis-(2080s-and-2083s)?_g=(refreshInterval:(display:Off,pause:!f,section:0,value:0),time:(from:'2017-11-16T14:52:22-0700',mode:absolute,to:'2017-11-16T17:37:15-0700'))&amp;_a=(columns:!('Message%20ID',Summary),filters:!(),index:'emp_*',interval:auto,query:(query_string:(analyze_wildcard:!t,query:'%22rtdc.l.rtdc.4008%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829</v>
      </c>
      <c r="B113" s="7">
        <v>4007</v>
      </c>
      <c r="C113" s="21" t="s">
        <v>192</v>
      </c>
      <c r="D113" s="21" t="s">
        <v>959</v>
      </c>
      <c r="E113" s="13">
        <v>43055.700925925928</v>
      </c>
      <c r="F113" s="13">
        <v>43055.706550925926</v>
      </c>
      <c r="G113" s="7">
        <v>83</v>
      </c>
      <c r="H113" s="21" t="s">
        <v>625</v>
      </c>
      <c r="I113" s="13">
        <v>43055.734699074077</v>
      </c>
      <c r="J113" s="7">
        <v>0</v>
      </c>
      <c r="K113" s="89" t="str">
        <f t="shared" si="31"/>
        <v>4007/4008</v>
      </c>
      <c r="L113" s="184" t="str">
        <f>VLOOKUP(A113,'Trips&amp;Operators'!$C$1:$G$99911,5,FALSE)</f>
        <v>BADERTSCHER DIANE</v>
      </c>
      <c r="M113" s="6">
        <f t="shared" si="32"/>
        <v>2.8148148150648922E-2</v>
      </c>
      <c r="N113" s="7">
        <f t="shared" si="51"/>
        <v>40.533333336934447</v>
      </c>
      <c r="O113" s="7"/>
      <c r="P113" s="7"/>
      <c r="Q113" s="22"/>
      <c r="R113" s="173"/>
      <c r="S113" s="220">
        <f t="shared" si="52"/>
        <v>1</v>
      </c>
      <c r="T113" s="173" t="str">
        <f t="shared" si="33"/>
        <v>Southbound</v>
      </c>
      <c r="U113" s="19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5" t="str">
        <f t="shared" si="34"/>
        <v>https://d0f6bd738d7f1b3e5a7ca70fe4ff75f0.us-east-1.aws.found.io/app/kibana#/discover/Steve-Slow-Train-Analysis-(2080s-and-2083s)?_g=(refreshInterval:(display:Off,pause:!f,section:0,value:0),time:(from:'2017-11-16T15:49:20-0700',mode:absolute,to:'2017-11-16T18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203" t="str">
        <f>IF(AA113&lt;VLOOKUP(AG113,Variables!$AC$3:$AD$8,2,FALSE),"Y","N")</f>
        <v>N</v>
      </c>
      <c r="X113" s="203">
        <f t="shared" si="55"/>
        <v>1</v>
      </c>
      <c r="Y113" s="203">
        <f t="shared" si="53"/>
        <v>23.294899999999998</v>
      </c>
      <c r="Z113" s="203">
        <f t="shared" si="54"/>
        <v>2.3400000000000001E-2</v>
      </c>
      <c r="AA113" s="203">
        <f t="shared" si="35"/>
        <v>23.2715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8">
        <f t="shared" si="36"/>
        <v>200</v>
      </c>
      <c r="AE113" s="77" t="str">
        <f t="shared" si="37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113" s="74" t="str">
        <f t="shared" si="38"/>
        <v>"C:\Program Files (x86)\AstroGrep\AstroGrep.exe" /e /r /s /spath="%USERPROFILE%\AppData\Local\Temp\OnboardLogs" /stypes="app*4007*20171117*" /stext=" 00:.+((SYSTEM_STATE.+slice.+state.+changed )|(ment ac)|(multiple cpu faults)|(system.+state.+changed )|(\[timeout)|(PRM\|1\|D)|(kpr)|(kdp)|(train st.+moving)|(\|lc)|(penalty))"</v>
      </c>
      <c r="AG113" s="181" t="str">
        <f t="shared" si="39"/>
        <v>EC</v>
      </c>
      <c r="AH113" s="78" t="str">
        <f t="shared" si="40"/>
        <v>"%USERPROFILE%\Documents\GitHub\eaglep3\Utilities\RefineRTDCRunTimes.py" --tripid 200-16 --locoid 4007 --swversion DE.1.0.9.0 --startMP 204:232949 --initTime 2017-11-16T16:49:20 --startdatetime 2017-11-16T16:57:26 --delay 83 --endMP 204:234 --enddatetime 2017-11-16T17:37:58 --enforcementcount 0 &gt;&gt;%USERPROFILE%\Documents\GitHub\eaglep3-reporting\EC\2017-11-16-refined-times.txt</v>
      </c>
      <c r="AI113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{"issue":{"subject":"","project_id":79,"tracker_id":40,"status_id":1,"priority_id":2,"assigned_to_id":338,"start_date":"2017-11-16","description":"","custom_fields":[{"id":1,"name":"Subdivision","value":"EC"},{"id":4,"name":"Milepost","value":"0.0234"},{"id":17,"name":"Train ID","value":"200-16"},{"id":16,"name":"Locomotive ID","value":"4007"},{"id":130,"name":"Impact","value":""},{"id":150,"name":"Time of Event (Mountain Time)","value":"17:37:58"},{"id":151,"name":"Denver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1" t="str">
        <f t="shared" si="42"/>
        <v>start /low /b %USERPROFILE%\Documents\GitHub\eaglep3\Utilities\DownloadLogsFromS3.py --loco 4007 --day 2017-11-16</v>
      </c>
      <c r="AN113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7" t="str">
        <f t="shared" si="44"/>
        <v>https://d0f6bd738d7f1b3e5a7ca70fe4ff75f0.us-east-1.aws.found.io/app/kibana#/discover/Steve-Slow-Train-Analysis-(2080s-and-2083s)?_g=(refreshInterval:(display:Off,pause:!f,section:0,value:0),time:(from:'2017-11-16T15:49:20-0700',mode:absolute,to:'2017-11-16T18:37:58-0700'))&amp;_a=(columns:!('Message%20ID',Summary),filters:!(),index:'emp_*',interval:auto,query:(query_string:(analyze_wildcard:!t,query:'%22rtdc.l.rtdc.4007%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822</v>
      </c>
      <c r="B114" s="7">
        <v>4016</v>
      </c>
      <c r="C114" s="21" t="s">
        <v>192</v>
      </c>
      <c r="D114" s="21" t="s">
        <v>960</v>
      </c>
      <c r="E114" s="13">
        <v>43055.673356481479</v>
      </c>
      <c r="F114" s="13">
        <v>43055.677476851852</v>
      </c>
      <c r="G114" s="7">
        <v>57</v>
      </c>
      <c r="H114" s="21" t="s">
        <v>961</v>
      </c>
      <c r="I114" s="13">
        <v>43055.70175925926</v>
      </c>
      <c r="J114" s="7">
        <v>0</v>
      </c>
      <c r="K114" s="89" t="str">
        <f t="shared" si="31"/>
        <v>4015/4016</v>
      </c>
      <c r="L114" s="184" t="str">
        <f>VLOOKUP(A114,'Trips&amp;Operators'!$C$1:$G$99911,5,FALSE)</f>
        <v>HOLCOMB KAMDEN</v>
      </c>
      <c r="M114" s="6">
        <f t="shared" si="32"/>
        <v>2.4282407408463769E-2</v>
      </c>
      <c r="N114" s="7">
        <f t="shared" si="51"/>
        <v>34.966666668187827</v>
      </c>
      <c r="O114" s="7"/>
      <c r="P114" s="7"/>
      <c r="Q114" s="22"/>
      <c r="R114" s="173"/>
      <c r="S114" s="220">
        <f t="shared" si="52"/>
        <v>1</v>
      </c>
      <c r="T114" s="173" t="str">
        <f t="shared" si="33"/>
        <v>NorthBound</v>
      </c>
      <c r="U114" s="19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5" t="str">
        <f t="shared" si="34"/>
        <v>https://d0f6bd738d7f1b3e5a7ca70fe4ff75f0.us-east-1.aws.found.io/app/kibana#/discover/Steve-Slow-Train-Analysis-(2080s-and-2083s)?_g=(refreshInterval:(display:Off,pause:!f,section:0,value:0),time:(from:'2017-11-16T15:09:38-0700',mode:absolute,to:'2017-11-16T17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03" t="str">
        <f>IF(AA114&lt;VLOOKUP(AG114,Variables!$AC$3:$AD$8,2,FALSE),"Y","N")</f>
        <v>N</v>
      </c>
      <c r="X114" s="203">
        <f t="shared" si="55"/>
        <v>1</v>
      </c>
      <c r="Y114" s="203">
        <f t="shared" si="53"/>
        <v>5.7500000000000002E-2</v>
      </c>
      <c r="Z114" s="203">
        <f t="shared" si="54"/>
        <v>23.319900000000001</v>
      </c>
      <c r="AA114" s="203">
        <f t="shared" si="35"/>
        <v>23.2624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8">
        <f t="shared" si="36"/>
        <v>201</v>
      </c>
      <c r="AE114" s="77" t="str">
        <f t="shared" si="37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114" s="74" t="str">
        <f t="shared" si="38"/>
        <v>"C:\Program Files (x86)\AstroGrep\AstroGrep.exe" /e /r /s /spath="%USERPROFILE%\AppData\Local\Temp\OnboardLogs" /stypes="app*4016*20171116*" /stext=" 23:.+((SYSTEM_STATE.+slice.+state.+changed )|(ment ac)|(multiple cpu faults)|(system.+state.+changed )|(\[timeout)|(PRM\|1\|D)|(kpr)|(kdp)|(train st.+moving)|(\|lc)|(penalty))"</v>
      </c>
      <c r="AG114" s="181" t="str">
        <f t="shared" si="39"/>
        <v>EC</v>
      </c>
      <c r="AH114" s="78" t="str">
        <f t="shared" si="40"/>
        <v>"%USERPROFILE%\Documents\GitHub\eaglep3\Utilities\RefineRTDCRunTimes.py" --tripid 201-16 --locoid 4016 --swversion DE.1.0.9.0 --startMP 204:575 --initTime 2017-11-16T16:09:38 --startdatetime 2017-11-16T16:15:34 --delay 57 --endMP 204:233199 --enddatetime 2017-11-16T16:50:32 --enforcementcount 0 &gt;&gt;%USERPROFILE%\Documents\GitHub\eaglep3-reporting\EC\2017-11-16-refined-times.txt</v>
      </c>
      <c r="AI114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{"issue":{"subject":"","project_id":79,"tracker_id":40,"status_id":1,"priority_id":2,"assigned_to_id":338,"start_date":"2017-11-16","description":"","custom_fields":[{"id":1,"name":"Subdivision","value":"EC"},{"id":4,"name":"Milepost","value":"23.3199"},{"id":17,"name":"Train ID","value":"201-16"},{"id":16,"name":"Locomotive ID","value":"4016"},{"id":130,"name":"Impact","value":""},{"id":150,"name":"Time of Event (Mountain Time)","value":"16:50:32"},{"id":151,"name":"Denver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1" t="str">
        <f t="shared" si="42"/>
        <v>start /low /b %USERPROFILE%\Documents\GitHub\eaglep3\Utilities\DownloadLogsFromS3.py --loco 4016 --day 2017-11-16</v>
      </c>
      <c r="AN114" s="150" t="str">
        <f t="shared" si="4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7" t="str">
        <f t="shared" si="44"/>
        <v>https://d0f6bd738d7f1b3e5a7ca70fe4ff75f0.us-east-1.aws.found.io/app/kibana#/discover/Steve-Slow-Train-Analysis-(2080s-and-2083s)?_g=(refreshInterval:(display:Off,pause:!f,section:0,value:0),time:(from:'2017-11-16T15:09:38-0700',mode:absolute,to:'2017-11-16T17:50:32-0700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832</v>
      </c>
      <c r="B115" s="7">
        <v>4015</v>
      </c>
      <c r="C115" s="21" t="s">
        <v>192</v>
      </c>
      <c r="D115" s="21" t="s">
        <v>555</v>
      </c>
      <c r="E115" s="13">
        <v>43055.712592592594</v>
      </c>
      <c r="F115" s="13">
        <v>43055.717083333337</v>
      </c>
      <c r="G115" s="7">
        <v>73</v>
      </c>
      <c r="H115" s="21" t="s">
        <v>625</v>
      </c>
      <c r="I115" s="13">
        <v>43055.742696759262</v>
      </c>
      <c r="J115" s="7">
        <v>0</v>
      </c>
      <c r="K115" s="89" t="str">
        <f t="shared" si="31"/>
        <v>4015/4016</v>
      </c>
      <c r="L115" s="184" t="str">
        <f>VLOOKUP(A115,'Trips&amp;Operators'!$C$1:$G$99911,5,FALSE)</f>
        <v>HOLCOMB KAMDEN</v>
      </c>
      <c r="M115" s="6">
        <f t="shared" si="32"/>
        <v>2.5613425925257616E-2</v>
      </c>
      <c r="N115" s="7">
        <f t="shared" ref="N115:N146" si="56">24*60*SUM($M115:$M115)</f>
        <v>36.883333332370967</v>
      </c>
      <c r="O115" s="7"/>
      <c r="P115" s="7"/>
      <c r="Q115" s="22"/>
      <c r="R115" s="173"/>
      <c r="S115" s="220">
        <f t="shared" ref="S115:S146" si="57">1/IF(AG115="EC",12,1)*SUM(U115:U115)</f>
        <v>1</v>
      </c>
      <c r="T115" s="173" t="str">
        <f t="shared" si="33"/>
        <v>Southbound</v>
      </c>
      <c r="U115" s="19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5" t="str">
        <f t="shared" si="34"/>
        <v>https://d0f6bd738d7f1b3e5a7ca70fe4ff75f0.us-east-1.aws.found.io/app/kibana#/discover/Steve-Slow-Train-Analysis-(2080s-and-2083s)?_g=(refreshInterval:(display:Off,pause:!f,section:0,value:0),time:(from:'2017-11-16T16:06:08-0700',mode:absolute,to:'2017-11-16T18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03" t="str">
        <f>IF(AA115&lt;VLOOKUP(AG115,Variables!$AC$3:$AD$8,2,FALSE),"Y","N")</f>
        <v>N</v>
      </c>
      <c r="X115" s="203">
        <f t="shared" si="55"/>
        <v>1</v>
      </c>
      <c r="Y115" s="203">
        <f t="shared" ref="Y115:Y146" si="58">RIGHT(D115,LEN(D115)-4)/10000</f>
        <v>23.2881</v>
      </c>
      <c r="Z115" s="203">
        <f t="shared" ref="Z115:Z146" si="59">RIGHT(H115,LEN(H115)-4)/10000</f>
        <v>2.3400000000000001E-2</v>
      </c>
      <c r="AA115" s="203">
        <f t="shared" si="35"/>
        <v>23.264700000000001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8">
        <f t="shared" si="36"/>
        <v>202</v>
      </c>
      <c r="AE115" s="77" t="str">
        <f t="shared" si="37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115" s="74" t="str">
        <f t="shared" si="38"/>
        <v>"C:\Program Files (x86)\AstroGrep\AstroGrep.exe" /e /r /s /spath="%USERPROFILE%\AppData\Local\Temp\OnboardLogs" /stypes="app*4015*20171117*" /stext=" 00:.+((SYSTEM_STATE.+slice.+state.+changed )|(ment ac)|(multiple cpu faults)|(system.+state.+changed )|(\[timeout)|(PRM\|1\|D)|(kpr)|(kdp)|(train st.+moving)|(\|lc)|(penalty))"</v>
      </c>
      <c r="AG115" s="181" t="str">
        <f t="shared" si="39"/>
        <v>EC</v>
      </c>
      <c r="AH115" s="78" t="str">
        <f t="shared" si="40"/>
        <v>"%USERPROFILE%\Documents\GitHub\eaglep3\Utilities\RefineRTDCRunTimes.py" --tripid 202-16 --locoid 4015 --swversion DE.1.0.9.0 --startMP 204:232881 --initTime 2017-11-16T17:06:08 --startdatetime 2017-11-16T17:12:36 --delay 73 --endMP 204:234 --enddatetime 2017-11-16T17:49:29 --enforcementcount 0 &gt;&gt;%USERPROFILE%\Documents\GitHub\eaglep3-reporting\EC\2017-11-16-refined-times.txt</v>
      </c>
      <c r="AI115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{"issue":{"subject":"","project_id":79,"tracker_id":40,"status_id":1,"priority_id":2,"assigned_to_id":338,"start_date":"2017-11-16","description":"","custom_fields":[{"id":1,"name":"Subdivision","value":"EC"},{"id":4,"name":"Milepost","value":"0.0234"},{"id":17,"name":"Train ID","value":"202-16"},{"id":16,"name":"Locomotive ID","value":"4015"},{"id":130,"name":"Impact","value":""},{"id":150,"name":"Time of Event (Mountain Time)","value":"17:49:29"},{"id":151,"name":"Denver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1" t="str">
        <f t="shared" si="42"/>
        <v>start /low /b %USERPROFILE%\Documents\GitHub\eaglep3\Utilities\DownloadLogsFromS3.py --loco 4015 --day 2017-11-16</v>
      </c>
      <c r="AN115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7" t="str">
        <f t="shared" si="44"/>
        <v>https://d0f6bd738d7f1b3e5a7ca70fe4ff75f0.us-east-1.aws.found.io/app/kibana#/discover/Steve-Slow-Train-Analysis-(2080s-and-2083s)?_g=(refreshInterval:(display:Off,pause:!f,section:0,value:0),time:(from:'2017-11-16T16:06:08-0700',mode:absolute,to:'2017-11-16T18:49:29-0700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824</v>
      </c>
      <c r="B116" s="7">
        <v>4004</v>
      </c>
      <c r="C116" s="21" t="s">
        <v>192</v>
      </c>
      <c r="D116" s="21" t="s">
        <v>454</v>
      </c>
      <c r="E116" s="13">
        <v>43055.684131944443</v>
      </c>
      <c r="F116" s="13">
        <v>43055.687951388885</v>
      </c>
      <c r="G116" s="7">
        <v>78</v>
      </c>
      <c r="H116" s="21" t="s">
        <v>936</v>
      </c>
      <c r="I116" s="13">
        <v>43055.712361111109</v>
      </c>
      <c r="J116" s="7">
        <v>0</v>
      </c>
      <c r="K116" s="89" t="str">
        <f t="shared" si="31"/>
        <v>4003/4004</v>
      </c>
      <c r="L116" s="184" t="str">
        <f>VLOOKUP(A116,'Trips&amp;Operators'!$C$1:$G$99911,5,FALSE)</f>
        <v>BRUDER RICHARD</v>
      </c>
      <c r="M116" s="6">
        <f t="shared" si="32"/>
        <v>2.4409722223936114E-2</v>
      </c>
      <c r="N116" s="7">
        <f t="shared" si="56"/>
        <v>35.150000002468005</v>
      </c>
      <c r="O116" s="7"/>
      <c r="P116" s="7"/>
      <c r="Q116" s="22"/>
      <c r="R116" s="173"/>
      <c r="S116" s="220">
        <f t="shared" si="57"/>
        <v>1</v>
      </c>
      <c r="T116" s="173" t="str">
        <f t="shared" si="33"/>
        <v>NorthBound</v>
      </c>
      <c r="U116" s="19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5" t="str">
        <f t="shared" si="34"/>
        <v>https://d0f6bd738d7f1b3e5a7ca70fe4ff75f0.us-east-1.aws.found.io/app/kibana#/discover/Steve-Slow-Train-Analysis-(2080s-and-2083s)?_g=(refreshInterval:(display:Off,pause:!f,section:0,value:0),time:(from:'2017-11-16T15:25:09-0700',mode:absolute,to:'2017-11-16T18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203" t="str">
        <f>IF(AA116&lt;VLOOKUP(AG116,Variables!$AC$3:$AD$8,2,FALSE),"Y","N")</f>
        <v>N</v>
      </c>
      <c r="X116" s="203">
        <f t="shared" si="55"/>
        <v>1</v>
      </c>
      <c r="Y116" s="203">
        <f t="shared" si="58"/>
        <v>5.0900000000000001E-2</v>
      </c>
      <c r="Z116" s="203">
        <f t="shared" si="59"/>
        <v>23.322299999999998</v>
      </c>
      <c r="AA116" s="203">
        <f t="shared" si="35"/>
        <v>23.2714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8">
        <f t="shared" si="36"/>
        <v>203</v>
      </c>
      <c r="AE116" s="77" t="str">
        <f t="shared" si="37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116" s="74" t="str">
        <f t="shared" si="38"/>
        <v>"C:\Program Files (x86)\AstroGrep\AstroGrep.exe" /e /r /s /spath="%USERPROFILE%\AppData\Local\Temp\OnboardLogs" /stypes="app*4004*20171117*" /stext=" 00:.+((SYSTEM_STATE.+slice.+state.+changed )|(ment ac)|(multiple cpu faults)|(system.+state.+changed )|(\[timeout)|(PRM\|1\|D)|(kpr)|(kdp)|(train st.+moving)|(\|lc)|(penalty))"</v>
      </c>
      <c r="AG116" s="181" t="str">
        <f t="shared" si="39"/>
        <v>EC</v>
      </c>
      <c r="AH116" s="78" t="str">
        <f t="shared" si="40"/>
        <v>"%USERPROFILE%\Documents\GitHub\eaglep3\Utilities\RefineRTDCRunTimes.py" --tripid 203-16 --locoid 4004 --swversion DE.1.0.9.0 --startMP 204:509 --initTime 2017-11-16T16:25:09 --startdatetime 2017-11-16T16:30:39 --delay 78 --endMP 204:233223 --enddatetime 2017-11-16T17:05:48 --enforcementcount 0 &gt;&gt;%USERPROFILE%\Documents\GitHub\eaglep3-reporting\EC\2017-11-16-refined-times.txt</v>
      </c>
      <c r="AI116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{"issue":{"subject":"","project_id":79,"tracker_id":40,"status_id":1,"priority_id":2,"assigned_to_id":338,"start_date":"2017-11-16","description":"","custom_fields":[{"id":1,"name":"Subdivision","value":"EC"},{"id":4,"name":"Milepost","value":"23.3223"},{"id":17,"name":"Train ID","value":"203-16"},{"id":16,"name":"Locomotive ID","value":"4004"},{"id":130,"name":"Impact","value":""},{"id":150,"name":"Time of Event (Mountain Time)","value":"17:05:48"},{"id":151,"name":"Denver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1" t="str">
        <f t="shared" si="42"/>
        <v>start /low /b %USERPROFILE%\Documents\GitHub\eaglep3\Utilities\DownloadLogsFromS3.py --loco 4004 --day 2017-11-16</v>
      </c>
      <c r="AN116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7" t="str">
        <f t="shared" si="44"/>
        <v>https://d0f6bd738d7f1b3e5a7ca70fe4ff75f0.us-east-1.aws.found.io/app/kibana#/discover/Steve-Slow-Train-Analysis-(2080s-and-2083s)?_g=(refreshInterval:(display:Off,pause:!f,section:0,value:0),time:(from:'2017-11-16T15:25:09-0700',mode:absolute,to:'2017-11-16T18:05:48-0700'))&amp;_a=(columns:!('Message%20ID',Summary),filters:!(),index:'emp_*',interval:auto,query:(query_string:(analyze_wildcard:!t,query:'%22rtdc.l.rtdc.4004%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834</v>
      </c>
      <c r="B117" s="7">
        <v>4003</v>
      </c>
      <c r="C117" s="21" t="s">
        <v>192</v>
      </c>
      <c r="D117" s="21" t="s">
        <v>623</v>
      </c>
      <c r="E117" s="13">
        <v>43055.723773148151</v>
      </c>
      <c r="F117" s="13">
        <v>43055.727268518516</v>
      </c>
      <c r="G117" s="7">
        <v>66</v>
      </c>
      <c r="H117" s="21" t="s">
        <v>504</v>
      </c>
      <c r="I117" s="13">
        <v>43055.75341435185</v>
      </c>
      <c r="J117" s="7">
        <v>0</v>
      </c>
      <c r="K117" s="89" t="str">
        <f t="shared" si="31"/>
        <v>4003/4004</v>
      </c>
      <c r="L117" s="184" t="str">
        <f>VLOOKUP(A117,'Trips&amp;Operators'!$C$1:$G$99911,5,FALSE)</f>
        <v>BRUDER RICHARD</v>
      </c>
      <c r="M117" s="6">
        <f t="shared" si="32"/>
        <v>2.6145833333430346E-2</v>
      </c>
      <c r="N117" s="7">
        <f t="shared" si="56"/>
        <v>37.650000000139698</v>
      </c>
      <c r="O117" s="7"/>
      <c r="P117" s="7"/>
      <c r="Q117" s="22"/>
      <c r="R117" s="173"/>
      <c r="S117" s="220">
        <f t="shared" si="57"/>
        <v>1</v>
      </c>
      <c r="T117" s="173" t="str">
        <f t="shared" si="33"/>
        <v>Southbound</v>
      </c>
      <c r="U117" s="19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5" t="str">
        <f t="shared" si="34"/>
        <v>https://d0f6bd738d7f1b3e5a7ca70fe4ff75f0.us-east-1.aws.found.io/app/kibana#/discover/Steve-Slow-Train-Analysis-(2080s-and-2083s)?_g=(refreshInterval:(display:Off,pause:!f,section:0,value:0),time:(from:'2017-11-16T16:22:14-0700',mode:absolute,to:'2017-11-16T19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203" t="str">
        <f>IF(AA117&lt;VLOOKUP(AG117,Variables!$AC$3:$AD$8,2,FALSE),"Y","N")</f>
        <v>N</v>
      </c>
      <c r="X117" s="203">
        <f t="shared" ref="X117:X148" si="60">VALUE(LEFT(AD117,4))-VALUE(LEFT(AD116,4))</f>
        <v>1</v>
      </c>
      <c r="Y117" s="203">
        <f t="shared" si="58"/>
        <v>23.2898</v>
      </c>
      <c r="Z117" s="203">
        <f t="shared" si="59"/>
        <v>2.23E-2</v>
      </c>
      <c r="AA117" s="203">
        <f t="shared" si="35"/>
        <v>23.267499999999998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8">
        <f t="shared" si="36"/>
        <v>204</v>
      </c>
      <c r="AE117" s="77" t="str">
        <f t="shared" si="37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117" s="74" t="str">
        <f t="shared" si="38"/>
        <v>"C:\Program Files (x86)\AstroGrep\AstroGrep.exe" /e /r /s /spath="%USERPROFILE%\AppData\Local\Temp\OnboardLogs" /stypes="app*4003*20171117*" /stext=" 01:.+((SYSTEM_STATE.+slice.+state.+changed )|(ment ac)|(multiple cpu faults)|(system.+state.+changed )|(\[timeout)|(PRM\|1\|D)|(kpr)|(kdp)|(train st.+moving)|(\|lc)|(penalty))"</v>
      </c>
      <c r="AG117" s="181" t="str">
        <f t="shared" si="39"/>
        <v>EC</v>
      </c>
      <c r="AH117" s="78" t="str">
        <f t="shared" si="40"/>
        <v>"%USERPROFILE%\Documents\GitHub\eaglep3\Utilities\RefineRTDCRunTimes.py" --tripid 204-16 --locoid 4003 --swversion DE.1.0.9.0 --startMP 204:232898 --initTime 2017-11-16T17:22:14 --startdatetime 2017-11-16T17:27:16 --delay 66 --endMP 204:223 --enddatetime 2017-11-16T18:04:55 --enforcementcount 0 &gt;&gt;%USERPROFILE%\Documents\GitHub\eaglep3-reporting\EC\2017-11-16-refined-times.txt</v>
      </c>
      <c r="AI117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{"issue":{"subject":"","project_id":79,"tracker_id":40,"status_id":1,"priority_id":2,"assigned_to_id":338,"start_date":"2017-11-16","description":"","custom_fields":[{"id":1,"name":"Subdivision","value":"EC"},{"id":4,"name":"Milepost","value":"0.0223"},{"id":17,"name":"Train ID","value":"204-16"},{"id":16,"name":"Locomotive ID","value":"4003"},{"id":130,"name":"Impact","value":""},{"id":150,"name":"Time of Event (Mountain Time)","value":"18:04:55"},{"id":151,"name":"Denver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1" t="str">
        <f t="shared" si="42"/>
        <v>start /low /b %USERPROFILE%\Documents\GitHub\eaglep3\Utilities\DownloadLogsFromS3.py --loco 4003 --day 2017-11-16</v>
      </c>
      <c r="AN117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7" t="str">
        <f t="shared" si="44"/>
        <v>https://d0f6bd738d7f1b3e5a7ca70fe4ff75f0.us-east-1.aws.found.io/app/kibana#/discover/Steve-Slow-Train-Analysis-(2080s-and-2083s)?_g=(refreshInterval:(display:Off,pause:!f,section:0,value:0),time:(from:'2017-11-16T16:22:14-0700',mode:absolute,to:'2017-11-16T19:04:55-0700'))&amp;_a=(columns:!('Message%20ID',Summary),filters:!(),index:'emp_*',interval:auto,query:(query_string:(analyze_wildcard:!t,query:'%22rtdc.l.rtdc.4003%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828</v>
      </c>
      <c r="B118" s="7">
        <v>4018</v>
      </c>
      <c r="C118" s="21" t="s">
        <v>192</v>
      </c>
      <c r="D118" s="21" t="s">
        <v>508</v>
      </c>
      <c r="E118" s="13">
        <v>43055.694444444445</v>
      </c>
      <c r="F118" s="13">
        <v>43055.698125000003</v>
      </c>
      <c r="G118" s="7">
        <v>61</v>
      </c>
      <c r="H118" s="21" t="s">
        <v>532</v>
      </c>
      <c r="I118" s="13">
        <v>43055.72519675926</v>
      </c>
      <c r="J118" s="7">
        <v>0</v>
      </c>
      <c r="K118" s="89" t="str">
        <f t="shared" si="31"/>
        <v>4017/4018</v>
      </c>
      <c r="L118" s="184" t="str">
        <f>VLOOKUP(A118,'Trips&amp;Operators'!$C$1:$G$99911,5,FALSE)</f>
        <v>STEWART MICHAEL</v>
      </c>
      <c r="M118" s="6">
        <f t="shared" si="32"/>
        <v>2.7071759257523809E-2</v>
      </c>
      <c r="N118" s="7">
        <f t="shared" si="56"/>
        <v>38.983333330834284</v>
      </c>
      <c r="O118" s="7"/>
      <c r="P118" s="7"/>
      <c r="Q118" s="22"/>
      <c r="R118" s="173"/>
      <c r="S118" s="220">
        <f t="shared" si="57"/>
        <v>1</v>
      </c>
      <c r="T118" s="173" t="str">
        <f t="shared" si="33"/>
        <v>NorthBound</v>
      </c>
      <c r="U118" s="19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5" t="str">
        <f t="shared" si="34"/>
        <v>https://d0f6bd738d7f1b3e5a7ca70fe4ff75f0.us-east-1.aws.found.io/app/kibana#/discover/Steve-Slow-Train-Analysis-(2080s-and-2083s)?_g=(refreshInterval:(display:Off,pause:!f,section:0,value:0),time:(from:'2017-11-16T15:40:00-0700',mode:absolute,to:'2017-11-16T18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203" t="str">
        <f>IF(AA118&lt;VLOOKUP(AG118,Variables!$AC$3:$AD$8,2,FALSE),"Y","N")</f>
        <v>N</v>
      </c>
      <c r="X118" s="203">
        <f t="shared" si="60"/>
        <v>1</v>
      </c>
      <c r="Y118" s="203">
        <f t="shared" si="58"/>
        <v>5.5100000000000003E-2</v>
      </c>
      <c r="Z118" s="203">
        <f t="shared" si="59"/>
        <v>23.319700000000001</v>
      </c>
      <c r="AA118" s="203">
        <f t="shared" si="35"/>
        <v>23.264600000000002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8">
        <f t="shared" si="36"/>
        <v>205</v>
      </c>
      <c r="AE118" s="77" t="str">
        <f t="shared" si="37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118" s="74" t="str">
        <f t="shared" si="38"/>
        <v>"C:\Program Files (x86)\AstroGrep\AstroGrep.exe" /e /r /s /spath="%USERPROFILE%\AppData\Local\Temp\OnboardLogs" /stypes="app*4018*20171117*" /stext=" 00:.+((SYSTEM_STATE.+slice.+state.+changed )|(ment ac)|(multiple cpu faults)|(system.+state.+changed )|(\[timeout)|(PRM\|1\|D)|(kpr)|(kdp)|(train st.+moving)|(\|lc)|(penalty))"</v>
      </c>
      <c r="AG118" s="181" t="str">
        <f t="shared" si="39"/>
        <v>EC</v>
      </c>
      <c r="AH118" s="78" t="str">
        <f t="shared" si="40"/>
        <v>"%USERPROFILE%\Documents\GitHub\eaglep3\Utilities\RefineRTDCRunTimes.py" --tripid 205-16 --locoid 4018 --swversion DE.1.0.9.0 --startMP 204:551 --initTime 2017-11-16T16:40:00 --startdatetime 2017-11-16T16:45:18 --delay 61 --endMP 204:233197 --enddatetime 2017-11-16T17:24:17 --enforcementcount 0 &gt;&gt;%USERPROFILE%\Documents\GitHub\eaglep3-reporting\EC\2017-11-16-refined-times.txt</v>
      </c>
      <c r="AI11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{"issue":{"subject":"","project_id":79,"tracker_id":40,"status_id":1,"priority_id":2,"assigned_to_id":338,"start_date":"2017-11-16","description":"","custom_fields":[{"id":1,"name":"Subdivision","value":"EC"},{"id":4,"name":"Milepost","value":"23.3197"},{"id":17,"name":"Train ID","value":"205-16"},{"id":16,"name":"Locomotive ID","value":"4018"},{"id":130,"name":"Impact","value":""},{"id":150,"name":"Time of Event (Mountain Time)","value":"17:24:17"},{"id":151,"name":"Denver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1" t="str">
        <f t="shared" si="42"/>
        <v>start /low /b %USERPROFILE%\Documents\GitHub\eaglep3\Utilities\DownloadLogsFromS3.py --loco 4018 --day 2017-11-16</v>
      </c>
      <c r="AN118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7" t="str">
        <f t="shared" si="44"/>
        <v>https://d0f6bd738d7f1b3e5a7ca70fe4ff75f0.us-east-1.aws.found.io/app/kibana#/discover/Steve-Slow-Train-Analysis-(2080s-and-2083s)?_g=(refreshInterval:(display:Off,pause:!f,section:0,value:0),time:(from:'2017-11-16T15:40:00-0700',mode:absolute,to:'2017-11-16T18:24:17-0700'))&amp;_a=(columns:!('Message%20ID',Summary),filters:!(),index:'emp_*',interval:auto,query:(query_string:(analyze_wildcard:!t,query:'%22rtdc.l.rtdc.4018%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837</v>
      </c>
      <c r="B119" s="7">
        <v>4017</v>
      </c>
      <c r="C119" s="21" t="s">
        <v>192</v>
      </c>
      <c r="D119" s="21" t="s">
        <v>608</v>
      </c>
      <c r="E119" s="13">
        <v>43055.734247685185</v>
      </c>
      <c r="F119" s="13">
        <v>43055.737800925926</v>
      </c>
      <c r="G119" s="7">
        <v>46</v>
      </c>
      <c r="H119" s="21" t="s">
        <v>459</v>
      </c>
      <c r="I119" s="13">
        <v>43055.764837962961</v>
      </c>
      <c r="J119" s="7">
        <v>0</v>
      </c>
      <c r="K119" s="89" t="str">
        <f t="shared" si="31"/>
        <v>4017/4018</v>
      </c>
      <c r="L119" s="184" t="str">
        <f>VLOOKUP(A119,'Trips&amp;Operators'!$C$1:$G$99911,5,FALSE)</f>
        <v>STEWART MICHAEL</v>
      </c>
      <c r="M119" s="6">
        <f t="shared" si="32"/>
        <v>2.7037037034460809E-2</v>
      </c>
      <c r="N119" s="7">
        <f t="shared" si="56"/>
        <v>38.933333329623565</v>
      </c>
      <c r="O119" s="7"/>
      <c r="P119" s="7"/>
      <c r="Q119" s="22"/>
      <c r="R119" s="173"/>
      <c r="S119" s="220">
        <f t="shared" si="57"/>
        <v>1</v>
      </c>
      <c r="T119" s="173" t="str">
        <f t="shared" si="33"/>
        <v>Southbound</v>
      </c>
      <c r="U119" s="19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5" t="str">
        <f t="shared" si="34"/>
        <v>https://d0f6bd738d7f1b3e5a7ca70fe4ff75f0.us-east-1.aws.found.io/app/kibana#/discover/Steve-Slow-Train-Analysis-(2080s-and-2083s)?_g=(refreshInterval:(display:Off,pause:!f,section:0,value:0),time:(from:'2017-11-16T16:37:19-0700',mode:absolute,to:'2017-11-16T19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203" t="str">
        <f>IF(AA119&lt;VLOOKUP(AG119,Variables!$AC$3:$AD$8,2,FALSE),"Y","N")</f>
        <v>N</v>
      </c>
      <c r="X119" s="203">
        <f t="shared" si="60"/>
        <v>1</v>
      </c>
      <c r="Y119" s="203">
        <f t="shared" si="58"/>
        <v>23.287299999999998</v>
      </c>
      <c r="Z119" s="203">
        <f t="shared" si="59"/>
        <v>2.2700000000000001E-2</v>
      </c>
      <c r="AA119" s="203">
        <f t="shared" si="35"/>
        <v>23.264599999999998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8">
        <f t="shared" si="36"/>
        <v>206</v>
      </c>
      <c r="AE119" s="77" t="str">
        <f t="shared" si="37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119" s="74" t="str">
        <f t="shared" si="38"/>
        <v>"C:\Program Files (x86)\AstroGrep\AstroGrep.exe" /e /r /s /spath="%USERPROFILE%\AppData\Local\Temp\OnboardLogs" /stypes="app*4017*20171117*" /stext=" 01:.+((SYSTEM_STATE.+slice.+state.+changed )|(ment ac)|(multiple cpu faults)|(system.+state.+changed )|(\[timeout)|(PRM\|1\|D)|(kpr)|(kdp)|(train st.+moving)|(\|lc)|(penalty))"</v>
      </c>
      <c r="AG119" s="181" t="str">
        <f t="shared" si="39"/>
        <v>EC</v>
      </c>
      <c r="AH119" s="78" t="str">
        <f t="shared" si="40"/>
        <v>"%USERPROFILE%\Documents\GitHub\eaglep3\Utilities\RefineRTDCRunTimes.py" --tripid 206-16 --locoid 4017 --swversion DE.1.0.9.0 --startMP 204:232873 --initTime 2017-11-16T17:37:19 --startdatetime 2017-11-16T17:42:26 --delay 46 --endMP 204:227 --enddatetime 2017-11-16T18:21:22 --enforcementcount 0 &gt;&gt;%USERPROFILE%\Documents\GitHub\eaglep3-reporting\EC\2017-11-16-refined-times.txt</v>
      </c>
      <c r="AI11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{"issue":{"subject":"","project_id":79,"tracker_id":40,"status_id":1,"priority_id":2,"assigned_to_id":338,"start_date":"2017-11-16","description":"","custom_fields":[{"id":1,"name":"Subdivision","value":"EC"},{"id":4,"name":"Milepost","value":"0.0227"},{"id":17,"name":"Train ID","value":"206-16"},{"id":16,"name":"Locomotive ID","value":"4017"},{"id":130,"name":"Impact","value":""},{"id":150,"name":"Time of Event (Mountain Time)","value":"18:21:22"},{"id":151,"name":"Denver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1" t="str">
        <f t="shared" si="42"/>
        <v>start /low /b %USERPROFILE%\Documents\GitHub\eaglep3\Utilities\DownloadLogsFromS3.py --loco 4017 --day 2017-11-16</v>
      </c>
      <c r="AN119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7" t="str">
        <f t="shared" si="44"/>
        <v>https://d0f6bd738d7f1b3e5a7ca70fe4ff75f0.us-east-1.aws.found.io/app/kibana#/discover/Steve-Slow-Train-Analysis-(2080s-and-2083s)?_g=(refreshInterval:(display:Off,pause:!f,section:0,value:0),time:(from:'2017-11-16T16:37:19-0700',mode:absolute,to:'2017-11-16T19:21:22-0700'))&amp;_a=(columns:!('Message%20ID',Summary),filters:!(),index:'emp_*',interval:auto,query:(query_string:(analyze_wildcard:!t,query:'%22rtdc.l.rtdc.4017%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830</v>
      </c>
      <c r="B120" s="7">
        <v>4052</v>
      </c>
      <c r="C120" s="21" t="s">
        <v>192</v>
      </c>
      <c r="D120" s="21" t="s">
        <v>446</v>
      </c>
      <c r="E120" s="13">
        <v>43055.703611111108</v>
      </c>
      <c r="F120" s="13">
        <v>43055.70853009259</v>
      </c>
      <c r="G120" s="7">
        <v>95</v>
      </c>
      <c r="H120" s="21" t="s">
        <v>934</v>
      </c>
      <c r="I120" s="13">
        <v>43055.73337962963</v>
      </c>
      <c r="J120" s="7">
        <v>0</v>
      </c>
      <c r="K120" s="89" t="str">
        <f t="shared" si="31"/>
        <v>4051/4052</v>
      </c>
      <c r="L120" s="184" t="str">
        <f>VLOOKUP(A120,'Trips&amp;Operators'!$C$1:$G$99911,5,FALSE)</f>
        <v>LEVIN SCOTT</v>
      </c>
      <c r="M120" s="6">
        <f t="shared" si="32"/>
        <v>2.4849537039699499E-2</v>
      </c>
      <c r="N120" s="7">
        <f t="shared" si="56"/>
        <v>35.783333337167278</v>
      </c>
      <c r="O120" s="7"/>
      <c r="P120" s="7"/>
      <c r="Q120" s="22"/>
      <c r="R120" s="173"/>
      <c r="S120" s="220">
        <f t="shared" si="57"/>
        <v>1</v>
      </c>
      <c r="T120" s="173" t="str">
        <f t="shared" si="33"/>
        <v>NorthBound</v>
      </c>
      <c r="U120" s="19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5" t="str">
        <f t="shared" si="34"/>
        <v>https://d0f6bd738d7f1b3e5a7ca70fe4ff75f0.us-east-1.aws.found.io/app/kibana#/discover/Steve-Slow-Train-Analysis-(2080s-and-2083s)?_g=(refreshInterval:(display:Off,pause:!f,section:0,value:0),time:(from:'2017-11-16T15:53:12-0700',mode:absolute,to:'2017-11-16T18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0" s="203" t="str">
        <f>IF(AA120&lt;VLOOKUP(AG120,Variables!$AC$3:$AD$8,2,FALSE),"Y","N")</f>
        <v>N</v>
      </c>
      <c r="X120" s="203">
        <f t="shared" si="60"/>
        <v>1</v>
      </c>
      <c r="Y120" s="203">
        <f t="shared" si="58"/>
        <v>5.0599999999999999E-2</v>
      </c>
      <c r="Z120" s="203">
        <f t="shared" si="59"/>
        <v>23.324200000000001</v>
      </c>
      <c r="AA120" s="203">
        <f t="shared" si="35"/>
        <v>23.273600000000002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8">
        <f t="shared" si="36"/>
        <v>207</v>
      </c>
      <c r="AE120" s="77" t="str">
        <f t="shared" si="37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120" s="74" t="str">
        <f t="shared" si="38"/>
        <v>"C:\Program Files (x86)\AstroGrep\AstroGrep.exe" /e /r /s /spath="%USERPROFILE%\AppData\Local\Temp\OnboardLogs" /stypes="app*4052*20171117*" /stext=" 00:.+((SYSTEM_STATE.+slice.+state.+changed )|(ment ac)|(multiple cpu faults)|(system.+state.+changed )|(\[timeout)|(PRM\|1\|D)|(kpr)|(kdp)|(train st.+moving)|(\|lc)|(penalty))"</v>
      </c>
      <c r="AG120" s="181" t="str">
        <f t="shared" si="39"/>
        <v>EC</v>
      </c>
      <c r="AH120" s="78" t="str">
        <f t="shared" si="40"/>
        <v>"%USERPROFILE%\Documents\GitHub\eaglep3\Utilities\RefineRTDCRunTimes.py" --tripid 207-16 --locoid 4052 --swversion DE.1.0.9.0 --startMP 204:506 --initTime 2017-11-16T16:53:12 --startdatetime 2017-11-16T17:00:17 --delay 95 --endMP 204:233242 --enddatetime 2017-11-16T17:36:04 --enforcementcount 0 &gt;&gt;%USERPROFILE%\Documents\GitHub\eaglep3-reporting\EC\2017-11-16-refined-times.txt</v>
      </c>
      <c r="AI12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{"issue":{"subject":"","project_id":79,"tracker_id":40,"status_id":1,"priority_id":2,"assigned_to_id":338,"start_date":"2017-11-16","description":"","custom_fields":[{"id":1,"name":"Subdivision","value":"EC"},{"id":4,"name":"Milepost","value":"23.3242"},{"id":17,"name":"Train ID","value":"207-16"},{"id":16,"name":"Locomotive ID","value":"4052"},{"id":130,"name":"Impact","value":""},{"id":150,"name":"Time of Event (Mountain Time)","value":"17:36:04"},{"id":151,"name":"Denver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1" t="str">
        <f t="shared" si="42"/>
        <v>start /low /b %USERPROFILE%\Documents\GitHub\eaglep3\Utilities\DownloadLogsFromS3.py --loco 4052 --day 2017-11-16</v>
      </c>
      <c r="AN120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7" t="str">
        <f t="shared" si="44"/>
        <v>https://d0f6bd738d7f1b3e5a7ca70fe4ff75f0.us-east-1.aws.found.io/app/kibana#/discover/Steve-Slow-Train-Analysis-(2080s-and-2083s)?_g=(refreshInterval:(display:Off,pause:!f,section:0,value:0),time:(from:'2017-11-16T15:53:12-0700',mode:absolute,to:'2017-11-16T18:36:04-0700'))&amp;_a=(columns:!('Message%20ID',Summary),filters:!(),index:'emp_*',interval:auto,query:(query_string:(analyze_wildcard:!t,query:'%22rtdc.l.rtdc.4052%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668</v>
      </c>
      <c r="B121" s="7">
        <v>4051</v>
      </c>
      <c r="C121" s="21" t="s">
        <v>192</v>
      </c>
      <c r="D121" s="21" t="s">
        <v>497</v>
      </c>
      <c r="E121" s="13">
        <v>43055.738009259258</v>
      </c>
      <c r="F121" s="13">
        <v>43055.748136574075</v>
      </c>
      <c r="G121" s="7">
        <v>52</v>
      </c>
      <c r="H121" s="21" t="s">
        <v>646</v>
      </c>
      <c r="I121" s="13">
        <v>43055.774606481478</v>
      </c>
      <c r="J121" s="7">
        <v>0</v>
      </c>
      <c r="K121" s="89" t="str">
        <f t="shared" si="31"/>
        <v>4051/4052</v>
      </c>
      <c r="L121" s="184" t="str">
        <f>VLOOKUP(A121,'Trips&amp;Operators'!$C$1:$G$99911,5,FALSE)</f>
        <v>LEVIN SCOTT</v>
      </c>
      <c r="M121" s="6">
        <f t="shared" si="32"/>
        <v>2.6469907403225079E-2</v>
      </c>
      <c r="N121" s="7">
        <f t="shared" si="56"/>
        <v>38.116666660644114</v>
      </c>
      <c r="O121" s="7"/>
      <c r="P121" s="7"/>
      <c r="Q121" s="22"/>
      <c r="R121" s="173"/>
      <c r="S121" s="220">
        <f t="shared" si="57"/>
        <v>1</v>
      </c>
      <c r="T121" s="173" t="str">
        <f t="shared" si="33"/>
        <v>Southbound</v>
      </c>
      <c r="U121" s="19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5" t="str">
        <f t="shared" si="34"/>
        <v>https://d0f6bd738d7f1b3e5a7ca70fe4ff75f0.us-east-1.aws.found.io/app/kibana#/discover/Steve-Slow-Train-Analysis-(2080s-and-2083s)?_g=(refreshInterval:(display:Off,pause:!f,section:0,value:0),time:(from:'2017-11-16T16:42:44-0700',mode:absolute,to:'2017-11-16T19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1" s="203" t="str">
        <f>IF(AA121&lt;VLOOKUP(AG121,Variables!$AC$3:$AD$8,2,FALSE),"Y","N")</f>
        <v>N</v>
      </c>
      <c r="X121" s="203">
        <f t="shared" si="60"/>
        <v>1</v>
      </c>
      <c r="Y121" s="203">
        <f t="shared" si="58"/>
        <v>23.291699999999999</v>
      </c>
      <c r="Z121" s="203">
        <f t="shared" si="59"/>
        <v>1.6199999999999999E-2</v>
      </c>
      <c r="AA121" s="203">
        <f t="shared" si="35"/>
        <v>23.275499999999997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8">
        <f t="shared" si="36"/>
        <v>208</v>
      </c>
      <c r="AE121" s="77" t="str">
        <f t="shared" si="37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121" s="74" t="str">
        <f t="shared" si="38"/>
        <v>"C:\Program Files (x86)\AstroGrep\AstroGrep.exe" /e /r /s /spath="%USERPROFILE%\AppData\Local\Temp\OnboardLogs" /stypes="app*4051*20171117*" /stext=" 01:.+((SYSTEM_STATE.+slice.+state.+changed )|(ment ac)|(multiple cpu faults)|(system.+state.+changed )|(\[timeout)|(PRM\|1\|D)|(kpr)|(kdp)|(train st.+moving)|(\|lc)|(penalty))"</v>
      </c>
      <c r="AG121" s="181" t="str">
        <f t="shared" si="39"/>
        <v>EC</v>
      </c>
      <c r="AH121" s="78" t="str">
        <f t="shared" si="40"/>
        <v>"%USERPROFILE%\Documents\GitHub\eaglep3\Utilities\RefineRTDCRunTimes.py" --tripid 208-16 --locoid 4051 --swversion DE.1.0.9.0 --startMP 204:232917 --initTime 2017-11-16T17:42:44 --startdatetime 2017-11-16T17:57:19 --delay 52 --endMP 204:162 --enddatetime 2017-11-16T18:35:26 --enforcementcount 0 &gt;&gt;%USERPROFILE%\Documents\GitHub\eaglep3-reporting\EC\2017-11-16-refined-times.txt</v>
      </c>
      <c r="AI121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{"issue":{"subject":"","project_id":79,"tracker_id":40,"status_id":1,"priority_id":2,"assigned_to_id":338,"start_date":"2017-11-16","description":"","custom_fields":[{"id":1,"name":"Subdivision","value":"EC"},{"id":4,"name":"Milepost","value":"0.0162"},{"id":17,"name":"Train ID","value":"208-16"},{"id":16,"name":"Locomotive ID","value":"4051"},{"id":130,"name":"Impact","value":""},{"id":150,"name":"Time of Event (Mountain Time)","value":"18:35:26"},{"id":151,"name":"Denver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1" t="str">
        <f t="shared" si="42"/>
        <v>start /low /b %USERPROFILE%\Documents\GitHub\eaglep3\Utilities\DownloadLogsFromS3.py --loco 4051 --day 2017-11-16</v>
      </c>
      <c r="AN121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7" t="str">
        <f t="shared" si="44"/>
        <v>https://d0f6bd738d7f1b3e5a7ca70fe4ff75f0.us-east-1.aws.found.io/app/kibana#/discover/Steve-Slow-Train-Analysis-(2080s-and-2083s)?_g=(refreshInterval:(display:Off,pause:!f,section:0,value:0),time:(from:'2017-11-16T16:42:44-0700',mode:absolute,to:'2017-11-16T19:35:26-0700'))&amp;_a=(columns:!('Message%20ID',Summary),filters:!(),index:'emp_*',interval:auto,query:(query_string:(analyze_wildcard:!t,query:'%22rtdc.l.rtdc.4051%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833</v>
      </c>
      <c r="B122" s="7">
        <v>4002</v>
      </c>
      <c r="C122" s="21" t="s">
        <v>192</v>
      </c>
      <c r="D122" s="21" t="s">
        <v>526</v>
      </c>
      <c r="E122" s="13">
        <v>43055.715243055558</v>
      </c>
      <c r="F122" s="13">
        <v>43055.718900462962</v>
      </c>
      <c r="G122" s="7">
        <v>81</v>
      </c>
      <c r="H122" s="21" t="s">
        <v>962</v>
      </c>
      <c r="I122" s="13">
        <v>43055.745104166665</v>
      </c>
      <c r="J122" s="7">
        <v>0</v>
      </c>
      <c r="K122" s="89" t="str">
        <f t="shared" si="31"/>
        <v>4001/4002</v>
      </c>
      <c r="L122" s="184" t="str">
        <f>VLOOKUP(A122,'Trips&amp;Operators'!$C$1:$G$99911,5,FALSE)</f>
        <v>BERLING GARY</v>
      </c>
      <c r="M122" s="6">
        <f t="shared" si="32"/>
        <v>2.6203703702776693E-2</v>
      </c>
      <c r="N122" s="7">
        <f t="shared" si="56"/>
        <v>37.733333331998438</v>
      </c>
      <c r="O122" s="7"/>
      <c r="P122" s="7"/>
      <c r="Q122" s="22"/>
      <c r="R122" s="173"/>
      <c r="S122" s="220">
        <f t="shared" si="57"/>
        <v>1</v>
      </c>
      <c r="T122" s="173" t="str">
        <f t="shared" si="33"/>
        <v>NorthBound</v>
      </c>
      <c r="U122" s="19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5" t="str">
        <f t="shared" si="34"/>
        <v>https://d0f6bd738d7f1b3e5a7ca70fe4ff75f0.us-east-1.aws.found.io/app/kibana#/discover/Steve-Slow-Train-Analysis-(2080s-and-2083s)?_g=(refreshInterval:(display:Off,pause:!f,section:0,value:0),time:(from:'2017-11-16T16:09:57-0700',mode:absolute,to:'2017-11-16T18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203" t="str">
        <f>IF(AA122&lt;VLOOKUP(AG122,Variables!$AC$3:$AD$8,2,FALSE),"Y","N")</f>
        <v>N</v>
      </c>
      <c r="X122" s="203">
        <f t="shared" si="60"/>
        <v>1</v>
      </c>
      <c r="Y122" s="203">
        <f t="shared" si="58"/>
        <v>5.1999999999999998E-2</v>
      </c>
      <c r="Z122" s="203">
        <f t="shared" si="59"/>
        <v>23.3215</v>
      </c>
      <c r="AA122" s="203">
        <f t="shared" si="35"/>
        <v>23.269500000000001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8">
        <f t="shared" si="36"/>
        <v>209</v>
      </c>
      <c r="AE122" s="77" t="str">
        <f t="shared" si="3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122" s="74" t="str">
        <f t="shared" si="38"/>
        <v>"C:\Program Files (x86)\AstroGrep\AstroGrep.exe" /e /r /s /spath="%USERPROFILE%\AppData\Local\Temp\OnboardLogs" /stypes="app*4002*20171117*" /stext=" 00:.+((SYSTEM_STATE.+slice.+state.+changed )|(ment ac)|(multiple cpu faults)|(system.+state.+changed )|(\[timeout)|(PRM\|1\|D)|(kpr)|(kdp)|(train st.+moving)|(\|lc)|(penalty))"</v>
      </c>
      <c r="AG122" s="181" t="str">
        <f t="shared" si="39"/>
        <v>EC</v>
      </c>
      <c r="AH122" s="78" t="str">
        <f t="shared" si="40"/>
        <v>"%USERPROFILE%\Documents\GitHub\eaglep3\Utilities\RefineRTDCRunTimes.py" --tripid 209-16 --locoid 4002 --swversion DE.1.0.9.0 --startMP 204:520 --initTime 2017-11-16T17:09:57 --startdatetime 2017-11-16T17:15:13 --delay 81 --endMP 204:233215 --enddatetime 2017-11-16T17:52:57 --enforcementcount 0 &gt;&gt;%USERPROFILE%\Documents\GitHub\eaglep3-reporting\EC\2017-11-16-refined-times.txt</v>
      </c>
      <c r="AI122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{"issue":{"subject":"","project_id":79,"tracker_id":40,"status_id":1,"priority_id":2,"assigned_to_id":338,"start_date":"2017-11-16","description":"","custom_fields":[{"id":1,"name":"Subdivision","value":"EC"},{"id":4,"name":"Milepost","value":"23.3215"},{"id":17,"name":"Train ID","value":"209-16"},{"id":16,"name":"Locomotive ID","value":"4002"},{"id":130,"name":"Impact","value":""},{"id":150,"name":"Time of Event (Mountain Time)","value":"17:52:57"},{"id":151,"name":"Denver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1" t="str">
        <f t="shared" si="42"/>
        <v>start /low /b %USERPROFILE%\Documents\GitHub\eaglep3\Utilities\DownloadLogsFromS3.py --loco 4002 --day 2017-11-16</v>
      </c>
      <c r="AN122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7" t="str">
        <f t="shared" si="44"/>
        <v>https://d0f6bd738d7f1b3e5a7ca70fe4ff75f0.us-east-1.aws.found.io/app/kibana#/discover/Steve-Slow-Train-Analysis-(2080s-and-2083s)?_g=(refreshInterval:(display:Off,pause:!f,section:0,value:0),time:(from:'2017-11-16T16:09:57-0700',mode:absolute,to:'2017-11-16T18:52:57-0700'))&amp;_a=(columns:!('Message%20ID',Summary),filters:!(),index:'emp_*',interval:auto,query:(query_string:(analyze_wildcard:!t,query:'%22rtdc.l.rtdc.4002%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840</v>
      </c>
      <c r="B123" s="7">
        <v>4001</v>
      </c>
      <c r="C123" s="21" t="s">
        <v>192</v>
      </c>
      <c r="D123" s="21" t="s">
        <v>628</v>
      </c>
      <c r="E123" s="13">
        <v>43055.751875000002</v>
      </c>
      <c r="F123" s="13">
        <v>43055.758599537039</v>
      </c>
      <c r="G123" s="7">
        <v>65</v>
      </c>
      <c r="H123" s="21" t="s">
        <v>559</v>
      </c>
      <c r="I123" s="13">
        <v>43055.785185185188</v>
      </c>
      <c r="J123" s="7">
        <v>0</v>
      </c>
      <c r="K123" s="89" t="str">
        <f t="shared" si="31"/>
        <v>4001/4002</v>
      </c>
      <c r="L123" s="184" t="str">
        <f>VLOOKUP(A123,'Trips&amp;Operators'!$C$1:$G$99911,5,FALSE)</f>
        <v>BERLING GARY</v>
      </c>
      <c r="M123" s="6">
        <f t="shared" si="32"/>
        <v>2.658564814919373E-2</v>
      </c>
      <c r="N123" s="7">
        <f t="shared" si="56"/>
        <v>38.283333334838971</v>
      </c>
      <c r="O123" s="7"/>
      <c r="P123" s="7"/>
      <c r="Q123" s="22"/>
      <c r="R123" s="173"/>
      <c r="S123" s="220">
        <f t="shared" si="57"/>
        <v>1</v>
      </c>
      <c r="T123" s="173" t="str">
        <f t="shared" si="33"/>
        <v>Southbound</v>
      </c>
      <c r="U123" s="19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5" t="str">
        <f t="shared" si="34"/>
        <v>https://d0f6bd738d7f1b3e5a7ca70fe4ff75f0.us-east-1.aws.found.io/app/kibana#/discover/Steve-Slow-Train-Analysis-(2080s-and-2083s)?_g=(refreshInterval:(display:Off,pause:!f,section:0,value:0),time:(from:'2017-11-16T17:02:42-0700',mode:absolute,to:'2017-11-16T19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203" t="str">
        <f>IF(AA123&lt;VLOOKUP(AG123,Variables!$AC$3:$AD$8,2,FALSE),"Y","N")</f>
        <v>N</v>
      </c>
      <c r="X123" s="203">
        <f t="shared" si="60"/>
        <v>1</v>
      </c>
      <c r="Y123" s="203">
        <f t="shared" si="58"/>
        <v>23.290199999999999</v>
      </c>
      <c r="Z123" s="203">
        <f t="shared" si="59"/>
        <v>2.0299999999999999E-2</v>
      </c>
      <c r="AA123" s="203">
        <f t="shared" si="35"/>
        <v>23.2699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8">
        <f t="shared" si="36"/>
        <v>210</v>
      </c>
      <c r="AE123" s="77" t="str">
        <f t="shared" si="3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123" s="74" t="str">
        <f t="shared" si="38"/>
        <v>"C:\Program Files (x86)\AstroGrep\AstroGrep.exe" /e /r /s /spath="%USERPROFILE%\AppData\Local\Temp\OnboardLogs" /stypes="app*4001*20171117*" /stext=" 01:.+((SYSTEM_STATE.+slice.+state.+changed )|(ment ac)|(multiple cpu faults)|(system.+state.+changed )|(\[timeout)|(PRM\|1\|D)|(kpr)|(kdp)|(train st.+moving)|(\|lc)|(penalty))"</v>
      </c>
      <c r="AG123" s="181" t="str">
        <f t="shared" si="39"/>
        <v>EC</v>
      </c>
      <c r="AH123" s="78" t="str">
        <f t="shared" si="40"/>
        <v>"%USERPROFILE%\Documents\GitHub\eaglep3\Utilities\RefineRTDCRunTimes.py" --tripid 210-16 --locoid 4001 --swversion DE.1.0.9.0 --startMP 204:232902 --initTime 2017-11-16T18:02:42 --startdatetime 2017-11-16T18:12:23 --delay 65 --endMP 204:203 --enddatetime 2017-11-16T18:50:40 --enforcementcount 0 &gt;&gt;%USERPROFILE%\Documents\GitHub\eaglep3-reporting\EC\2017-11-16-refined-times.txt</v>
      </c>
      <c r="AI123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{"issue":{"subject":"","project_id":79,"tracker_id":40,"status_id":1,"priority_id":2,"assigned_to_id":338,"start_date":"2017-11-16","description":"","custom_fields":[{"id":1,"name":"Subdivision","value":"EC"},{"id":4,"name":"Milepost","value":"0.0203"},{"id":17,"name":"Train ID","value":"210-16"},{"id":16,"name":"Locomotive ID","value":"4001"},{"id":130,"name":"Impact","value":""},{"id":150,"name":"Time of Event (Mountain Time)","value":"18:50:40"},{"id":151,"name":"Denver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1" t="str">
        <f t="shared" si="42"/>
        <v>start /low /b %USERPROFILE%\Documents\GitHub\eaglep3\Utilities\DownloadLogsFromS3.py --loco 4001 --day 2017-11-16</v>
      </c>
      <c r="AN123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7" t="str">
        <f t="shared" si="44"/>
        <v>https://d0f6bd738d7f1b3e5a7ca70fe4ff75f0.us-east-1.aws.found.io/app/kibana#/discover/Steve-Slow-Train-Analysis-(2080s-and-2083s)?_g=(refreshInterval:(display:Off,pause:!f,section:0,value:0),time:(from:'2017-11-16T17:02:42-0700',mode:absolute,to:'2017-11-16T19:50:40-0700'))&amp;_a=(columns:!('Message%20ID',Summary),filters:!(),index:'emp_*',interval:auto,query:(query_string:(analyze_wildcard:!t,query:'%22rtdc.l.rtdc.4001%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835</v>
      </c>
      <c r="B124" s="7">
        <v>4062</v>
      </c>
      <c r="C124" s="21" t="s">
        <v>192</v>
      </c>
      <c r="D124" s="21" t="s">
        <v>963</v>
      </c>
      <c r="E124" s="13">
        <v>43055.724189814813</v>
      </c>
      <c r="F124" s="13">
        <v>43055.729351851849</v>
      </c>
      <c r="G124" s="7">
        <v>61</v>
      </c>
      <c r="H124" s="21" t="s">
        <v>619</v>
      </c>
      <c r="I124" s="13">
        <v>43055.755312499998</v>
      </c>
      <c r="J124" s="7">
        <v>0</v>
      </c>
      <c r="K124" s="89" t="str">
        <f t="shared" si="31"/>
        <v>4061/4062</v>
      </c>
      <c r="L124" s="184" t="str">
        <f>VLOOKUP(A124,'Trips&amp;Operators'!$C$1:$G$99911,5,FALSE)</f>
        <v>LEVERE CRAIG</v>
      </c>
      <c r="M124" s="6">
        <f t="shared" si="32"/>
        <v>2.5960648148611654E-2</v>
      </c>
      <c r="N124" s="7">
        <f t="shared" si="56"/>
        <v>37.383333334000781</v>
      </c>
      <c r="O124" s="7"/>
      <c r="P124" s="7"/>
      <c r="Q124" s="22"/>
      <c r="R124" s="173"/>
      <c r="S124" s="220">
        <f t="shared" si="57"/>
        <v>1</v>
      </c>
      <c r="T124" s="173" t="str">
        <f t="shared" si="33"/>
        <v>NorthBound</v>
      </c>
      <c r="U124" s="19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5" t="str">
        <f t="shared" si="34"/>
        <v>https://d0f6bd738d7f1b3e5a7ca70fe4ff75f0.us-east-1.aws.found.io/app/kibana#/discover/Steve-Slow-Train-Analysis-(2080s-and-2083s)?_g=(refreshInterval:(display:Off,pause:!f,section:0,value:0),time:(from:'2017-11-16T16:22:50-0700',mode:absolute,to:'2017-11-16T19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4" s="203" t="str">
        <f>IF(AA124&lt;VLOOKUP(AG124,Variables!$AC$3:$AD$8,2,FALSE),"Y","N")</f>
        <v>N</v>
      </c>
      <c r="X124" s="203">
        <f t="shared" si="60"/>
        <v>1</v>
      </c>
      <c r="Y124" s="203">
        <f t="shared" si="58"/>
        <v>5.3100000000000001E-2</v>
      </c>
      <c r="Z124" s="203">
        <f t="shared" si="59"/>
        <v>23.321000000000002</v>
      </c>
      <c r="AA124" s="203">
        <f t="shared" si="35"/>
        <v>23.267900000000001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8">
        <f t="shared" si="36"/>
        <v>211</v>
      </c>
      <c r="AE124" s="77" t="str">
        <f t="shared" si="37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124" s="74" t="str">
        <f t="shared" si="38"/>
        <v>"C:\Program Files (x86)\AstroGrep\AstroGrep.exe" /e /r /s /spath="%USERPROFILE%\AppData\Local\Temp\OnboardLogs" /stypes="app*4062*20171117*" /stext=" 01:.+((SYSTEM_STATE.+slice.+state.+changed )|(ment ac)|(multiple cpu faults)|(system.+state.+changed )|(\[timeout)|(PRM\|1\|D)|(kpr)|(kdp)|(train st.+moving)|(\|lc)|(penalty))"</v>
      </c>
      <c r="AG124" s="181" t="str">
        <f t="shared" si="39"/>
        <v>EC</v>
      </c>
      <c r="AH124" s="78" t="str">
        <f t="shared" si="40"/>
        <v>"%USERPROFILE%\Documents\GitHub\eaglep3\Utilities\RefineRTDCRunTimes.py" --tripid 211-16 --locoid 4062 --swversion DE.1.0.9.0 --startMP 204:531 --initTime 2017-11-16T17:22:50 --startdatetime 2017-11-16T17:30:16 --delay 61 --endMP 204:233210 --enddatetime 2017-11-16T18:07:39 --enforcementcount 0 &gt;&gt;%USERPROFILE%\Documents\GitHub\eaglep3-reporting\EC\2017-11-16-refined-times.txt</v>
      </c>
      <c r="AI124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{"issue":{"subject":"","project_id":79,"tracker_id":40,"status_id":1,"priority_id":2,"assigned_to_id":338,"start_date":"2017-11-16","description":"","custom_fields":[{"id":1,"name":"Subdivision","value":"EC"},{"id":4,"name":"Milepost","value":"23.321"},{"id":17,"name":"Train ID","value":"211-16"},{"id":16,"name":"Locomotive ID","value":"4062"},{"id":130,"name":"Impact","value":""},{"id":150,"name":"Time of Event (Mountain Time)","value":"18:07:39"},{"id":151,"name":"Denver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1" t="str">
        <f t="shared" si="42"/>
        <v>start /low /b %USERPROFILE%\Documents\GitHub\eaglep3\Utilities\DownloadLogsFromS3.py --loco 4062 --day 2017-11-16</v>
      </c>
      <c r="AN124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7" t="str">
        <f t="shared" si="44"/>
        <v>https://d0f6bd738d7f1b3e5a7ca70fe4ff75f0.us-east-1.aws.found.io/app/kibana#/discover/Steve-Slow-Train-Analysis-(2080s-and-2083s)?_g=(refreshInterval:(display:Off,pause:!f,section:0,value:0),time:(from:'2017-11-16T16:22:50-0700',mode:absolute,to:'2017-11-16T19:07:39-0700'))&amp;_a=(columns:!('Message%20ID',Summary),filters:!(),index:'emp_*',interval:auto,query:(query_string:(analyze_wildcard:!t,query:'%22rtdc.l.rtdc.4062%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845</v>
      </c>
      <c r="B125" s="7">
        <v>4061</v>
      </c>
      <c r="C125" s="21" t="s">
        <v>192</v>
      </c>
      <c r="D125" s="21" t="s">
        <v>937</v>
      </c>
      <c r="E125" s="13">
        <v>43055.760868055557</v>
      </c>
      <c r="F125" s="13">
        <v>43055.768946759257</v>
      </c>
      <c r="G125" s="7">
        <v>65</v>
      </c>
      <c r="H125" s="21" t="s">
        <v>443</v>
      </c>
      <c r="I125" s="13">
        <v>43055.796238425923</v>
      </c>
      <c r="J125" s="7">
        <v>0</v>
      </c>
      <c r="K125" s="89" t="str">
        <f t="shared" si="31"/>
        <v>4061/4062</v>
      </c>
      <c r="L125" s="184" t="str">
        <f>VLOOKUP(A125,'Trips&amp;Operators'!$C$1:$G$99911,5,FALSE)</f>
        <v>LEVERE CRAIG</v>
      </c>
      <c r="M125" s="6">
        <f t="shared" si="32"/>
        <v>2.7291666665405501E-2</v>
      </c>
      <c r="N125" s="7">
        <f t="shared" si="56"/>
        <v>39.299999998183921</v>
      </c>
      <c r="O125" s="7"/>
      <c r="P125" s="7"/>
      <c r="Q125" s="22"/>
      <c r="R125" s="173"/>
      <c r="S125" s="220">
        <f t="shared" si="57"/>
        <v>1</v>
      </c>
      <c r="T125" s="173" t="str">
        <f t="shared" si="33"/>
        <v>Southbound</v>
      </c>
      <c r="U125" s="19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5" t="str">
        <f t="shared" si="34"/>
        <v>https://d0f6bd738d7f1b3e5a7ca70fe4ff75f0.us-east-1.aws.found.io/app/kibana#/discover/Steve-Slow-Train-Analysis-(2080s-and-2083s)?_g=(refreshInterval:(display:Off,pause:!f,section:0,value:0),time:(from:'2017-11-16T17:15:39-0700',mode:absolute,to:'2017-11-16T20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5" s="203" t="str">
        <f>IF(AA125&lt;VLOOKUP(AG125,Variables!$AC$3:$AD$8,2,FALSE),"Y","N")</f>
        <v>N</v>
      </c>
      <c r="X125" s="203">
        <f t="shared" si="60"/>
        <v>1</v>
      </c>
      <c r="Y125" s="203">
        <f t="shared" si="58"/>
        <v>23.2913</v>
      </c>
      <c r="Z125" s="203">
        <f t="shared" si="59"/>
        <v>2.3599999999999999E-2</v>
      </c>
      <c r="AA125" s="203">
        <f t="shared" si="35"/>
        <v>23.267700000000001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8">
        <f t="shared" si="36"/>
        <v>212</v>
      </c>
      <c r="AE125" s="77" t="str">
        <f t="shared" si="37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125" s="74" t="str">
        <f t="shared" si="38"/>
        <v>"C:\Program Files (x86)\AstroGrep\AstroGrep.exe" /e /r /s /spath="%USERPROFILE%\AppData\Local\Temp\OnboardLogs" /stypes="app*4061*20171117*" /stext=" 02:.+((SYSTEM_STATE.+slice.+state.+changed )|(ment ac)|(multiple cpu faults)|(system.+state.+changed )|(\[timeout)|(PRM\|1\|D)|(kpr)|(kdp)|(train st.+moving)|(\|lc)|(penalty))"</v>
      </c>
      <c r="AG125" s="181" t="str">
        <f t="shared" si="39"/>
        <v>EC</v>
      </c>
      <c r="AH125" s="78" t="str">
        <f t="shared" si="40"/>
        <v>"%USERPROFILE%\Documents\GitHub\eaglep3\Utilities\RefineRTDCRunTimes.py" --tripid 212-16 --locoid 4061 --swversion DE.1.0.9.0 --startMP 204:232913 --initTime 2017-11-16T18:15:39 --startdatetime 2017-11-16T18:27:17 --delay 65 --endMP 204:236 --enddatetime 2017-11-16T19:06:35 --enforcementcount 0 &gt;&gt;%USERPROFILE%\Documents\GitHub\eaglep3-reporting\EC\2017-11-16-refined-times.txt</v>
      </c>
      <c r="AI125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{"issue":{"subject":"","project_id":79,"tracker_id":40,"status_id":1,"priority_id":2,"assigned_to_id":338,"start_date":"2017-11-16","description":"","custom_fields":[{"id":1,"name":"Subdivision","value":"EC"},{"id":4,"name":"Milepost","value":"0.0236"},{"id":17,"name":"Train ID","value":"212-16"},{"id":16,"name":"Locomotive ID","value":"4061"},{"id":130,"name":"Impact","value":""},{"id":150,"name":"Time of Event (Mountain Time)","value":"19:06:35"},{"id":151,"name":"Denver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1" t="str">
        <f t="shared" si="42"/>
        <v>start /low /b %USERPROFILE%\Documents\GitHub\eaglep3\Utilities\DownloadLogsFromS3.py --loco 4061 --day 2017-11-16</v>
      </c>
      <c r="AN125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7" t="str">
        <f t="shared" si="44"/>
        <v>https://d0f6bd738d7f1b3e5a7ca70fe4ff75f0.us-east-1.aws.found.io/app/kibana#/discover/Steve-Slow-Train-Analysis-(2080s-and-2083s)?_g=(refreshInterval:(display:Off,pause:!f,section:0,value:0),time:(from:'2017-11-16T17:15:39-0700',mode:absolute,to:'2017-11-16T20:06:35-0700'))&amp;_a=(columns:!('Message%20ID',Summary),filters:!(),index:'emp_*',interval:auto,query:(query_string:(analyze_wildcard:!t,query:'%22rtdc.l.rtdc.4061%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838</v>
      </c>
      <c r="B126" s="7">
        <v>4008</v>
      </c>
      <c r="C126" s="21" t="s">
        <v>192</v>
      </c>
      <c r="D126" s="21" t="s">
        <v>455</v>
      </c>
      <c r="E126" s="13">
        <v>43055.737627314818</v>
      </c>
      <c r="F126" s="13">
        <v>43055.739907407406</v>
      </c>
      <c r="G126" s="7">
        <v>97</v>
      </c>
      <c r="H126" s="21" t="s">
        <v>602</v>
      </c>
      <c r="I126" s="13">
        <v>43055.764745370368</v>
      </c>
      <c r="J126" s="7">
        <v>0</v>
      </c>
      <c r="K126" s="89" t="str">
        <f t="shared" si="31"/>
        <v>4007/4008</v>
      </c>
      <c r="L126" s="184" t="str">
        <f>VLOOKUP(A126,'Trips&amp;Operators'!$C$1:$G$99911,5,FALSE)</f>
        <v>LOZA FIDEL</v>
      </c>
      <c r="M126" s="6">
        <f t="shared" si="32"/>
        <v>2.4837962962919846E-2</v>
      </c>
      <c r="N126" s="7">
        <f t="shared" si="56"/>
        <v>35.766666666604578</v>
      </c>
      <c r="O126" s="7"/>
      <c r="P126" s="7"/>
      <c r="Q126" s="22"/>
      <c r="R126" s="173"/>
      <c r="S126" s="220">
        <f t="shared" si="57"/>
        <v>1</v>
      </c>
      <c r="T126" s="173" t="str">
        <f t="shared" si="33"/>
        <v>NorthBound</v>
      </c>
      <c r="U126" s="19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5" t="str">
        <f t="shared" si="34"/>
        <v>https://d0f6bd738d7f1b3e5a7ca70fe4ff75f0.us-east-1.aws.found.io/app/kibana#/discover/Steve-Slow-Train-Analysis-(2080s-and-2083s)?_g=(refreshInterval:(display:Off,pause:!f,section:0,value:0),time:(from:'2017-11-16T16:42:11-0700',mode:absolute,to:'2017-11-16T19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203" t="str">
        <f>IF(AA126&lt;VLOOKUP(AG126,Variables!$AC$3:$AD$8,2,FALSE),"Y","N")</f>
        <v>N</v>
      </c>
      <c r="X126" s="203">
        <f t="shared" si="60"/>
        <v>1</v>
      </c>
      <c r="Y126" s="203">
        <f t="shared" si="58"/>
        <v>5.28E-2</v>
      </c>
      <c r="Z126" s="203">
        <f t="shared" si="59"/>
        <v>23.323799999999999</v>
      </c>
      <c r="AA126" s="203">
        <f t="shared" si="35"/>
        <v>23.270999999999997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8">
        <f t="shared" si="36"/>
        <v>213</v>
      </c>
      <c r="AE126" s="77" t="str">
        <f t="shared" si="3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126" s="74" t="str">
        <f t="shared" si="38"/>
        <v>"C:\Program Files (x86)\AstroGrep\AstroGrep.exe" /e /r /s /spath="%USERPROFILE%\AppData\Local\Temp\OnboardLogs" /stypes="app*4008*20171117*" /stext=" 01:.+((SYSTEM_STATE.+slice.+state.+changed )|(ment ac)|(multiple cpu faults)|(system.+state.+changed )|(\[timeout)|(PRM\|1\|D)|(kpr)|(kdp)|(train st.+moving)|(\|lc)|(penalty))"</v>
      </c>
      <c r="AG126" s="181" t="str">
        <f t="shared" si="39"/>
        <v>EC</v>
      </c>
      <c r="AH126" s="78" t="str">
        <f t="shared" si="40"/>
        <v>"%USERPROFILE%\Documents\GitHub\eaglep3\Utilities\RefineRTDCRunTimes.py" --tripid 213-16 --locoid 4008 --swversion DE.1.0.9.0 --startMP 204:528 --initTime 2017-11-16T17:42:11 --startdatetime 2017-11-16T17:45:28 --delay 97 --endMP 204:233238 --enddatetime 2017-11-16T18:21:14 --enforcementcount 0 &gt;&gt;%USERPROFILE%\Documents\GitHub\eaglep3-reporting\EC\2017-11-16-refined-times.txt</v>
      </c>
      <c r="AI126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{"issue":{"subject":"","project_id":79,"tracker_id":40,"status_id":1,"priority_id":2,"assigned_to_id":338,"start_date":"2017-11-16","description":"","custom_fields":[{"id":1,"name":"Subdivision","value":"EC"},{"id":4,"name":"Milepost","value":"23.3238"},{"id":17,"name":"Train ID","value":"213-16"},{"id":16,"name":"Locomotive ID","value":"4008"},{"id":130,"name":"Impact","value":""},{"id":150,"name":"Time of Event (Mountain Time)","value":"18:21:14"},{"id":151,"name":"Denver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1" t="str">
        <f t="shared" si="42"/>
        <v>start /low /b %USERPROFILE%\Documents\GitHub\eaglep3\Utilities\DownloadLogsFromS3.py --loco 4008 --day 2017-11-16</v>
      </c>
      <c r="AN126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7" t="str">
        <f t="shared" si="44"/>
        <v>https://d0f6bd738d7f1b3e5a7ca70fe4ff75f0.us-east-1.aws.found.io/app/kibana#/discover/Steve-Slow-Train-Analysis-(2080s-and-2083s)?_g=(refreshInterval:(display:Off,pause:!f,section:0,value:0),time:(from:'2017-11-16T16:42:11-0700',mode:absolute,to:'2017-11-16T19:21:14-0700'))&amp;_a=(columns:!('Message%20ID',Summary),filters:!(),index:'emp_*',interval:auto,query:(query_string:(analyze_wildcard:!t,query:'%22rtdc.l.rtdc.4008%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849</v>
      </c>
      <c r="B127" s="7">
        <v>4007</v>
      </c>
      <c r="C127" s="21" t="s">
        <v>192</v>
      </c>
      <c r="D127" s="21" t="s">
        <v>942</v>
      </c>
      <c r="E127" s="13">
        <v>43055.775104166663</v>
      </c>
      <c r="F127" s="13">
        <v>43055.779351851852</v>
      </c>
      <c r="G127" s="7">
        <v>113</v>
      </c>
      <c r="H127" s="21" t="s">
        <v>506</v>
      </c>
      <c r="I127" s="13">
        <v>43055.8044212963</v>
      </c>
      <c r="J127" s="7">
        <v>0</v>
      </c>
      <c r="K127" s="89" t="str">
        <f t="shared" si="31"/>
        <v>4007/4008</v>
      </c>
      <c r="L127" s="184" t="str">
        <f>VLOOKUP(A127,'Trips&amp;Operators'!$C$1:$G$99911,5,FALSE)</f>
        <v>LOZA FIDEL</v>
      </c>
      <c r="M127" s="6">
        <f t="shared" si="32"/>
        <v>2.5069444447581191E-2</v>
      </c>
      <c r="N127" s="7">
        <f t="shared" si="56"/>
        <v>36.100000004516914</v>
      </c>
      <c r="O127" s="7"/>
      <c r="P127" s="7"/>
      <c r="Q127" s="22"/>
      <c r="R127" s="173"/>
      <c r="S127" s="220">
        <f t="shared" si="57"/>
        <v>1</v>
      </c>
      <c r="T127" s="173" t="str">
        <f t="shared" si="33"/>
        <v>Southbound</v>
      </c>
      <c r="U127" s="19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5" t="str">
        <f t="shared" si="34"/>
        <v>https://d0f6bd738d7f1b3e5a7ca70fe4ff75f0.us-east-1.aws.found.io/app/kibana#/discover/Steve-Slow-Train-Analysis-(2080s-and-2083s)?_g=(refreshInterval:(display:Off,pause:!f,section:0,value:0),time:(from:'2017-11-16T17:36:09-0700',mode:absolute,to:'2017-11-16T20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203" t="str">
        <f>IF(AA127&lt;VLOOKUP(AG127,Variables!$AC$3:$AD$8,2,FALSE),"Y","N")</f>
        <v>N</v>
      </c>
      <c r="X127" s="203">
        <f t="shared" si="60"/>
        <v>1</v>
      </c>
      <c r="Y127" s="203">
        <f t="shared" si="58"/>
        <v>23.292300000000001</v>
      </c>
      <c r="Z127" s="203">
        <f t="shared" si="59"/>
        <v>1.9099999999999999E-2</v>
      </c>
      <c r="AA127" s="203">
        <f t="shared" si="35"/>
        <v>23.273199999999999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8">
        <f t="shared" si="36"/>
        <v>214</v>
      </c>
      <c r="AE127" s="77" t="str">
        <f t="shared" si="37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127" s="74" t="str">
        <f t="shared" si="38"/>
        <v>"C:\Program Files (x86)\AstroGrep\AstroGrep.exe" /e /r /s /spath="%USERPROFILE%\AppData\Local\Temp\OnboardLogs" /stypes="app*4007*20171117*" /stext=" 02:.+((SYSTEM_STATE.+slice.+state.+changed )|(ment ac)|(multiple cpu faults)|(system.+state.+changed )|(\[timeout)|(PRM\|1\|D)|(kpr)|(kdp)|(train st.+moving)|(\|lc)|(penalty))"</v>
      </c>
      <c r="AG127" s="181" t="str">
        <f t="shared" si="39"/>
        <v>EC</v>
      </c>
      <c r="AH127" s="78" t="str">
        <f t="shared" si="40"/>
        <v>"%USERPROFILE%\Documents\GitHub\eaglep3\Utilities\RefineRTDCRunTimes.py" --tripid 214-16 --locoid 4007 --swversion DE.1.0.9.0 --startMP 204:232923 --initTime 2017-11-16T18:36:09 --startdatetime 2017-11-16T18:42:16 --delay 113 --endMP 204:191 --enddatetime 2017-11-16T19:18:22 --enforcementcount 0 &gt;&gt;%USERPROFILE%\Documents\GitHub\eaglep3-reporting\EC\2017-11-16-refined-times.txt</v>
      </c>
      <c r="AI127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{"issue":{"subject":"","project_id":79,"tracker_id":40,"status_id":1,"priority_id":2,"assigned_to_id":338,"start_date":"2017-11-16","description":"","custom_fields":[{"id":1,"name":"Subdivision","value":"EC"},{"id":4,"name":"Milepost","value":"0.0191"},{"id":17,"name":"Train ID","value":"214-16"},{"id":16,"name":"Locomotive ID","value":"4007"},{"id":130,"name":"Impact","value":""},{"id":150,"name":"Time of Event (Mountain Time)","value":"19:18:22"},{"id":151,"name":"Denver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1" t="str">
        <f t="shared" si="42"/>
        <v>start /low /b %USERPROFILE%\Documents\GitHub\eaglep3\Utilities\DownloadLogsFromS3.py --loco 4007 --day 2017-11-16</v>
      </c>
      <c r="AN127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7" t="str">
        <f t="shared" si="44"/>
        <v>https://d0f6bd738d7f1b3e5a7ca70fe4ff75f0.us-east-1.aws.found.io/app/kibana#/discover/Steve-Slow-Train-Analysis-(2080s-and-2083s)?_g=(refreshInterval:(display:Off,pause:!f,section:0,value:0),time:(from:'2017-11-16T17:36:09-0700',mode:absolute,to:'2017-11-16T20:18:22-0700'))&amp;_a=(columns:!('Message%20ID',Summary),filters:!(),index:'emp_*',interval:auto,query:(query_string:(analyze_wildcard:!t,query:'%22rtdc.l.rtdc.4007%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667</v>
      </c>
      <c r="B128" s="7">
        <v>4016</v>
      </c>
      <c r="C128" s="21" t="s">
        <v>192</v>
      </c>
      <c r="D128" s="21" t="s">
        <v>964</v>
      </c>
      <c r="E128" s="13">
        <v>43055.745763888888</v>
      </c>
      <c r="F128" s="13">
        <v>43055.750347222223</v>
      </c>
      <c r="G128" s="7">
        <v>60</v>
      </c>
      <c r="H128" s="21" t="s">
        <v>630</v>
      </c>
      <c r="I128" s="13">
        <v>43055.774282407408</v>
      </c>
      <c r="J128" s="7">
        <v>0</v>
      </c>
      <c r="K128" s="89" t="str">
        <f t="shared" si="31"/>
        <v>4015/4016</v>
      </c>
      <c r="L128" s="184" t="str">
        <f>VLOOKUP(A128,'Trips&amp;Operators'!$C$1:$G$99911,5,FALSE)</f>
        <v>HOLCOMB KAMDEN</v>
      </c>
      <c r="M128" s="6">
        <f t="shared" si="32"/>
        <v>2.3935185185109731E-2</v>
      </c>
      <c r="N128" s="7">
        <f t="shared" si="56"/>
        <v>34.466666666558012</v>
      </c>
      <c r="O128" s="7"/>
      <c r="P128" s="7"/>
      <c r="Q128" s="22"/>
      <c r="R128" s="173"/>
      <c r="S128" s="220">
        <f t="shared" si="57"/>
        <v>1</v>
      </c>
      <c r="T128" s="173" t="str">
        <f t="shared" si="33"/>
        <v>NorthBound</v>
      </c>
      <c r="U128" s="19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5" t="str">
        <f t="shared" si="34"/>
        <v>https://d0f6bd738d7f1b3e5a7ca70fe4ff75f0.us-east-1.aws.found.io/app/kibana#/discover/Steve-Slow-Train-Analysis-(2080s-and-2083s)?_g=(refreshInterval:(display:Off,pause:!f,section:0,value:0),time:(from:'2017-11-16T16:53:54-0700',mode:absolute,to:'2017-11-16T19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03" t="str">
        <f>IF(AA128&lt;VLOOKUP(AG128,Variables!$AC$3:$AD$8,2,FALSE),"Y","N")</f>
        <v>N</v>
      </c>
      <c r="X128" s="203">
        <f t="shared" si="60"/>
        <v>1</v>
      </c>
      <c r="Y128" s="203">
        <f t="shared" si="58"/>
        <v>5.4800000000000001E-2</v>
      </c>
      <c r="Z128" s="203">
        <f t="shared" si="59"/>
        <v>23.325299999999999</v>
      </c>
      <c r="AA128" s="203">
        <f t="shared" si="35"/>
        <v>23.270499999999998</v>
      </c>
      <c r="AB128" s="54" t="str">
        <f>VLOOKUP(A128,Enforcements!$C$7:$K$9,8,0)</f>
        <v>Speed (6)</v>
      </c>
      <c r="AC128" s="51" t="str">
        <f>VLOOKUP(A128,Enforcements!$C$7:$E$9,3,0)</f>
        <v>PERMANENT SPEED RESTRICTION</v>
      </c>
      <c r="AD128" s="178">
        <f t="shared" si="36"/>
        <v>215</v>
      </c>
      <c r="AE128" s="77" t="str">
        <f t="shared" si="37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128" s="74" t="str">
        <f t="shared" si="38"/>
        <v>"C:\Program Files (x86)\AstroGrep\AstroGrep.exe" /e /r /s /spath="%USERPROFILE%\AppData\Local\Temp\OnboardLogs" /stypes="app*4016*20171117*" /stext=" 01:.+((SYSTEM_STATE.+slice.+state.+changed )|(ment ac)|(multiple cpu faults)|(system.+state.+changed )|(\[timeout)|(PRM\|1\|D)|(kpr)|(kdp)|(train st.+moving)|(\|lc)|(penalty))"</v>
      </c>
      <c r="AG128" s="181" t="str">
        <f t="shared" si="39"/>
        <v>EC</v>
      </c>
      <c r="AH128" s="78" t="str">
        <f t="shared" si="40"/>
        <v>"%USERPROFILE%\Documents\GitHub\eaglep3\Utilities\RefineRTDCRunTimes.py" --tripid 215-16 --locoid 4016 --swversion DE.1.0.9.0 --startMP 204:548 --initTime 2017-11-16T17:53:54 --startdatetime 2017-11-16T18:00:30 --delay 60 --endMP 204:233253 --enddatetime 2017-11-16T18:34:58 --enforcementcount 0 &gt;&gt;%USERPROFILE%\Documents\GitHub\eaglep3-reporting\EC\2017-11-16-refined-times.txt</v>
      </c>
      <c r="AI12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{"issue":{"subject":"","project_id":79,"tracker_id":40,"status_id":1,"priority_id":2,"assigned_to_id":338,"start_date":"2017-11-16","description":"","custom_fields":[{"id":1,"name":"Subdivision","value":"EC"},{"id":4,"name":"Milepost","value":"23.3253"},{"id":17,"name":"Train ID","value":"215-16"},{"id":16,"name":"Locomotive ID","value":"4016"},{"id":130,"name":"Impact","value":""},{"id":150,"name":"Time of Event (Mountain Time)","value":"18:34:58"},{"id":151,"name":"Denver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1" t="str">
        <f t="shared" si="42"/>
        <v>start /low /b %USERPROFILE%\Documents\GitHub\eaglep3\Utilities\DownloadLogsFromS3.py --loco 4016 --day 2017-11-16</v>
      </c>
      <c r="AN128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7" t="str">
        <f t="shared" si="44"/>
        <v>https://d0f6bd738d7f1b3e5a7ca70fe4ff75f0.us-east-1.aws.found.io/app/kibana#/discover/Steve-Slow-Train-Analysis-(2080s-and-2083s)?_g=(refreshInterval:(display:Off,pause:!f,section:0,value:0),time:(from:'2017-11-16T16:53:54-0700',mode:absolute,to:'2017-11-16T19:34:58-0700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852</v>
      </c>
      <c r="B129" s="7">
        <v>4015</v>
      </c>
      <c r="C129" s="21" t="s">
        <v>192</v>
      </c>
      <c r="D129" s="21" t="s">
        <v>931</v>
      </c>
      <c r="E129" s="13">
        <v>43055.786666666667</v>
      </c>
      <c r="F129" s="13">
        <v>43055.789861111109</v>
      </c>
      <c r="G129" s="7">
        <v>67</v>
      </c>
      <c r="H129" s="21" t="s">
        <v>965</v>
      </c>
      <c r="I129" s="13">
        <v>43055.814988425926</v>
      </c>
      <c r="J129" s="7">
        <v>0</v>
      </c>
      <c r="K129" s="89" t="str">
        <f t="shared" si="31"/>
        <v>4015/4016</v>
      </c>
      <c r="L129" s="184" t="str">
        <f>VLOOKUP(A129,'Trips&amp;Operators'!$C$1:$G$99911,5,FALSE)</f>
        <v>HOLCOMB KAMDEN</v>
      </c>
      <c r="M129" s="6">
        <f t="shared" si="32"/>
        <v>2.5127314816927537E-2</v>
      </c>
      <c r="N129" s="7">
        <f t="shared" si="56"/>
        <v>36.183333336375654</v>
      </c>
      <c r="O129" s="7"/>
      <c r="P129" s="7"/>
      <c r="Q129" s="22"/>
      <c r="R129" s="173"/>
      <c r="S129" s="220">
        <f t="shared" si="57"/>
        <v>1</v>
      </c>
      <c r="T129" s="173" t="str">
        <f t="shared" si="33"/>
        <v>Southbound</v>
      </c>
      <c r="U129" s="19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5" t="str">
        <f t="shared" si="34"/>
        <v>https://d0f6bd738d7f1b3e5a7ca70fe4ff75f0.us-east-1.aws.found.io/app/kibana#/discover/Steve-Slow-Train-Analysis-(2080s-and-2083s)?_g=(refreshInterval:(display:Off,pause:!f,section:0,value:0),time:(from:'2017-11-16T17:52:48-0700',mode:absolute,to:'2017-11-16T20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03" t="str">
        <f>IF(AA129&lt;VLOOKUP(AG129,Variables!$AC$3:$AD$8,2,FALSE),"Y","N")</f>
        <v>N</v>
      </c>
      <c r="X129" s="203">
        <f t="shared" si="60"/>
        <v>1</v>
      </c>
      <c r="Y129" s="203">
        <f t="shared" si="58"/>
        <v>23.2928</v>
      </c>
      <c r="Z129" s="203">
        <f t="shared" si="59"/>
        <v>8.3500000000000005E-2</v>
      </c>
      <c r="AA129" s="203">
        <f t="shared" si="35"/>
        <v>23.209299999999999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8">
        <f t="shared" si="36"/>
        <v>216</v>
      </c>
      <c r="AE129" s="77" t="str">
        <f t="shared" si="37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129" s="74" t="str">
        <f t="shared" si="38"/>
        <v>"C:\Program Files (x86)\AstroGrep\AstroGrep.exe" /e /r /s /spath="%USERPROFILE%\AppData\Local\Temp\OnboardLogs" /stypes="app*4015*20171117*" /stext=" 02:.+((SYSTEM_STATE.+slice.+state.+changed )|(ment ac)|(multiple cpu faults)|(system.+state.+changed )|(\[timeout)|(PRM\|1\|D)|(kpr)|(kdp)|(train st.+moving)|(\|lc)|(penalty))"</v>
      </c>
      <c r="AG129" s="181" t="str">
        <f t="shared" si="39"/>
        <v>EC</v>
      </c>
      <c r="AH129" s="78" t="str">
        <f t="shared" si="40"/>
        <v>"%USERPROFILE%\Documents\GitHub\eaglep3\Utilities\RefineRTDCRunTimes.py" --tripid 216-16 --locoid 4015 --swversion DE.1.0.9.0 --startMP 204:232928 --initTime 2017-11-16T18:52:48 --startdatetime 2017-11-16T18:57:24 --delay 67 --endMP 204:835 --enddatetime 2017-11-16T19:33:35 --enforcementcount 0 &gt;&gt;%USERPROFILE%\Documents\GitHub\eaglep3-reporting\EC\2017-11-16-refined-times.txt</v>
      </c>
      <c r="AI12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{"issue":{"subject":"","project_id":79,"tracker_id":40,"status_id":1,"priority_id":2,"assigned_to_id":338,"start_date":"2017-11-16","description":"","custom_fields":[{"id":1,"name":"Subdivision","value":"EC"},{"id":4,"name":"Milepost","value":"0.0835"},{"id":17,"name":"Train ID","value":"216-16"},{"id":16,"name":"Locomotive ID","value":"4015"},{"id":130,"name":"Impact","value":""},{"id":150,"name":"Time of Event (Mountain Time)","value":"19:33:35"},{"id":151,"name":"Denver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1" t="str">
        <f t="shared" si="42"/>
        <v>start /low /b %USERPROFILE%\Documents\GitHub\eaglep3\Utilities\DownloadLogsFromS3.py --loco 4015 --day 2017-11-16</v>
      </c>
      <c r="AN129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7" t="str">
        <f t="shared" si="44"/>
        <v>https://d0f6bd738d7f1b3e5a7ca70fe4ff75f0.us-east-1.aws.found.io/app/kibana#/discover/Steve-Slow-Train-Analysis-(2080s-and-2083s)?_g=(refreshInterval:(display:Off,pause:!f,section:0,value:0),time:(from:'2017-11-16T17:52:48-0700',mode:absolute,to:'2017-11-16T20:33:35-0700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842</v>
      </c>
      <c r="B130" s="7">
        <v>4004</v>
      </c>
      <c r="C130" s="21" t="s">
        <v>192</v>
      </c>
      <c r="D130" s="21" t="s">
        <v>503</v>
      </c>
      <c r="E130" s="13">
        <v>43055.754594907405</v>
      </c>
      <c r="F130" s="13">
        <v>43055.760555555556</v>
      </c>
      <c r="G130" s="7">
        <v>108</v>
      </c>
      <c r="H130" s="21" t="s">
        <v>966</v>
      </c>
      <c r="I130" s="13">
        <v>43055.785243055558</v>
      </c>
      <c r="J130" s="7">
        <v>0</v>
      </c>
      <c r="K130" s="89" t="str">
        <f t="shared" si="31"/>
        <v>4003/4004</v>
      </c>
      <c r="L130" s="184" t="str">
        <f>VLOOKUP(A130,'Trips&amp;Operators'!$C$1:$G$99911,5,FALSE)</f>
        <v>ELBAUM MIKE</v>
      </c>
      <c r="M130" s="6">
        <f t="shared" si="32"/>
        <v>2.4687500001164153E-2</v>
      </c>
      <c r="N130" s="7">
        <f t="shared" si="56"/>
        <v>35.550000001676381</v>
      </c>
      <c r="O130" s="7"/>
      <c r="P130" s="7"/>
      <c r="Q130" s="22"/>
      <c r="R130" s="173"/>
      <c r="S130" s="220">
        <f t="shared" si="57"/>
        <v>1</v>
      </c>
      <c r="T130" s="173" t="str">
        <f t="shared" si="33"/>
        <v>NorthBound</v>
      </c>
      <c r="U130" s="19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5" t="str">
        <f t="shared" si="34"/>
        <v>https://d0f6bd738d7f1b3e5a7ca70fe4ff75f0.us-east-1.aws.found.io/app/kibana#/discover/Steve-Slow-Train-Analysis-(2080s-and-2083s)?_g=(refreshInterval:(display:Off,pause:!f,section:0,value:0),time:(from:'2017-11-16T17:06:37-0700',mode:absolute,to:'2017-11-16T19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203" t="str">
        <f>IF(AA130&lt;VLOOKUP(AG130,Variables!$AC$3:$AD$8,2,FALSE),"Y","N")</f>
        <v>N</v>
      </c>
      <c r="X130" s="203">
        <f t="shared" si="60"/>
        <v>1</v>
      </c>
      <c r="Y130" s="203">
        <f t="shared" si="58"/>
        <v>5.2200000000000003E-2</v>
      </c>
      <c r="Z130" s="203">
        <f t="shared" si="59"/>
        <v>23.3264</v>
      </c>
      <c r="AA130" s="203">
        <f t="shared" si="35"/>
        <v>23.2742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8">
        <f t="shared" si="36"/>
        <v>217</v>
      </c>
      <c r="AE130" s="77" t="str">
        <f t="shared" si="37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130" s="74" t="str">
        <f t="shared" si="38"/>
        <v>"C:\Program Files (x86)\AstroGrep\AstroGrep.exe" /e /r /s /spath="%USERPROFILE%\AppData\Local\Temp\OnboardLogs" /stypes="app*4004*20171117*" /stext=" 01:.+((SYSTEM_STATE.+slice.+state.+changed )|(ment ac)|(multiple cpu faults)|(system.+state.+changed )|(\[timeout)|(PRM\|1\|D)|(kpr)|(kdp)|(train st.+moving)|(\|lc)|(penalty))"</v>
      </c>
      <c r="AG130" s="181" t="str">
        <f t="shared" si="39"/>
        <v>EC</v>
      </c>
      <c r="AH130" s="78" t="str">
        <f t="shared" si="40"/>
        <v>"%USERPROFILE%\Documents\GitHub\eaglep3\Utilities\RefineRTDCRunTimes.py" --tripid 217-16 --locoid 4004 --swversion DE.1.0.9.0 --startMP 204:522 --initTime 2017-11-16T18:06:37 --startdatetime 2017-11-16T18:15:12 --delay 108 --endMP 204:233264 --enddatetime 2017-11-16T18:50:45 --enforcementcount 0 &gt;&gt;%USERPROFILE%\Documents\GitHub\eaglep3-reporting\EC\2017-11-16-refined-times.txt</v>
      </c>
      <c r="AI13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{"issue":{"subject":"","project_id":79,"tracker_id":40,"status_id":1,"priority_id":2,"assigned_to_id":338,"start_date":"2017-11-16","description":"","custom_fields":[{"id":1,"name":"Subdivision","value":"EC"},{"id":4,"name":"Milepost","value":"23.3264"},{"id":17,"name":"Train ID","value":"217-16"},{"id":16,"name":"Locomotive ID","value":"4004"},{"id":130,"name":"Impact","value":""},{"id":150,"name":"Time of Event (Mountain Time)","value":"18:50:45"},{"id":151,"name":"Denver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1" t="str">
        <f t="shared" si="42"/>
        <v>start /low /b %USERPROFILE%\Documents\GitHub\eaglep3\Utilities\DownloadLogsFromS3.py --loco 4004 --day 2017-11-16</v>
      </c>
      <c r="AN130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7" t="str">
        <f t="shared" si="44"/>
        <v>https://d0f6bd738d7f1b3e5a7ca70fe4ff75f0.us-east-1.aws.found.io/app/kibana#/discover/Steve-Slow-Train-Analysis-(2080s-and-2083s)?_g=(refreshInterval:(display:Off,pause:!f,section:0,value:0),time:(from:'2017-11-16T17:06:37-0700',mode:absolute,to:'2017-11-16T19:50:45-0700'))&amp;_a=(columns:!('Message%20ID',Summary),filters:!(),index:'emp_*',interval:auto,query:(query_string:(analyze_wildcard:!t,query:'%22rtdc.l.rtdc.4004%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851</v>
      </c>
      <c r="B131" s="7">
        <v>4003</v>
      </c>
      <c r="C131" s="21" t="s">
        <v>192</v>
      </c>
      <c r="D131" s="21" t="s">
        <v>967</v>
      </c>
      <c r="E131" s="13">
        <v>43055.78633101852</v>
      </c>
      <c r="F131" s="13">
        <v>43055.800138888888</v>
      </c>
      <c r="G131" s="7">
        <v>65</v>
      </c>
      <c r="H131" s="21" t="s">
        <v>968</v>
      </c>
      <c r="I131" s="13">
        <v>43055.825127314813</v>
      </c>
      <c r="J131" s="7">
        <v>0</v>
      </c>
      <c r="K131" s="89" t="str">
        <f t="shared" si="31"/>
        <v>4003/4004</v>
      </c>
      <c r="L131" s="184" t="str">
        <f>VLOOKUP(A131,'Trips&amp;Operators'!$C$1:$G$99911,5,FALSE)</f>
        <v>ELBAUM MIKE</v>
      </c>
      <c r="M131" s="6">
        <f t="shared" si="32"/>
        <v>2.4988425924675539E-2</v>
      </c>
      <c r="N131" s="7">
        <f t="shared" si="56"/>
        <v>35.983333331532776</v>
      </c>
      <c r="O131" s="7"/>
      <c r="P131" s="7"/>
      <c r="Q131" s="22"/>
      <c r="R131" s="173"/>
      <c r="S131" s="220">
        <f t="shared" si="57"/>
        <v>1</v>
      </c>
      <c r="T131" s="173" t="str">
        <f t="shared" si="33"/>
        <v>Southbound</v>
      </c>
      <c r="U131" s="19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5" t="str">
        <f t="shared" si="34"/>
        <v>https://d0f6bd738d7f1b3e5a7ca70fe4ff75f0.us-east-1.aws.found.io/app/kibana#/discover/Steve-Slow-Train-Analysis-(2080s-and-2083s)?_g=(refreshInterval:(display:Off,pause:!f,section:0,value:0),time:(from:'2017-11-16T17:52:19-0700',mode:absolute,to:'2017-11-16T20:48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203" t="str">
        <f>IF(AA131&lt;VLOOKUP(AG131,Variables!$AC$3:$AD$8,2,FALSE),"Y","N")</f>
        <v>N</v>
      </c>
      <c r="X131" s="203">
        <f t="shared" si="60"/>
        <v>1</v>
      </c>
      <c r="Y131" s="203">
        <f t="shared" si="58"/>
        <v>23.295200000000001</v>
      </c>
      <c r="Z131" s="203">
        <f t="shared" si="59"/>
        <v>2.7799999999999998E-2</v>
      </c>
      <c r="AA131" s="203">
        <f t="shared" si="35"/>
        <v>23.267400000000002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8">
        <f t="shared" si="36"/>
        <v>218</v>
      </c>
      <c r="AE131" s="77" t="str">
        <f t="shared" si="37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131" s="74" t="str">
        <f t="shared" si="38"/>
        <v>"C:\Program Files (x86)\AstroGrep\AstroGrep.exe" /e /r /s /spath="%USERPROFILE%\AppData\Local\Temp\OnboardLogs" /stypes="app*4003*20171117*" /stext=" 02:.+((SYSTEM_STATE.+slice.+state.+changed )|(ment ac)|(multiple cpu faults)|(system.+state.+changed )|(\[timeout)|(PRM\|1\|D)|(kpr)|(kdp)|(train st.+moving)|(\|lc)|(penalty))"</v>
      </c>
      <c r="AG131" s="181" t="str">
        <f t="shared" si="39"/>
        <v>EC</v>
      </c>
      <c r="AH131" s="78" t="str">
        <f t="shared" si="40"/>
        <v>"%USERPROFILE%\Documents\GitHub\eaglep3\Utilities\RefineRTDCRunTimes.py" --tripid 218-16 --locoid 4003 --swversion DE.1.0.9.0 --startMP 204:232952 --initTime 2017-11-16T18:52:19 --startdatetime 2017-11-16T19:12:12 --delay 65 --endMP 204:278 --enddatetime 2017-11-16T19:48:11 --enforcementcount 0 &gt;&gt;%USERPROFILE%\Documents\GitHub\eaglep3-reporting\EC\2017-11-16-refined-times.txt</v>
      </c>
      <c r="AI131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{"issue":{"subject":"","project_id":79,"tracker_id":40,"status_id":1,"priority_id":2,"assigned_to_id":338,"start_date":"2017-11-16","description":"","custom_fields":[{"id":1,"name":"Subdivision","value":"EC"},{"id":4,"name":"Milepost","value":"0.0278"},{"id":17,"name":"Train ID","value":"218-16"},{"id":16,"name":"Locomotive ID","value":"4003"},{"id":130,"name":"Impact","value":""},{"id":150,"name":"Time of Event (Mountain Time)","value":"19:48:11"},{"id":151,"name":"Denver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1" t="str">
        <f t="shared" si="42"/>
        <v>start /low /b %USERPROFILE%\Documents\GitHub\eaglep3\Utilities\DownloadLogsFromS3.py --loco 4003 --day 2017-11-16</v>
      </c>
      <c r="AN131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02:48:11"},{"id":29,"name":"Sharepoint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7" t="str">
        <f t="shared" si="44"/>
        <v>https://d0f6bd738d7f1b3e5a7ca70fe4ff75f0.us-east-1.aws.found.io/app/kibana#/discover/Steve-Slow-Train-Analysis-(2080s-and-2083s)?_g=(refreshInterval:(display:Off,pause:!f,section:0,value:0),time:(from:'2017-11-16T17:52:19-0700',mode:absolute,to:'2017-11-16T20:48:11-0700'))&amp;_a=(columns:!('Message%20ID',Summary),filters:!(),index:'emp_*',interval:auto,query:(query_string:(analyze_wildcard:!t,query:'%22rtdc.l.rtdc.4003%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848</v>
      </c>
      <c r="B132" s="7">
        <v>4018</v>
      </c>
      <c r="C132" s="21" t="s">
        <v>192</v>
      </c>
      <c r="D132" s="21" t="s">
        <v>564</v>
      </c>
      <c r="E132" s="13">
        <v>43055.767187500001</v>
      </c>
      <c r="F132" s="13">
        <v>43055.77103009259</v>
      </c>
      <c r="G132" s="7">
        <v>88</v>
      </c>
      <c r="H132" s="21" t="s">
        <v>969</v>
      </c>
      <c r="I132" s="13">
        <v>43055.796493055554</v>
      </c>
      <c r="J132" s="7">
        <v>0</v>
      </c>
      <c r="K132" s="89" t="str">
        <f t="shared" si="31"/>
        <v>4017/4018</v>
      </c>
      <c r="L132" s="184" t="str">
        <f>VLOOKUP(A132,'Trips&amp;Operators'!$C$1:$G$99911,5,FALSE)</f>
        <v>NICHOLSON WESLEY</v>
      </c>
      <c r="M132" s="6">
        <f t="shared" si="32"/>
        <v>2.5462962963501923E-2</v>
      </c>
      <c r="N132" s="7">
        <f t="shared" si="56"/>
        <v>36.666666667442769</v>
      </c>
      <c r="O132" s="7"/>
      <c r="P132" s="7"/>
      <c r="Q132" s="22"/>
      <c r="R132" s="173"/>
      <c r="S132" s="220">
        <f t="shared" si="57"/>
        <v>1</v>
      </c>
      <c r="T132" s="173" t="str">
        <f t="shared" si="33"/>
        <v>NorthBound</v>
      </c>
      <c r="U132" s="19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5" t="str">
        <f t="shared" si="34"/>
        <v>https://d0f6bd738d7f1b3e5a7ca70fe4ff75f0.us-east-1.aws.found.io/app/kibana#/discover/Steve-Slow-Train-Analysis-(2080s-and-2083s)?_g=(refreshInterval:(display:Off,pause:!f,section:0,value:0),time:(from:'2017-11-16T17:24:45-0700',mode:absolute,to:'2017-11-16T20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203" t="str">
        <f>IF(AA132&lt;VLOOKUP(AG132,Variables!$AC$3:$AD$8,2,FALSE),"Y","N")</f>
        <v>N</v>
      </c>
      <c r="X132" s="203">
        <f t="shared" si="60"/>
        <v>1</v>
      </c>
      <c r="Y132" s="203">
        <f t="shared" si="58"/>
        <v>5.3499999999999999E-2</v>
      </c>
      <c r="Z132" s="203">
        <f t="shared" si="59"/>
        <v>23.319099999999999</v>
      </c>
      <c r="AA132" s="203">
        <f t="shared" si="35"/>
        <v>23.265599999999999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8">
        <f t="shared" si="36"/>
        <v>219</v>
      </c>
      <c r="AE132" s="77" t="str">
        <f t="shared" si="37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132" s="74" t="str">
        <f t="shared" si="38"/>
        <v>"C:\Program Files (x86)\AstroGrep\AstroGrep.exe" /e /r /s /spath="%USERPROFILE%\AppData\Local\Temp\OnboardLogs" /stypes="app*4018*20171117*" /stext=" 02:.+((SYSTEM_STATE.+slice.+state.+changed )|(ment ac)|(multiple cpu faults)|(system.+state.+changed )|(\[timeout)|(PRM\|1\|D)|(kpr)|(kdp)|(train st.+moving)|(\|lc)|(penalty))"</v>
      </c>
      <c r="AG132" s="181" t="str">
        <f t="shared" si="39"/>
        <v>EC</v>
      </c>
      <c r="AH132" s="78" t="str">
        <f t="shared" si="40"/>
        <v>"%USERPROFILE%\Documents\GitHub\eaglep3\Utilities\RefineRTDCRunTimes.py" --tripid 219-16 --locoid 4018 --swversion DE.1.0.9.0 --startMP 204:535 --initTime 2017-11-16T18:24:45 --startdatetime 2017-11-16T18:30:17 --delay 88 --endMP 204:233191 --enddatetime 2017-11-16T19:06:57 --enforcementcount 0 &gt;&gt;%USERPROFILE%\Documents\GitHub\eaglep3-reporting\EC\2017-11-16-refined-times.txt</v>
      </c>
      <c r="AI132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{"issue":{"subject":"","project_id":79,"tracker_id":40,"status_id":1,"priority_id":2,"assigned_to_id":338,"start_date":"2017-11-16","description":"","custom_fields":[{"id":1,"name":"Subdivision","value":"EC"},{"id":4,"name":"Milepost","value":"23.3191"},{"id":17,"name":"Train ID","value":"219-16"},{"id":16,"name":"Locomotive ID","value":"4018"},{"id":130,"name":"Impact","value":""},{"id":150,"name":"Time of Event (Mountain Time)","value":"19:06:57"},{"id":151,"name":"Denver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1" t="str">
        <f t="shared" si="42"/>
        <v>start /low /b %USERPROFILE%\Documents\GitHub\eaglep3\Utilities\DownloadLogsFromS3.py --loco 4018 --day 2017-11-16</v>
      </c>
      <c r="AN132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7" t="str">
        <f t="shared" si="44"/>
        <v>https://d0f6bd738d7f1b3e5a7ca70fe4ff75f0.us-east-1.aws.found.io/app/kibana#/discover/Steve-Slow-Train-Analysis-(2080s-and-2083s)?_g=(refreshInterval:(display:Off,pause:!f,section:0,value:0),time:(from:'2017-11-16T17:24:45-0700',mode:absolute,to:'2017-11-16T20:06:57-0700'))&amp;_a=(columns:!('Message%20ID',Summary),filters:!(),index:'emp_*',interval:auto,query:(query_string:(analyze_wildcard:!t,query:'%22rtdc.l.rtdc.4018%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857</v>
      </c>
      <c r="B133" s="7">
        <v>4017</v>
      </c>
      <c r="C133" s="21" t="s">
        <v>192</v>
      </c>
      <c r="D133" s="21" t="s">
        <v>629</v>
      </c>
      <c r="E133" s="13">
        <v>43055.805393518516</v>
      </c>
      <c r="F133" s="13">
        <v>43055.811122685183</v>
      </c>
      <c r="G133" s="7">
        <v>115</v>
      </c>
      <c r="H133" s="21" t="s">
        <v>457</v>
      </c>
      <c r="I133" s="13">
        <v>43055.838703703703</v>
      </c>
      <c r="J133" s="7">
        <v>0</v>
      </c>
      <c r="K133" s="89" t="str">
        <f t="shared" si="31"/>
        <v>4017/4018</v>
      </c>
      <c r="L133" s="184" t="str">
        <f>VLOOKUP(A133,'Trips&amp;Operators'!$C$1:$G$99911,5,FALSE)</f>
        <v>NICHOLSON WESLEY</v>
      </c>
      <c r="M133" s="6">
        <f t="shared" si="32"/>
        <v>2.7581018519413192E-2</v>
      </c>
      <c r="N133" s="7">
        <f t="shared" si="56"/>
        <v>39.716666667954996</v>
      </c>
      <c r="O133" s="7"/>
      <c r="P133" s="7"/>
      <c r="Q133" s="22"/>
      <c r="R133" s="173" t="s">
        <v>1106</v>
      </c>
      <c r="S133" s="220">
        <f t="shared" si="57"/>
        <v>1</v>
      </c>
      <c r="T133" s="173" t="str">
        <f t="shared" si="33"/>
        <v>Southbound</v>
      </c>
      <c r="U133" s="19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5" t="str">
        <f t="shared" si="34"/>
        <v>https://d0f6bd738d7f1b3e5a7ca70fe4ff75f0.us-east-1.aws.found.io/app/kibana#/discover/Steve-Slow-Train-Analysis-(2080s-and-2083s)?_g=(refreshInterval:(display:Off,pause:!f,section:0,value:0),time:(from:'2017-11-16T18:19:46-0700',mode:absolute,to:'2017-11-16T21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203" t="str">
        <f>IF(AA133&lt;VLOOKUP(AG133,Variables!$AC$3:$AD$8,2,FALSE),"Y","N")</f>
        <v>N</v>
      </c>
      <c r="X133" s="203">
        <f t="shared" si="60"/>
        <v>1</v>
      </c>
      <c r="Y133" s="203">
        <f t="shared" si="58"/>
        <v>23.288499999999999</v>
      </c>
      <c r="Z133" s="203">
        <f t="shared" si="59"/>
        <v>2.0899999999999998E-2</v>
      </c>
      <c r="AA133" s="203">
        <f t="shared" si="35"/>
        <v>23.267599999999998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8">
        <f t="shared" si="36"/>
        <v>220</v>
      </c>
      <c r="AE133" s="77" t="str">
        <f t="shared" si="37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133" s="74" t="str">
        <f t="shared" si="38"/>
        <v>"C:\Program Files (x86)\AstroGrep\AstroGrep.exe" /e /r /s /spath="%USERPROFILE%\AppData\Local\Temp\OnboardLogs" /stypes="app*4017*20171117*" /stext=" 03:.+((SYSTEM_STATE.+slice.+state.+changed )|(ment ac)|(multiple cpu faults)|(system.+state.+changed )|(\[timeout)|(PRM\|1\|D)|(kpr)|(kdp)|(train st.+moving)|(\|lc)|(penalty))"</v>
      </c>
      <c r="AG133" s="181" t="str">
        <f t="shared" si="39"/>
        <v>EC</v>
      </c>
      <c r="AH133" s="78" t="str">
        <f t="shared" si="40"/>
        <v>"%USERPROFILE%\Documents\GitHub\eaglep3\Utilities\RefineRTDCRunTimes.py" --tripid 220-16 --locoid 4017 --swversion DE.1.0.9.0 --startMP 204:232885 --initTime 2017-11-16T19:19:46 --startdatetime 2017-11-16T19:28:01 --delay 115 --endMP 204:209 --enddatetime 2017-11-16T20:07:44 --enforcementcount 0 &gt;&gt;%USERPROFILE%\Documents\GitHub\eaglep3-reporting\EC\2017-11-16-refined-times.txt</v>
      </c>
      <c r="AI133" s="96" t="str">
        <f t="shared" si="41"/>
        <v>echo {"issue":{"subject":"No red fence found in data","project_id":79,"tracker_id":40,"status_id":1,"priority_id":2,"assigned_to_id":338,"start_date":"2017-11-16","description":"","custom_fields":[{"id":1,"name":"Subdivision","value":"EC"},{"id":4,"name":"Milepost","value":"0.0209"},{"id":17,"name":"Train ID","value":"220-16"},{"id":16,"name":"Locomotive ID","value":"4017"},{"id":130,"name":"Impact","value":""},{"id":150,"name":"Time of Event (Mountain Time)","value":"20:07:44"},{"id":151,"name":"Denver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1" t="str">
        <f t="shared" si="42"/>
        <v>start /low /b %USERPROFILE%\Documents\GitHub\eaglep3\Utilities\DownloadLogsFromS3.py --loco 4017 --day 2017-11-16</v>
      </c>
      <c r="AN133" s="150" t="str">
        <f t="shared" si="43"/>
        <v>echo {"issue":{"subject":"No red fence found in data","project_id":30,"tracker_id":4,"status_id":1,"priority_id":1,"assigned_to_id":10,"start_date":"2017-11-17","description":"","custom_fields":[{"id":30,"name":"Category","value":"Issue"},{"id":3,"name":"Functional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03:07:44"},{"id":29,"name":"Sharepoint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7" t="str">
        <f t="shared" si="44"/>
        <v>https://d0f6bd738d7f1b3e5a7ca70fe4ff75f0.us-east-1.aws.found.io/app/kibana#/discover/Steve-Slow-Train-Analysis-(2080s-and-2083s)?_g=(refreshInterval:(display:Off,pause:!f,section:0,value:0),time:(from:'2017-11-16T18:19:46-0700',mode:absolute,to:'2017-11-16T21:07:44-0700'))&amp;_a=(columns:!('Message%20ID',Summary),filters:!(),index:'emp_*',interval:auto,query:(query_string:(analyze_wildcard:!t,query:'%22rtdc.l.rtdc.4017%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853</v>
      </c>
      <c r="B134" s="7">
        <v>4002</v>
      </c>
      <c r="C134" s="21" t="s">
        <v>192</v>
      </c>
      <c r="D134" s="21" t="s">
        <v>561</v>
      </c>
      <c r="E134" s="13">
        <v>43055.787453703706</v>
      </c>
      <c r="F134" s="13">
        <v>43055.792523148149</v>
      </c>
      <c r="G134" s="7">
        <v>129</v>
      </c>
      <c r="H134" s="21" t="s">
        <v>490</v>
      </c>
      <c r="I134" s="13">
        <v>43055.817048611112</v>
      </c>
      <c r="J134" s="7">
        <v>0</v>
      </c>
      <c r="K134" s="89" t="str">
        <f t="shared" si="31"/>
        <v>4001/4002</v>
      </c>
      <c r="L134" s="184" t="str">
        <f>VLOOKUP(A134,'Trips&amp;Operators'!$C$1:$G$99911,5,FALSE)</f>
        <v>ANDERS STEVEN</v>
      </c>
      <c r="M134" s="6">
        <f t="shared" si="32"/>
        <v>2.4525462962628808E-2</v>
      </c>
      <c r="N134" s="7">
        <f t="shared" si="56"/>
        <v>35.316666666185483</v>
      </c>
      <c r="O134" s="7"/>
      <c r="P134" s="7"/>
      <c r="Q134" s="22"/>
      <c r="R134" s="173"/>
      <c r="S134" s="220">
        <f t="shared" si="57"/>
        <v>1</v>
      </c>
      <c r="T134" s="173" t="str">
        <f t="shared" si="33"/>
        <v>NorthBound</v>
      </c>
      <c r="U134" s="19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5" t="str">
        <f t="shared" si="34"/>
        <v>https://d0f6bd738d7f1b3e5a7ca70fe4ff75f0.us-east-1.aws.found.io/app/kibana#/discover/Steve-Slow-Train-Analysis-(2080s-and-2083s)?_g=(refreshInterval:(display:Off,pause:!f,section:0,value:0),time:(from:'2017-11-16T17:53:56-0700',mode:absolute,to:'2017-11-16T20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203" t="str">
        <f>IF(AA134&lt;VLOOKUP(AG134,Variables!$AC$3:$AD$8,2,FALSE),"Y","N")</f>
        <v>N</v>
      </c>
      <c r="X134" s="203">
        <f t="shared" si="60"/>
        <v>1</v>
      </c>
      <c r="Y134" s="203">
        <f t="shared" si="58"/>
        <v>5.1499999999999997E-2</v>
      </c>
      <c r="Z134" s="203">
        <f t="shared" si="59"/>
        <v>23.327000000000002</v>
      </c>
      <c r="AA134" s="203">
        <f t="shared" si="35"/>
        <v>23.275500000000001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8">
        <f t="shared" si="36"/>
        <v>221</v>
      </c>
      <c r="AE134" s="77" t="str">
        <f t="shared" si="3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134" s="74" t="str">
        <f t="shared" si="38"/>
        <v>"C:\Program Files (x86)\AstroGrep\AstroGrep.exe" /e /r /s /spath="%USERPROFILE%\AppData\Local\Temp\OnboardLogs" /stypes="app*4002*20171117*" /stext=" 02:.+((SYSTEM_STATE.+slice.+state.+changed )|(ment ac)|(multiple cpu faults)|(system.+state.+changed )|(\[timeout)|(PRM\|1\|D)|(kpr)|(kdp)|(train st.+moving)|(\|lc)|(penalty))"</v>
      </c>
      <c r="AG134" s="181" t="str">
        <f t="shared" si="39"/>
        <v>EC</v>
      </c>
      <c r="AH134" s="78" t="str">
        <f t="shared" si="40"/>
        <v>"%USERPROFILE%\Documents\GitHub\eaglep3\Utilities\RefineRTDCRunTimes.py" --tripid 221-16 --locoid 4002 --swversion DE.1.0.9.0 --startMP 204:515 --initTime 2017-11-16T18:53:56 --startdatetime 2017-11-16T19:01:14 --delay 129 --endMP 204:233270 --enddatetime 2017-11-16T19:36:33 --enforcementcount 0 &gt;&gt;%USERPROFILE%\Documents\GitHub\eaglep3-reporting\EC\2017-11-16-refined-times.txt</v>
      </c>
      <c r="AI134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{"issue":{"subject":"","project_id":79,"tracker_id":40,"status_id":1,"priority_id":2,"assigned_to_id":338,"start_date":"2017-11-16","description":"","custom_fields":[{"id":1,"name":"Subdivision","value":"EC"},{"id":4,"name":"Milepost","value":"23.327"},{"id":17,"name":"Train ID","value":"221-16"},{"id":16,"name":"Locomotive ID","value":"4002"},{"id":130,"name":"Impact","value":""},{"id":150,"name":"Time of Event (Mountain Time)","value":"19:36:33"},{"id":151,"name":"Denver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1" t="str">
        <f t="shared" si="42"/>
        <v>start /low /b %USERPROFILE%\Documents\GitHub\eaglep3\Utilities\DownloadLogsFromS3.py --loco 4002 --day 2017-11-16</v>
      </c>
      <c r="AN134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7" t="str">
        <f t="shared" si="44"/>
        <v>https://d0f6bd738d7f1b3e5a7ca70fe4ff75f0.us-east-1.aws.found.io/app/kibana#/discover/Steve-Slow-Train-Analysis-(2080s-and-2083s)?_g=(refreshInterval:(display:Off,pause:!f,section:0,value:0),time:(from:'2017-11-16T17:53:56-0700',mode:absolute,to:'2017-11-16T20:36:33-0700'))&amp;_a=(columns:!('Message%20ID',Summary),filters:!(),index:'emp_*',interval:auto,query:(query_string:(analyze_wildcard:!t,query:'%22rtdc.l.rtdc.4002%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862</v>
      </c>
      <c r="B135" s="7">
        <v>4001</v>
      </c>
      <c r="C135" s="21" t="s">
        <v>192</v>
      </c>
      <c r="D135" s="21" t="s">
        <v>970</v>
      </c>
      <c r="E135" s="13">
        <v>43055.82849537037</v>
      </c>
      <c r="F135" s="13">
        <v>43055.831782407404</v>
      </c>
      <c r="G135" s="7">
        <v>79</v>
      </c>
      <c r="H135" s="21" t="s">
        <v>459</v>
      </c>
      <c r="I135" s="13">
        <v>43055.858541666668</v>
      </c>
      <c r="J135" s="7">
        <v>0</v>
      </c>
      <c r="K135" s="89" t="str">
        <f t="shared" si="31"/>
        <v>4001/4002</v>
      </c>
      <c r="L135" s="184" t="str">
        <f>VLOOKUP(A135,'Trips&amp;Operators'!$C$1:$G$99911,5,FALSE)</f>
        <v>ANDERS STEVEN</v>
      </c>
      <c r="M135" s="6">
        <f t="shared" si="32"/>
        <v>2.6759259264508728E-2</v>
      </c>
      <c r="N135" s="7">
        <f t="shared" si="56"/>
        <v>38.533333340892568</v>
      </c>
      <c r="O135" s="7"/>
      <c r="P135" s="7"/>
      <c r="Q135" s="22"/>
      <c r="R135" s="173"/>
      <c r="S135" s="220">
        <f t="shared" si="57"/>
        <v>1</v>
      </c>
      <c r="T135" s="173" t="str">
        <f t="shared" si="33"/>
        <v>Southbound</v>
      </c>
      <c r="U135" s="19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5" t="str">
        <f t="shared" si="34"/>
        <v>https://d0f6bd738d7f1b3e5a7ca70fe4ff75f0.us-east-1.aws.found.io/app/kibana#/discover/Steve-Slow-Train-Analysis-(2080s-and-2083s)?_g=(refreshInterval:(display:Off,pause:!f,section:0,value:0),time:(from:'2017-11-16T18:53:02-0700',mode:absolute,to:'2017-11-16T21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203" t="str">
        <f>IF(AA135&lt;VLOOKUP(AG135,Variables!$AC$3:$AD$8,2,FALSE),"Y","N")</f>
        <v>N</v>
      </c>
      <c r="X135" s="203">
        <f t="shared" si="60"/>
        <v>1</v>
      </c>
      <c r="Y135" s="203">
        <f t="shared" si="58"/>
        <v>23.295000000000002</v>
      </c>
      <c r="Z135" s="203">
        <f t="shared" si="59"/>
        <v>2.2700000000000001E-2</v>
      </c>
      <c r="AA135" s="203">
        <f t="shared" si="35"/>
        <v>23.272300000000001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8">
        <f t="shared" si="36"/>
        <v>222</v>
      </c>
      <c r="AE135" s="77" t="str">
        <f t="shared" si="3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135" s="74" t="str">
        <f t="shared" si="38"/>
        <v>"C:\Program Files (x86)\AstroGrep\AstroGrep.exe" /e /r /s /spath="%USERPROFILE%\AppData\Local\Temp\OnboardLogs" /stypes="app*4001*20171117*" /stext=" 03:.+((SYSTEM_STATE.+slice.+state.+changed )|(ment ac)|(multiple cpu faults)|(system.+state.+changed )|(\[timeout)|(PRM\|1\|D)|(kpr)|(kdp)|(train st.+moving)|(\|lc)|(penalty))"</v>
      </c>
      <c r="AG135" s="181" t="str">
        <f t="shared" si="39"/>
        <v>EC</v>
      </c>
      <c r="AH135" s="78" t="str">
        <f t="shared" si="40"/>
        <v>"%USERPROFILE%\Documents\GitHub\eaglep3\Utilities\RefineRTDCRunTimes.py" --tripid 222-16 --locoid 4001 --swversion DE.1.0.9.0 --startMP 204:232950 --initTime 2017-11-16T19:53:02 --startdatetime 2017-11-16T19:57:46 --delay 79 --endMP 204:227 --enddatetime 2017-11-16T20:36:18 --enforcementcount 0 &gt;&gt;%USERPROFILE%\Documents\GitHub\eaglep3-reporting\EC\2017-11-16-refined-times.txt</v>
      </c>
      <c r="AI135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{"issue":{"subject":"","project_id":79,"tracker_id":40,"status_id":1,"priority_id":2,"assigned_to_id":338,"start_date":"2017-11-16","description":"","custom_fields":[{"id":1,"name":"Subdivision","value":"EC"},{"id":4,"name":"Milepost","value":"0.0227"},{"id":17,"name":"Train ID","value":"222-16"},{"id":16,"name":"Locomotive ID","value":"4001"},{"id":130,"name":"Impact","value":""},{"id":150,"name":"Time of Event (Mountain Time)","value":"20:36:18"},{"id":151,"name":"Denver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1" t="str">
        <f t="shared" si="42"/>
        <v>start /low /b %USERPROFILE%\Documents\GitHub\eaglep3\Utilities\DownloadLogsFromS3.py --loco 4001 --day 2017-11-16</v>
      </c>
      <c r="AN135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7" t="str">
        <f t="shared" si="44"/>
        <v>https://d0f6bd738d7f1b3e5a7ca70fe4ff75f0.us-east-1.aws.found.io/app/kibana#/discover/Steve-Slow-Train-Analysis-(2080s-and-2083s)?_g=(refreshInterval:(display:Off,pause:!f,section:0,value:0),time:(from:'2017-11-16T18:53:02-0700',mode:absolute,to:'2017-11-16T21:36:18-0700'))&amp;_a=(columns:!('Message%20ID',Summary),filters:!(),index:'emp_*',interval:auto,query:(query_string:(analyze_wildcard:!t,query:'%22rtdc.l.rtdc.4001%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859</v>
      </c>
      <c r="B136" s="7">
        <v>4008</v>
      </c>
      <c r="C136" s="21" t="s">
        <v>192</v>
      </c>
      <c r="D136" s="21" t="s">
        <v>620</v>
      </c>
      <c r="E136" s="13">
        <v>43055.809872685182</v>
      </c>
      <c r="F136" s="13">
        <v>43055.812754629631</v>
      </c>
      <c r="G136" s="7">
        <v>55</v>
      </c>
      <c r="H136" s="21" t="s">
        <v>632</v>
      </c>
      <c r="I136" s="13">
        <v>43055.837060185186</v>
      </c>
      <c r="J136" s="7">
        <v>0</v>
      </c>
      <c r="K136" s="89" t="str">
        <f t="shared" si="31"/>
        <v>4007/4008</v>
      </c>
      <c r="L136" s="184" t="str">
        <f>VLOOKUP(A136,'Trips&amp;Operators'!$C$1:$G$99911,5,FALSE)</f>
        <v>LOZA FIDEL</v>
      </c>
      <c r="M136" s="6">
        <f t="shared" si="32"/>
        <v>2.4305555554747116E-2</v>
      </c>
      <c r="N136" s="7">
        <f t="shared" si="56"/>
        <v>34.999999998835847</v>
      </c>
      <c r="O136" s="7"/>
      <c r="P136" s="7"/>
      <c r="Q136" s="22"/>
      <c r="R136" s="173"/>
      <c r="S136" s="220">
        <f t="shared" si="57"/>
        <v>1</v>
      </c>
      <c r="T136" s="173" t="str">
        <f t="shared" si="33"/>
        <v>NorthBound</v>
      </c>
      <c r="U136" s="19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5" t="str">
        <f t="shared" si="34"/>
        <v>https://d0f6bd738d7f1b3e5a7ca70fe4ff75f0.us-east-1.aws.found.io/app/kibana#/discover/Steve-Slow-Train-Analysis-(2080s-and-2083s)?_g=(refreshInterval:(display:Off,pause:!f,section:0,value:0),time:(from:'2017-11-16T18:26:13-0700',mode:absolute,to:'2017-11-16T21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6" s="203" t="str">
        <f>IF(AA136&lt;VLOOKUP(AG136,Variables!$AC$3:$AD$8,2,FALSE),"Y","N")</f>
        <v>N</v>
      </c>
      <c r="X136" s="203">
        <f t="shared" si="60"/>
        <v>1</v>
      </c>
      <c r="Y136" s="203">
        <f t="shared" si="58"/>
        <v>5.1900000000000002E-2</v>
      </c>
      <c r="Z136" s="203">
        <f t="shared" si="59"/>
        <v>23.3263</v>
      </c>
      <c r="AA136" s="203">
        <f t="shared" si="35"/>
        <v>23.2744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8">
        <f t="shared" si="36"/>
        <v>223</v>
      </c>
      <c r="AE136" s="77" t="str">
        <f t="shared" si="3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136" s="74" t="str">
        <f t="shared" si="38"/>
        <v>"C:\Program Files (x86)\AstroGrep\AstroGrep.exe" /e /r /s /spath="%USERPROFILE%\AppData\Local\Temp\OnboardLogs" /stypes="app*4008*20171117*" /stext=" 03:.+((SYSTEM_STATE.+slice.+state.+changed )|(ment ac)|(multiple cpu faults)|(system.+state.+changed )|(\[timeout)|(PRM\|1\|D)|(kpr)|(kdp)|(train st.+moving)|(\|lc)|(penalty))"</v>
      </c>
      <c r="AG136" s="181" t="str">
        <f t="shared" si="39"/>
        <v>EC</v>
      </c>
      <c r="AH136" s="78" t="str">
        <f t="shared" si="40"/>
        <v>"%USERPROFILE%\Documents\GitHub\eaglep3\Utilities\RefineRTDCRunTimes.py" --tripid 223-16 --locoid 4008 --swversion DE.1.0.9.0 --startMP 204:519 --initTime 2017-11-16T19:26:13 --startdatetime 2017-11-16T19:30:22 --delay 55 --endMP 204:233263 --enddatetime 2017-11-16T20:05:22 --enforcementcount 0 &gt;&gt;%USERPROFILE%\Documents\GitHub\eaglep3-reporting\EC\2017-11-16-refined-times.txt</v>
      </c>
      <c r="AI136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{"issue":{"subject":"","project_id":79,"tracker_id":40,"status_id":1,"priority_id":2,"assigned_to_id":338,"start_date":"2017-11-16","description":"","custom_fields":[{"id":1,"name":"Subdivision","value":"EC"},{"id":4,"name":"Milepost","value":"23.3263"},{"id":17,"name":"Train ID","value":"223-16"},{"id":16,"name":"Locomotive ID","value":"4008"},{"id":130,"name":"Impact","value":""},{"id":150,"name":"Time of Event (Mountain Time)","value":"20:05:22"},{"id":151,"name":"Denver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1" t="str">
        <f t="shared" si="42"/>
        <v>start /low /b %USERPROFILE%\Documents\GitHub\eaglep3\Utilities\DownloadLogsFromS3.py --loco 4008 --day 2017-11-16</v>
      </c>
      <c r="AN136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7" t="str">
        <f t="shared" si="44"/>
        <v>https://d0f6bd738d7f1b3e5a7ca70fe4ff75f0.us-east-1.aws.found.io/app/kibana#/discover/Steve-Slow-Train-Analysis-(2080s-and-2083s)?_g=(refreshInterval:(display:Off,pause:!f,section:0,value:0),time:(from:'2017-11-16T18:26:13-0700',mode:absolute,to:'2017-11-16T21:05:22-0700'))&amp;_a=(columns:!('Message%20ID',Summary),filters:!(),index:'emp_*',interval:auto,query:(query_string:(analyze_wildcard:!t,query:'%22rtdc.l.rtdc.4008%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864</v>
      </c>
      <c r="B137" s="7">
        <v>4007</v>
      </c>
      <c r="C137" s="21" t="s">
        <v>192</v>
      </c>
      <c r="D137" s="21" t="s">
        <v>945</v>
      </c>
      <c r="E137" s="13">
        <v>43055.849976851852</v>
      </c>
      <c r="F137" s="13">
        <v>43055.852303240739</v>
      </c>
      <c r="G137" s="7">
        <v>62</v>
      </c>
      <c r="H137" s="21" t="s">
        <v>556</v>
      </c>
      <c r="I137" s="13">
        <v>43055.877511574072</v>
      </c>
      <c r="J137" s="7">
        <v>0</v>
      </c>
      <c r="K137" s="89" t="str">
        <f t="shared" si="31"/>
        <v>4007/4008</v>
      </c>
      <c r="L137" s="184" t="str">
        <f>VLOOKUP(A137,'Trips&amp;Operators'!$C$1:$G$99911,5,FALSE)</f>
        <v>LOZA FIDEL</v>
      </c>
      <c r="M137" s="6">
        <f t="shared" si="32"/>
        <v>2.5208333332557231E-2</v>
      </c>
      <c r="N137" s="7">
        <f t="shared" si="56"/>
        <v>36.299999998882413</v>
      </c>
      <c r="O137" s="7"/>
      <c r="P137" s="7"/>
      <c r="Q137" s="22"/>
      <c r="R137" s="173"/>
      <c r="S137" s="220">
        <f t="shared" si="57"/>
        <v>1</v>
      </c>
      <c r="T137" s="173" t="str">
        <f t="shared" si="33"/>
        <v>Southbound</v>
      </c>
      <c r="U137" s="19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5" t="str">
        <f t="shared" si="34"/>
        <v>https://d0f6bd738d7f1b3e5a7ca70fe4ff75f0.us-east-1.aws.found.io/app/kibana#/discover/Steve-Slow-Train-Analysis-(2080s-and-2083s)?_g=(refreshInterval:(display:Off,pause:!f,section:0,value:0),time:(from:'2017-11-16T19:23:58-0700',mode:absolute,to:'2017-11-16T22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7" s="203" t="str">
        <f>IF(AA137&lt;VLOOKUP(AG137,Variables!$AC$3:$AD$8,2,FALSE),"Y","N")</f>
        <v>N</v>
      </c>
      <c r="X137" s="203">
        <f t="shared" si="60"/>
        <v>1</v>
      </c>
      <c r="Y137" s="203">
        <f t="shared" si="58"/>
        <v>23.2943</v>
      </c>
      <c r="Z137" s="203">
        <f t="shared" si="59"/>
        <v>2.3099999999999999E-2</v>
      </c>
      <c r="AA137" s="203">
        <f t="shared" si="35"/>
        <v>23.2712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8">
        <f t="shared" si="36"/>
        <v>224</v>
      </c>
      <c r="AE137" s="77" t="str">
        <f t="shared" si="37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137" s="74" t="str">
        <f t="shared" si="38"/>
        <v>"C:\Program Files (x86)\AstroGrep\AstroGrep.exe" /e /r /s /spath="%USERPROFILE%\AppData\Local\Temp\OnboardLogs" /stypes="app*4007*20171117*" /stext=" 04:.+((SYSTEM_STATE.+slice.+state.+changed )|(ment ac)|(multiple cpu faults)|(system.+state.+changed )|(\[timeout)|(PRM\|1\|D)|(kpr)|(kdp)|(train st.+moving)|(\|lc)|(penalty))"</v>
      </c>
      <c r="AG137" s="181" t="str">
        <f t="shared" si="39"/>
        <v>EC</v>
      </c>
      <c r="AH137" s="78" t="str">
        <f t="shared" si="40"/>
        <v>"%USERPROFILE%\Documents\GitHub\eaglep3\Utilities\RefineRTDCRunTimes.py" --tripid 224-16 --locoid 4007 --swversion DE.1.0.9.0 --startMP 204:232943 --initTime 2017-11-16T20:23:58 --startdatetime 2017-11-16T20:27:19 --delay 62 --endMP 204:231 --enddatetime 2017-11-16T21:03:37 --enforcementcount 0 &gt;&gt;%USERPROFILE%\Documents\GitHub\eaglep3-reporting\EC\2017-11-16-refined-times.txt</v>
      </c>
      <c r="AI137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{"issue":{"subject":"","project_id":79,"tracker_id":40,"status_id":1,"priority_id":2,"assigned_to_id":338,"start_date":"2017-11-16","description":"","custom_fields":[{"id":1,"name":"Subdivision","value":"EC"},{"id":4,"name":"Milepost","value":"0.0231"},{"id":17,"name":"Train ID","value":"224-16"},{"id":16,"name":"Locomotive ID","value":"4007"},{"id":130,"name":"Impact","value":""},{"id":150,"name":"Time of Event (Mountain Time)","value":"21:03:37"},{"id":151,"name":"Denver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1" t="str">
        <f t="shared" si="42"/>
        <v>start /low /b %USERPROFILE%\Documents\GitHub\eaglep3\Utilities\DownloadLogsFromS3.py --loco 4007 --day 2017-11-16</v>
      </c>
      <c r="AN137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04:03:37"},{"id":29,"name":"Sharepoint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7" t="str">
        <f t="shared" si="44"/>
        <v>https://d0f6bd738d7f1b3e5a7ca70fe4ff75f0.us-east-1.aws.found.io/app/kibana#/discover/Steve-Slow-Train-Analysis-(2080s-and-2083s)?_g=(refreshInterval:(display:Off,pause:!f,section:0,value:0),time:(from:'2017-11-16T19:23:58-0700',mode:absolute,to:'2017-11-16T22:03:37-0700'))&amp;_a=(columns:!('Message%20ID',Summary),filters:!(),index:'emp_*',interval:auto,query:(query_string:(analyze_wildcard:!t,query:'%22rtdc.l.rtdc.4007%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861</v>
      </c>
      <c r="B138" s="7">
        <v>4004</v>
      </c>
      <c r="C138" s="21" t="s">
        <v>192</v>
      </c>
      <c r="D138" s="21" t="s">
        <v>971</v>
      </c>
      <c r="E138" s="13">
        <v>43055.826377314814</v>
      </c>
      <c r="F138" s="13">
        <v>43055.833657407406</v>
      </c>
      <c r="G138" s="7">
        <v>59</v>
      </c>
      <c r="H138" s="21" t="s">
        <v>972</v>
      </c>
      <c r="I138" s="13">
        <v>43055.858275462961</v>
      </c>
      <c r="J138" s="7">
        <v>0</v>
      </c>
      <c r="K138" s="89" t="str">
        <f t="shared" si="31"/>
        <v>4003/4004</v>
      </c>
      <c r="L138" s="184" t="str">
        <f>VLOOKUP(A138,'Trips&amp;Operators'!$C$1:$G$99911,5,FALSE)</f>
        <v>ELBAUM MIKE</v>
      </c>
      <c r="M138" s="6">
        <f t="shared" si="32"/>
        <v>2.4618055555038154E-2</v>
      </c>
      <c r="N138" s="7">
        <f t="shared" si="56"/>
        <v>35.449999999254942</v>
      </c>
      <c r="O138" s="7"/>
      <c r="P138" s="7"/>
      <c r="Q138" s="22"/>
      <c r="R138" s="173"/>
      <c r="S138" s="220">
        <f t="shared" si="57"/>
        <v>1</v>
      </c>
      <c r="T138" s="173" t="str">
        <f t="shared" si="33"/>
        <v>NorthBound</v>
      </c>
      <c r="U138" s="19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5" t="str">
        <f t="shared" si="34"/>
        <v>https://d0f6bd738d7f1b3e5a7ca70fe4ff75f0.us-east-1.aws.found.io/app/kibana#/discover/Steve-Slow-Train-Analysis-(2080s-and-2083s)?_g=(refreshInterval:(display:Off,pause:!f,section:0,value:0),time:(from:'2017-11-16T18:49:59-0700',mode:absolute,to:'2017-11-16T21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203" t="str">
        <f>IF(AA138&lt;VLOOKUP(AG138,Variables!$AC$3:$AD$8,2,FALSE),"Y","N")</f>
        <v>N</v>
      </c>
      <c r="X138" s="203">
        <f t="shared" si="60"/>
        <v>1</v>
      </c>
      <c r="Y138" s="203">
        <f t="shared" si="58"/>
        <v>5.9700000000000003E-2</v>
      </c>
      <c r="Z138" s="203">
        <f t="shared" si="59"/>
        <v>23.325700000000001</v>
      </c>
      <c r="AA138" s="203">
        <f t="shared" si="35"/>
        <v>23.266000000000002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8">
        <f t="shared" si="36"/>
        <v>225</v>
      </c>
      <c r="AE138" s="77" t="str">
        <f t="shared" si="37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138" s="74" t="str">
        <f t="shared" si="38"/>
        <v>"C:\Program Files (x86)\AstroGrep\AstroGrep.exe" /e /r /s /spath="%USERPROFILE%\AppData\Local\Temp\OnboardLogs" /stypes="app*4004*20171117*" /stext=" 03:.+((SYSTEM_STATE.+slice.+state.+changed )|(ment ac)|(multiple cpu faults)|(system.+state.+changed )|(\[timeout)|(PRM\|1\|D)|(kpr)|(kdp)|(train st.+moving)|(\|lc)|(penalty))"</v>
      </c>
      <c r="AG138" s="181" t="str">
        <f t="shared" si="39"/>
        <v>EC</v>
      </c>
      <c r="AH138" s="78" t="str">
        <f t="shared" si="40"/>
        <v>"%USERPROFILE%\Documents\GitHub\eaglep3\Utilities\RefineRTDCRunTimes.py" --tripid 225-16 --locoid 4004 --swversion DE.1.0.9.0 --startMP 204:597 --initTime 2017-11-16T19:49:59 --startdatetime 2017-11-16T20:00:28 --delay 59 --endMP 204:233257 --enddatetime 2017-11-16T20:35:55 --enforcementcount 0 &gt;&gt;%USERPROFILE%\Documents\GitHub\eaglep3-reporting\EC\2017-11-16-refined-times.txt</v>
      </c>
      <c r="AI138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{"issue":{"subject":"","project_id":79,"tracker_id":40,"status_id":1,"priority_id":2,"assigned_to_id":338,"start_date":"2017-11-16","description":"","custom_fields":[{"id":1,"name":"Subdivision","value":"EC"},{"id":4,"name":"Milepost","value":"23.3257"},{"id":17,"name":"Train ID","value":"225-16"},{"id":16,"name":"Locomotive ID","value":"4004"},{"id":130,"name":"Impact","value":""},{"id":150,"name":"Time of Event (Mountain Time)","value":"20:35:55"},{"id":151,"name":"Denver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1" t="str">
        <f t="shared" si="42"/>
        <v>start /low /b %USERPROFILE%\Documents\GitHub\eaglep3\Utilities\DownloadLogsFromS3.py --loco 4004 --day 2017-11-16</v>
      </c>
      <c r="AN138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7" t="str">
        <f t="shared" si="44"/>
        <v>https://d0f6bd738d7f1b3e5a7ca70fe4ff75f0.us-east-1.aws.found.io/app/kibana#/discover/Steve-Slow-Train-Analysis-(2080s-and-2083s)?_g=(refreshInterval:(display:Off,pause:!f,section:0,value:0),time:(from:'2017-11-16T18:49:59-0700',mode:absolute,to:'2017-11-16T21:35:55-0700'))&amp;_a=(columns:!('Message%20ID',Summary),filters:!(),index:'emp_*',interval:auto,query:(query_string:(analyze_wildcard:!t,query:'%22rtdc.l.rtdc.4004%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866</v>
      </c>
      <c r="B139" s="7">
        <v>4003</v>
      </c>
      <c r="C139" s="21" t="s">
        <v>192</v>
      </c>
      <c r="D139" s="21" t="s">
        <v>920</v>
      </c>
      <c r="E139" s="13">
        <v>43055.859675925924</v>
      </c>
      <c r="F139" s="13">
        <v>43055.873067129629</v>
      </c>
      <c r="G139" s="7">
        <v>57</v>
      </c>
      <c r="H139" s="21" t="s">
        <v>973</v>
      </c>
      <c r="I139" s="13">
        <v>43055.9</v>
      </c>
      <c r="J139" s="7">
        <v>0</v>
      </c>
      <c r="K139" s="89" t="str">
        <f t="shared" si="31"/>
        <v>4003/4004</v>
      </c>
      <c r="L139" s="184" t="str">
        <f>VLOOKUP(A139,'Trips&amp;Operators'!$C$1:$G$99911,5,FALSE)</f>
        <v>ELBAUM MIKE</v>
      </c>
      <c r="M139" s="6">
        <f t="shared" si="32"/>
        <v>2.6932870372547768E-2</v>
      </c>
      <c r="N139" s="7">
        <f t="shared" si="56"/>
        <v>38.783333336468786</v>
      </c>
      <c r="O139" s="7"/>
      <c r="P139" s="7"/>
      <c r="Q139" s="22"/>
      <c r="R139" s="173"/>
      <c r="S139" s="220">
        <f t="shared" si="57"/>
        <v>1</v>
      </c>
      <c r="T139" s="173" t="str">
        <f t="shared" si="33"/>
        <v>Southbound</v>
      </c>
      <c r="U139" s="19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5" t="str">
        <f t="shared" si="34"/>
        <v>https://d0f6bd738d7f1b3e5a7ca70fe4ff75f0.us-east-1.aws.found.io/app/kibana#/discover/Steve-Slow-Train-Analysis-(2080s-and-2083s)?_g=(refreshInterval:(display:Off,pause:!f,section:0,value:0),time:(from:'2017-11-16T19:37:56-0700',mode:absolute,to:'2017-11-16T22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203" t="str">
        <f>IF(AA139&lt;VLOOKUP(AG139,Variables!$AC$3:$AD$8,2,FALSE),"Y","N")</f>
        <v>N</v>
      </c>
      <c r="X139" s="203">
        <f t="shared" si="60"/>
        <v>1</v>
      </c>
      <c r="Y139" s="203">
        <f t="shared" si="58"/>
        <v>23.294</v>
      </c>
      <c r="Z139" s="203">
        <f t="shared" si="59"/>
        <v>2.5999999999999999E-2</v>
      </c>
      <c r="AA139" s="203">
        <f t="shared" si="35"/>
        <v>23.268000000000001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8">
        <f t="shared" si="36"/>
        <v>226</v>
      </c>
      <c r="AE139" s="77" t="str">
        <f t="shared" si="37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139" s="74" t="str">
        <f t="shared" si="38"/>
        <v>"C:\Program Files (x86)\AstroGrep\AstroGrep.exe" /e /r /s /spath="%USERPROFILE%\AppData\Local\Temp\OnboardLogs" /stypes="app*4003*20171117*" /stext=" 04:.+((SYSTEM_STATE.+slice.+state.+changed )|(ment ac)|(multiple cpu faults)|(system.+state.+changed )|(\[timeout)|(PRM\|1\|D)|(kpr)|(kdp)|(train st.+moving)|(\|lc)|(penalty))"</v>
      </c>
      <c r="AG139" s="181" t="str">
        <f t="shared" si="39"/>
        <v>EC</v>
      </c>
      <c r="AH139" s="78" t="str">
        <f t="shared" si="40"/>
        <v>"%USERPROFILE%\Documents\GitHub\eaglep3\Utilities\RefineRTDCRunTimes.py" --tripid 226-16 --locoid 4003 --swversion DE.1.0.9.0 --startMP 204:232940 --initTime 2017-11-16T20:37:56 --startdatetime 2017-11-16T20:57:13 --delay 57 --endMP 204:260 --enddatetime 2017-11-16T21:36:00 --enforcementcount 0 &gt;&gt;%USERPROFILE%\Documents\GitHub\eaglep3-reporting\EC\2017-11-16-refined-times.txt</v>
      </c>
      <c r="AI139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{"issue":{"subject":"","project_id":79,"tracker_id":40,"status_id":1,"priority_id":2,"assigned_to_id":338,"start_date":"2017-11-16","description":"","custom_fields":[{"id":1,"name":"Subdivision","value":"EC"},{"id":4,"name":"Milepost","value":"0.026"},{"id":17,"name":"Train ID","value":"226-16"},{"id":16,"name":"Locomotive ID","value":"4003"},{"id":130,"name":"Impact","value":""},{"id":150,"name":"Time of Event (Mountain Time)","value":"21:36:00"},{"id":151,"name":"Denver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1" t="str">
        <f t="shared" si="42"/>
        <v>start /low /b %USERPROFILE%\Documents\GitHub\eaglep3\Utilities\DownloadLogsFromS3.py --loco 4003 --day 2017-11-16</v>
      </c>
      <c r="AN139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7" t="str">
        <f t="shared" si="44"/>
        <v>https://d0f6bd738d7f1b3e5a7ca70fe4ff75f0.us-east-1.aws.found.io/app/kibana#/discover/Steve-Slow-Train-Analysis-(2080s-and-2083s)?_g=(refreshInterval:(display:Off,pause:!f,section:0,value:0),time:(from:'2017-11-16T19:37:56-0700',mode:absolute,to:'2017-11-16T22:36:00-0700'))&amp;_a=(columns:!('Message%20ID',Summary),filters:!(),index:'emp_*',interval:auto,query:(query_string:(analyze_wildcard:!t,query:'%22rtdc.l.rtdc.4003%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863</v>
      </c>
      <c r="B140" s="7">
        <v>4018</v>
      </c>
      <c r="C140" s="21" t="s">
        <v>192</v>
      </c>
      <c r="D140" s="21" t="s">
        <v>533</v>
      </c>
      <c r="E140" s="13">
        <v>43055.841817129629</v>
      </c>
      <c r="F140" s="13">
        <v>43055.854444444441</v>
      </c>
      <c r="G140" s="7">
        <v>102</v>
      </c>
      <c r="H140" s="21" t="s">
        <v>607</v>
      </c>
      <c r="I140" s="13">
        <v>43055.880590277775</v>
      </c>
      <c r="J140" s="7">
        <v>0</v>
      </c>
      <c r="K140" s="89" t="str">
        <f t="shared" si="31"/>
        <v>4017/4018</v>
      </c>
      <c r="L140" s="184" t="str">
        <f>VLOOKUP(A140,'Trips&amp;Operators'!$C$1:$G$99911,5,FALSE)</f>
        <v>NICHOLSON WESLEY</v>
      </c>
      <c r="M140" s="6">
        <f t="shared" si="32"/>
        <v>2.6145833333430346E-2</v>
      </c>
      <c r="N140" s="7">
        <f t="shared" si="56"/>
        <v>37.650000000139698</v>
      </c>
      <c r="O140" s="7"/>
      <c r="P140" s="7"/>
      <c r="Q140" s="22"/>
      <c r="R140" s="173"/>
      <c r="S140" s="220">
        <f t="shared" si="57"/>
        <v>1</v>
      </c>
      <c r="T140" s="173" t="str">
        <f t="shared" si="33"/>
        <v>NorthBound</v>
      </c>
      <c r="U140" s="19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5" t="str">
        <f t="shared" si="34"/>
        <v>https://d0f6bd738d7f1b3e5a7ca70fe4ff75f0.us-east-1.aws.found.io/app/kibana#/discover/Steve-Slow-Train-Analysis-(2080s-and-2083s)?_g=(refreshInterval:(display:Off,pause:!f,section:0,value:0),time:(from:'2017-11-16T19:12:13-0700',mode:absolute,to:'2017-11-16T22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203" t="str">
        <f>IF(AA140&lt;VLOOKUP(AG140,Variables!$AC$3:$AD$8,2,FALSE),"Y","N")</f>
        <v>N</v>
      </c>
      <c r="X140" s="203">
        <f t="shared" si="60"/>
        <v>1</v>
      </c>
      <c r="Y140" s="203">
        <f t="shared" si="58"/>
        <v>5.1299999999999998E-2</v>
      </c>
      <c r="Z140" s="203">
        <f t="shared" si="59"/>
        <v>23.318999999999999</v>
      </c>
      <c r="AA140" s="203">
        <f t="shared" si="35"/>
        <v>23.267699999999998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8">
        <f t="shared" si="36"/>
        <v>227</v>
      </c>
      <c r="AE140" s="77" t="str">
        <f t="shared" si="37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140" s="74" t="str">
        <f t="shared" si="38"/>
        <v>"C:\Program Files (x86)\AstroGrep\AstroGrep.exe" /e /r /s /spath="%USERPROFILE%\AppData\Local\Temp\OnboardLogs" /stypes="app*4018*20171117*" /stext=" 04:.+((SYSTEM_STATE.+slice.+state.+changed )|(ment ac)|(multiple cpu faults)|(system.+state.+changed )|(\[timeout)|(PRM\|1\|D)|(kpr)|(kdp)|(train st.+moving)|(\|lc)|(penalty))"</v>
      </c>
      <c r="AG140" s="181" t="str">
        <f t="shared" si="39"/>
        <v>EC</v>
      </c>
      <c r="AH140" s="78" t="str">
        <f t="shared" si="40"/>
        <v>"%USERPROFILE%\Documents\GitHub\eaglep3\Utilities\RefineRTDCRunTimes.py" --tripid 227-16 --locoid 4018 --swversion DE.1.0.9.0 --startMP 204:513 --initTime 2017-11-16T20:12:13 --startdatetime 2017-11-16T20:30:24 --delay 102 --endMP 204:233190 --enddatetime 2017-11-16T21:08:03 --enforcementcount 0 &gt;&gt;%USERPROFILE%\Documents\GitHub\eaglep3-reporting\EC\2017-11-16-refined-times.txt</v>
      </c>
      <c r="AI140" s="96" t="str">
        <f t="shared" si="41"/>
        <v>echo {"issue":{"subject":"","project_id":79,"tracker_id":40,"status_id":1,"priority_id":2,"assigned_to_id":338,"start_date":"2017-11-16","description":"","custom_fields":[{"id":1,"name":"Subdivision","value":"EC"},{"id":4,"name":"Milepost","value":"23.319"},{"id":17,"name":"Train ID","value":"227-16"},{"id":16,"name":"Locomotive ID","value":"4018"},{"id":130,"name":"Impact","value":""},{"id":150,"name":"Time of Event (Mountain Time)","value":"21:08:03"},{"id":151,"name":"Denver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1" t="str">
        <f t="shared" si="42"/>
        <v>start /low /b %USERPROFILE%\Documents\GitHub\eaglep3\Utilities\DownloadLogsFromS3.py --loco 4018 --day 2017-11-16</v>
      </c>
      <c r="AN140" s="150" t="str">
        <f t="shared" si="4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04:08:03"},{"id":29,"name":"Sharepoint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7" t="str">
        <f t="shared" si="44"/>
        <v>https://d0f6bd738d7f1b3e5a7ca70fe4ff75f0.us-east-1.aws.found.io/app/kibana#/discover/Steve-Slow-Train-Analysis-(2080s-and-2083s)?_g=(refreshInterval:(display:Off,pause:!f,section:0,value:0),time:(from:'2017-11-16T19:12:13-0700',mode:absolute,to:'2017-11-16T22:08:03-0700'))&amp;_a=(columns:!('Message%20ID',Summary),filters:!(),index:'emp_*',interval:auto,query:(query_string:(analyze_wildcard:!t,query:'%22rtdc.l.rtdc.4018%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869</v>
      </c>
      <c r="B141" s="7">
        <v>4017</v>
      </c>
      <c r="C141" s="21" t="s">
        <v>192</v>
      </c>
      <c r="D141" s="21" t="s">
        <v>608</v>
      </c>
      <c r="E141" s="13">
        <v>43055.888912037037</v>
      </c>
      <c r="F141" s="13">
        <v>43055.893958333334</v>
      </c>
      <c r="G141" s="7">
        <v>74</v>
      </c>
      <c r="H141" s="21" t="s">
        <v>536</v>
      </c>
      <c r="I141" s="13">
        <v>43055.922129629631</v>
      </c>
      <c r="J141" s="7">
        <v>0</v>
      </c>
      <c r="K141" s="89" t="str">
        <f t="shared" ref="K141:K204" si="61">IF(ISEVEN(B141),(B141-1)&amp;"/"&amp;B141,B141&amp;"/"&amp;(B141+1))</f>
        <v>4017/4018</v>
      </c>
      <c r="L141" s="184" t="str">
        <f>VLOOKUP(A141,'Trips&amp;Operators'!$C$1:$G$99911,5,FALSE)</f>
        <v>NICHOLSON WESLEY</v>
      </c>
      <c r="M141" s="6">
        <f t="shared" ref="M141:M204" si="62">I141-F141</f>
        <v>2.8171296296932269E-2</v>
      </c>
      <c r="N141" s="7">
        <f t="shared" si="56"/>
        <v>40.566666667582467</v>
      </c>
      <c r="O141" s="7"/>
      <c r="P141" s="7"/>
      <c r="Q141" s="22"/>
      <c r="R141" s="173"/>
      <c r="S141" s="220">
        <f t="shared" si="57"/>
        <v>1</v>
      </c>
      <c r="T141" s="173" t="str">
        <f t="shared" ref="T141:T204" si="63">IF(ISEVEN(LEFT(AD141,4)),"Southbound","NorthBound")</f>
        <v>Southbound</v>
      </c>
      <c r="U141" s="19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5" t="str">
        <f t="shared" ref="V141:V204" si="6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-16T20:20:02-0700',mode:absolute,to:'2017-11-16T23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203" t="str">
        <f>IF(AA141&lt;VLOOKUP(AG141,Variables!$AC$3:$AD$8,2,FALSE),"Y","N")</f>
        <v>N</v>
      </c>
      <c r="X141" s="203">
        <f t="shared" si="60"/>
        <v>1</v>
      </c>
      <c r="Y141" s="203">
        <f t="shared" si="58"/>
        <v>23.287299999999998</v>
      </c>
      <c r="Z141" s="203">
        <f t="shared" si="59"/>
        <v>2.12E-2</v>
      </c>
      <c r="AA141" s="203">
        <f t="shared" ref="AA141:AA204" si="65">ABS(Z141-Y141)</f>
        <v>23.266099999999998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8">
        <f t="shared" ref="AD141:AD204" si="66">VALUE(LEFT(A141,LEN(A141)-3))</f>
        <v>228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/stypes="app*4017*20171117*" /stext=" 05:.+((SYSTEM_STATE.+slice.+state.+changed )|(ment ac)|(multiple cpu faults)|(system.+state.+changed )|(\[timeout)|(PRM\|1\|D)|(kpr)|(kdp)|(train st.+moving)|(\|lc)|(penalty))"</v>
      </c>
      <c r="AG141" s="181" t="str">
        <f t="shared" ref="AG141:AG204" si="69">DetSubdiv(A141)</f>
        <v>EC</v>
      </c>
      <c r="AH141" s="78" t="str">
        <f t="shared" ref="AH141:AH206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228-16 --locoid 4017 --swversion DE.1.0.9.0 --startMP 204:232873 --initTime 2017-11-16T21:20:02 --startdatetime 2017-11-16T21:27:18 --delay 74 --endMP 204:212 --enddatetime 2017-11-16T22:07:52 --enforcementcount 0 &gt;&gt;%USERPROFILE%\Documents\GitHub\eaglep3-reporting\EC\2017-11-16-refined-times.txt</v>
      </c>
      <c r="AI141" s="96" t="str">
        <f t="shared" ref="AI141:AI206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{"issue":{"subject":"","project_id":79,"tracker_id":40,"status_id":1,"priority_id":2,"assigned_to_id":338,"start_date":"2017-11-16","description":"","custom_fields":[{"id":1,"name":"Subdivision","value":"EC"},{"id":4,"name":"Milepost","value":"0.0212"},{"id":17,"name":"Train ID","value":"228-16"},{"id":16,"name":"Locomotive ID","value":"4017"},{"id":130,"name":"Impact","value":""},{"id":150,"name":"Time of Event (Mountain Time)","value":"22:07:52"},{"id":151,"name":"Denver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1" t="str">
        <f t="shared" ref="AM141:AM206" si="72">"start /low /b "&amp;dls3logs&amp;" --loco "&amp;B141&amp;" --day "&amp;TEXT(F141,"YYYY-MM-DD")</f>
        <v>start /low /b %USERPROFILE%\Documents\GitHub\eaglep3\Utilities\DownloadLogsFromS3.py --loco 4017 --day 2017-11-16</v>
      </c>
      <c r="AN141" s="150" t="str">
        <f t="shared" ref="AN141:AN206" si="7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05:07:52"},{"id":29,"name":"Sharepoint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7" t="str">
        <f t="shared" ref="AO141:AO206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-16T20:20:02-0700',mode:absolute,to:'2017-11-16T23:07:52-0700'))&amp;_a=(columns:!('Message%20ID',Summary),filters:!(),index:'emp_*',interval:auto,query:(query_string:(analyze_wildcard:!t,query:'%22rtdc.l.rtdc.4017%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867</v>
      </c>
      <c r="B142" s="7">
        <v>4002</v>
      </c>
      <c r="C142" s="21" t="s">
        <v>192</v>
      </c>
      <c r="D142" s="21" t="s">
        <v>526</v>
      </c>
      <c r="E142" s="13">
        <v>43055.870694444442</v>
      </c>
      <c r="F142" s="13">
        <v>43055.875590277778</v>
      </c>
      <c r="G142" s="7">
        <v>67</v>
      </c>
      <c r="H142" s="21" t="s">
        <v>532</v>
      </c>
      <c r="I142" s="13">
        <v>43055.901678240742</v>
      </c>
      <c r="J142" s="7">
        <v>0</v>
      </c>
      <c r="K142" s="89" t="str">
        <f t="shared" si="61"/>
        <v>4001/4002</v>
      </c>
      <c r="L142" s="184" t="str">
        <f>VLOOKUP(A142,'Trips&amp;Operators'!$C$1:$G$99911,5,FALSE)</f>
        <v>ANDERS STEVEN</v>
      </c>
      <c r="M142" s="6">
        <f t="shared" si="62"/>
        <v>2.6087962964083999E-2</v>
      </c>
      <c r="N142" s="7">
        <f t="shared" si="56"/>
        <v>37.566666668280959</v>
      </c>
      <c r="O142" s="7"/>
      <c r="P142" s="7"/>
      <c r="Q142" s="22"/>
      <c r="R142" s="173"/>
      <c r="S142" s="220">
        <f t="shared" si="57"/>
        <v>1</v>
      </c>
      <c r="T142" s="173" t="str">
        <f t="shared" si="63"/>
        <v>NorthBound</v>
      </c>
      <c r="U142" s="19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5" t="str">
        <f t="shared" si="64"/>
        <v>https://d0f6bd738d7f1b3e5a7ca70fe4ff75f0.us-east-1.aws.found.io/app/kibana#/discover/Steve-Slow-Train-Analysis-(2080s-and-2083s)?_g=(refreshInterval:(display:Off,pause:!f,section:0,value:0),time:(from:'2017-11-16T19:53:48-0700',mode:absolute,to:'2017-11-16T22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203" t="str">
        <f>IF(AA142&lt;VLOOKUP(AG142,Variables!$AC$3:$AD$8,2,FALSE),"Y","N")</f>
        <v>N</v>
      </c>
      <c r="X142" s="203">
        <f t="shared" si="60"/>
        <v>1</v>
      </c>
      <c r="Y142" s="203">
        <f t="shared" si="58"/>
        <v>5.1999999999999998E-2</v>
      </c>
      <c r="Z142" s="203">
        <f t="shared" si="59"/>
        <v>23.319700000000001</v>
      </c>
      <c r="AA142" s="203">
        <f t="shared" si="65"/>
        <v>23.267700000000001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8">
        <f t="shared" si="66"/>
        <v>229</v>
      </c>
      <c r="AE142" s="77" t="str">
        <f t="shared" si="6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142" s="74" t="str">
        <f t="shared" si="68"/>
        <v>"C:\Program Files (x86)\AstroGrep\AstroGrep.exe" /e /r /s /spath="%USERPROFILE%\AppData\Local\Temp\OnboardLogs" /stypes="app*4002*20171117*" /stext=" 04:.+((SYSTEM_STATE.+slice.+state.+changed )|(ment ac)|(multiple cpu faults)|(system.+state.+changed )|(\[timeout)|(PRM\|1\|D)|(kpr)|(kdp)|(train st.+moving)|(\|lc)|(penalty))"</v>
      </c>
      <c r="AG142" s="181" t="str">
        <f t="shared" si="69"/>
        <v>EC</v>
      </c>
      <c r="AH142" s="78" t="str">
        <f t="shared" si="70"/>
        <v>"%USERPROFILE%\Documents\GitHub\eaglep3\Utilities\RefineRTDCRunTimes.py" --tripid 229-16 --locoid 4002 --swversion DE.1.0.9.0 --startMP 204:520 --initTime 2017-11-16T20:53:48 --startdatetime 2017-11-16T21:00:51 --delay 67 --endMP 204:233197 --enddatetime 2017-11-16T21:38:25 --enforcementcount 0 &gt;&gt;%USERPROFILE%\Documents\GitHub\eaglep3-reporting\EC\2017-11-16-refined-times.txt</v>
      </c>
      <c r="AI142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{"issue":{"subject":"","project_id":79,"tracker_id":40,"status_id":1,"priority_id":2,"assigned_to_id":338,"start_date":"2017-11-16","description":"","custom_fields":[{"id":1,"name":"Subdivision","value":"EC"},{"id":4,"name":"Milepost","value":"23.3197"},{"id":17,"name":"Train ID","value":"229-16"},{"id":16,"name":"Locomotive ID","value":"4002"},{"id":130,"name":"Impact","value":""},{"id":150,"name":"Time of Event (Mountain Time)","value":"21:38:25"},{"id":151,"name":"Denver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1" t="str">
        <f t="shared" si="72"/>
        <v>start /low /b %USERPROFILE%\Documents\GitHub\eaglep3\Utilities\DownloadLogsFromS3.py --loco 4002 --day 2017-11-16</v>
      </c>
      <c r="AN142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04:38:25"},{"id":29,"name":"Sharepoint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7" t="str">
        <f t="shared" si="74"/>
        <v>https://d0f6bd738d7f1b3e5a7ca70fe4ff75f0.us-east-1.aws.found.io/app/kibana#/discover/Steve-Slow-Train-Analysis-(2080s-and-2083s)?_g=(refreshInterval:(display:Off,pause:!f,section:0,value:0),time:(from:'2017-11-16T19:53:48-0700',mode:absolute,to:'2017-11-16T22:38:25-0700'))&amp;_a=(columns:!('Message%20ID',Summary),filters:!(),index:'emp_*',interval:auto,query:(query_string:(analyze_wildcard:!t,query:'%22rtdc.l.rtdc.4002%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872</v>
      </c>
      <c r="B143" s="7">
        <v>4001</v>
      </c>
      <c r="C143" s="21" t="s">
        <v>192</v>
      </c>
      <c r="D143" s="21" t="s">
        <v>555</v>
      </c>
      <c r="E143" s="13">
        <v>43055.911157407405</v>
      </c>
      <c r="F143" s="13">
        <v>43055.91510416667</v>
      </c>
      <c r="G143" s="7">
        <v>65</v>
      </c>
      <c r="H143" s="21" t="s">
        <v>625</v>
      </c>
      <c r="I143" s="13">
        <v>43055.942291666666</v>
      </c>
      <c r="J143" s="7">
        <v>0</v>
      </c>
      <c r="K143" s="89" t="str">
        <f t="shared" si="61"/>
        <v>4001/4002</v>
      </c>
      <c r="L143" s="184" t="str">
        <f>VLOOKUP(A143,'Trips&amp;Operators'!$C$1:$G$99911,5,FALSE)</f>
        <v>ANDERS STEVEN</v>
      </c>
      <c r="M143" s="6">
        <f t="shared" si="62"/>
        <v>2.7187499996216502E-2</v>
      </c>
      <c r="N143" s="7">
        <f t="shared" si="56"/>
        <v>39.149999994551763</v>
      </c>
      <c r="O143" s="7"/>
      <c r="P143" s="7"/>
      <c r="Q143" s="22"/>
      <c r="R143" s="173"/>
      <c r="S143" s="220">
        <f t="shared" si="57"/>
        <v>1</v>
      </c>
      <c r="T143" s="173" t="str">
        <f t="shared" si="63"/>
        <v>Southbound</v>
      </c>
      <c r="U143" s="19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5" t="str">
        <f t="shared" si="64"/>
        <v>https://d0f6bd738d7f1b3e5a7ca70fe4ff75f0.us-east-1.aws.found.io/app/kibana#/discover/Steve-Slow-Train-Analysis-(2080s-and-2083s)?_g=(refreshInterval:(display:Off,pause:!f,section:0,value:0),time:(from:'2017-11-16T20:52:04-0700',mode:absolute,to:'2017-11-16T23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203" t="str">
        <f>IF(AA143&lt;VLOOKUP(AG143,Variables!$AC$3:$AD$8,2,FALSE),"Y","N")</f>
        <v>N</v>
      </c>
      <c r="X143" s="203">
        <f t="shared" si="60"/>
        <v>1</v>
      </c>
      <c r="Y143" s="203">
        <f t="shared" si="58"/>
        <v>23.2881</v>
      </c>
      <c r="Z143" s="203">
        <f t="shared" si="59"/>
        <v>2.3400000000000001E-2</v>
      </c>
      <c r="AA143" s="203">
        <f t="shared" si="65"/>
        <v>23.264700000000001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8">
        <f t="shared" si="66"/>
        <v>230</v>
      </c>
      <c r="AE143" s="77" t="str">
        <f t="shared" si="6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143" s="74" t="str">
        <f t="shared" si="68"/>
        <v>"C:\Program Files (x86)\AstroGrep\AstroGrep.exe" /e /r /s /spath="%USERPROFILE%\AppData\Local\Temp\OnboardLogs" /stypes="app*4001*20171117*" /stext=" 05:.+((SYSTEM_STATE.+slice.+state.+changed )|(ment ac)|(multiple cpu faults)|(system.+state.+changed )|(\[timeout)|(PRM\|1\|D)|(kpr)|(kdp)|(train st.+moving)|(\|lc)|(penalty))"</v>
      </c>
      <c r="AG143" s="181" t="str">
        <f t="shared" si="69"/>
        <v>EC</v>
      </c>
      <c r="AH143" s="78" t="str">
        <f t="shared" si="70"/>
        <v>"%USERPROFILE%\Documents\GitHub\eaglep3\Utilities\RefineRTDCRunTimes.py" --tripid 230-16 --locoid 4001 --swversion DE.1.0.9.0 --startMP 204:232881 --initTime 2017-11-16T21:52:04 --startdatetime 2017-11-16T21:57:45 --delay 65 --endMP 204:234 --enddatetime 2017-11-16T22:36:54 --enforcementcount 0 &gt;&gt;%USERPROFILE%\Documents\GitHub\eaglep3-reporting\EC\2017-11-16-refined-times.txt</v>
      </c>
      <c r="AI143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{"issue":{"subject":"","project_id":79,"tracker_id":40,"status_id":1,"priority_id":2,"assigned_to_id":338,"start_date":"2017-11-16","description":"","custom_fields":[{"id":1,"name":"Subdivision","value":"EC"},{"id":4,"name":"Milepost","value":"0.0234"},{"id":17,"name":"Train ID","value":"230-16"},{"id":16,"name":"Locomotive ID","value":"4001"},{"id":130,"name":"Impact","value":""},{"id":150,"name":"Time of Event (Mountain Time)","value":"22:36:54"},{"id":151,"name":"Denver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1" t="str">
        <f t="shared" si="72"/>
        <v>start /low /b %USERPROFILE%\Documents\GitHub\eaglep3\Utilities\DownloadLogsFromS3.py --loco 4001 --day 2017-11-16</v>
      </c>
      <c r="AN143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05:36:54"},{"id":29,"name":"Sharepoint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7" t="str">
        <f t="shared" si="74"/>
        <v>https://d0f6bd738d7f1b3e5a7ca70fe4ff75f0.us-east-1.aws.found.io/app/kibana#/discover/Steve-Slow-Train-Analysis-(2080s-and-2083s)?_g=(refreshInterval:(display:Off,pause:!f,section:0,value:0),time:(from:'2017-11-16T20:52:04-0700',mode:absolute,to:'2017-11-16T23:36:54-0700'))&amp;_a=(columns:!('Message%20ID',Summary),filters:!(),index:'emp_*',interval:auto,query:(query_string:(analyze_wildcard:!t,query:'%22rtdc.l.rtdc.4001%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868</v>
      </c>
      <c r="B144" s="7">
        <v>4008</v>
      </c>
      <c r="C144" s="21" t="s">
        <v>192</v>
      </c>
      <c r="D144" s="21" t="s">
        <v>953</v>
      </c>
      <c r="E144" s="13">
        <v>43055.883726851855</v>
      </c>
      <c r="F144" s="13">
        <v>43055.896122685182</v>
      </c>
      <c r="G144" s="7">
        <v>58</v>
      </c>
      <c r="H144" s="21" t="s">
        <v>974</v>
      </c>
      <c r="I144" s="13">
        <v>43055.920810185184</v>
      </c>
      <c r="J144" s="7">
        <v>0</v>
      </c>
      <c r="K144" s="89" t="str">
        <f t="shared" si="61"/>
        <v>4007/4008</v>
      </c>
      <c r="L144" s="184" t="str">
        <f>VLOOKUP(A144,'Trips&amp;Operators'!$C$1:$G$99911,5,FALSE)</f>
        <v>LOZA FIDEL</v>
      </c>
      <c r="M144" s="6">
        <f t="shared" si="62"/>
        <v>2.4687500001164153E-2</v>
      </c>
      <c r="N144" s="7">
        <f t="shared" si="56"/>
        <v>35.550000001676381</v>
      </c>
      <c r="O144" s="7"/>
      <c r="P144" s="7"/>
      <c r="Q144" s="22"/>
      <c r="R144" s="173"/>
      <c r="S144" s="220">
        <f t="shared" si="57"/>
        <v>1</v>
      </c>
      <c r="T144" s="173" t="str">
        <f t="shared" si="63"/>
        <v>NorthBound</v>
      </c>
      <c r="U144" s="19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5" t="str">
        <f t="shared" si="64"/>
        <v>https://d0f6bd738d7f1b3e5a7ca70fe4ff75f0.us-east-1.aws.found.io/app/kibana#/discover/Steve-Slow-Train-Analysis-(2080s-and-2083s)?_g=(refreshInterval:(display:Off,pause:!f,section:0,value:0),time:(from:'2017-11-16T20:12:34-0700',mode:absolute,to:'2017-11-16T23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4" s="203" t="str">
        <f>IF(AA144&lt;VLOOKUP(AG144,Variables!$AC$3:$AD$8,2,FALSE),"Y","N")</f>
        <v>N</v>
      </c>
      <c r="X144" s="203">
        <f t="shared" si="60"/>
        <v>1</v>
      </c>
      <c r="Y144" s="203">
        <f t="shared" si="58"/>
        <v>5.3999999999999999E-2</v>
      </c>
      <c r="Z144" s="203">
        <f t="shared" si="59"/>
        <v>23.3218</v>
      </c>
      <c r="AA144" s="203">
        <f t="shared" si="65"/>
        <v>23.267800000000001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8">
        <f t="shared" si="66"/>
        <v>231</v>
      </c>
      <c r="AE144" s="77" t="str">
        <f t="shared" si="6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144" s="74" t="str">
        <f t="shared" si="68"/>
        <v>"C:\Program Files (x86)\AstroGrep\AstroGrep.exe" /e /r /s /spath="%USERPROFILE%\AppData\Local\Temp\OnboardLogs" /stypes="app*4008*20171117*" /stext=" 05:.+((SYSTEM_STATE.+slice.+state.+changed )|(ment ac)|(multiple cpu faults)|(system.+state.+changed )|(\[timeout)|(PRM\|1\|D)|(kpr)|(kdp)|(train st.+moving)|(\|lc)|(penalty))"</v>
      </c>
      <c r="AG144" s="181" t="str">
        <f t="shared" si="69"/>
        <v>EC</v>
      </c>
      <c r="AH144" s="78" t="str">
        <f t="shared" si="70"/>
        <v>"%USERPROFILE%\Documents\GitHub\eaglep3\Utilities\RefineRTDCRunTimes.py" --tripid 231-16 --locoid 4008 --swversion DE.1.0.9.0 --startMP 204:540 --initTime 2017-11-16T21:12:34 --startdatetime 2017-11-16T21:30:25 --delay 58 --endMP 204:233218 --enddatetime 2017-11-16T22:05:58 --enforcementcount 0 &gt;&gt;%USERPROFILE%\Documents\GitHub\eaglep3-reporting\EC\2017-11-16-refined-times.txt</v>
      </c>
      <c r="AI144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{"issue":{"subject":"","project_id":79,"tracker_id":40,"status_id":1,"priority_id":2,"assigned_to_id":338,"start_date":"2017-11-16","description":"","custom_fields":[{"id":1,"name":"Subdivision","value":"EC"},{"id":4,"name":"Milepost","value":"23.3218"},{"id":17,"name":"Train ID","value":"231-16"},{"id":16,"name":"Locomotive ID","value":"4008"},{"id":130,"name":"Impact","value":""},{"id":150,"name":"Time of Event (Mountain Time)","value":"22:05:58"},{"id":151,"name":"Denver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1" t="str">
        <f t="shared" si="72"/>
        <v>start /low /b %USERPROFILE%\Documents\GitHub\eaglep3\Utilities\DownloadLogsFromS3.py --loco 4008 --day 2017-11-16</v>
      </c>
      <c r="AN144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7" t="str">
        <f t="shared" si="74"/>
        <v>https://d0f6bd738d7f1b3e5a7ca70fe4ff75f0.us-east-1.aws.found.io/app/kibana#/discover/Steve-Slow-Train-Analysis-(2080s-and-2083s)?_g=(refreshInterval:(display:Off,pause:!f,section:0,value:0),time:(from:'2017-11-16T20:12:34-0700',mode:absolute,to:'2017-11-16T23:05:58-0700'))&amp;_a=(columns:!('Message%20ID',Summary),filters:!(),index:'emp_*',interval:auto,query:(query_string:(analyze_wildcard:!t,query:'%22rtdc.l.rtdc.4008%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875</v>
      </c>
      <c r="B145" s="7">
        <v>4007</v>
      </c>
      <c r="C145" s="21" t="s">
        <v>192</v>
      </c>
      <c r="D145" s="21" t="s">
        <v>902</v>
      </c>
      <c r="E145" s="13">
        <v>43055.932719907411</v>
      </c>
      <c r="F145" s="13">
        <v>43055.935590277775</v>
      </c>
      <c r="G145" s="7">
        <v>52</v>
      </c>
      <c r="H145" s="21" t="s">
        <v>616</v>
      </c>
      <c r="I145" s="13">
        <v>43055.960729166669</v>
      </c>
      <c r="J145" s="7">
        <v>0</v>
      </c>
      <c r="K145" s="89" t="str">
        <f t="shared" si="61"/>
        <v>4007/4008</v>
      </c>
      <c r="L145" s="184" t="str">
        <f>VLOOKUP(A145,'Trips&amp;Operators'!$C$1:$G$99911,5,FALSE)</f>
        <v>LOZA FIDEL</v>
      </c>
      <c r="M145" s="6">
        <f t="shared" si="62"/>
        <v>2.513888889370719E-2</v>
      </c>
      <c r="N145" s="7">
        <f t="shared" si="56"/>
        <v>36.200000006938353</v>
      </c>
      <c r="O145" s="7"/>
      <c r="P145" s="7"/>
      <c r="Q145" s="22"/>
      <c r="R145" s="173"/>
      <c r="S145" s="220">
        <f t="shared" si="57"/>
        <v>1</v>
      </c>
      <c r="T145" s="173" t="str">
        <f t="shared" si="63"/>
        <v>Southbound</v>
      </c>
      <c r="U145" s="19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5" t="str">
        <f t="shared" si="64"/>
        <v>https://d0f6bd738d7f1b3e5a7ca70fe4ff75f0.us-east-1.aws.found.io/app/kibana#/discover/Steve-Slow-Train-Analysis-(2080s-and-2083s)?_g=(refreshInterval:(display:Off,pause:!f,section:0,value:0),time:(from:'2017-11-16T21:23:07-0700',mode:absolute,to:'2017-11-17T00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5" s="203" t="str">
        <f>IF(AA145&lt;VLOOKUP(AG145,Variables!$AC$3:$AD$8,2,FALSE),"Y","N")</f>
        <v>N</v>
      </c>
      <c r="X145" s="203">
        <f t="shared" si="60"/>
        <v>1</v>
      </c>
      <c r="Y145" s="203">
        <f t="shared" si="58"/>
        <v>23.292899999999999</v>
      </c>
      <c r="Z145" s="203">
        <f t="shared" si="59"/>
        <v>1.9800000000000002E-2</v>
      </c>
      <c r="AA145" s="203">
        <f t="shared" si="65"/>
        <v>23.273099999999999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8">
        <f t="shared" si="66"/>
        <v>232</v>
      </c>
      <c r="AE145" s="77" t="str">
        <f t="shared" si="67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145" s="74" t="str">
        <f t="shared" si="68"/>
        <v>"C:\Program Files (x86)\AstroGrep\AstroGrep.exe" /e /r /s /spath="%USERPROFILE%\AppData\Local\Temp\OnboardLogs" /stypes="app*4007*20171117*" /stext=" 06:.+((SYSTEM_STATE.+slice.+state.+changed )|(ment ac)|(multiple cpu faults)|(system.+state.+changed )|(\[timeout)|(PRM\|1\|D)|(kpr)|(kdp)|(train st.+moving)|(\|lc)|(penalty))"</v>
      </c>
      <c r="AG145" s="181" t="str">
        <f t="shared" si="69"/>
        <v>EC</v>
      </c>
      <c r="AH145" s="78" t="str">
        <f t="shared" si="70"/>
        <v>"%USERPROFILE%\Documents\GitHub\eaglep3\Utilities\RefineRTDCRunTimes.py" --tripid 232-16 --locoid 4007 --swversion DE.1.0.9.0 --startMP 204:232929 --initTime 2017-11-16T22:23:07 --startdatetime 2017-11-16T22:27:15 --delay 52 --endMP 204:198 --enddatetime 2017-11-16T23:03:27 --enforcementcount 0 &gt;&gt;%USERPROFILE%\Documents\GitHub\eaglep3-reporting\EC\2017-11-16-refined-times.txt</v>
      </c>
      <c r="AI145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{"issue":{"subject":"","project_id":79,"tracker_id":40,"status_id":1,"priority_id":2,"assigned_to_id":338,"start_date":"2017-11-16","description":"","custom_fields":[{"id":1,"name":"Subdivision","value":"EC"},{"id":4,"name":"Milepost","value":"0.0198"},{"id":17,"name":"Train ID","value":"232-16"},{"id":16,"name":"Locomotive ID","value":"4007"},{"id":130,"name":"Impact","value":""},{"id":150,"name":"Time of Event (Mountain Time)","value":"23:03:27"},{"id":151,"name":"Denver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1" t="str">
        <f t="shared" si="72"/>
        <v>start /low /b %USERPROFILE%\Documents\GitHub\eaglep3\Utilities\DownloadLogsFromS3.py --loco 4007 --day 2017-11-16</v>
      </c>
      <c r="AN145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06:03:27"},{"id":29,"name":"Sharepoint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7" t="str">
        <f t="shared" si="74"/>
        <v>https://d0f6bd738d7f1b3e5a7ca70fe4ff75f0.us-east-1.aws.found.io/app/kibana#/discover/Steve-Slow-Train-Analysis-(2080s-and-2083s)?_g=(refreshInterval:(display:Off,pause:!f,section:0,value:0),time:(from:'2017-11-16T21:23:07-0700',mode:absolute,to:'2017-11-17T00:03:27-0700'))&amp;_a=(columns:!('Message%20ID',Summary),filters:!(),index:'emp_*',interval:auto,query:(query_string:(analyze_wildcard:!t,query:'%22rtdc.l.rtdc.4007%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871</v>
      </c>
      <c r="B146" s="7">
        <v>4004</v>
      </c>
      <c r="C146" s="21" t="s">
        <v>192</v>
      </c>
      <c r="D146" s="21" t="s">
        <v>634</v>
      </c>
      <c r="E146" s="13">
        <v>43055.90115740741</v>
      </c>
      <c r="F146" s="13">
        <v>43055.916817129626</v>
      </c>
      <c r="G146" s="7">
        <v>85</v>
      </c>
      <c r="H146" s="21" t="s">
        <v>894</v>
      </c>
      <c r="I146" s="13">
        <v>43055.941053240742</v>
      </c>
      <c r="J146" s="7">
        <v>0</v>
      </c>
      <c r="K146" s="89" t="str">
        <f t="shared" si="61"/>
        <v>4003/4004</v>
      </c>
      <c r="L146" s="184" t="str">
        <f>VLOOKUP(A146,'Trips&amp;Operators'!$C$1:$G$99911,5,FALSE)</f>
        <v>ELBAUM MIKE</v>
      </c>
      <c r="M146" s="6">
        <f t="shared" si="62"/>
        <v>2.4236111115897074E-2</v>
      </c>
      <c r="N146" s="7">
        <f t="shared" si="56"/>
        <v>34.900000006891787</v>
      </c>
      <c r="O146" s="7"/>
      <c r="P146" s="7"/>
      <c r="Q146" s="22"/>
      <c r="R146" s="173"/>
      <c r="S146" s="220">
        <f t="shared" si="57"/>
        <v>1</v>
      </c>
      <c r="T146" s="173" t="str">
        <f t="shared" si="63"/>
        <v>NorthBound</v>
      </c>
      <c r="U146" s="19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5" t="str">
        <f t="shared" si="64"/>
        <v>https://d0f6bd738d7f1b3e5a7ca70fe4ff75f0.us-east-1.aws.found.io/app/kibana#/discover/Steve-Slow-Train-Analysis-(2080s-and-2083s)?_g=(refreshInterval:(display:Off,pause:!f,section:0,value:0),time:(from:'2017-11-16T20:37:40-0700',mode:absolute,to:'2017-11-16T23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203" t="str">
        <f>IF(AA146&lt;VLOOKUP(AG146,Variables!$AC$3:$AD$8,2,FALSE),"Y","N")</f>
        <v>N</v>
      </c>
      <c r="X146" s="203">
        <f t="shared" si="60"/>
        <v>1</v>
      </c>
      <c r="Y146" s="203">
        <f t="shared" si="58"/>
        <v>5.7099999999999998E-2</v>
      </c>
      <c r="Z146" s="203">
        <f t="shared" si="59"/>
        <v>23.326799999999999</v>
      </c>
      <c r="AA146" s="203">
        <f t="shared" si="65"/>
        <v>23.2697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8">
        <f t="shared" si="66"/>
        <v>233</v>
      </c>
      <c r="AE146" s="77" t="str">
        <f t="shared" si="67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146" s="74" t="str">
        <f t="shared" si="68"/>
        <v>"C:\Program Files (x86)\AstroGrep\AstroGrep.exe" /e /r /s /spath="%USERPROFILE%\AppData\Local\Temp\OnboardLogs" /stypes="app*4004*20171117*" /stext=" 05:.+((SYSTEM_STATE.+slice.+state.+changed )|(ment ac)|(multiple cpu faults)|(system.+state.+changed )|(\[timeout)|(PRM\|1\|D)|(kpr)|(kdp)|(train st.+moving)|(\|lc)|(penalty))"</v>
      </c>
      <c r="AG146" s="181" t="str">
        <f t="shared" si="69"/>
        <v>EC</v>
      </c>
      <c r="AH146" s="78" t="str">
        <f t="shared" si="70"/>
        <v>"%USERPROFILE%\Documents\GitHub\eaglep3\Utilities\RefineRTDCRunTimes.py" --tripid 233-16 --locoid 4004 --swversion DE.1.0.9.0 --startMP 204:571 --initTime 2017-11-16T21:37:40 --startdatetime 2017-11-16T22:00:13 --delay 85 --endMP 204:233268 --enddatetime 2017-11-16T22:35:07 --enforcementcount 0 &gt;&gt;%USERPROFILE%\Documents\GitHub\eaglep3-reporting\EC\2017-11-16-refined-times.txt</v>
      </c>
      <c r="AI146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{"issue":{"subject":"","project_id":79,"tracker_id":40,"status_id":1,"priority_id":2,"assigned_to_id":338,"start_date":"2017-11-16","description":"","custom_fields":[{"id":1,"name":"Subdivision","value":"EC"},{"id":4,"name":"Milepost","value":"23.3268"},{"id":17,"name":"Train ID","value":"233-16"},{"id":16,"name":"Locomotive ID","value":"4004"},{"id":130,"name":"Impact","value":""},{"id":150,"name":"Time of Event (Mountain Time)","value":"22:35:07"},{"id":151,"name":"Denver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1" t="str">
        <f t="shared" si="72"/>
        <v>start /low /b %USERPROFILE%\Documents\GitHub\eaglep3\Utilities\DownloadLogsFromS3.py --loco 4004 --day 2017-11-16</v>
      </c>
      <c r="AN146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05:35:07"},{"id":29,"name":"Sharepoint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7" t="str">
        <f t="shared" si="74"/>
        <v>https://d0f6bd738d7f1b3e5a7ca70fe4ff75f0.us-east-1.aws.found.io/app/kibana#/discover/Steve-Slow-Train-Analysis-(2080s-and-2083s)?_g=(refreshInterval:(display:Off,pause:!f,section:0,value:0),time:(from:'2017-11-16T20:37:40-0700',mode:absolute,to:'2017-11-16T23:35:07-0700'))&amp;_a=(columns:!('Message%20ID',Summary),filters:!(),index:'emp_*',interval:auto,query:(query_string:(analyze_wildcard:!t,query:'%22rtdc.l.rtdc.4004%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876</v>
      </c>
      <c r="B147" s="7">
        <v>4003</v>
      </c>
      <c r="C147" s="21" t="s">
        <v>192</v>
      </c>
      <c r="D147" s="21" t="s">
        <v>610</v>
      </c>
      <c r="E147" s="13">
        <v>43055.942326388889</v>
      </c>
      <c r="F147" s="13">
        <v>43055.95653935185</v>
      </c>
      <c r="G147" s="7">
        <v>47</v>
      </c>
      <c r="H147" s="21" t="s">
        <v>626</v>
      </c>
      <c r="I147" s="13">
        <v>43055.983159722222</v>
      </c>
      <c r="J147" s="7">
        <v>0</v>
      </c>
      <c r="K147" s="89" t="str">
        <f t="shared" si="61"/>
        <v>4003/4004</v>
      </c>
      <c r="L147" s="184" t="str">
        <f>VLOOKUP(A147,'Trips&amp;Operators'!$C$1:$G$99911,5,FALSE)</f>
        <v>ELBAUM MIKE</v>
      </c>
      <c r="M147" s="6">
        <f t="shared" si="62"/>
        <v>2.662037037225673E-2</v>
      </c>
      <c r="N147" s="7">
        <f t="shared" ref="N147:N178" si="75">24*60*SUM($M147:$M147)</f>
        <v>38.333333336049691</v>
      </c>
      <c r="O147" s="7"/>
      <c r="P147" s="7"/>
      <c r="Q147" s="22"/>
      <c r="R147" s="173"/>
      <c r="S147" s="220">
        <f t="shared" ref="S147:S178" si="76">1/IF(AG147="EC",12,1)*SUM(U147:U147)</f>
        <v>1</v>
      </c>
      <c r="T147" s="173" t="str">
        <f t="shared" si="63"/>
        <v>Southbound</v>
      </c>
      <c r="U147" s="19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5" t="str">
        <f t="shared" si="64"/>
        <v>https://d0f6bd738d7f1b3e5a7ca70fe4ff75f0.us-east-1.aws.found.io/app/kibana#/discover/Steve-Slow-Train-Analysis-(2080s-and-2083s)?_g=(refreshInterval:(display:Off,pause:!f,section:0,value:0),time:(from:'2017-11-16T21:36:57-0700',mode:absolute,to:'2017-11-17T00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203" t="str">
        <f>IF(AA147&lt;VLOOKUP(AG147,Variables!$AC$3:$AD$8,2,FALSE),"Y","N")</f>
        <v>N</v>
      </c>
      <c r="X147" s="203">
        <f t="shared" si="60"/>
        <v>1</v>
      </c>
      <c r="Y147" s="203">
        <f t="shared" ref="Y147:Y156" si="77">RIGHT(D147,LEN(D147)-4)/10000</f>
        <v>23.296800000000001</v>
      </c>
      <c r="Z147" s="203">
        <f t="shared" ref="Z147:Z156" si="78">RIGHT(H147,LEN(H147)-4)/10000</f>
        <v>2.8299999999999999E-2</v>
      </c>
      <c r="AA147" s="203">
        <f t="shared" si="65"/>
        <v>23.2685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8">
        <f t="shared" si="66"/>
        <v>234</v>
      </c>
      <c r="AE147" s="77" t="str">
        <f t="shared" si="67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147" s="74" t="str">
        <f t="shared" si="68"/>
        <v>"C:\Program Files (x86)\AstroGrep\AstroGrep.exe" /e /r /s /spath="%USERPROFILE%\AppData\Local\Temp\OnboardLogs" /stypes="app*4003*20171117*" /stext=" 06:.+((SYSTEM_STATE.+slice.+state.+changed )|(ment ac)|(multiple cpu faults)|(system.+state.+changed )|(\[timeout)|(PRM\|1\|D)|(kpr)|(kdp)|(train st.+moving)|(\|lc)|(penalty))"</v>
      </c>
      <c r="AG147" s="181" t="str">
        <f t="shared" si="69"/>
        <v>EC</v>
      </c>
      <c r="AH147" s="78" t="str">
        <f t="shared" si="70"/>
        <v>"%USERPROFILE%\Documents\GitHub\eaglep3\Utilities\RefineRTDCRunTimes.py" --tripid 234-16 --locoid 4003 --swversion DE.1.0.9.0 --startMP 204:232968 --initTime 2017-11-16T22:36:57 --startdatetime 2017-11-16T22:57:25 --delay 47 --endMP 204:283 --enddatetime 2017-11-16T23:35:45 --enforcementcount 0 &gt;&gt;%USERPROFILE%\Documents\GitHub\eaglep3-reporting\EC\2017-11-16-refined-times.txt</v>
      </c>
      <c r="AI147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{"issue":{"subject":"","project_id":79,"tracker_id":40,"status_id":1,"priority_id":2,"assigned_to_id":338,"start_date":"2017-11-16","description":"","custom_fields":[{"id":1,"name":"Subdivision","value":"EC"},{"id":4,"name":"Milepost","value":"0.0283"},{"id":17,"name":"Train ID","value":"234-16"},{"id":16,"name":"Locomotive ID","value":"4003"},{"id":130,"name":"Impact","value":""},{"id":150,"name":"Time of Event (Mountain Time)","value":"23:35:45"},{"id":151,"name":"Denver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1" t="str">
        <f t="shared" si="72"/>
        <v>start /low /b %USERPROFILE%\Documents\GitHub\eaglep3\Utilities\DownloadLogsFromS3.py --loco 4003 --day 2017-11-16</v>
      </c>
      <c r="AN147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7" t="str">
        <f t="shared" si="74"/>
        <v>https://d0f6bd738d7f1b3e5a7ca70fe4ff75f0.us-east-1.aws.found.io/app/kibana#/discover/Steve-Slow-Train-Analysis-(2080s-and-2083s)?_g=(refreshInterval:(display:Off,pause:!f,section:0,value:0),time:(from:'2017-11-16T21:36:57-0700',mode:absolute,to:'2017-11-17T00:35:45-0700'))&amp;_a=(columns:!('Message%20ID',Summary),filters:!(),index:'emp_*',interval:auto,query:(query_string:(analyze_wildcard:!t,query:'%22rtdc.l.rtdc.4003%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874</v>
      </c>
      <c r="B148" s="7">
        <v>4018</v>
      </c>
      <c r="C148" s="21" t="s">
        <v>192</v>
      </c>
      <c r="D148" s="21" t="s">
        <v>953</v>
      </c>
      <c r="E148" s="13">
        <v>43055.931226851855</v>
      </c>
      <c r="F148" s="13">
        <v>43055.937685185185</v>
      </c>
      <c r="G148" s="7">
        <v>80</v>
      </c>
      <c r="H148" s="21" t="s">
        <v>562</v>
      </c>
      <c r="I148" s="13">
        <v>43055.963622685187</v>
      </c>
      <c r="J148" s="7">
        <v>0</v>
      </c>
      <c r="K148" s="89" t="str">
        <f t="shared" si="61"/>
        <v>4017/4018</v>
      </c>
      <c r="L148" s="184" t="str">
        <f>VLOOKUP(A148,'Trips&amp;Operators'!$C$1:$G$99911,5,FALSE)</f>
        <v>NICHOLSON WESLEY</v>
      </c>
      <c r="M148" s="6">
        <f t="shared" si="62"/>
        <v>2.5937500002328306E-2</v>
      </c>
      <c r="N148" s="7">
        <f t="shared" si="75"/>
        <v>37.350000003352761</v>
      </c>
      <c r="O148" s="7"/>
      <c r="P148" s="7"/>
      <c r="Q148" s="22"/>
      <c r="R148" s="173"/>
      <c r="S148" s="220">
        <f t="shared" si="76"/>
        <v>1</v>
      </c>
      <c r="T148" s="173" t="str">
        <f t="shared" si="63"/>
        <v>NorthBound</v>
      </c>
      <c r="U148" s="19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5" t="str">
        <f t="shared" si="64"/>
        <v>https://d0f6bd738d7f1b3e5a7ca70fe4ff75f0.us-east-1.aws.found.io/app/kibana#/discover/Steve-Slow-Train-Analysis-(2080s-and-2083s)?_g=(refreshInterval:(display:Off,pause:!f,section:0,value:0),time:(from:'2017-11-16T21:20:58-0700',mode:absolute,to:'2017-11-17T00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203" t="str">
        <f>IF(AA148&lt;VLOOKUP(AG148,Variables!$AC$3:$AD$8,2,FALSE),"Y","N")</f>
        <v>N</v>
      </c>
      <c r="X148" s="203">
        <f t="shared" si="60"/>
        <v>1</v>
      </c>
      <c r="Y148" s="203">
        <f t="shared" si="77"/>
        <v>5.3999999999999999E-2</v>
      </c>
      <c r="Z148" s="203">
        <f t="shared" si="78"/>
        <v>23.319299999999998</v>
      </c>
      <c r="AA148" s="203">
        <f t="shared" si="65"/>
        <v>23.2653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8">
        <f t="shared" si="66"/>
        <v>235</v>
      </c>
      <c r="AE148" s="77" t="str">
        <f t="shared" si="67"/>
        <v>aws s3 cp s3://rtdc.mdm.uploadarchive.raw/RTDC4018/ "%USERPROFILE%\AppData\Local\Temp\OnboardLogs"\RTDC4018\2017-11-16 --exclude "*" --recursive --include "*20171116*" &amp; "%USERPROFILE%\Documents\GitHub\mrs-test-scripts\Headless Mode &amp; Sideloading\WalkAndUnGZ.bat" "%USERPROFILE%\AppData\Local\Temp\OnboardLogs"\RTDC4018\2017-11-16 &amp; 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</v>
      </c>
      <c r="AF148" s="74" t="str">
        <f t="shared" si="68"/>
        <v>"C:\Program Files (x86)\AstroGrep\AstroGrep.exe" /e /r /s /spath="%USERPROFILE%\AppData\Local\Temp\OnboardLogs" /stypes="app*4018*20171117*" /stext=" 06:.+((SYSTEM_STATE.+slice.+state.+changed )|(ment ac)|(multiple cpu faults)|(system.+state.+changed )|(\[timeout)|(PRM\|1\|D)|(kpr)|(kdp)|(train st.+moving)|(\|lc)|(penalty))"</v>
      </c>
      <c r="AG148" s="181" t="str">
        <f t="shared" si="69"/>
        <v>EC</v>
      </c>
      <c r="AH148" s="78" t="str">
        <f t="shared" si="70"/>
        <v>"%USERPROFILE%\Documents\GitHub\eaglep3\Utilities\RefineRTDCRunTimes.py" --tripid 235-16 --locoid 4018 --swversion DE.1.0.9.0 --startMP 204:540 --initTime 2017-11-16T22:20:58 --startdatetime 2017-11-16T22:30:16 --delay 80 --endMP 204:233193 --enddatetime 2017-11-16T23:07:37 --enforcementcount 0 &gt;&gt;%USERPROFILE%\Documents\GitHub\eaglep3-reporting\EC\2017-11-16-refined-times.txt</v>
      </c>
      <c r="AI148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{"issue":{"subject":"","project_id":79,"tracker_id":40,"status_id":1,"priority_id":2,"assigned_to_id":338,"start_date":"2017-11-16","description":"","custom_fields":[{"id":1,"name":"Subdivision","value":"EC"},{"id":4,"name":"Milepost","value":"23.3193"},{"id":17,"name":"Train ID","value":"235-16"},{"id":16,"name":"Locomotive ID","value":"4018"},{"id":130,"name":"Impact","value":""},{"id":150,"name":"Time of Event (Mountain Time)","value":"23:07:37"},{"id":151,"name":"Denver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1" t="str">
        <f t="shared" si="72"/>
        <v>start /low /b %USERPROFILE%\Documents\GitHub\eaglep3\Utilities\DownloadLogsFromS3.py --loco 4018 --day 2017-11-16</v>
      </c>
      <c r="AN148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7" t="str">
        <f t="shared" si="74"/>
        <v>https://d0f6bd738d7f1b3e5a7ca70fe4ff75f0.us-east-1.aws.found.io/app/kibana#/discover/Steve-Slow-Train-Analysis-(2080s-and-2083s)?_g=(refreshInterval:(display:Off,pause:!f,section:0,value:0),time:(from:'2017-11-16T21:20:58-0700',mode:absolute,to:'2017-11-17T00:07:37-0700'))&amp;_a=(columns:!('Message%20ID',Summary),filters:!(),index:'emp_*',interval:auto,query:(query_string:(analyze_wildcard:!t,query:'%22rtdc.l.rtdc.4018%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880</v>
      </c>
      <c r="B149" s="7">
        <v>4017</v>
      </c>
      <c r="C149" s="21" t="s">
        <v>192</v>
      </c>
      <c r="D149" s="21" t="s">
        <v>975</v>
      </c>
      <c r="E149" s="13">
        <v>43055.966296296298</v>
      </c>
      <c r="F149" s="13">
        <v>43055.977361111109</v>
      </c>
      <c r="G149" s="7">
        <v>128</v>
      </c>
      <c r="H149" s="21" t="s">
        <v>504</v>
      </c>
      <c r="I149" s="13">
        <v>43056.005937499998</v>
      </c>
      <c r="J149" s="7">
        <v>0</v>
      </c>
      <c r="K149" s="89" t="str">
        <f t="shared" si="61"/>
        <v>4017/4018</v>
      </c>
      <c r="L149" s="184" t="str">
        <f>VLOOKUP(A149,'Trips&amp;Operators'!$C$1:$G$99911,5,FALSE)</f>
        <v>NICHOLSON WESLEY</v>
      </c>
      <c r="M149" s="6">
        <f t="shared" si="62"/>
        <v>2.8576388889632653E-2</v>
      </c>
      <c r="N149" s="7">
        <f t="shared" si="75"/>
        <v>41.150000001071021</v>
      </c>
      <c r="O149" s="7"/>
      <c r="P149" s="7"/>
      <c r="Q149" s="22"/>
      <c r="R149" s="173"/>
      <c r="S149" s="220">
        <f t="shared" si="76"/>
        <v>1</v>
      </c>
      <c r="T149" s="173" t="str">
        <f t="shared" si="63"/>
        <v>Southbound</v>
      </c>
      <c r="U149" s="19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5" t="str">
        <f t="shared" si="64"/>
        <v>https://d0f6bd738d7f1b3e5a7ca70fe4ff75f0.us-east-1.aws.found.io/app/kibana#/discover/Steve-Slow-Train-Analysis-(2080s-and-2083s)?_g=(refreshInterval:(display:Off,pause:!f,section:0,value:0),time:(from:'2017-11-16T22:11:28-0700',mode:absolute,to:'2017-11-17T01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203" t="str">
        <f>IF(AA149&lt;VLOOKUP(AG149,Variables!$AC$3:$AD$8,2,FALSE),"Y","N")</f>
        <v>N</v>
      </c>
      <c r="X149" s="203">
        <f t="shared" ref="X149:X173" si="79">VALUE(LEFT(AD149,4))-VALUE(LEFT(AD148,4))</f>
        <v>1</v>
      </c>
      <c r="Y149" s="203">
        <f t="shared" si="77"/>
        <v>23.2883</v>
      </c>
      <c r="Z149" s="203">
        <f t="shared" si="78"/>
        <v>2.23E-2</v>
      </c>
      <c r="AA149" s="203">
        <f t="shared" si="65"/>
        <v>23.265999999999998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8">
        <f t="shared" si="66"/>
        <v>236</v>
      </c>
      <c r="AE149" s="77" t="str">
        <f t="shared" si="67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149" s="74" t="str">
        <f t="shared" si="68"/>
        <v>"C:\Program Files (x86)\AstroGrep\AstroGrep.exe" /e /r /s /spath="%USERPROFILE%\AppData\Local\Temp\OnboardLogs" /stypes="app*4017*20171117*" /stext=" 07:.+((SYSTEM_STATE.+slice.+state.+changed )|(ment ac)|(multiple cpu faults)|(system.+state.+changed )|(\[timeout)|(PRM\|1\|D)|(kpr)|(kdp)|(train st.+moving)|(\|lc)|(penalty))"</v>
      </c>
      <c r="AG149" s="181" t="str">
        <f t="shared" si="69"/>
        <v>EC</v>
      </c>
      <c r="AH149" s="78" t="str">
        <f t="shared" si="70"/>
        <v>"%USERPROFILE%\Documents\GitHub\eaglep3\Utilities\RefineRTDCRunTimes.py" --tripid 236-16 --locoid 4017 --swversion DE.1.0.9.0 --startMP 204:232883 --initTime 2017-11-16T23:11:28 --startdatetime 2017-11-16T23:27:24 --delay 128 --endMP 204:223 --enddatetime 2017-11-17T00:08:33 --enforcementcount 0 &gt;&gt;%USERPROFILE%\Documents\GitHub\eaglep3-reporting\EC\2017-11-16-refined-times.txt</v>
      </c>
      <c r="AI149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{"issue":{"subject":"","project_id":79,"tracker_id":40,"status_id":1,"priority_id":2,"assigned_to_id":338,"start_date":"2017-11-17","description":"","custom_fields":[{"id":1,"name":"Subdivision","value":"EC"},{"id":4,"name":"Milepost","value":"0.0223"},{"id":17,"name":"Train ID","value":"236-16"},{"id":16,"name":"Locomotive ID","value":"4017"},{"id":130,"name":"Impact","value":""},{"id":150,"name":"Time of Event (Mountain Time)","value":"00:08:33"},{"id":151,"name":"Denver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1" t="str">
        <f t="shared" si="72"/>
        <v>start /low /b %USERPROFILE%\Documents\GitHub\eaglep3\Utilities\DownloadLogsFromS3.py --loco 4017 --day 2017-11-16</v>
      </c>
      <c r="AN149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07:08:33"},{"id":29,"name":"Sharepoint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7" t="str">
        <f t="shared" si="74"/>
        <v>https://d0f6bd738d7f1b3e5a7ca70fe4ff75f0.us-east-1.aws.found.io/app/kibana#/discover/Steve-Slow-Train-Analysis-(2080s-and-2083s)?_g=(refreshInterval:(display:Off,pause:!f,section:0,value:0),time:(from:'2017-11-16T22:11:28-0700',mode:absolute,to:'2017-11-17T01:08:33-0700'))&amp;_a=(columns:!('Message%20ID',Summary),filters:!(),index:'emp_*',interval:auto,query:(query_string:(analyze_wildcard:!t,query:'%22rtdc.l.rtdc.4017%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877</v>
      </c>
      <c r="B150" s="7">
        <v>4002</v>
      </c>
      <c r="C150" s="21" t="s">
        <v>192</v>
      </c>
      <c r="D150" s="21" t="s">
        <v>460</v>
      </c>
      <c r="E150" s="13">
        <v>43055.946585648147</v>
      </c>
      <c r="F150" s="13">
        <v>43055.958657407406</v>
      </c>
      <c r="G150" s="7">
        <v>62</v>
      </c>
      <c r="H150" s="21" t="s">
        <v>972</v>
      </c>
      <c r="I150" s="13">
        <v>43055.984363425923</v>
      </c>
      <c r="J150" s="7">
        <v>0</v>
      </c>
      <c r="K150" s="89" t="str">
        <f t="shared" si="61"/>
        <v>4001/4002</v>
      </c>
      <c r="L150" s="184" t="str">
        <f>VLOOKUP(A150,'Trips&amp;Operators'!$C$1:$G$99911,5,FALSE)</f>
        <v>ANDERS STEVEN</v>
      </c>
      <c r="M150" s="6">
        <f t="shared" si="62"/>
        <v>2.5706018517666962E-2</v>
      </c>
      <c r="N150" s="7">
        <f t="shared" si="75"/>
        <v>37.016666665440425</v>
      </c>
      <c r="O150" s="7"/>
      <c r="P150" s="7"/>
      <c r="Q150" s="22"/>
      <c r="R150" s="173"/>
      <c r="S150" s="220">
        <f t="shared" si="76"/>
        <v>1</v>
      </c>
      <c r="T150" s="173" t="str">
        <f t="shared" si="63"/>
        <v>NorthBound</v>
      </c>
      <c r="U150" s="19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5" t="str">
        <f t="shared" si="64"/>
        <v>https://d0f6bd738d7f1b3e5a7ca70fe4ff75f0.us-east-1.aws.found.io/app/kibana#/discover/Steve-Slow-Train-Analysis-(2080s-and-2083s)?_g=(refreshInterval:(display:Off,pause:!f,section:0,value:0),time:(from:'2017-11-16T21:43:05-0700',mode:absolute,to:'2017-11-17T00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203" t="str">
        <f>IF(AA150&lt;VLOOKUP(AG150,Variables!$AC$3:$AD$8,2,FALSE),"Y","N")</f>
        <v>N</v>
      </c>
      <c r="X150" s="203">
        <f t="shared" si="79"/>
        <v>1</v>
      </c>
      <c r="Y150" s="203">
        <f t="shared" si="77"/>
        <v>5.33E-2</v>
      </c>
      <c r="Z150" s="203">
        <f t="shared" si="78"/>
        <v>23.325700000000001</v>
      </c>
      <c r="AA150" s="203">
        <f t="shared" si="65"/>
        <v>23.272400000000001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8">
        <f t="shared" si="66"/>
        <v>237</v>
      </c>
      <c r="AE150" s="77" t="str">
        <f t="shared" si="67"/>
        <v>aws s3 cp s3://rtdc.mdm.uploadarchive.raw/RTDC4002/ "%USERPROFILE%\AppData\Local\Temp\OnboardLogs"\RTDC4002\2017-11-16 --exclude "*" --recursive --include "*20171116*" &amp; "%USERPROFILE%\Documents\GitHub\mrs-test-scripts\Headless Mode &amp; Sideloading\WalkAndUnGZ.bat" "%USERPROFILE%\AppData\Local\Temp\OnboardLogs"\RTDC4002\2017-11-16 &amp; 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</v>
      </c>
      <c r="AF150" s="74" t="str">
        <f t="shared" si="68"/>
        <v>"C:\Program Files (x86)\AstroGrep\AstroGrep.exe" /e /r /s /spath="%USERPROFILE%\AppData\Local\Temp\OnboardLogs" /stypes="app*4002*20171117*" /stext=" 06:.+((SYSTEM_STATE.+slice.+state.+changed )|(ment ac)|(multiple cpu faults)|(system.+state.+changed )|(\[timeout)|(PRM\|1\|D)|(kpr)|(kdp)|(train st.+moving)|(\|lc)|(penalty))"</v>
      </c>
      <c r="AG150" s="181" t="str">
        <f t="shared" si="69"/>
        <v>EC</v>
      </c>
      <c r="AH150" s="78" t="str">
        <f t="shared" si="70"/>
        <v>"%USERPROFILE%\Documents\GitHub\eaglep3\Utilities\RefineRTDCRunTimes.py" --tripid 237-16 --locoid 4002 --swversion DE.1.0.9.0 --startMP 204:533 --initTime 2017-11-16T22:43:05 --startdatetime 2017-11-16T23:00:28 --delay 62 --endMP 204:233257 --enddatetime 2017-11-16T23:37:29 --enforcementcount 0 &gt;&gt;%USERPROFILE%\Documents\GitHub\eaglep3-reporting\EC\2017-11-16-refined-times.txt</v>
      </c>
      <c r="AI150" s="96" t="str">
        <f t="shared" si="71"/>
        <v>echo {"issue":{"subject":"","project_id":79,"tracker_id":40,"status_id":1,"priority_id":2,"assigned_to_id":338,"start_date":"2017-11-16","description":"","custom_fields":[{"id":1,"name":"Subdivision","value":"EC"},{"id":4,"name":"Milepost","value":"23.3257"},{"id":17,"name":"Train ID","value":"237-16"},{"id":16,"name":"Locomotive ID","value":"4002"},{"id":130,"name":"Impact","value":""},{"id":150,"name":"Time of Event (Mountain Time)","value":"23:37:29"},{"id":151,"name":"Denver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1" t="str">
        <f t="shared" si="72"/>
        <v>start /low /b %USERPROFILE%\Documents\GitHub\eaglep3\Utilities\DownloadLogsFromS3.py --loco 4002 --day 2017-11-16</v>
      </c>
      <c r="AN150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06:37:29"},{"id":29,"name":"Sharepoint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7" t="str">
        <f t="shared" si="74"/>
        <v>https://d0f6bd738d7f1b3e5a7ca70fe4ff75f0.us-east-1.aws.found.io/app/kibana#/discover/Steve-Slow-Train-Analysis-(2080s-and-2083s)?_g=(refreshInterval:(display:Off,pause:!f,section:0,value:0),time:(from:'2017-11-16T21:43:05-0700',mode:absolute,to:'2017-11-17T00:37:29-0700'))&amp;_a=(columns:!('Message%20ID',Summary),filters:!(),index:'emp_*',interval:auto,query:(query_string:(analyze_wildcard:!t,query:'%22rtdc.l.rtdc.4002%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883</v>
      </c>
      <c r="B151" s="7">
        <v>4001</v>
      </c>
      <c r="C151" s="21" t="s">
        <v>192</v>
      </c>
      <c r="D151" s="21" t="s">
        <v>931</v>
      </c>
      <c r="E151" s="13">
        <v>43055.995312500003</v>
      </c>
      <c r="F151" s="13">
        <v>43055.99827546296</v>
      </c>
      <c r="G151" s="7">
        <v>52</v>
      </c>
      <c r="H151" s="21" t="s">
        <v>524</v>
      </c>
      <c r="I151" s="13">
        <v>43056.02547453704</v>
      </c>
      <c r="J151" s="7">
        <v>0</v>
      </c>
      <c r="K151" s="89" t="str">
        <f t="shared" si="61"/>
        <v>4001/4002</v>
      </c>
      <c r="L151" s="184" t="str">
        <f>VLOOKUP(A151,'Trips&amp;Operators'!$C$1:$G$99911,5,FALSE)</f>
        <v>ANDERS STEVEN</v>
      </c>
      <c r="M151" s="6">
        <f t="shared" si="62"/>
        <v>2.7199074080272112E-2</v>
      </c>
      <c r="N151" s="7">
        <f t="shared" si="75"/>
        <v>39.166666675591841</v>
      </c>
      <c r="O151" s="7"/>
      <c r="P151" s="7"/>
      <c r="Q151" s="22"/>
      <c r="R151" s="173"/>
      <c r="S151" s="220">
        <f t="shared" si="76"/>
        <v>1</v>
      </c>
      <c r="T151" s="173" t="str">
        <f t="shared" si="63"/>
        <v>Southbound</v>
      </c>
      <c r="U151" s="19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5" t="str">
        <f t="shared" si="64"/>
        <v>https://d0f6bd738d7f1b3e5a7ca70fe4ff75f0.us-east-1.aws.found.io/app/kibana#/discover/Steve-Slow-Train-Analysis-(2080s-and-2083s)?_g=(refreshInterval:(display:Off,pause:!f,section:0,value:0),time:(from:'2017-11-16T22:53:15-0700',mode:absolute,to:'2017-11-17T01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203" t="str">
        <f>IF(AA151&lt;VLOOKUP(AG151,Variables!$AC$3:$AD$8,2,FALSE),"Y","N")</f>
        <v>N</v>
      </c>
      <c r="X151" s="203">
        <f t="shared" si="79"/>
        <v>1</v>
      </c>
      <c r="Y151" s="203">
        <f t="shared" si="77"/>
        <v>23.2928</v>
      </c>
      <c r="Z151" s="203">
        <f t="shared" si="78"/>
        <v>2.1999999999999999E-2</v>
      </c>
      <c r="AA151" s="203">
        <f t="shared" si="65"/>
        <v>23.270800000000001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8">
        <f t="shared" si="66"/>
        <v>238</v>
      </c>
      <c r="AE151" s="77" t="str">
        <f t="shared" si="67"/>
        <v>aws s3 cp s3://rtdc.mdm.uploadarchive.raw/RTDC4001/ "%USERPROFILE%\AppData\Local\Temp\OnboardLogs"\RTDC4001\2017-11-16 --exclude "*" --recursive --include "*20171116*" &amp; "%USERPROFILE%\Documents\GitHub\mrs-test-scripts\Headless Mode &amp; Sideloading\WalkAndUnGZ.bat" "%USERPROFILE%\AppData\Local\Temp\OnboardLogs"\RTDC4001\2017-11-16 &amp; aws s3 cp s3://rtdc.mdm.uploadarchive.raw/RTDC4001/ "%USERPROFILE%\AppData\Local\Temp\OnboardLogs"\RTDC4001\2017-11-17 --exclude "*" --recursive --include "*20171117*" &amp; "%USERPROFILE%\Documents\GitHub\mrs-test-scripts\Headless Mode &amp; Sideloading\WalkAndUnGZ.bat" "%USERPROFILE%\AppData\Local\Temp\OnboardLogs"\RTDC4001\2017-11-17</v>
      </c>
      <c r="AF151" s="74" t="str">
        <f t="shared" si="68"/>
        <v>"C:\Program Files (x86)\AstroGrep\AstroGrep.exe" /e /r /s /spath="%USERPROFILE%\AppData\Local\Temp\OnboardLogs" /stypes="app*4001*20171117*" /stext=" 07:.+((SYSTEM_STATE.+slice.+state.+changed )|(ment ac)|(multiple cpu faults)|(system.+state.+changed )|(\[timeout)|(PRM\|1\|D)|(kpr)|(kdp)|(train st.+moving)|(\|lc)|(penalty))"</v>
      </c>
      <c r="AG151" s="181" t="str">
        <f t="shared" si="69"/>
        <v>EC</v>
      </c>
      <c r="AH151" s="78" t="str">
        <f t="shared" si="70"/>
        <v>"%USERPROFILE%\Documents\GitHub\eaglep3\Utilities\RefineRTDCRunTimes.py" --tripid 238-16 --locoid 4001 --swversion DE.1.0.9.0 --startMP 204:232928 --initTime 2017-11-16T23:53:15 --startdatetime 2017-11-16T23:57:31 --delay 52 --endMP 204:220 --enddatetime 2017-11-17T00:36:41 --enforcementcount 0 &gt;&gt;%USERPROFILE%\Documents\GitHub\eaglep3-reporting\EC\2017-11-16-refined-times.txt</v>
      </c>
      <c r="AI151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{"issue":{"subject":"","project_id":79,"tracker_id":40,"status_id":1,"priority_id":2,"assigned_to_id":338,"start_date":"2017-11-17","description":"","custom_fields":[{"id":1,"name":"Subdivision","value":"EC"},{"id":4,"name":"Milepost","value":"0.022"},{"id":17,"name":"Train ID","value":"238-16"},{"id":16,"name":"Locomotive ID","value":"4001"},{"id":130,"name":"Impact","value":""},{"id":150,"name":"Time of Event (Mountain Time)","value":"00:36:41"},{"id":151,"name":"Denver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1" t="str">
        <f t="shared" si="72"/>
        <v>start /low /b %USERPROFILE%\Documents\GitHub\eaglep3\Utilities\DownloadLogsFromS3.py --loco 4001 --day 2017-11-16</v>
      </c>
      <c r="AN151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7" t="str">
        <f t="shared" si="74"/>
        <v>https://d0f6bd738d7f1b3e5a7ca70fe4ff75f0.us-east-1.aws.found.io/app/kibana#/discover/Steve-Slow-Train-Analysis-(2080s-and-2083s)?_g=(refreshInterval:(display:Off,pause:!f,section:0,value:0),time:(from:'2017-11-16T22:53:15-0700',mode:absolute,to:'2017-11-17T01:36:41-0700'))&amp;_a=(columns:!('Message%20ID',Summary),filters:!(),index:'emp_*',interval:auto,query:(query_string:(analyze_wildcard:!t,query:'%22rtdc.l.rtdc.4001%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879</v>
      </c>
      <c r="B152" s="7">
        <v>4008</v>
      </c>
      <c r="C152" s="21" t="s">
        <v>192</v>
      </c>
      <c r="D152" s="21" t="s">
        <v>620</v>
      </c>
      <c r="E152" s="13">
        <v>43055.962696759256</v>
      </c>
      <c r="F152" s="13">
        <v>43055.979375000003</v>
      </c>
      <c r="G152" s="7">
        <v>65</v>
      </c>
      <c r="H152" s="21" t="s">
        <v>976</v>
      </c>
      <c r="I152" s="13">
        <v>43056.003506944442</v>
      </c>
      <c r="J152" s="7">
        <v>0</v>
      </c>
      <c r="K152" s="89" t="str">
        <f t="shared" si="61"/>
        <v>4007/4008</v>
      </c>
      <c r="L152" s="184" t="str">
        <f>VLOOKUP(A152,'Trips&amp;Operators'!$C$1:$G$99911,5,FALSE)</f>
        <v>LOZA FIDEL</v>
      </c>
      <c r="M152" s="6">
        <f t="shared" si="62"/>
        <v>2.4131944439432118E-2</v>
      </c>
      <c r="N152" s="7">
        <f t="shared" si="75"/>
        <v>34.74999999278225</v>
      </c>
      <c r="O152" s="7"/>
      <c r="P152" s="7"/>
      <c r="Q152" s="22"/>
      <c r="R152" s="173"/>
      <c r="S152" s="220">
        <f t="shared" si="76"/>
        <v>1</v>
      </c>
      <c r="T152" s="173" t="str">
        <f t="shared" si="63"/>
        <v>NorthBound</v>
      </c>
      <c r="U152" s="19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5" t="str">
        <f t="shared" si="64"/>
        <v>https://d0f6bd738d7f1b3e5a7ca70fe4ff75f0.us-east-1.aws.found.io/app/kibana#/discover/Steve-Slow-Train-Analysis-(2080s-and-2083s)?_g=(refreshInterval:(display:Off,pause:!f,section:0,value:0),time:(from:'2017-11-16T22:06:17-0700',mode:absolute,to:'2017-11-17T01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2" s="203" t="str">
        <f>IF(AA152&lt;VLOOKUP(AG152,Variables!$AC$3:$AD$8,2,FALSE),"Y","N")</f>
        <v>N</v>
      </c>
      <c r="X152" s="203">
        <f t="shared" si="79"/>
        <v>1</v>
      </c>
      <c r="Y152" s="203">
        <f t="shared" si="77"/>
        <v>5.1900000000000002E-2</v>
      </c>
      <c r="Z152" s="203">
        <f t="shared" si="78"/>
        <v>23.328499999999998</v>
      </c>
      <c r="AA152" s="203">
        <f t="shared" si="65"/>
        <v>23.276599999999998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8">
        <f t="shared" si="66"/>
        <v>239</v>
      </c>
      <c r="AE152" s="77" t="str">
        <f t="shared" si="67"/>
        <v>aws s3 cp s3://rtdc.mdm.uploadarchive.raw/RTDC4008/ "%USERPROFILE%\AppData\Local\Temp\OnboardLogs"\RTDC4008\2017-11-16 --exclude "*" --recursive --include "*20171116*" &amp; "%USERPROFILE%\Documents\GitHub\mrs-test-scripts\Headless Mode &amp; Sideloading\WalkAndUnGZ.bat" "%USERPROFILE%\AppData\Local\Temp\OnboardLogs"\RTDC4008\2017-11-16 &amp; 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</v>
      </c>
      <c r="AF152" s="74" t="str">
        <f t="shared" si="68"/>
        <v>"C:\Program Files (x86)\AstroGrep\AstroGrep.exe" /e /r /s /spath="%USERPROFILE%\AppData\Local\Temp\OnboardLogs" /stypes="app*4008*20171117*" /stext=" 07:.+((SYSTEM_STATE.+slice.+state.+changed )|(ment ac)|(multiple cpu faults)|(system.+state.+changed )|(\[timeout)|(PRM\|1\|D)|(kpr)|(kdp)|(train st.+moving)|(\|lc)|(penalty))"</v>
      </c>
      <c r="AG152" s="181" t="str">
        <f t="shared" si="69"/>
        <v>EC</v>
      </c>
      <c r="AH152" s="78" t="str">
        <f t="shared" si="70"/>
        <v>"%USERPROFILE%\Documents\GitHub\eaglep3\Utilities\RefineRTDCRunTimes.py" --tripid 239-16 --locoid 4008 --swversion DE.1.0.9.0 --startMP 204:519 --initTime 2017-11-16T23:06:17 --startdatetime 2017-11-16T23:30:18 --delay 65 --endMP 204:233285 --enddatetime 2017-11-17T00:05:03 --enforcementcount 0 &gt;&gt;%USERPROFILE%\Documents\GitHub\eaglep3-reporting\EC\2017-11-16-refined-times.txt</v>
      </c>
      <c r="AI152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{"issue":{"subject":"","project_id":79,"tracker_id":40,"status_id":1,"priority_id":2,"assigned_to_id":338,"start_date":"2017-11-17","description":"","custom_fields":[{"id":1,"name":"Subdivision","value":"EC"},{"id":4,"name":"Milepost","value":"23.3285"},{"id":17,"name":"Train ID","value":"239-16"},{"id":16,"name":"Locomotive ID","value":"4008"},{"id":130,"name":"Impact","value":""},{"id":150,"name":"Time of Event (Mountain Time)","value":"00:05:03"},{"id":151,"name":"Denver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1" t="str">
        <f t="shared" si="72"/>
        <v>start /low /b %USERPROFILE%\Documents\GitHub\eaglep3\Utilities\DownloadLogsFromS3.py --loco 4008 --day 2017-11-16</v>
      </c>
      <c r="AN152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7" t="str">
        <f t="shared" si="74"/>
        <v>https://d0f6bd738d7f1b3e5a7ca70fe4ff75f0.us-east-1.aws.found.io/app/kibana#/discover/Steve-Slow-Train-Analysis-(2080s-and-2083s)?_g=(refreshInterval:(display:Off,pause:!f,section:0,value:0),time:(from:'2017-11-16T22:06:17-0700',mode:absolute,to:'2017-11-17T01:05:03-0700'))&amp;_a=(columns:!('Message%20ID',Summary),filters:!(),index:'emp_*',interval:auto,query:(query_string:(analyze_wildcard:!t,query:'%22rtdc.l.rtdc.4008%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885</v>
      </c>
      <c r="B153" s="7">
        <v>4007</v>
      </c>
      <c r="C153" s="21" t="s">
        <v>192</v>
      </c>
      <c r="D153" s="21" t="s">
        <v>566</v>
      </c>
      <c r="E153" s="13">
        <v>43056.016250000001</v>
      </c>
      <c r="F153" s="13">
        <v>43056.018923611111</v>
      </c>
      <c r="G153" s="7">
        <v>81</v>
      </c>
      <c r="H153" s="21" t="s">
        <v>977</v>
      </c>
      <c r="I153" s="13">
        <v>43056.044131944444</v>
      </c>
      <c r="J153" s="7">
        <v>0</v>
      </c>
      <c r="K153" s="89" t="str">
        <f t="shared" si="61"/>
        <v>4007/4008</v>
      </c>
      <c r="L153" s="184" t="str">
        <f>VLOOKUP(A153,'Trips&amp;Operators'!$C$1:$G$99911,5,FALSE)</f>
        <v>LOZA FIDEL</v>
      </c>
      <c r="M153" s="6">
        <f t="shared" si="62"/>
        <v>2.5208333332557231E-2</v>
      </c>
      <c r="N153" s="7">
        <f t="shared" si="75"/>
        <v>36.299999998882413</v>
      </c>
      <c r="O153" s="7"/>
      <c r="P153" s="7"/>
      <c r="Q153" s="22"/>
      <c r="R153" s="173"/>
      <c r="S153" s="220">
        <f t="shared" si="76"/>
        <v>1</v>
      </c>
      <c r="T153" s="173" t="str">
        <f t="shared" si="63"/>
        <v>Southbound</v>
      </c>
      <c r="U153" s="19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5" t="str">
        <f t="shared" si="64"/>
        <v>https://d0f6bd738d7f1b3e5a7ca70fe4ff75f0.us-east-1.aws.found.io/app/kibana#/discover/Steve-Slow-Train-Analysis-(2080s-and-2083s)?_g=(refreshInterval:(display:Off,pause:!f,section:0,value:0),time:(from:'2017-11-16T23:23:24-0700',mode:absolute,to:'2017-11-17T02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3" s="203" t="str">
        <f>IF(AA153&lt;VLOOKUP(AG153,Variables!$AC$3:$AD$8,2,FALSE),"Y","N")</f>
        <v>N</v>
      </c>
      <c r="X153" s="203">
        <f t="shared" si="79"/>
        <v>1</v>
      </c>
      <c r="Y153" s="203">
        <f t="shared" si="77"/>
        <v>23.2957</v>
      </c>
      <c r="Z153" s="203">
        <f t="shared" si="78"/>
        <v>1.7999999999999999E-2</v>
      </c>
      <c r="AA153" s="203">
        <f t="shared" si="65"/>
        <v>23.277699999999999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8">
        <f t="shared" si="66"/>
        <v>240</v>
      </c>
      <c r="AE153" s="77" t="str">
        <f t="shared" si="67"/>
        <v>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 &amp; aws s3 cp s3://rtdc.mdm.uploadarchive.raw/RTDC4007/ "%USERPROFILE%\AppData\Local\Temp\OnboardLogs"\RTDC4007\2017-11-18 --exclude "*" --recursive --include "*20171118*" &amp; "%USERPROFILE%\Documents\GitHub\mrs-test-scripts\Headless Mode &amp; Sideloading\WalkAndUnGZ.bat" "%USERPROFILE%\AppData\Local\Temp\OnboardLogs"\RTDC4007\2017-11-18</v>
      </c>
      <c r="AF153" s="74" t="str">
        <f t="shared" si="68"/>
        <v>"C:\Program Files (x86)\AstroGrep\AstroGrep.exe" /e /r /s /spath="%USERPROFILE%\AppData\Local\Temp\OnboardLogs" /stypes="app*4007*20171117*" /stext=" 08:.+((SYSTEM_STATE.+slice.+state.+changed )|(ment ac)|(multiple cpu faults)|(system.+state.+changed )|(\[timeout)|(PRM\|1\|D)|(kpr)|(kdp)|(train st.+moving)|(\|lc)|(penalty))"</v>
      </c>
      <c r="AG153" s="181" t="str">
        <f t="shared" si="69"/>
        <v>EC</v>
      </c>
      <c r="AH153" s="78" t="str">
        <f t="shared" si="70"/>
        <v>"%USERPROFILE%\Documents\GitHub\eaglep3\Utilities\RefineRTDCRunTimes.py" --tripid 240-16 --locoid 4007 --swversion DE.1.0.9.0 --startMP 204:232957 --initTime 2017-11-17T00:23:24 --startdatetime 2017-11-17T00:27:15 --delay 81 --endMP 204:180 --enddatetime 2017-11-17T01:03:33 --enforcementcount 0 &gt;&gt;%USERPROFILE%\Documents\GitHub\eaglep3-reporting\EC\2017-11-16-refined-times.txt</v>
      </c>
      <c r="AI153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{"issue":{"subject":"","project_id":79,"tracker_id":40,"status_id":1,"priority_id":2,"assigned_to_id":338,"start_date":"2017-11-17","description":"","custom_fields":[{"id":1,"name":"Subdivision","value":"EC"},{"id":4,"name":"Milepost","value":"0.018"},{"id":17,"name":"Train ID","value":"240-16"},{"id":16,"name":"Locomotive ID","value":"4007"},{"id":130,"name":"Impact","value":""},{"id":150,"name":"Time of Event (Mountain Time)","value":"01:03:33"},{"id":151,"name":"Denver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1" t="str">
        <f t="shared" si="72"/>
        <v>start /low /b %USERPROFILE%\Documents\GitHub\eaglep3\Utilities\DownloadLogsFromS3.py --loco 4007 --day 2017-11-17</v>
      </c>
      <c r="AN153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08:03:33"},{"id":29,"name":"Sharepoint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7" t="str">
        <f t="shared" si="74"/>
        <v>https://d0f6bd738d7f1b3e5a7ca70fe4ff75f0.us-east-1.aws.found.io/app/kibana#/discover/Steve-Slow-Train-Analysis-(2080s-and-2083s)?_g=(refreshInterval:(display:Off,pause:!f,section:0,value:0),time:(from:'2017-11-16T23:23:24-0700',mode:absolute,to:'2017-11-17T02:03:33-0700'))&amp;_a=(columns:!('Message%20ID',Summary),filters:!(),index:'emp_*',interval:auto,query:(query_string:(analyze_wildcard:!t,query:'%22rtdc.l.rtdc.4007%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882</v>
      </c>
      <c r="B154" s="7">
        <v>4004</v>
      </c>
      <c r="C154" s="21" t="s">
        <v>192</v>
      </c>
      <c r="D154" s="21" t="s">
        <v>605</v>
      </c>
      <c r="E154" s="13">
        <v>43055.984247685185</v>
      </c>
      <c r="F154" s="13">
        <v>43056.000138888892</v>
      </c>
      <c r="G154" s="7">
        <v>65</v>
      </c>
      <c r="H154" s="21" t="s">
        <v>613</v>
      </c>
      <c r="I154" s="13">
        <v>43056.024270833332</v>
      </c>
      <c r="J154" s="7">
        <v>0</v>
      </c>
      <c r="K154" s="89" t="str">
        <f t="shared" si="61"/>
        <v>4003/4004</v>
      </c>
      <c r="L154" s="184" t="str">
        <f>VLOOKUP(A154,'Trips&amp;Operators'!$C$1:$G$99911,5,FALSE)</f>
        <v>ELBAUM MIKE</v>
      </c>
      <c r="M154" s="6">
        <f t="shared" si="62"/>
        <v>2.4131944439432118E-2</v>
      </c>
      <c r="N154" s="7">
        <f t="shared" si="75"/>
        <v>34.74999999278225</v>
      </c>
      <c r="O154" s="7"/>
      <c r="P154" s="7"/>
      <c r="Q154" s="22"/>
      <c r="R154" s="173"/>
      <c r="S154" s="220">
        <f t="shared" si="76"/>
        <v>1</v>
      </c>
      <c r="T154" s="173" t="str">
        <f t="shared" si="63"/>
        <v>NorthBound</v>
      </c>
      <c r="U154" s="19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5" t="str">
        <f t="shared" si="64"/>
        <v>https://d0f6bd738d7f1b3e5a7ca70fe4ff75f0.us-east-1.aws.found.io/app/kibana#/discover/Steve-Slow-Train-Analysis-(2080s-and-2083s)?_g=(refreshInterval:(display:Off,pause:!f,section:0,value:0),time:(from:'2017-11-16T22:37:19-0700',mode:absolute,to:'2017-11-17T01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203" t="str">
        <f>IF(AA154&lt;VLOOKUP(AG154,Variables!$AC$3:$AD$8,2,FALSE),"Y","N")</f>
        <v>N</v>
      </c>
      <c r="X154" s="203">
        <f t="shared" si="79"/>
        <v>1</v>
      </c>
      <c r="Y154" s="203">
        <f t="shared" si="77"/>
        <v>5.6800000000000003E-2</v>
      </c>
      <c r="Z154" s="203">
        <f t="shared" si="78"/>
        <v>23.327200000000001</v>
      </c>
      <c r="AA154" s="203">
        <f t="shared" si="65"/>
        <v>23.270400000000002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8">
        <f t="shared" si="66"/>
        <v>241</v>
      </c>
      <c r="AE154" s="77" t="str">
        <f t="shared" si="67"/>
        <v>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 &amp; 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</v>
      </c>
      <c r="AF154" s="74" t="str">
        <f t="shared" si="68"/>
        <v>"C:\Program Files (x86)\AstroGrep\AstroGrep.exe" /e /r /s /spath="%USERPROFILE%\AppData\Local\Temp\OnboardLogs" /stypes="app*4004*20171117*" /stext=" 07:.+((SYSTEM_STATE.+slice.+state.+changed )|(ment ac)|(multiple cpu faults)|(system.+state.+changed )|(\[timeout)|(PRM\|1\|D)|(kpr)|(kdp)|(train st.+moving)|(\|lc)|(penalty))"</v>
      </c>
      <c r="AG154" s="181" t="str">
        <f t="shared" si="69"/>
        <v>EC</v>
      </c>
      <c r="AH154" s="78" t="str">
        <f t="shared" si="70"/>
        <v>"%USERPROFILE%\Documents\GitHub\eaglep3\Utilities\RefineRTDCRunTimes.py" --tripid 241-16 --locoid 4004 --swversion DE.1.0.9.0 --startMP 204:568 --initTime 2017-11-16T23:37:19 --startdatetime 2017-11-17T00:00:12 --delay 65 --endMP 204:233272 --enddatetime 2017-11-17T00:34:57 --enforcementcount 0 &gt;&gt;%USERPROFILE%\Documents\GitHub\eaglep3-reporting\EC\2017-11-16-refined-times.txt</v>
      </c>
      <c r="AI154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{"issue":{"subject":"","project_id":79,"tracker_id":40,"status_id":1,"priority_id":2,"assigned_to_id":338,"start_date":"2017-11-17","description":"","custom_fields":[{"id":1,"name":"Subdivision","value":"EC"},{"id":4,"name":"Milepost","value":"23.3272"},{"id":17,"name":"Train ID","value":"241-16"},{"id":16,"name":"Locomotive ID","value":"4004"},{"id":130,"name":"Impact","value":""},{"id":150,"name":"Time of Event (Mountain Time)","value":"00:34:57"},{"id":151,"name":"Denver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1" t="str">
        <f t="shared" si="72"/>
        <v>start /low /b %USERPROFILE%\Documents\GitHub\eaglep3\Utilities\DownloadLogsFromS3.py --loco 4004 --day 2017-11-17</v>
      </c>
      <c r="AN154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7" t="str">
        <f t="shared" si="74"/>
        <v>https://d0f6bd738d7f1b3e5a7ca70fe4ff75f0.us-east-1.aws.found.io/app/kibana#/discover/Steve-Slow-Train-Analysis-(2080s-and-2083s)?_g=(refreshInterval:(display:Off,pause:!f,section:0,value:0),time:(from:'2017-11-16T22:37:19-0700',mode:absolute,to:'2017-11-17T01:34:57-0700'))&amp;_a=(columns:!('Message%20ID',Summary),filters:!(),index:'emp_*',interval:auto,query:(query_string:(analyze_wildcard:!t,query:'%22rtdc.l.rtdc.4004%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886</v>
      </c>
      <c r="B155" s="7">
        <v>4003</v>
      </c>
      <c r="C155" s="21" t="s">
        <v>192</v>
      </c>
      <c r="D155" s="21" t="s">
        <v>944</v>
      </c>
      <c r="E155" s="13">
        <v>43056.025462962964</v>
      </c>
      <c r="F155" s="13">
        <v>43056.039733796293</v>
      </c>
      <c r="G155" s="7">
        <v>60</v>
      </c>
      <c r="H155" s="21" t="s">
        <v>978</v>
      </c>
      <c r="I155" s="13">
        <v>43056.064791666664</v>
      </c>
      <c r="J155" s="7">
        <v>0</v>
      </c>
      <c r="K155" s="89" t="str">
        <f t="shared" si="61"/>
        <v>4003/4004</v>
      </c>
      <c r="L155" s="184" t="str">
        <f>VLOOKUP(A155,'Trips&amp;Operators'!$C$1:$G$99911,5,FALSE)</f>
        <v>ELBAUM MIKE</v>
      </c>
      <c r="M155" s="6">
        <f t="shared" si="62"/>
        <v>2.5057870370801538E-2</v>
      </c>
      <c r="N155" s="7">
        <f t="shared" si="75"/>
        <v>36.083333333954215</v>
      </c>
      <c r="O155" s="7"/>
      <c r="P155" s="7"/>
      <c r="Q155" s="22"/>
      <c r="R155" s="173"/>
      <c r="S155" s="220">
        <f t="shared" si="76"/>
        <v>1</v>
      </c>
      <c r="T155" s="173" t="str">
        <f t="shared" si="63"/>
        <v>Southbound</v>
      </c>
      <c r="U155" s="19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5" t="str">
        <f t="shared" si="64"/>
        <v>https://d0f6bd738d7f1b3e5a7ca70fe4ff75f0.us-east-1.aws.found.io/app/kibana#/discover/Steve-Slow-Train-Analysis-(2080s-and-2083s)?_g=(refreshInterval:(display:Off,pause:!f,section:0,value:0),time:(from:'2017-11-16T23:36:40-0700',mode:absolute,to:'2017-11-17T02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203" t="str">
        <f>IF(AA155&lt;VLOOKUP(AG155,Variables!$AC$3:$AD$8,2,FALSE),"Y","N")</f>
        <v>N</v>
      </c>
      <c r="X155" s="203">
        <f t="shared" si="79"/>
        <v>1</v>
      </c>
      <c r="Y155" s="203">
        <f t="shared" si="77"/>
        <v>23.295100000000001</v>
      </c>
      <c r="Z155" s="203">
        <f t="shared" si="78"/>
        <v>2.7400000000000001E-2</v>
      </c>
      <c r="AA155" s="203">
        <f t="shared" si="65"/>
        <v>23.267700000000001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8">
        <f t="shared" si="66"/>
        <v>242</v>
      </c>
      <c r="AE155" s="77" t="str">
        <f t="shared" si="67"/>
        <v>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 &amp; aws s3 cp s3://rtdc.mdm.uploadarchive.raw/RTDC4003/ "%USERPROFILE%\AppData\Local\Temp\OnboardLogs"\RTDC4003\2017-11-18 --exclude "*" --recursive --include "*20171118*" &amp; "%USERPROFILE%\Documents\GitHub\mrs-test-scripts\Headless Mode &amp; Sideloading\WalkAndUnGZ.bat" "%USERPROFILE%\AppData\Local\Temp\OnboardLogs"\RTDC4003\2017-11-18</v>
      </c>
      <c r="AF155" s="74" t="str">
        <f t="shared" si="68"/>
        <v>"C:\Program Files (x86)\AstroGrep\AstroGrep.exe" /e /r /s /spath="%USERPROFILE%\AppData\Local\Temp\OnboardLogs" /stypes="app*4003*20171117*" /stext=" 08:.+((SYSTEM_STATE.+slice.+state.+changed )|(ment ac)|(multiple cpu faults)|(system.+state.+changed )|(\[timeout)|(PRM\|1\|D)|(kpr)|(kdp)|(train st.+moving)|(\|lc)|(penalty))"</v>
      </c>
      <c r="AG155" s="181" t="str">
        <f t="shared" si="69"/>
        <v>EC</v>
      </c>
      <c r="AH155" s="78" t="str">
        <f t="shared" si="70"/>
        <v>"%USERPROFILE%\Documents\GitHub\eaglep3\Utilities\RefineRTDCRunTimes.py" --tripid 242-16 --locoid 4003 --swversion DE.1.0.9.0 --startMP 204:232951 --initTime 2017-11-17T00:36:40 --startdatetime 2017-11-17T00:57:13 --delay 60 --endMP 204:274 --enddatetime 2017-11-17T01:33:18 --enforcementcount 0 &gt;&gt;%USERPROFILE%\Documents\GitHub\eaglep3-reporting\EC\2017-11-16-refined-times.txt</v>
      </c>
      <c r="AI155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{"issue":{"subject":"","project_id":79,"tracker_id":40,"status_id":1,"priority_id":2,"assigned_to_id":338,"start_date":"2017-11-17","description":"","custom_fields":[{"id":1,"name":"Subdivision","value":"EC"},{"id":4,"name":"Milepost","value":"0.0274"},{"id":17,"name":"Train ID","value":"242-16"},{"id":16,"name":"Locomotive ID","value":"4003"},{"id":130,"name":"Impact","value":""},{"id":150,"name":"Time of Event (Mountain Time)","value":"01:33:18"},{"id":151,"name":"Denver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1" t="str">
        <f t="shared" si="72"/>
        <v>start /low /b %USERPROFILE%\Documents\GitHub\eaglep3\Utilities\DownloadLogsFromS3.py --loco 4003 --day 2017-11-17</v>
      </c>
      <c r="AN155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08:33:18"},{"id":29,"name":"Sharepoint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7" t="str">
        <f t="shared" si="74"/>
        <v>https://d0f6bd738d7f1b3e5a7ca70fe4ff75f0.us-east-1.aws.found.io/app/kibana#/discover/Steve-Slow-Train-Analysis-(2080s-and-2083s)?_g=(refreshInterval:(display:Off,pause:!f,section:0,value:0),time:(from:'2017-11-16T23:36:40-0700',mode:absolute,to:'2017-11-17T02:33:18-0700'))&amp;_a=(columns:!('Message%20ID',Summary),filters:!(),index:'emp_*',interval:auto,query:(query_string:(analyze_wildcard:!t,query:'%22rtdc.l.rtdc.4003%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884</v>
      </c>
      <c r="B156" s="7">
        <v>4018</v>
      </c>
      <c r="C156" s="21" t="s">
        <v>192</v>
      </c>
      <c r="D156" s="21" t="s">
        <v>896</v>
      </c>
      <c r="E156" s="13">
        <v>43056.008715277778</v>
      </c>
      <c r="F156" s="13">
        <v>43056.021053240744</v>
      </c>
      <c r="G156" s="7">
        <v>80</v>
      </c>
      <c r="H156" s="21" t="s">
        <v>979</v>
      </c>
      <c r="I156" s="13">
        <v>43056.046851851854</v>
      </c>
      <c r="J156" s="7">
        <v>0</v>
      </c>
      <c r="K156" s="89" t="str">
        <f t="shared" si="61"/>
        <v>4017/4018</v>
      </c>
      <c r="L156" s="184" t="str">
        <f>VLOOKUP(A156,'Trips&amp;Operators'!$C$1:$G$99911,5,FALSE)</f>
        <v>NICHOLSON WESLEY</v>
      </c>
      <c r="M156" s="6">
        <f t="shared" si="62"/>
        <v>2.5798611110076308E-2</v>
      </c>
      <c r="N156" s="7">
        <f t="shared" si="75"/>
        <v>37.149999998509884</v>
      </c>
      <c r="O156" s="7"/>
      <c r="P156" s="7"/>
      <c r="Q156" s="22"/>
      <c r="R156" s="173"/>
      <c r="S156" s="220">
        <f t="shared" si="76"/>
        <v>1</v>
      </c>
      <c r="T156" s="173" t="str">
        <f t="shared" si="63"/>
        <v>NorthBound</v>
      </c>
      <c r="U156" s="19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5" t="str">
        <f t="shared" si="64"/>
        <v>https://d0f6bd738d7f1b3e5a7ca70fe4ff75f0.us-east-1.aws.found.io/app/kibana#/discover/Steve-Slow-Train-Analysis-(2080s-and-2083s)?_g=(refreshInterval:(display:Off,pause:!f,section:0,value:0),time:(from:'2017-11-16T23:12:33-0700',mode:absolute,to:'2017-11-17T02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203" t="str">
        <f>IF(AA156&lt;VLOOKUP(AG156,Variables!$AC$3:$AD$8,2,FALSE),"Y","N")</f>
        <v>N</v>
      </c>
      <c r="X156" s="203">
        <f t="shared" si="79"/>
        <v>1</v>
      </c>
      <c r="Y156" s="203">
        <f t="shared" si="77"/>
        <v>5.0200000000000002E-2</v>
      </c>
      <c r="Z156" s="203">
        <f t="shared" si="78"/>
        <v>23.317900000000002</v>
      </c>
      <c r="AA156" s="203">
        <f t="shared" si="65"/>
        <v>23.267700000000001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8">
        <f t="shared" si="66"/>
        <v>243</v>
      </c>
      <c r="AE156" s="77" t="str">
        <f t="shared" si="67"/>
        <v>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 &amp; 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</v>
      </c>
      <c r="AF156" s="74" t="str">
        <f t="shared" si="68"/>
        <v>"C:\Program Files (x86)\AstroGrep\AstroGrep.exe" /e /r /s /spath="%USERPROFILE%\AppData\Local\Temp\OnboardLogs" /stypes="app*4018*20171117*" /stext=" 08:.+((SYSTEM_STATE.+slice.+state.+changed )|(ment ac)|(multiple cpu faults)|(system.+state.+changed )|(\[timeout)|(PRM\|1\|D)|(kpr)|(kdp)|(train st.+moving)|(\|lc)|(penalty))"</v>
      </c>
      <c r="AG156" s="181" t="str">
        <f t="shared" si="69"/>
        <v>EC</v>
      </c>
      <c r="AH156" s="78" t="str">
        <f t="shared" si="70"/>
        <v>"%USERPROFILE%\Documents\GitHub\eaglep3\Utilities\RefineRTDCRunTimes.py" --tripid 243-16 --locoid 4018 --swversion DE.1.0.9.0 --startMP 204:502 --initTime 2017-11-17T00:12:33 --startdatetime 2017-11-17T00:30:19 --delay 80 --endMP 204:233179 --enddatetime 2017-11-17T01:07:28 --enforcementcount 0 &gt;&gt;%USERPROFILE%\Documents\GitHub\eaglep3-reporting\EC\2017-11-16-refined-times.txt</v>
      </c>
      <c r="AI156" s="96" t="str">
        <f t="shared" si="71"/>
        <v>echo {"issue":{"subject":"","project_id":79,"tracker_id":40,"status_id":1,"priority_id":2,"assigned_to_id":338,"start_date":"2017-11-17","description":"","custom_fields":[{"id":1,"name":"Subdivision","value":"EC"},{"id":4,"name":"Milepost","value":"23.3179"},{"id":17,"name":"Train ID","value":"243-16"},{"id":16,"name":"Locomotive ID","value":"4018"},{"id":130,"name":"Impact","value":""},{"id":150,"name":"Time of Event (Mountain Time)","value":"01:07:28"},{"id":151,"name":"Denver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1" t="str">
        <f t="shared" si="72"/>
        <v>start /low /b %USERPROFILE%\Documents\GitHub\eaglep3\Utilities\DownloadLogsFromS3.py --loco 4018 --day 2017-11-17</v>
      </c>
      <c r="AN156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08:07:28"},{"id":29,"name":"Sharepoint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7" t="str">
        <f t="shared" si="74"/>
        <v>https://d0f6bd738d7f1b3e5a7ca70fe4ff75f0.us-east-1.aws.found.io/app/kibana#/discover/Steve-Slow-Train-Analysis-(2080s-and-2083s)?_g=(refreshInterval:(display:Off,pause:!f,section:0,value:0),time:(from:'2017-11-16T23:12:33-0700',mode:absolute,to:'2017-11-17T02:07:28-0700'))&amp;_a=(columns:!('Message%20ID',Summary),filters:!(),index:'emp_*',interval:auto,query:(query_string:(analyze_wildcard:!t,query:'%22rtdc.l.rtdc.4018%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889</v>
      </c>
      <c r="B157" s="7">
        <v>4017</v>
      </c>
      <c r="C157" s="21" t="s">
        <v>192</v>
      </c>
      <c r="D157" s="21" t="s">
        <v>896</v>
      </c>
      <c r="E157" s="13">
        <v>43056.008715277778</v>
      </c>
      <c r="F157" s="13">
        <v>43056.060671296298</v>
      </c>
      <c r="G157" s="7">
        <v>80</v>
      </c>
      <c r="H157" s="21" t="s">
        <v>979</v>
      </c>
      <c r="I157" s="13">
        <v>43056.088368055556</v>
      </c>
      <c r="J157" s="7">
        <v>0</v>
      </c>
      <c r="K157" s="89" t="str">
        <f t="shared" si="61"/>
        <v>4017/4018</v>
      </c>
      <c r="L157" s="184" t="str">
        <f>VLOOKUP(A157,'Trips&amp;Operators'!$C$1:$G$99911,5,FALSE)</f>
        <v>NICHOLSON WESLEY</v>
      </c>
      <c r="M157" s="6">
        <f t="shared" si="62"/>
        <v>2.7696759258105885E-2</v>
      </c>
      <c r="N157" s="7">
        <f t="shared" si="75"/>
        <v>39.883333331672475</v>
      </c>
      <c r="O157" s="7"/>
      <c r="P157" s="7"/>
      <c r="Q157" s="22"/>
      <c r="R157" s="173"/>
      <c r="S157" s="220">
        <f t="shared" si="76"/>
        <v>1</v>
      </c>
      <c r="T157" s="173" t="str">
        <f t="shared" si="63"/>
        <v>Southbound</v>
      </c>
      <c r="U157" s="19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5" t="str">
        <f t="shared" si="64"/>
        <v>https://d0f6bd738d7f1b3e5a7ca70fe4ff75f0.us-east-1.aws.found.io/app/kibana#/discover/Steve-Slow-Train-Analysis-(2080s-and-2083s)?_g=(refreshInterval:(display:Off,pause:!f,section:0,value:0),time:(from:'2017-11-16T23:12:33-0700',mode:absolute,to:'2017-11-17T03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203" t="str">
        <f>IF(AA157&lt;VLOOKUP(AG157,Variables!$AC$3:$AD$8,2,FALSE),"Y","N")</f>
        <v>N</v>
      </c>
      <c r="X157" s="203">
        <f t="shared" si="79"/>
        <v>1</v>
      </c>
      <c r="Y157" s="203">
        <v>23.295100000000001</v>
      </c>
      <c r="Z157" s="203">
        <v>2.7400000000000001E-2</v>
      </c>
      <c r="AA157" s="203">
        <f t="shared" si="65"/>
        <v>23.267700000000001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8">
        <f t="shared" si="66"/>
        <v>244</v>
      </c>
      <c r="AE157" s="77" t="str">
        <f t="shared" si="67"/>
        <v>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 &amp; aws s3 cp s3://rtdc.mdm.uploadarchive.raw/RTDC4017/ "%USERPROFILE%\AppData\Local\Temp\OnboardLogs"\RTDC4017\2017-11-18 --exclude "*" --recursive --include "*20171118*" &amp; "%USERPROFILE%\Documents\GitHub\mrs-test-scripts\Headless Mode &amp; Sideloading\WalkAndUnGZ.bat" "%USERPROFILE%\AppData\Local\Temp\OnboardLogs"\RTDC4017\2017-11-18</v>
      </c>
      <c r="AF157" s="74" t="str">
        <f t="shared" si="68"/>
        <v>"C:\Program Files (x86)\AstroGrep\AstroGrep.exe" /e /r /s /spath="%USERPROFILE%\AppData\Local\Temp\OnboardLogs" /stypes="app*4017*20171117*" /stext=" 09:.+((SYSTEM_STATE.+slice.+state.+changed )|(ment ac)|(multiple cpu faults)|(system.+state.+changed )|(\[timeout)|(PRM\|1\|D)|(kpr)|(kdp)|(train st.+moving)|(\|lc)|(penalty))"</v>
      </c>
      <c r="AG157" s="181" t="str">
        <f t="shared" si="69"/>
        <v>EC</v>
      </c>
      <c r="AH157" s="78" t="str">
        <f t="shared" ref="AH157" si="80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244-16 --locoid 4017 --swversion DE.1.0.9.0 --startMP 204:502 --initTime 2017-11-17T00:12:33 --startdatetime 2017-11-17T01:27:22 --delay 80 --endMP 204:233179 --enddatetime 2017-11-17T02:07:15 --enforcementcount 0 &gt;&gt;%USERPROFILE%\Documents\GitHub\eaglep3-reporting\EC\2017-11-16-refined-times.txt</v>
      </c>
      <c r="AI157" s="96" t="str">
        <f t="shared" ref="AI157" si="81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{"issue":{"subject":"","project_id":79,"tracker_id":40,"status_id":1,"priority_id":2,"assigned_to_id":338,"start_date":"2017-11-17","description":"","custom_fields":[{"id":1,"name":"Subdivision","value":"EC"},{"id":4,"name":"Milepost","value":"0.0274"},{"id":17,"name":"Train ID","value":"244-16"},{"id":16,"name":"Locomotive ID","value":"4017"},{"id":130,"name":"Impact","value":""},{"id":150,"name":"Time of Event (Mountain Time)","value":"02:07:15"},{"id":151,"name":"Denver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1" t="str">
        <f t="shared" ref="AM157" si="82">"start /low /b "&amp;dls3logs&amp;" --loco "&amp;B157&amp;" --day "&amp;TEXT(F157,"YYYY-MM-DD")</f>
        <v>start /low /b %USERPROFILE%\Documents\GitHub\eaglep3\Utilities\DownloadLogsFromS3.py --loco 4017 --day 2017-11-17</v>
      </c>
      <c r="AN157" s="150" t="str">
        <f t="shared" ref="AN157" si="83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09:07:15"},{"id":29,"name":"Sharepoint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7" t="str">
        <f t="shared" ref="AO157" si="84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-16T23:12:33-0700',mode:absolute,to:'2017-11-17T03:07:15-0700'))&amp;_a=(columns:!('Message%20ID',Summary),filters:!(),index:'emp_*',interval:auto,query:(query_string:(analyze_wildcard:!t,query:'%22rtdc.l.rtdc.4017%22')),sort:!(Time.ISO8601,asc))</v>
      </c>
    </row>
    <row r="158" spans="1:91" s="20" customFormat="1" x14ac:dyDescent="0.25">
      <c r="A158" s="32" t="s">
        <v>651</v>
      </c>
      <c r="B158" s="7">
        <v>4011</v>
      </c>
      <c r="C158" s="21" t="s">
        <v>192</v>
      </c>
      <c r="D158" s="21" t="s">
        <v>571</v>
      </c>
      <c r="E158" s="13">
        <v>43055.217442129629</v>
      </c>
      <c r="F158" s="13">
        <v>43055.219282407408</v>
      </c>
      <c r="G158" s="7">
        <v>90</v>
      </c>
      <c r="H158" s="21" t="s">
        <v>1009</v>
      </c>
      <c r="I158" s="13">
        <v>43055.229120370372</v>
      </c>
      <c r="J158" s="7">
        <v>0</v>
      </c>
      <c r="K158" s="89" t="str">
        <f t="shared" si="61"/>
        <v>4011/4012</v>
      </c>
      <c r="L158" s="184" t="str">
        <f>VLOOKUP(A158,'Trips&amp;Operators'!$C$1:$G$99911,5,FALSE)</f>
        <v>STRICKLAND EVAN</v>
      </c>
      <c r="M158" s="6">
        <f t="shared" si="62"/>
        <v>9.8379629635019228E-3</v>
      </c>
      <c r="N158" s="7">
        <f t="shared" si="75"/>
        <v>14.166666667442769</v>
      </c>
      <c r="O158" s="7"/>
      <c r="P158" s="7"/>
      <c r="Q158" s="22"/>
      <c r="R158" s="173"/>
      <c r="S158" s="220">
        <f t="shared" si="76"/>
        <v>1</v>
      </c>
      <c r="T158" s="173" t="str">
        <f t="shared" si="63"/>
        <v>Southbound</v>
      </c>
      <c r="U158" s="19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5" t="str">
        <f t="shared" si="64"/>
        <v>https://d0f6bd738d7f1b3e5a7ca70fe4ff75f0.us-east-1.aws.found.io/app/kibana#/discover/Steve-Slow-Train-Analysis-(2080s-and-2083s)?_g=(refreshInterval:(display:Off,pause:!f,section:0,value:0),time:(from:'2017-11-16T04:13:07-0700',mode:absolute,to:'2017-11-16T06:29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203" t="str">
        <f>IF(AA158&lt;VLOOKUP(AG158,Variables!$AC$3:$AD$8,2,FALSE),"Y","N")</f>
        <v>N</v>
      </c>
      <c r="X158" s="203">
        <f t="shared" si="79"/>
        <v>556</v>
      </c>
      <c r="Y158" s="203">
        <f t="shared" ref="Y158:Y195" si="85">RIGHT(D158,LEN(D158)-4)/10000</f>
        <v>5.8674999999999997</v>
      </c>
      <c r="Z158" s="203">
        <f t="shared" ref="Z158:Z195" si="86">RIGHT(H158,LEN(H158)-4)/10000</f>
        <v>8.5500000000000007E-2</v>
      </c>
      <c r="AA158" s="203">
        <f t="shared" si="65"/>
        <v>5.782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8">
        <f t="shared" si="66"/>
        <v>800</v>
      </c>
      <c r="AE158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58" s="74" t="str">
        <f t="shared" si="68"/>
        <v>"C:\Program Files (x86)\AstroGrep\AstroGrep.exe" /e /r /s /spath="%USERPROFILE%\AppData\Local\Temp\OnboardLogs" /stypes="app*4011*20171116*" /stext=" 12:.+((SYSTEM_STATE.+slice.+state.+changed )|(ment ac)|(multiple cpu faults)|(system.+state.+changed )|(\[timeout)|(PRM\|1\|D)|(kpr)|(kdp)|(train st.+moving)|(\|lc)|(penalty))"</v>
      </c>
      <c r="AG158" s="181" t="str">
        <f t="shared" si="69"/>
        <v>NW</v>
      </c>
      <c r="AH158" s="78" t="str">
        <f t="shared" si="70"/>
        <v>"%USERPROFILE%\Documents\GitHub\eaglep3\Utilities\RefineRTDCRunTimes.py" --tripid 800-16 --locoid 4011 --swversion DE.1.0.9.0 --startMP 300:58675 --initTime 2017-11-16T05:13:07 --startdatetime 2017-11-16T05:15:46 --delay 90 --endMP 204:855 --enddatetime 2017-11-16T05:29:56 --enforcementcount 0 &gt;&gt;%USERPROFILE%\Documents\GitHub\eaglep3-reporting\EC\2017-11-16-refined-times.txt</v>
      </c>
      <c r="AI158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{"issue":{"subject":"","project_id":79,"tracker_id":40,"status_id":1,"priority_id":2,"assigned_to_id":338,"start_date":"2017-11-16","description":"","custom_fields":[{"id":1,"name":"Subdivision","value":"NW"},{"id":4,"name":"Milepost","value":"0.0855"},{"id":17,"name":"Train ID","value":"800-16"},{"id":16,"name":"Locomotive ID","value":"4011"},{"id":130,"name":"Impact","value":""},{"id":150,"name":"Time of Event (Mountain Time)","value":"05:29:56"},{"id":151,"name":"Denver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1" t="str">
        <f t="shared" si="72"/>
        <v>start /low /b %USERPROFILE%\Documents\GitHub\eaglep3\Utilities\DownloadLogsFromS3.py --loco 4011 --day 2017-11-16</v>
      </c>
      <c r="AN158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12:29:56"},{"id":29,"name":"Sharepoint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7" t="str">
        <f t="shared" si="74"/>
        <v>https://d0f6bd738d7f1b3e5a7ca70fe4ff75f0.us-east-1.aws.found.io/app/kibana#/discover/Steve-Slow-Train-Analysis-(2080s-and-2083s)?_g=(refreshInterval:(display:Off,pause:!f,section:0,value:0),time:(from:'2017-11-16T04:13:07-0700',mode:absolute,to:'2017-11-16T06:29:56-0700'))&amp;_a=(columns:!('Message%20ID',Summary),filters:!(),index:'emp_*',interval:auto,query:(query_string:(analyze_wildcard:!t,query:'%22rtdc.l.rtdc.4011%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703</v>
      </c>
      <c r="B159" s="7">
        <v>4012</v>
      </c>
      <c r="C159" s="21" t="s">
        <v>192</v>
      </c>
      <c r="D159" s="21" t="s">
        <v>1010</v>
      </c>
      <c r="E159" s="13">
        <v>43055.231770833336</v>
      </c>
      <c r="F159" s="13">
        <v>43055.235625000001</v>
      </c>
      <c r="G159" s="7">
        <v>67</v>
      </c>
      <c r="H159" s="21" t="s">
        <v>1011</v>
      </c>
      <c r="I159" s="13">
        <v>43055.246400462966</v>
      </c>
      <c r="J159" s="7">
        <v>0</v>
      </c>
      <c r="K159" s="89" t="str">
        <f t="shared" si="61"/>
        <v>4011/4012</v>
      </c>
      <c r="L159" s="184" t="str">
        <f>VLOOKUP(A159,'Trips&amp;Operators'!$C$1:$G$99911,5,FALSE)</f>
        <v>STRICKLAND EVAN</v>
      </c>
      <c r="M159" s="6">
        <f t="shared" si="62"/>
        <v>1.0775462964375038E-2</v>
      </c>
      <c r="N159" s="7">
        <f t="shared" si="75"/>
        <v>15.516666668700054</v>
      </c>
      <c r="O159" s="7"/>
      <c r="P159" s="7"/>
      <c r="Q159" s="22"/>
      <c r="R159" s="173" t="s">
        <v>1106</v>
      </c>
      <c r="S159" s="220">
        <f t="shared" si="76"/>
        <v>1</v>
      </c>
      <c r="T159" s="173" t="str">
        <f t="shared" si="63"/>
        <v>NorthBound</v>
      </c>
      <c r="U159" s="19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5" t="str">
        <f t="shared" si="64"/>
        <v>https://d0f6bd738d7f1b3e5a7ca70fe4ff75f0.us-east-1.aws.found.io/app/kibana#/discover/Steve-Slow-Train-Analysis-(2080s-and-2083s)?_g=(refreshInterval:(display:Off,pause:!f,section:0,value:0),time:(from:'2017-11-16T04:33:45-0700',mode:absolute,to:'2017-11-16T06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203" t="str">
        <f>IF(AA159&lt;VLOOKUP(AG159,Variables!$AC$3:$AD$8,2,FALSE),"Y","N")</f>
        <v>N</v>
      </c>
      <c r="X159" s="203">
        <f t="shared" si="79"/>
        <v>1</v>
      </c>
      <c r="Y159" s="203">
        <f t="shared" si="85"/>
        <v>0.11210000000000001</v>
      </c>
      <c r="Z159" s="203">
        <f t="shared" si="86"/>
        <v>5.9001000000000001</v>
      </c>
      <c r="AA159" s="203">
        <f t="shared" si="65"/>
        <v>5.7880000000000003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8">
        <f t="shared" si="66"/>
        <v>801</v>
      </c>
      <c r="AE159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59" s="74" t="str">
        <f t="shared" si="68"/>
        <v>"C:\Program Files (x86)\AstroGrep\AstroGrep.exe" /e /r /s /spath="%USERPROFILE%\AppData\Local\Temp\OnboardLogs" /stypes="app*4012*20171116*" /stext=" 12:.+((SYSTEM_STATE.+slice.+state.+changed )|(ment ac)|(multiple cpu faults)|(system.+state.+changed )|(\[timeout)|(PRM\|1\|D)|(kpr)|(kdp)|(train st.+moving)|(\|lc)|(penalty))"</v>
      </c>
      <c r="AG159" s="181" t="str">
        <f t="shared" si="69"/>
        <v>NW</v>
      </c>
      <c r="AH159" s="78" t="str">
        <f t="shared" si="70"/>
        <v>"%USERPROFILE%\Documents\GitHub\eaglep3\Utilities\RefineRTDCRunTimes.py" --tripid 801-16 --locoid 4012 --swversion DE.1.0.9.0 --startMP 204:1121 --initTime 2017-11-16T05:33:45 --startdatetime 2017-11-16T05:39:18 --delay 67 --endMP 300:59001 --enddatetime 2017-11-16T05:54:49 --enforcementcount 0 &gt;&gt;%USERPROFILE%\Documents\GitHub\eaglep3-reporting\EC\2017-11-16-refined-times.txt</v>
      </c>
      <c r="AI159" s="96" t="str">
        <f t="shared" si="71"/>
        <v>echo {"issue":{"subject":"No red fence found in data","project_id":79,"tracker_id":40,"status_id":1,"priority_id":2,"assigned_to_id":338,"start_date":"2017-11-16","description":"","custom_fields":[{"id":1,"name":"Subdivision","value":"NW"},{"id":4,"name":"Milepost","value":"5.9001"},{"id":17,"name":"Train ID","value":"801-16"},{"id":16,"name":"Locomotive ID","value":"4012"},{"id":130,"name":"Impact","value":""},{"id":150,"name":"Time of Event (Mountain Time)","value":"05:54:49"},{"id":151,"name":"Denver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1" t="str">
        <f t="shared" si="72"/>
        <v>start /low /b %USERPROFILE%\Documents\GitHub\eaglep3\Utilities\DownloadLogsFromS3.py --loco 4012 --day 2017-11-16</v>
      </c>
      <c r="AN159" s="150" t="str">
        <f t="shared" si="73"/>
        <v>echo {"issue":{"subject":"No red fence found in data","project_id":30,"tracker_id":4,"status_id":1,"priority_id":1,"assigned_to_id":10,"start_date":"2017-11-16","description":"","custom_fields":[{"id":30,"name":"Category","value":"Issue"},{"id":3,"name":"Functional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7" t="str">
        <f t="shared" si="74"/>
        <v>https://d0f6bd738d7f1b3e5a7ca70fe4ff75f0.us-east-1.aws.found.io/app/kibana#/discover/Steve-Slow-Train-Analysis-(2080s-and-2083s)?_g=(refreshInterval:(display:Off,pause:!f,section:0,value:0),time:(from:'2017-11-16T04:33:45-0700',mode:absolute,to:'2017-11-16T06:54:49-0700'))&amp;_a=(columns:!('Message%20ID',Summary),filters:!(),index:'emp_*',interval:auto,query:(query_string:(analyze_wildcard:!t,query:'%22rtdc.l.rtdc.4012%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709</v>
      </c>
      <c r="B160" s="7">
        <v>4011</v>
      </c>
      <c r="C160" s="21" t="s">
        <v>192</v>
      </c>
      <c r="D160" s="21" t="s">
        <v>1012</v>
      </c>
      <c r="E160" s="13">
        <v>43055.247986111113</v>
      </c>
      <c r="F160" s="13">
        <v>43055.260416666664</v>
      </c>
      <c r="G160" s="7">
        <v>61</v>
      </c>
      <c r="H160" s="21" t="s">
        <v>1013</v>
      </c>
      <c r="I160" s="13">
        <v>43055.267627314817</v>
      </c>
      <c r="J160" s="7">
        <v>0</v>
      </c>
      <c r="K160" s="89" t="str">
        <f t="shared" si="61"/>
        <v>4011/4012</v>
      </c>
      <c r="L160" s="184" t="str">
        <f>VLOOKUP(A160,'Trips&amp;Operators'!$C$1:$G$99911,5,FALSE)</f>
        <v>STRICKLAND EVAN</v>
      </c>
      <c r="M160" s="6">
        <f t="shared" si="62"/>
        <v>7.2106481529772282E-3</v>
      </c>
      <c r="N160" s="7">
        <f t="shared" si="75"/>
        <v>10.383333340287209</v>
      </c>
      <c r="O160" s="7"/>
      <c r="P160" s="7"/>
      <c r="Q160" s="22"/>
      <c r="R160" s="173"/>
      <c r="S160" s="220">
        <f t="shared" si="76"/>
        <v>1</v>
      </c>
      <c r="T160" s="173" t="str">
        <f t="shared" si="63"/>
        <v>Southbound</v>
      </c>
      <c r="U160" s="19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5" t="str">
        <f t="shared" si="64"/>
        <v>https://d0f6bd738d7f1b3e5a7ca70fe4ff75f0.us-east-1.aws.found.io/app/kibana#/discover/Steve-Slow-Train-Analysis-(2080s-and-2083s)?_g=(refreshInterval:(display:Off,pause:!f,section:0,value:0),time:(from:'2017-11-16T04:57:06-0700',mode:absolute,to:'2017-11-16T07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203" t="str">
        <f>IF(AA160&lt;VLOOKUP(AG160,Variables!$AC$3:$AD$8,2,FALSE),"Y","N")</f>
        <v>N</v>
      </c>
      <c r="X160" s="203">
        <f t="shared" si="79"/>
        <v>1</v>
      </c>
      <c r="Y160" s="203">
        <f t="shared" si="85"/>
        <v>5.8672000000000004</v>
      </c>
      <c r="Z160" s="203">
        <f t="shared" si="86"/>
        <v>8.3400000000000002E-2</v>
      </c>
      <c r="AA160" s="203">
        <f t="shared" si="65"/>
        <v>5.7838000000000003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8">
        <f t="shared" si="66"/>
        <v>802</v>
      </c>
      <c r="AE160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60" s="74" t="str">
        <f t="shared" si="68"/>
        <v>"C:\Program Files (x86)\AstroGrep\AstroGrep.exe" /e /r /s /spath="%USERPROFILE%\AppData\Local\Temp\OnboardLogs" /stypes="app*4011*20171116*" /stext=" 13:.+((SYSTEM_STATE.+slice.+state.+changed )|(ment ac)|(multiple cpu faults)|(system.+state.+changed )|(\[timeout)|(PRM\|1\|D)|(kpr)|(kdp)|(train st.+moving)|(\|lc)|(penalty))"</v>
      </c>
      <c r="AG160" s="181" t="str">
        <f t="shared" si="69"/>
        <v>NW</v>
      </c>
      <c r="AH160" s="78" t="str">
        <f t="shared" si="70"/>
        <v>"%USERPROFILE%\Documents\GitHub\eaglep3\Utilities\RefineRTDCRunTimes.py" --tripid 802-16 --locoid 4011 --swversion DE.1.0.9.0 --startMP 300:58672 --initTime 2017-11-16T05:57:06 --startdatetime 2017-11-16T06:15:00 --delay 61 --endMP 204:834 --enddatetime 2017-11-16T06:25:23 --enforcementcount 0 &gt;&gt;%USERPROFILE%\Documents\GitHub\eaglep3-reporting\EC\2017-11-16-refined-times.txt</v>
      </c>
      <c r="AI160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{"issue":{"subject":"","project_id":79,"tracker_id":40,"status_id":1,"priority_id":2,"assigned_to_id":338,"start_date":"2017-11-16","description":"","custom_fields":[{"id":1,"name":"Subdivision","value":"NW"},{"id":4,"name":"Milepost","value":"0.0834"},{"id":17,"name":"Train ID","value":"802-16"},{"id":16,"name":"Locomotive ID","value":"4011"},{"id":130,"name":"Impact","value":""},{"id":150,"name":"Time of Event (Mountain Time)","value":"06:25:23"},{"id":151,"name":"Denver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1" t="str">
        <f t="shared" si="72"/>
        <v>start /low /b %USERPROFILE%\Documents\GitHub\eaglep3\Utilities\DownloadLogsFromS3.py --loco 4011 --day 2017-11-16</v>
      </c>
      <c r="AN160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7" t="str">
        <f t="shared" si="74"/>
        <v>https://d0f6bd738d7f1b3e5a7ca70fe4ff75f0.us-east-1.aws.found.io/app/kibana#/discover/Steve-Slow-Train-Analysis-(2080s-and-2083s)?_g=(refreshInterval:(display:Off,pause:!f,section:0,value:0),time:(from:'2017-11-16T04:57:06-0700',mode:absolute,to:'2017-11-16T07:25:23-0700'))&amp;_a=(columns:!('Message%20ID',Summary),filters:!(),index:'emp_*',interval:auto,query:(query_string:(analyze_wildcard:!t,query:'%22rtdc.l.rtdc.4011%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710</v>
      </c>
      <c r="B161" s="7">
        <v>4042</v>
      </c>
      <c r="C161" s="21" t="s">
        <v>192</v>
      </c>
      <c r="D161" s="21" t="s">
        <v>1014</v>
      </c>
      <c r="E161" s="13">
        <v>43055.249131944445</v>
      </c>
      <c r="F161" s="13">
        <v>43055.256423611114</v>
      </c>
      <c r="G161" s="7">
        <v>68</v>
      </c>
      <c r="H161" s="21" t="s">
        <v>1015</v>
      </c>
      <c r="I161" s="13">
        <v>43055.267094907409</v>
      </c>
      <c r="J161" s="7">
        <v>0</v>
      </c>
      <c r="K161" s="89" t="str">
        <f t="shared" si="61"/>
        <v>4041/4042</v>
      </c>
      <c r="L161" s="184" t="str">
        <f>VLOOKUP(A161,'Trips&amp;Operators'!$C$1:$G$99911,5,FALSE)</f>
        <v>FORTUNATO FRANK</v>
      </c>
      <c r="M161" s="6">
        <f t="shared" si="62"/>
        <v>1.0671296295186039E-2</v>
      </c>
      <c r="N161" s="7">
        <f t="shared" si="75"/>
        <v>15.366666665067896</v>
      </c>
      <c r="O161" s="7"/>
      <c r="P161" s="7"/>
      <c r="Q161" s="22"/>
      <c r="R161" s="173"/>
      <c r="S161" s="220">
        <f t="shared" si="76"/>
        <v>1</v>
      </c>
      <c r="T161" s="173" t="str">
        <f t="shared" si="63"/>
        <v>NorthBound</v>
      </c>
      <c r="U161" s="19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5" t="str">
        <f t="shared" si="64"/>
        <v>https://d0f6bd738d7f1b3e5a7ca70fe4ff75f0.us-east-1.aws.found.io/app/kibana#/discover/Steve-Slow-Train-Analysis-(2080s-and-2083s)?_g=(refreshInterval:(display:Off,pause:!f,section:0,value:0),time:(from:'2017-11-16T04:58:45-0700',mode:absolute,to:'2017-11-16T07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203" t="str">
        <f>IF(AA161&lt;VLOOKUP(AG161,Variables!$AC$3:$AD$8,2,FALSE),"Y","N")</f>
        <v>N</v>
      </c>
      <c r="X161" s="203">
        <f t="shared" si="79"/>
        <v>1</v>
      </c>
      <c r="Y161" s="203">
        <f t="shared" si="85"/>
        <v>0.1142</v>
      </c>
      <c r="Z161" s="203">
        <f t="shared" si="86"/>
        <v>5.8968999999999996</v>
      </c>
      <c r="AA161" s="203">
        <f t="shared" si="65"/>
        <v>5.7826999999999993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8">
        <f t="shared" si="66"/>
        <v>803</v>
      </c>
      <c r="AE161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61" s="74" t="str">
        <f t="shared" si="68"/>
        <v>"C:\Program Files (x86)\AstroGrep\AstroGrep.exe" /e /r /s /spath="%USERPROFILE%\AppData\Local\Temp\OnboardLogs" /stypes="app*4042*20171116*" /stext=" 13:.+((SYSTEM_STATE.+slice.+state.+changed )|(ment ac)|(multiple cpu faults)|(system.+state.+changed )|(\[timeout)|(PRM\|1\|D)|(kpr)|(kdp)|(train st.+moving)|(\|lc)|(penalty))"</v>
      </c>
      <c r="AG161" s="181" t="str">
        <f t="shared" si="69"/>
        <v>NW</v>
      </c>
      <c r="AH161" s="78" t="str">
        <f t="shared" si="70"/>
        <v>"%USERPROFILE%\Documents\GitHub\eaglep3\Utilities\RefineRTDCRunTimes.py" --tripid 803-16 --locoid 4042 --swversion DE.1.0.9.0 --startMP 204:1142 --initTime 2017-11-16T05:58:45 --startdatetime 2017-11-16T06:09:15 --delay 68 --endMP 300:58969 --enddatetime 2017-11-16T06:24:37 --enforcementcount 0 &gt;&gt;%USERPROFILE%\Documents\GitHub\eaglep3-reporting\EC\2017-11-16-refined-times.txt</v>
      </c>
      <c r="AI161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{"issue":{"subject":"","project_id":79,"tracker_id":40,"status_id":1,"priority_id":2,"assigned_to_id":338,"start_date":"2017-11-16","description":"","custom_fields":[{"id":1,"name":"Subdivision","value":"NW"},{"id":4,"name":"Milepost","value":"5.8969"},{"id":17,"name":"Train ID","value":"803-16"},{"id":16,"name":"Locomotive ID","value":"4042"},{"id":130,"name":"Impact","value":""},{"id":150,"name":"Time of Event (Mountain Time)","value":"06:24:37"},{"id":151,"name":"Denver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1" t="str">
        <f t="shared" si="72"/>
        <v>start /low /b %USERPROFILE%\Documents\GitHub\eaglep3\Utilities\DownloadLogsFromS3.py --loco 4042 --day 2017-11-16</v>
      </c>
      <c r="AN161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7" t="str">
        <f t="shared" si="74"/>
        <v>https://d0f6bd738d7f1b3e5a7ca70fe4ff75f0.us-east-1.aws.found.io/app/kibana#/discover/Steve-Slow-Train-Analysis-(2080s-and-2083s)?_g=(refreshInterval:(display:Off,pause:!f,section:0,value:0),time:(from:'2017-11-16T04:58:45-0700',mode:absolute,to:'2017-11-16T07:24:37-0700'))&amp;_a=(columns:!('Message%20ID',Summary),filters:!(),index:'emp_*',interval:auto,query:(query_string:(analyze_wildcard:!t,query:'%22rtdc.l.rtdc.4042%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715</v>
      </c>
      <c r="B162" s="7">
        <v>4041</v>
      </c>
      <c r="C162" s="21" t="s">
        <v>192</v>
      </c>
      <c r="D162" s="21" t="s">
        <v>1016</v>
      </c>
      <c r="E162" s="13">
        <v>43055.26840277778</v>
      </c>
      <c r="F162" s="13">
        <v>43055.279861111114</v>
      </c>
      <c r="G162" s="7">
        <v>55</v>
      </c>
      <c r="H162" s="21" t="s">
        <v>1017</v>
      </c>
      <c r="I162" s="13">
        <v>43055.288310185184</v>
      </c>
      <c r="J162" s="7">
        <v>0</v>
      </c>
      <c r="K162" s="89" t="str">
        <f t="shared" si="61"/>
        <v>4041/4042</v>
      </c>
      <c r="L162" s="184" t="str">
        <f>VLOOKUP(A162,'Trips&amp;Operators'!$C$1:$G$99911,5,FALSE)</f>
        <v>FORTUNATO FRANK</v>
      </c>
      <c r="M162" s="6">
        <f t="shared" si="62"/>
        <v>8.4490740700857714E-3</v>
      </c>
      <c r="N162" s="7">
        <f t="shared" si="75"/>
        <v>12.166666660923511</v>
      </c>
      <c r="O162" s="7"/>
      <c r="P162" s="7"/>
      <c r="Q162" s="22"/>
      <c r="R162" s="173"/>
      <c r="S162" s="220">
        <f t="shared" si="76"/>
        <v>1</v>
      </c>
      <c r="T162" s="173" t="str">
        <f t="shared" si="63"/>
        <v>Southbound</v>
      </c>
      <c r="U162" s="19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5" t="str">
        <f t="shared" si="64"/>
        <v>https://d0f6bd738d7f1b3e5a7ca70fe4ff75f0.us-east-1.aws.found.io/app/kibana#/discover/Steve-Slow-Train-Analysis-(2080s-and-2083s)?_g=(refreshInterval:(display:Off,pause:!f,section:0,value:0),time:(from:'2017-11-16T05:26:30-0700',mode:absolute,to:'2017-11-16T07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203" t="str">
        <f>IF(AA162&lt;VLOOKUP(AG162,Variables!$AC$3:$AD$8,2,FALSE),"Y","N")</f>
        <v>N</v>
      </c>
      <c r="X162" s="203">
        <f t="shared" si="79"/>
        <v>1</v>
      </c>
      <c r="Y162" s="203">
        <f t="shared" si="85"/>
        <v>5.8659999999999997</v>
      </c>
      <c r="Z162" s="203">
        <f t="shared" si="86"/>
        <v>8.3900000000000002E-2</v>
      </c>
      <c r="AA162" s="203">
        <f t="shared" si="65"/>
        <v>5.7820999999999998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8">
        <f t="shared" si="66"/>
        <v>804</v>
      </c>
      <c r="AE162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62" s="74" t="str">
        <f t="shared" si="68"/>
        <v>"C:\Program Files (x86)\AstroGrep\AstroGrep.exe" /e /r /s /spath="%USERPROFILE%\AppData\Local\Temp\OnboardLogs" /stypes="app*4041*20171116*" /stext=" 13:.+((SYSTEM_STATE.+slice.+state.+changed )|(ment ac)|(multiple cpu faults)|(system.+state.+changed )|(\[timeout)|(PRM\|1\|D)|(kpr)|(kdp)|(train st.+moving)|(\|lc)|(penalty))"</v>
      </c>
      <c r="AG162" s="181" t="str">
        <f t="shared" si="69"/>
        <v>NW</v>
      </c>
      <c r="AH162" s="78" t="str">
        <f t="shared" si="70"/>
        <v>"%USERPROFILE%\Documents\GitHub\eaglep3\Utilities\RefineRTDCRunTimes.py" --tripid 804-16 --locoid 4041 --swversion DE.1.0.9.0 --startMP 300:58660 --initTime 2017-11-16T06:26:30 --startdatetime 2017-11-16T06:43:00 --delay 55 --endMP 204:839 --enddatetime 2017-11-16T06:55:10 --enforcementcount 0 &gt;&gt;%USERPROFILE%\Documents\GitHub\eaglep3-reporting\EC\2017-11-16-refined-times.txt</v>
      </c>
      <c r="AI162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{"issue":{"subject":"","project_id":79,"tracker_id":40,"status_id":1,"priority_id":2,"assigned_to_id":338,"start_date":"2017-11-16","description":"","custom_fields":[{"id":1,"name":"Subdivision","value":"NW"},{"id":4,"name":"Milepost","value":"0.0839"},{"id":17,"name":"Train ID","value":"804-16"},{"id":16,"name":"Locomotive ID","value":"4041"},{"id":130,"name":"Impact","value":""},{"id":150,"name":"Time of Event (Mountain Time)","value":"06:55:10"},{"id":151,"name":"Denver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1" t="str">
        <f t="shared" si="72"/>
        <v>start /low /b %USERPROFILE%\Documents\GitHub\eaglep3\Utilities\DownloadLogsFromS3.py --loco 4041 --day 2017-11-16</v>
      </c>
      <c r="AN162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7" t="str">
        <f t="shared" si="74"/>
        <v>https://d0f6bd738d7f1b3e5a7ca70fe4ff75f0.us-east-1.aws.found.io/app/kibana#/discover/Steve-Slow-Train-Analysis-(2080s-and-2083s)?_g=(refreshInterval:(display:Off,pause:!f,section:0,value:0),time:(from:'2017-11-16T05:26:30-0700',mode:absolute,to:'2017-11-16T07:55:10-0700'))&amp;_a=(columns:!('Message%20ID',Summary),filters:!(),index:'emp_*',interval:auto,query:(query_string:(analyze_wildcard:!t,query:'%22rtdc.l.rtdc.4041%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653</v>
      </c>
      <c r="B163" s="7">
        <v>4012</v>
      </c>
      <c r="C163" s="21" t="s">
        <v>192</v>
      </c>
      <c r="D163" s="21" t="s">
        <v>1018</v>
      </c>
      <c r="E163" s="13">
        <v>43055.269247685188</v>
      </c>
      <c r="F163" s="13">
        <v>43055.277314814812</v>
      </c>
      <c r="G163" s="7">
        <v>86</v>
      </c>
      <c r="H163" s="21" t="s">
        <v>1011</v>
      </c>
      <c r="I163" s="13">
        <v>43055.28800925926</v>
      </c>
      <c r="J163" s="7">
        <v>0</v>
      </c>
      <c r="K163" s="89" t="str">
        <f t="shared" si="61"/>
        <v>4011/4012</v>
      </c>
      <c r="L163" s="184" t="str">
        <f>VLOOKUP(A163,'Trips&amp;Operators'!$C$1:$G$99911,5,FALSE)</f>
        <v>STRICKLAND EVAN</v>
      </c>
      <c r="M163" s="6">
        <f t="shared" si="62"/>
        <v>1.0694444448745344E-2</v>
      </c>
      <c r="N163" s="7">
        <f t="shared" si="75"/>
        <v>15.400000006193295</v>
      </c>
      <c r="O163" s="7"/>
      <c r="P163" s="7"/>
      <c r="Q163" s="22"/>
      <c r="R163" s="173"/>
      <c r="S163" s="220">
        <f t="shared" si="76"/>
        <v>1</v>
      </c>
      <c r="T163" s="173" t="str">
        <f t="shared" si="63"/>
        <v>NorthBound</v>
      </c>
      <c r="U163" s="19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5" t="str">
        <f t="shared" si="64"/>
        <v>https://d0f6bd738d7f1b3e5a7ca70fe4ff75f0.us-east-1.aws.found.io/app/kibana#/discover/Steve-Slow-Train-Analysis-(2080s-and-2083s)?_g=(refreshInterval:(display:Off,pause:!f,section:0,value:0),time:(from:'2017-11-16T05:27:43-0700',mode:absolute,to:'2017-11-16T07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203" t="str">
        <f>IF(AA163&lt;VLOOKUP(AG163,Variables!$AC$3:$AD$8,2,FALSE),"Y","N")</f>
        <v>N</v>
      </c>
      <c r="X163" s="203">
        <f t="shared" si="79"/>
        <v>1</v>
      </c>
      <c r="Y163" s="203">
        <f t="shared" si="85"/>
        <v>0.1137</v>
      </c>
      <c r="Z163" s="203">
        <f t="shared" si="86"/>
        <v>5.9001000000000001</v>
      </c>
      <c r="AA163" s="203">
        <f t="shared" si="65"/>
        <v>5.7864000000000004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8">
        <f t="shared" si="66"/>
        <v>805</v>
      </c>
      <c r="AE163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63" s="74" t="str">
        <f t="shared" si="68"/>
        <v>"C:\Program Files (x86)\AstroGrep\AstroGrep.exe" /e /r /s /spath="%USERPROFILE%\AppData\Local\Temp\OnboardLogs" /stypes="app*4012*20171116*" /stext=" 13:.+((SYSTEM_STATE.+slice.+state.+changed )|(ment ac)|(multiple cpu faults)|(system.+state.+changed )|(\[timeout)|(PRM\|1\|D)|(kpr)|(kdp)|(train st.+moving)|(\|lc)|(penalty))"</v>
      </c>
      <c r="AG163" s="181" t="str">
        <f t="shared" si="69"/>
        <v>NW</v>
      </c>
      <c r="AH163" s="78" t="str">
        <f t="shared" si="70"/>
        <v>"%USERPROFILE%\Documents\GitHub\eaglep3\Utilities\RefineRTDCRunTimes.py" --tripid 805-16 --locoid 4012 --swversion DE.1.0.9.0 --startMP 204:1137 --initTime 2017-11-16T06:27:43 --startdatetime 2017-11-16T06:39:20 --delay 86 --endMP 300:59001 --enddatetime 2017-11-16T06:54:44 --enforcementcount 0 &gt;&gt;%USERPROFILE%\Documents\GitHub\eaglep3-reporting\EC\2017-11-16-refined-times.txt</v>
      </c>
      <c r="AI163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{"issue":{"subject":"","project_id":79,"tracker_id":40,"status_id":1,"priority_id":2,"assigned_to_id":338,"start_date":"2017-11-16","description":"","custom_fields":[{"id":1,"name":"Subdivision","value":"NW"},{"id":4,"name":"Milepost","value":"5.9001"},{"id":17,"name":"Train ID","value":"805-16"},{"id":16,"name":"Locomotive ID","value":"4012"},{"id":130,"name":"Impact","value":""},{"id":150,"name":"Time of Event (Mountain Time)","value":"06:54:44"},{"id":151,"name":"Denver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1" t="str">
        <f t="shared" si="72"/>
        <v>start /low /b %USERPROFILE%\Documents\GitHub\eaglep3\Utilities\DownloadLogsFromS3.py --loco 4012 --day 2017-11-16</v>
      </c>
      <c r="AN163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7" t="str">
        <f t="shared" si="74"/>
        <v>https://d0f6bd738d7f1b3e5a7ca70fe4ff75f0.us-east-1.aws.found.io/app/kibana#/discover/Steve-Slow-Train-Analysis-(2080s-and-2083s)?_g=(refreshInterval:(display:Off,pause:!f,section:0,value:0),time:(from:'2017-11-16T05:27:43-0700',mode:absolute,to:'2017-11-16T07:54:44-0700'))&amp;_a=(columns:!('Message%20ID',Summary),filters:!(),index:'emp_*',interval:auto,query:(query_string:(analyze_wildcard:!t,query:'%22rtdc.l.rtdc.4012%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719</v>
      </c>
      <c r="B164" s="7">
        <v>4011</v>
      </c>
      <c r="C164" s="21" t="s">
        <v>192</v>
      </c>
      <c r="D164" s="21" t="s">
        <v>1019</v>
      </c>
      <c r="E164" s="13">
        <v>43055.289363425924</v>
      </c>
      <c r="F164" s="13">
        <v>43055.3</v>
      </c>
      <c r="G164" s="7">
        <v>75</v>
      </c>
      <c r="H164" s="21" t="s">
        <v>1020</v>
      </c>
      <c r="I164" s="13">
        <v>43055.309074074074</v>
      </c>
      <c r="J164" s="7">
        <v>0</v>
      </c>
      <c r="K164" s="89" t="str">
        <f t="shared" si="61"/>
        <v>4011/4012</v>
      </c>
      <c r="L164" s="184" t="str">
        <f>VLOOKUP(A164,'Trips&amp;Operators'!$C$1:$G$99911,5,FALSE)</f>
        <v>STRICKLAND EVAN</v>
      </c>
      <c r="M164" s="6">
        <f t="shared" si="62"/>
        <v>9.074074070667848E-3</v>
      </c>
      <c r="N164" s="7">
        <f t="shared" si="75"/>
        <v>13.066666661761701</v>
      </c>
      <c r="O164" s="7"/>
      <c r="P164" s="7"/>
      <c r="Q164" s="22"/>
      <c r="R164" s="173"/>
      <c r="S164" s="220">
        <f t="shared" si="76"/>
        <v>1</v>
      </c>
      <c r="T164" s="173" t="str">
        <f t="shared" si="63"/>
        <v>Southbound</v>
      </c>
      <c r="U164" s="19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5" t="str">
        <f t="shared" si="64"/>
        <v>https://d0f6bd738d7f1b3e5a7ca70fe4ff75f0.us-east-1.aws.found.io/app/kibana#/discover/Steve-Slow-Train-Analysis-(2080s-and-2083s)?_g=(refreshInterval:(display:Off,pause:!f,section:0,value:0),time:(from:'2017-11-16T05:56:41-0700',mode:absolute,to:'2017-11-16T08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203" t="str">
        <f>IF(AA164&lt;VLOOKUP(AG164,Variables!$AC$3:$AD$8,2,FALSE),"Y","N")</f>
        <v>N</v>
      </c>
      <c r="X164" s="203">
        <f t="shared" si="79"/>
        <v>1</v>
      </c>
      <c r="Y164" s="203">
        <f t="shared" si="85"/>
        <v>5.8692000000000002</v>
      </c>
      <c r="Z164" s="203">
        <f t="shared" si="86"/>
        <v>8.4599999999999995E-2</v>
      </c>
      <c r="AA164" s="203">
        <f t="shared" si="65"/>
        <v>5.7846000000000002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8">
        <f t="shared" si="66"/>
        <v>806</v>
      </c>
      <c r="AE164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64" s="74" t="str">
        <f t="shared" si="68"/>
        <v>"C:\Program Files (x86)\AstroGrep\AstroGrep.exe" /e /r /s /spath="%USERPROFILE%\AppData\Local\Temp\OnboardLogs" /stypes="app*4011*20171116*" /stext=" 14:.+((SYSTEM_STATE.+slice.+state.+changed )|(ment ac)|(multiple cpu faults)|(system.+state.+changed )|(\[timeout)|(PRM\|1\|D)|(kpr)|(kdp)|(train st.+moving)|(\|lc)|(penalty))"</v>
      </c>
      <c r="AG164" s="181" t="str">
        <f t="shared" si="69"/>
        <v>NW</v>
      </c>
      <c r="AH164" s="78" t="str">
        <f t="shared" si="70"/>
        <v>"%USERPROFILE%\Documents\GitHub\eaglep3\Utilities\RefineRTDCRunTimes.py" --tripid 806-16 --locoid 4011 --swversion DE.1.0.9.0 --startMP 300:58692 --initTime 2017-11-16T06:56:41 --startdatetime 2017-11-16T07:12:00 --delay 75 --endMP 204:846 --enddatetime 2017-11-16T07:25:04 --enforcementcount 0 &gt;&gt;%USERPROFILE%\Documents\GitHub\eaglep3-reporting\EC\2017-11-16-refined-times.txt</v>
      </c>
      <c r="AI164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{"issue":{"subject":"","project_id":79,"tracker_id":40,"status_id":1,"priority_id":2,"assigned_to_id":338,"start_date":"2017-11-16","description":"","custom_fields":[{"id":1,"name":"Subdivision","value":"NW"},{"id":4,"name":"Milepost","value":"0.0846"},{"id":17,"name":"Train ID","value":"806-16"},{"id":16,"name":"Locomotive ID","value":"4011"},{"id":130,"name":"Impact","value":""},{"id":150,"name":"Time of Event (Mountain Time)","value":"07:25:04"},{"id":151,"name":"Denver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1" t="str">
        <f t="shared" si="72"/>
        <v>start /low /b %USERPROFILE%\Documents\GitHub\eaglep3\Utilities\DownloadLogsFromS3.py --loco 4011 --day 2017-11-16</v>
      </c>
      <c r="AN164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7" t="str">
        <f t="shared" si="74"/>
        <v>https://d0f6bd738d7f1b3e5a7ca70fe4ff75f0.us-east-1.aws.found.io/app/kibana#/discover/Steve-Slow-Train-Analysis-(2080s-and-2083s)?_g=(refreshInterval:(display:Off,pause:!f,section:0,value:0),time:(from:'2017-11-16T05:56:41-0700',mode:absolute,to:'2017-11-16T08:25:04-0700'))&amp;_a=(columns:!('Message%20ID',Summary),filters:!(),index:'emp_*',interval:auto,query:(query_string:(analyze_wildcard:!t,query:'%22rtdc.l.rtdc.4011%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720</v>
      </c>
      <c r="B165" s="7">
        <v>4042</v>
      </c>
      <c r="C165" s="21" t="s">
        <v>192</v>
      </c>
      <c r="D165" s="21" t="s">
        <v>1021</v>
      </c>
      <c r="E165" s="13">
        <v>43055.289629629631</v>
      </c>
      <c r="F165" s="13">
        <v>43055.298101851855</v>
      </c>
      <c r="G165" s="7">
        <v>51</v>
      </c>
      <c r="H165" s="21" t="s">
        <v>1022</v>
      </c>
      <c r="I165" s="13">
        <v>43055.308692129627</v>
      </c>
      <c r="J165" s="7">
        <v>0</v>
      </c>
      <c r="K165" s="89" t="str">
        <f t="shared" si="61"/>
        <v>4041/4042</v>
      </c>
      <c r="L165" s="184" t="str">
        <f>VLOOKUP(A165,'Trips&amp;Operators'!$C$1:$G$99911,5,FALSE)</f>
        <v>FORTUNATO FRANK</v>
      </c>
      <c r="M165" s="6">
        <f t="shared" si="62"/>
        <v>1.0590277772280388E-2</v>
      </c>
      <c r="N165" s="7">
        <f t="shared" si="75"/>
        <v>15.249999992083758</v>
      </c>
      <c r="O165" s="7"/>
      <c r="P165" s="7"/>
      <c r="Q165" s="22"/>
      <c r="R165" s="173"/>
      <c r="S165" s="220">
        <f t="shared" si="76"/>
        <v>1</v>
      </c>
      <c r="T165" s="173" t="str">
        <f t="shared" si="63"/>
        <v>NorthBound</v>
      </c>
      <c r="U165" s="19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5" t="str">
        <f t="shared" si="64"/>
        <v>https://d0f6bd738d7f1b3e5a7ca70fe4ff75f0.us-east-1.aws.found.io/app/kibana#/discover/Steve-Slow-Train-Analysis-(2080s-and-2083s)?_g=(refreshInterval:(display:Off,pause:!f,section:0,value:0),time:(from:'2017-11-16T05:57:04-0700',mode:absolute,to:'2017-11-16T08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203" t="str">
        <f>IF(AA165&lt;VLOOKUP(AG165,Variables!$AC$3:$AD$8,2,FALSE),"Y","N")</f>
        <v>N</v>
      </c>
      <c r="X165" s="203">
        <f t="shared" si="79"/>
        <v>1</v>
      </c>
      <c r="Y165" s="203">
        <f t="shared" si="85"/>
        <v>0.1119</v>
      </c>
      <c r="Z165" s="203">
        <f t="shared" si="86"/>
        <v>5.8952</v>
      </c>
      <c r="AA165" s="203">
        <f t="shared" si="65"/>
        <v>5.7832999999999997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8">
        <f t="shared" si="66"/>
        <v>807</v>
      </c>
      <c r="AE165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65" s="74" t="str">
        <f t="shared" si="68"/>
        <v>"C:\Program Files (x86)\AstroGrep\AstroGrep.exe" /e /r /s /spath="%USERPROFILE%\AppData\Local\Temp\OnboardLogs" /stypes="app*4042*20171116*" /stext=" 14:.+((SYSTEM_STATE.+slice.+state.+changed )|(ment ac)|(multiple cpu faults)|(system.+state.+changed )|(\[timeout)|(PRM\|1\|D)|(kpr)|(kdp)|(train st.+moving)|(\|lc)|(penalty))"</v>
      </c>
      <c r="AG165" s="181" t="str">
        <f t="shared" si="69"/>
        <v>NW</v>
      </c>
      <c r="AH165" s="78" t="str">
        <f t="shared" si="70"/>
        <v>"%USERPROFILE%\Documents\GitHub\eaglep3\Utilities\RefineRTDCRunTimes.py" --tripid 807-16 --locoid 4042 --swversion DE.1.0.9.0 --startMP 204:1119 --initTime 2017-11-16T06:57:04 --startdatetime 2017-11-16T07:09:16 --delay 51 --endMP 300:58952 --enddatetime 2017-11-16T07:24:31 --enforcementcount 0 &gt;&gt;%USERPROFILE%\Documents\GitHub\eaglep3-reporting\EC\2017-11-16-refined-times.txt</v>
      </c>
      <c r="AI165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{"issue":{"subject":"","project_id":79,"tracker_id":40,"status_id":1,"priority_id":2,"assigned_to_id":338,"start_date":"2017-11-16","description":"","custom_fields":[{"id":1,"name":"Subdivision","value":"NW"},{"id":4,"name":"Milepost","value":"5.8952"},{"id":17,"name":"Train ID","value":"807-16"},{"id":16,"name":"Locomotive ID","value":"4042"},{"id":130,"name":"Impact","value":""},{"id":150,"name":"Time of Event (Mountain Time)","value":"07:24:31"},{"id":151,"name":"Denver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1" t="str">
        <f t="shared" si="72"/>
        <v>start /low /b %USERPROFILE%\Documents\GitHub\eaglep3\Utilities\DownloadLogsFromS3.py --loco 4042 --day 2017-11-16</v>
      </c>
      <c r="AN165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7" t="str">
        <f t="shared" si="74"/>
        <v>https://d0f6bd738d7f1b3e5a7ca70fe4ff75f0.us-east-1.aws.found.io/app/kibana#/discover/Steve-Slow-Train-Analysis-(2080s-and-2083s)?_g=(refreshInterval:(display:Off,pause:!f,section:0,value:0),time:(from:'2017-11-16T05:57:04-0700',mode:absolute,to:'2017-11-16T08:24:31-0700'))&amp;_a=(columns:!('Message%20ID',Summary),filters:!(),index:'emp_*',interval:auto,query:(query_string:(analyze_wildcard:!t,query:'%22rtdc.l.rtdc.4042%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724</v>
      </c>
      <c r="B166" s="7">
        <v>4041</v>
      </c>
      <c r="C166" s="21" t="s">
        <v>192</v>
      </c>
      <c r="D166" s="21" t="s">
        <v>1023</v>
      </c>
      <c r="E166" s="13">
        <v>43055.310312499998</v>
      </c>
      <c r="F166" s="13">
        <v>43055.321527777778</v>
      </c>
      <c r="G166" s="7">
        <v>54</v>
      </c>
      <c r="H166" s="21" t="s">
        <v>1024</v>
      </c>
      <c r="I166" s="13">
        <v>43055.329814814817</v>
      </c>
      <c r="J166" s="7">
        <v>0</v>
      </c>
      <c r="K166" s="89" t="str">
        <f t="shared" si="61"/>
        <v>4041/4042</v>
      </c>
      <c r="L166" s="184" t="str">
        <f>VLOOKUP(A166,'Trips&amp;Operators'!$C$1:$G$99911,5,FALSE)</f>
        <v>FORTUNATO FRANK</v>
      </c>
      <c r="M166" s="6">
        <f t="shared" si="62"/>
        <v>8.2870370388263837E-3</v>
      </c>
      <c r="N166" s="7">
        <f t="shared" si="75"/>
        <v>11.933333335909992</v>
      </c>
      <c r="O166" s="7"/>
      <c r="P166" s="7"/>
      <c r="Q166" s="22"/>
      <c r="R166" s="173"/>
      <c r="S166" s="220">
        <f t="shared" si="76"/>
        <v>1</v>
      </c>
      <c r="T166" s="173" t="str">
        <f t="shared" si="63"/>
        <v>Southbound</v>
      </c>
      <c r="U166" s="19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5" t="str">
        <f t="shared" si="64"/>
        <v>https://d0f6bd738d7f1b3e5a7ca70fe4ff75f0.us-east-1.aws.found.io/app/kibana#/discover/Steve-Slow-Train-Analysis-(2080s-and-2083s)?_g=(refreshInterval:(display:Off,pause:!f,section:0,value:0),time:(from:'2017-11-16T06:26:51-0700',mode:absolute,to:'2017-11-16T08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203" t="str">
        <f>IF(AA166&lt;VLOOKUP(AG166,Variables!$AC$3:$AD$8,2,FALSE),"Y","N")</f>
        <v>N</v>
      </c>
      <c r="X166" s="203">
        <f t="shared" si="79"/>
        <v>1</v>
      </c>
      <c r="Y166" s="203">
        <f t="shared" si="85"/>
        <v>5.8635999999999999</v>
      </c>
      <c r="Z166" s="203">
        <f t="shared" si="86"/>
        <v>8.3199999999999996E-2</v>
      </c>
      <c r="AA166" s="203">
        <f t="shared" si="65"/>
        <v>5.7804000000000002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8">
        <f t="shared" si="66"/>
        <v>808</v>
      </c>
      <c r="AE166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66" s="74" t="str">
        <f t="shared" si="68"/>
        <v>"C:\Program Files (x86)\AstroGrep\AstroGrep.exe" /e /r /s /spath="%USERPROFILE%\AppData\Local\Temp\OnboardLogs" /stypes="app*4041*20171116*" /stext=" 14:.+((SYSTEM_STATE.+slice.+state.+changed )|(ment ac)|(multiple cpu faults)|(system.+state.+changed )|(\[timeout)|(PRM\|1\|D)|(kpr)|(kdp)|(train st.+moving)|(\|lc)|(penalty))"</v>
      </c>
      <c r="AG166" s="181" t="str">
        <f t="shared" si="69"/>
        <v>NW</v>
      </c>
      <c r="AH166" s="78" t="str">
        <f t="shared" si="70"/>
        <v>"%USERPROFILE%\Documents\GitHub\eaglep3\Utilities\RefineRTDCRunTimes.py" --tripid 808-16 --locoid 4041 --swversion DE.1.0.9.0 --startMP 300:58636 --initTime 2017-11-16T07:26:51 --startdatetime 2017-11-16T07:43:00 --delay 54 --endMP 204:832 --enddatetime 2017-11-16T07:54:56 --enforcementcount 0 &gt;&gt;%USERPROFILE%\Documents\GitHub\eaglep3-reporting\EC\2017-11-16-refined-times.txt</v>
      </c>
      <c r="AI166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{"issue":{"subject":"","project_id":79,"tracker_id":40,"status_id":1,"priority_id":2,"assigned_to_id":338,"start_date":"2017-11-16","description":"","custom_fields":[{"id":1,"name":"Subdivision","value":"NW"},{"id":4,"name":"Milepost","value":"0.0832"},{"id":17,"name":"Train ID","value":"808-16"},{"id":16,"name":"Locomotive ID","value":"4041"},{"id":130,"name":"Impact","value":""},{"id":150,"name":"Time of Event (Mountain Time)","value":"07:54:56"},{"id":151,"name":"Denver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1" t="str">
        <f t="shared" si="72"/>
        <v>start /low /b %USERPROFILE%\Documents\GitHub\eaglep3\Utilities\DownloadLogsFromS3.py --loco 4041 --day 2017-11-16</v>
      </c>
      <c r="AN166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7" t="str">
        <f t="shared" si="74"/>
        <v>https://d0f6bd738d7f1b3e5a7ca70fe4ff75f0.us-east-1.aws.found.io/app/kibana#/discover/Steve-Slow-Train-Analysis-(2080s-and-2083s)?_g=(refreshInterval:(display:Off,pause:!f,section:0,value:0),time:(from:'2017-11-16T06:26:51-0700',mode:absolute,to:'2017-11-16T08:54:56-0700'))&amp;_a=(columns:!('Message%20ID',Summary),filters:!(),index:'emp_*',interval:auto,query:(query_string:(analyze_wildcard:!t,query:'%22rtdc.l.rtdc.4041%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655</v>
      </c>
      <c r="B167" s="7">
        <v>4012</v>
      </c>
      <c r="C167" s="21" t="s">
        <v>192</v>
      </c>
      <c r="D167" s="21" t="s">
        <v>1025</v>
      </c>
      <c r="E167" s="13">
        <v>43055.311585648145</v>
      </c>
      <c r="F167" s="13">
        <v>43055.318935185183</v>
      </c>
      <c r="G167" s="7">
        <v>63</v>
      </c>
      <c r="H167" s="21" t="s">
        <v>570</v>
      </c>
      <c r="I167" s="13">
        <v>43055.330104166664</v>
      </c>
      <c r="J167" s="7">
        <v>0</v>
      </c>
      <c r="K167" s="89" t="str">
        <f t="shared" si="61"/>
        <v>4011/4012</v>
      </c>
      <c r="L167" s="184" t="str">
        <f>VLOOKUP(A167,'Trips&amp;Operators'!$C$1:$G$99911,5,FALSE)</f>
        <v>STRICKLAND EVAN</v>
      </c>
      <c r="M167" s="6">
        <f t="shared" si="62"/>
        <v>1.116898148029577E-2</v>
      </c>
      <c r="N167" s="7">
        <f t="shared" si="75"/>
        <v>16.083333331625909</v>
      </c>
      <c r="O167" s="7"/>
      <c r="P167" s="7"/>
      <c r="Q167" s="22"/>
      <c r="R167" s="173"/>
      <c r="S167" s="220">
        <f t="shared" si="76"/>
        <v>1</v>
      </c>
      <c r="T167" s="173" t="str">
        <f t="shared" si="63"/>
        <v>NorthBound</v>
      </c>
      <c r="U167" s="19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5" t="str">
        <f t="shared" si="64"/>
        <v>https://d0f6bd738d7f1b3e5a7ca70fe4ff75f0.us-east-1.aws.found.io/app/kibana#/discover/Steve-Slow-Train-Analysis-(2080s-and-2083s)?_g=(refreshInterval:(display:Off,pause:!f,section:0,value:0),time:(from:'2017-11-16T06:28:41-0700',mode:absolute,to:'2017-11-16T08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203" t="str">
        <f>IF(AA167&lt;VLOOKUP(AG167,Variables!$AC$3:$AD$8,2,FALSE),"Y","N")</f>
        <v>N</v>
      </c>
      <c r="X167" s="203">
        <f t="shared" si="79"/>
        <v>1</v>
      </c>
      <c r="Y167" s="203">
        <f t="shared" si="85"/>
        <v>0.1147</v>
      </c>
      <c r="Z167" s="203">
        <f t="shared" si="86"/>
        <v>5.8997000000000002</v>
      </c>
      <c r="AA167" s="203">
        <f t="shared" si="65"/>
        <v>5.7850000000000001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8">
        <f t="shared" si="66"/>
        <v>809</v>
      </c>
      <c r="AE167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67" s="74" t="str">
        <f t="shared" si="68"/>
        <v>"C:\Program Files (x86)\AstroGrep\AstroGrep.exe" /e /r /s /spath="%USERPROFILE%\AppData\Local\Temp\OnboardLogs" /stypes="app*4012*20171116*" /stext=" 14:.+((SYSTEM_STATE.+slice.+state.+changed )|(ment ac)|(multiple cpu faults)|(system.+state.+changed )|(\[timeout)|(PRM\|1\|D)|(kpr)|(kdp)|(train st.+moving)|(\|lc)|(penalty))"</v>
      </c>
      <c r="AG167" s="181" t="str">
        <f t="shared" si="69"/>
        <v>NW</v>
      </c>
      <c r="AH167" s="78" t="str">
        <f t="shared" si="70"/>
        <v>"%USERPROFILE%\Documents\GitHub\eaglep3\Utilities\RefineRTDCRunTimes.py" --tripid 809-16 --locoid 4012 --swversion DE.1.0.9.0 --startMP 204:1147 --initTime 2017-11-16T07:28:41 --startdatetime 2017-11-16T07:39:16 --delay 63 --endMP 300:58997 --enddatetime 2017-11-16T07:55:21 --enforcementcount 0 &gt;&gt;%USERPROFILE%\Documents\GitHub\eaglep3-reporting\EC\2017-11-16-refined-times.txt</v>
      </c>
      <c r="AI167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{"issue":{"subject":"","project_id":79,"tracker_id":40,"status_id":1,"priority_id":2,"assigned_to_id":338,"start_date":"2017-11-16","description":"","custom_fields":[{"id":1,"name":"Subdivision","value":"NW"},{"id":4,"name":"Milepost","value":"5.8997"},{"id":17,"name":"Train ID","value":"809-16"},{"id":16,"name":"Locomotive ID","value":"4012"},{"id":130,"name":"Impact","value":""},{"id":150,"name":"Time of Event (Mountain Time)","value":"07:55:21"},{"id":151,"name":"Denver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1" t="str">
        <f t="shared" si="72"/>
        <v>start /low /b %USERPROFILE%\Documents\GitHub\eaglep3\Utilities\DownloadLogsFromS3.py --loco 4012 --day 2017-11-16</v>
      </c>
      <c r="AN167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7" t="str">
        <f t="shared" si="74"/>
        <v>https://d0f6bd738d7f1b3e5a7ca70fe4ff75f0.us-east-1.aws.found.io/app/kibana#/discover/Steve-Slow-Train-Analysis-(2080s-and-2083s)?_g=(refreshInterval:(display:Off,pause:!f,section:0,value:0),time:(from:'2017-11-16T06:28:41-0700',mode:absolute,to:'2017-11-16T08:55:21-0700'))&amp;_a=(columns:!('Message%20ID',Summary),filters:!(),index:'emp_*',interval:auto,query:(query_string:(analyze_wildcard:!t,query:'%22rtdc.l.rtdc.4012%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656</v>
      </c>
      <c r="B168" s="7">
        <v>4011</v>
      </c>
      <c r="C168" s="21" t="s">
        <v>192</v>
      </c>
      <c r="D168" s="21" t="s">
        <v>1026</v>
      </c>
      <c r="E168" s="13">
        <v>43055.33152777778</v>
      </c>
      <c r="F168" s="13">
        <v>43055.341666666667</v>
      </c>
      <c r="G168" s="7">
        <v>64</v>
      </c>
      <c r="H168" s="21" t="s">
        <v>1027</v>
      </c>
      <c r="I168" s="13">
        <v>43055.351099537038</v>
      </c>
      <c r="J168" s="7">
        <v>0</v>
      </c>
      <c r="K168" s="89" t="str">
        <f t="shared" si="61"/>
        <v>4011/4012</v>
      </c>
      <c r="L168" s="184" t="str">
        <f>VLOOKUP(A168,'Trips&amp;Operators'!$C$1:$G$99911,5,FALSE)</f>
        <v>STRICKLAND EVAN</v>
      </c>
      <c r="M168" s="6">
        <f t="shared" si="62"/>
        <v>9.4328703708015382E-3</v>
      </c>
      <c r="N168" s="7">
        <f t="shared" si="75"/>
        <v>13.583333333954215</v>
      </c>
      <c r="O168" s="7"/>
      <c r="P168" s="7"/>
      <c r="Q168" s="22"/>
      <c r="R168" s="173"/>
      <c r="S168" s="220">
        <f t="shared" si="76"/>
        <v>1</v>
      </c>
      <c r="T168" s="173" t="str">
        <f t="shared" si="63"/>
        <v>Southbound</v>
      </c>
      <c r="U168" s="19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5" t="str">
        <f t="shared" si="64"/>
        <v>https://d0f6bd738d7f1b3e5a7ca70fe4ff75f0.us-east-1.aws.found.io/app/kibana#/discover/Steve-Slow-Train-Analysis-(2080s-and-2083s)?_g=(refreshInterval:(display:Off,pause:!f,section:0,value:0),time:(from:'2017-11-16T06:57:24-0700',mode:absolute,to:'2017-11-16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203" t="str">
        <f>IF(AA168&lt;VLOOKUP(AG168,Variables!$AC$3:$AD$8,2,FALSE),"Y","N")</f>
        <v>N</v>
      </c>
      <c r="X168" s="203">
        <f t="shared" si="79"/>
        <v>1</v>
      </c>
      <c r="Y168" s="203">
        <f t="shared" si="85"/>
        <v>5.8685</v>
      </c>
      <c r="Z168" s="203">
        <f t="shared" si="86"/>
        <v>1.0999999999999999E-2</v>
      </c>
      <c r="AA168" s="203">
        <f t="shared" si="65"/>
        <v>5.8574999999999999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8">
        <f t="shared" si="66"/>
        <v>810</v>
      </c>
      <c r="AE168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68" s="74" t="str">
        <f t="shared" si="68"/>
        <v>"C:\Program Files (x86)\AstroGrep\AstroGrep.exe" /e /r /s /spath="%USERPROFILE%\AppData\Local\Temp\OnboardLogs" /stypes="app*4011*20171116*" /stext=" 15:.+((SYSTEM_STATE.+slice.+state.+changed )|(ment ac)|(multiple cpu faults)|(system.+state.+changed )|(\[timeout)|(PRM\|1\|D)|(kpr)|(kdp)|(train st.+moving)|(\|lc)|(penalty))"</v>
      </c>
      <c r="AG168" s="181" t="str">
        <f t="shared" si="69"/>
        <v>NW</v>
      </c>
      <c r="AH168" s="78" t="str">
        <f t="shared" si="70"/>
        <v>"%USERPROFILE%\Documents\GitHub\eaglep3\Utilities\RefineRTDCRunTimes.py" --tripid 810-16 --locoid 4011 --swversion DE.1.0.9.0 --startMP 300:58685 --initTime 2017-11-16T07:57:24 --startdatetime 2017-11-16T08:12:00 --delay 64 --endMP 204:110 --enddatetime 2017-11-16T08:25:35 --enforcementcount 0 &gt;&gt;%USERPROFILE%\Documents\GitHub\eaglep3-reporting\EC\2017-11-16-refined-times.txt</v>
      </c>
      <c r="AI168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{"issue":{"subject":"","project_id":79,"tracker_id":40,"status_id":1,"priority_id":2,"assigned_to_id":338,"start_date":"2017-11-16","description":"","custom_fields":[{"id":1,"name":"Subdivision","value":"NW"},{"id":4,"name":"Milepost","value":"0.011"},{"id":17,"name":"Train ID","value":"810-16"},{"id":16,"name":"Locomotive ID","value":"4011"},{"id":130,"name":"Impact","value":""},{"id":150,"name":"Time of Event (Mountain Time)","value":"08:25:35"},{"id":151,"name":"Denver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1" t="str">
        <f t="shared" si="72"/>
        <v>start /low /b %USERPROFILE%\Documents\GitHub\eaglep3\Utilities\DownloadLogsFromS3.py --loco 4011 --day 2017-11-16</v>
      </c>
      <c r="AN168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7" t="str">
        <f t="shared" si="74"/>
        <v>https://d0f6bd738d7f1b3e5a7ca70fe4ff75f0.us-east-1.aws.found.io/app/kibana#/discover/Steve-Slow-Train-Analysis-(2080s-and-2083s)?_g=(refreshInterval:(display:Off,pause:!f,section:0,value:0),time:(from:'2017-11-16T06:57:24-0700',mode:absolute,to:'2017-11-16T09:25:35-0700'))&amp;_a=(columns:!('Message%20ID',Summary),filters:!(),index:'emp_*',interval:auto,query:(query_string:(analyze_wildcard:!t,query:'%22rtdc.l.rtdc.4011%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729</v>
      </c>
      <c r="B169" s="7">
        <v>4042</v>
      </c>
      <c r="C169" s="21" t="s">
        <v>192</v>
      </c>
      <c r="D169" s="21" t="s">
        <v>1028</v>
      </c>
      <c r="E169" s="13">
        <v>43055.331157407411</v>
      </c>
      <c r="F169" s="13">
        <v>43055.339756944442</v>
      </c>
      <c r="G169" s="7">
        <v>52</v>
      </c>
      <c r="H169" s="21" t="s">
        <v>1029</v>
      </c>
      <c r="I169" s="13">
        <v>43055.350358796299</v>
      </c>
      <c r="J169" s="7">
        <v>0</v>
      </c>
      <c r="K169" s="89" t="str">
        <f t="shared" si="61"/>
        <v>4041/4042</v>
      </c>
      <c r="L169" s="184" t="str">
        <f>VLOOKUP(A169,'Trips&amp;Operators'!$C$1:$G$99911,5,FALSE)</f>
        <v>FORTUNATO FRANK</v>
      </c>
      <c r="M169" s="6">
        <f t="shared" si="62"/>
        <v>1.0601851856335998E-2</v>
      </c>
      <c r="N169" s="7">
        <f t="shared" si="75"/>
        <v>15.266666673123837</v>
      </c>
      <c r="O169" s="7"/>
      <c r="P169" s="7"/>
      <c r="Q169" s="22"/>
      <c r="R169" s="173"/>
      <c r="S169" s="220">
        <f t="shared" si="76"/>
        <v>1</v>
      </c>
      <c r="T169" s="173" t="str">
        <f t="shared" si="63"/>
        <v>NorthBound</v>
      </c>
      <c r="U169" s="19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5" t="str">
        <f t="shared" si="64"/>
        <v>https://d0f6bd738d7f1b3e5a7ca70fe4ff75f0.us-east-1.aws.found.io/app/kibana#/discover/Steve-Slow-Train-Analysis-(2080s-and-2083s)?_g=(refreshInterval:(display:Off,pause:!f,section:0,value:0),time:(from:'2017-11-16T06:56:52-0700',mode:absolute,to:'2017-11-16T09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203" t="str">
        <f>IF(AA169&lt;VLOOKUP(AG169,Variables!$AC$3:$AD$8,2,FALSE),"Y","N")</f>
        <v>N</v>
      </c>
      <c r="X169" s="203">
        <f t="shared" si="79"/>
        <v>1</v>
      </c>
      <c r="Y169" s="203">
        <f t="shared" si="85"/>
        <v>0.1114</v>
      </c>
      <c r="Z169" s="203">
        <f t="shared" si="86"/>
        <v>5.8982000000000001</v>
      </c>
      <c r="AA169" s="203">
        <f t="shared" si="65"/>
        <v>5.7868000000000004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8">
        <f t="shared" si="66"/>
        <v>811</v>
      </c>
      <c r="AE169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69" s="74" t="str">
        <f t="shared" si="68"/>
        <v>"C:\Program Files (x86)\AstroGrep\AstroGrep.exe" /e /r /s /spath="%USERPROFILE%\AppData\Local\Temp\OnboardLogs" /stypes="app*4042*20171116*" /stext=" 15:.+((SYSTEM_STATE.+slice.+state.+changed )|(ment ac)|(multiple cpu faults)|(system.+state.+changed )|(\[timeout)|(PRM\|1\|D)|(kpr)|(kdp)|(train st.+moving)|(\|lc)|(penalty))"</v>
      </c>
      <c r="AG169" s="181" t="str">
        <f t="shared" si="69"/>
        <v>NW</v>
      </c>
      <c r="AH169" s="78" t="str">
        <f t="shared" si="70"/>
        <v>"%USERPROFILE%\Documents\GitHub\eaglep3\Utilities\RefineRTDCRunTimes.py" --tripid 811-16 --locoid 4042 --swversion DE.1.0.9.0 --startMP 204:1114 --initTime 2017-11-16T07:56:52 --startdatetime 2017-11-16T08:09:15 --delay 52 --endMP 300:58982 --enddatetime 2017-11-16T08:24:31 --enforcementcount 0 &gt;&gt;%USERPROFILE%\Documents\GitHub\eaglep3-reporting\EC\2017-11-16-refined-times.txt</v>
      </c>
      <c r="AI169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{"issue":{"subject":"","project_id":79,"tracker_id":40,"status_id":1,"priority_id":2,"assigned_to_id":338,"start_date":"2017-11-16","description":"","custom_fields":[{"id":1,"name":"Subdivision","value":"NW"},{"id":4,"name":"Milepost","value":"5.8982"},{"id":17,"name":"Train ID","value":"811-16"},{"id":16,"name":"Locomotive ID","value":"4042"},{"id":130,"name":"Impact","value":""},{"id":150,"name":"Time of Event (Mountain Time)","value":"08:24:31"},{"id":151,"name":"Denver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1" t="str">
        <f t="shared" si="72"/>
        <v>start /low /b %USERPROFILE%\Documents\GitHub\eaglep3\Utilities\DownloadLogsFromS3.py --loco 4042 --day 2017-11-16</v>
      </c>
      <c r="AN169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7" t="str">
        <f t="shared" si="74"/>
        <v>https://d0f6bd738d7f1b3e5a7ca70fe4ff75f0.us-east-1.aws.found.io/app/kibana#/discover/Steve-Slow-Train-Analysis-(2080s-and-2083s)?_g=(refreshInterval:(display:Off,pause:!f,section:0,value:0),time:(from:'2017-11-16T06:56:52-0700',mode:absolute,to:'2017-11-16T09:24:31-0700'))&amp;_a=(columns:!('Message%20ID',Summary),filters:!(),index:'emp_*',interval:auto,query:(query_string:(analyze_wildcard:!t,query:'%22rtdc.l.rtdc.4042%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735</v>
      </c>
      <c r="B170" s="7">
        <v>4041</v>
      </c>
      <c r="C170" s="21" t="s">
        <v>192</v>
      </c>
      <c r="D170" s="21" t="s">
        <v>1030</v>
      </c>
      <c r="E170" s="13">
        <v>43055.352581018517</v>
      </c>
      <c r="F170" s="13">
        <v>43055.362500000003</v>
      </c>
      <c r="G170" s="7">
        <v>177</v>
      </c>
      <c r="H170" s="21" t="s">
        <v>1031</v>
      </c>
      <c r="I170" s="13">
        <v>43055.372337962966</v>
      </c>
      <c r="J170" s="7">
        <v>0</v>
      </c>
      <c r="K170" s="89" t="str">
        <f t="shared" si="61"/>
        <v>4041/4042</v>
      </c>
      <c r="L170" s="184" t="str">
        <f>VLOOKUP(A170,'Trips&amp;Operators'!$C$1:$G$99911,5,FALSE)</f>
        <v>FORTUNATO FRANK</v>
      </c>
      <c r="M170" s="6">
        <f t="shared" si="62"/>
        <v>9.8379629635019228E-3</v>
      </c>
      <c r="N170" s="7">
        <f t="shared" si="75"/>
        <v>14.166666667442769</v>
      </c>
      <c r="O170" s="7"/>
      <c r="P170" s="7"/>
      <c r="Q170" s="22"/>
      <c r="R170" s="173"/>
      <c r="S170" s="220">
        <f t="shared" si="76"/>
        <v>1</v>
      </c>
      <c r="T170" s="173" t="str">
        <f t="shared" si="63"/>
        <v>Southbound</v>
      </c>
      <c r="U170" s="19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5" t="str">
        <f t="shared" si="64"/>
        <v>https://d0f6bd738d7f1b3e5a7ca70fe4ff75f0.us-east-1.aws.found.io/app/kibana#/discover/Steve-Slow-Train-Analysis-(2080s-and-2083s)?_g=(refreshInterval:(display:Off,pause:!f,section:0,value:0),time:(from:'2017-11-16T07:27:43-0700',mode:absolute,to:'2017-11-16T09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203" t="str">
        <f>IF(AA170&lt;VLOOKUP(AG170,Variables!$AC$3:$AD$8,2,FALSE),"Y","N")</f>
        <v>N</v>
      </c>
      <c r="X170" s="203">
        <f t="shared" si="79"/>
        <v>1</v>
      </c>
      <c r="Y170" s="203">
        <f t="shared" si="85"/>
        <v>5.8666</v>
      </c>
      <c r="Z170" s="203">
        <f t="shared" si="86"/>
        <v>8.2699999999999996E-2</v>
      </c>
      <c r="AA170" s="203">
        <f t="shared" si="65"/>
        <v>5.7839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8">
        <f t="shared" si="66"/>
        <v>812</v>
      </c>
      <c r="AE170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70" s="74" t="str">
        <f t="shared" si="68"/>
        <v>"C:\Program Files (x86)\AstroGrep\AstroGrep.exe" /e /r /s /spath="%USERPROFILE%\AppData\Local\Temp\OnboardLogs" /stypes="app*4041*20171116*" /stext=" 15:.+((SYSTEM_STATE.+slice.+state.+changed )|(ment ac)|(multiple cpu faults)|(system.+state.+changed )|(\[timeout)|(PRM\|1\|D)|(kpr)|(kdp)|(train st.+moving)|(\|lc)|(penalty))"</v>
      </c>
      <c r="AG170" s="181" t="str">
        <f t="shared" si="69"/>
        <v>NW</v>
      </c>
      <c r="AH170" s="78" t="str">
        <f t="shared" si="70"/>
        <v>"%USERPROFILE%\Documents\GitHub\eaglep3\Utilities\RefineRTDCRunTimes.py" --tripid 812-16 --locoid 4041 --swversion DE.1.0.9.0 --startMP 300:58666 --initTime 2017-11-16T08:27:43 --startdatetime 2017-11-16T08:42:00 --delay 177 --endMP 204:827 --enddatetime 2017-11-16T08:56:10 --enforcementcount 0 &gt;&gt;%USERPROFILE%\Documents\GitHub\eaglep3-reporting\EC\2017-11-16-refined-times.txt</v>
      </c>
      <c r="AI170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{"issue":{"subject":"","project_id":79,"tracker_id":40,"status_id":1,"priority_id":2,"assigned_to_id":338,"start_date":"2017-11-16","description":"","custom_fields":[{"id":1,"name":"Subdivision","value":"NW"},{"id":4,"name":"Milepost","value":"0.0827"},{"id":17,"name":"Train ID","value":"812-16"},{"id":16,"name":"Locomotive ID","value":"4041"},{"id":130,"name":"Impact","value":""},{"id":150,"name":"Time of Event (Mountain Time)","value":"08:56:10"},{"id":151,"name":"Denver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1" t="str">
        <f t="shared" si="72"/>
        <v>start /low /b %USERPROFILE%\Documents\GitHub\eaglep3\Utilities\DownloadLogsFromS3.py --loco 4041 --day 2017-11-16</v>
      </c>
      <c r="AN170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7" t="str">
        <f t="shared" si="74"/>
        <v>https://d0f6bd738d7f1b3e5a7ca70fe4ff75f0.us-east-1.aws.found.io/app/kibana#/discover/Steve-Slow-Train-Analysis-(2080s-and-2083s)?_g=(refreshInterval:(display:Off,pause:!f,section:0,value:0),time:(from:'2017-11-16T07:27:43-0700',mode:absolute,to:'2017-11-16T09:56:10-0700'))&amp;_a=(columns:!('Message%20ID',Summary),filters:!(),index:'emp_*',interval:auto,query:(query_string:(analyze_wildcard:!t,query:'%22rtdc.l.rtdc.4041%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740</v>
      </c>
      <c r="B171" s="7">
        <v>4042</v>
      </c>
      <c r="C171" s="21" t="s">
        <v>192</v>
      </c>
      <c r="D171" s="21" t="s">
        <v>1032</v>
      </c>
      <c r="E171" s="13">
        <v>43055.373842592591</v>
      </c>
      <c r="F171" s="13">
        <v>43055.381423611114</v>
      </c>
      <c r="G171" s="7">
        <v>52</v>
      </c>
      <c r="H171" s="21" t="s">
        <v>1033</v>
      </c>
      <c r="I171" s="13">
        <v>43055.392164351855</v>
      </c>
      <c r="J171" s="7">
        <v>0</v>
      </c>
      <c r="K171" s="89" t="str">
        <f t="shared" si="61"/>
        <v>4041/4042</v>
      </c>
      <c r="L171" s="184" t="str">
        <f>VLOOKUP(A171,'Trips&amp;Operators'!$C$1:$G$99911,5,FALSE)</f>
        <v>FORTUNATO FRANK</v>
      </c>
      <c r="M171" s="6">
        <f t="shared" si="62"/>
        <v>1.0740740741312038E-2</v>
      </c>
      <c r="N171" s="7">
        <f t="shared" si="75"/>
        <v>15.466666667489335</v>
      </c>
      <c r="O171" s="7"/>
      <c r="P171" s="7"/>
      <c r="Q171" s="22"/>
      <c r="R171" s="173"/>
      <c r="S171" s="220">
        <f t="shared" si="76"/>
        <v>1</v>
      </c>
      <c r="T171" s="173" t="str">
        <f t="shared" si="63"/>
        <v>NorthBound</v>
      </c>
      <c r="U171" s="19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5" t="str">
        <f t="shared" si="64"/>
        <v>https://d0f6bd738d7f1b3e5a7ca70fe4ff75f0.us-east-1.aws.found.io/app/kibana#/discover/Steve-Slow-Train-Analysis-(2080s-and-2083s)?_g=(refreshInterval:(display:Off,pause:!f,section:0,value:0),time:(from:'2017-11-16T07:58:20-0700',mode:absolute,to:'2017-11-16T10:24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203" t="str">
        <f>IF(AA171&lt;VLOOKUP(AG171,Variables!$AC$3:$AD$8,2,FALSE),"Y","N")</f>
        <v>N</v>
      </c>
      <c r="X171" s="203">
        <f t="shared" si="79"/>
        <v>1</v>
      </c>
      <c r="Y171" s="203">
        <f t="shared" si="85"/>
        <v>0.1118</v>
      </c>
      <c r="Z171" s="203">
        <f t="shared" si="86"/>
        <v>5.8971</v>
      </c>
      <c r="AA171" s="203">
        <f t="shared" si="65"/>
        <v>5.7853000000000003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8">
        <f t="shared" si="66"/>
        <v>813</v>
      </c>
      <c r="AE171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71" s="74" t="str">
        <f t="shared" si="68"/>
        <v>"C:\Program Files (x86)\AstroGrep\AstroGrep.exe" /e /r /s /spath="%USERPROFILE%\AppData\Local\Temp\OnboardLogs" /stypes="app*4042*20171116*" /stext=" 16:.+((SYSTEM_STATE.+slice.+state.+changed )|(ment ac)|(multiple cpu faults)|(system.+state.+changed )|(\[timeout)|(PRM\|1\|D)|(kpr)|(kdp)|(train st.+moving)|(\|lc)|(penalty))"</v>
      </c>
      <c r="AG171" s="181" t="str">
        <f t="shared" si="69"/>
        <v>NW</v>
      </c>
      <c r="AH171" s="78" t="str">
        <f t="shared" si="70"/>
        <v>"%USERPROFILE%\Documents\GitHub\eaglep3\Utilities\RefineRTDCRunTimes.py" --tripid 813-16 --locoid 4042 --swversion DE.1.0.9.0 --startMP 204:1118 --initTime 2017-11-16T08:58:20 --startdatetime 2017-11-16T09:09:15 --delay 52 --endMP 300:58971 --enddatetime 2017-11-16T09:24:43 --enforcementcount 0 &gt;&gt;%USERPROFILE%\Documents\GitHub\eaglep3-reporting\EC\2017-11-16-refined-times.txt</v>
      </c>
      <c r="AI171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{"issue":{"subject":"","project_id":79,"tracker_id":40,"status_id":1,"priority_id":2,"assigned_to_id":338,"start_date":"2017-11-16","description":"","custom_fields":[{"id":1,"name":"Subdivision","value":"NW"},{"id":4,"name":"Milepost","value":"5.8971"},{"id":17,"name":"Train ID","value":"813-16"},{"id":16,"name":"Locomotive ID","value":"4042"},{"id":130,"name":"Impact","value":""},{"id":150,"name":"Time of Event (Mountain Time)","value":"09:24:43"},{"id":151,"name":"Denver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1" t="str">
        <f t="shared" si="72"/>
        <v>start /low /b %USERPROFILE%\Documents\GitHub\eaglep3\Utilities\DownloadLogsFromS3.py --loco 4042 --day 2017-11-16</v>
      </c>
      <c r="AN171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7" t="str">
        <f t="shared" si="74"/>
        <v>https://d0f6bd738d7f1b3e5a7ca70fe4ff75f0.us-east-1.aws.found.io/app/kibana#/discover/Steve-Slow-Train-Analysis-(2080s-and-2083s)?_g=(refreshInterval:(display:Off,pause:!f,section:0,value:0),time:(from:'2017-11-16T07:58:20-0700',mode:absolute,to:'2017-11-16T10:24:43-0700'))&amp;_a=(columns:!('Message%20ID',Summary),filters:!(),index:'emp_*',interval:auto,query:(query_string:(analyze_wildcard:!t,query:'%22rtdc.l.rtdc.4042%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745</v>
      </c>
      <c r="B172" s="7">
        <v>4041</v>
      </c>
      <c r="C172" s="21" t="s">
        <v>192</v>
      </c>
      <c r="D172" s="21" t="s">
        <v>1016</v>
      </c>
      <c r="E172" s="13">
        <v>43055.393888888888</v>
      </c>
      <c r="F172" s="13">
        <v>43055.404166666667</v>
      </c>
      <c r="G172" s="7">
        <v>60</v>
      </c>
      <c r="H172" s="21" t="s">
        <v>599</v>
      </c>
      <c r="I172" s="13">
        <v>43055.41578703704</v>
      </c>
      <c r="J172" s="7">
        <v>0</v>
      </c>
      <c r="K172" s="89" t="str">
        <f t="shared" si="61"/>
        <v>4041/4042</v>
      </c>
      <c r="L172" s="184" t="str">
        <f>VLOOKUP(A172,'Trips&amp;Operators'!$C$1:$G$99911,5,FALSE)</f>
        <v>FORTUNATO FRANK</v>
      </c>
      <c r="M172" s="6">
        <f t="shared" si="62"/>
        <v>1.1620370372838806E-2</v>
      </c>
      <c r="N172" s="7">
        <f t="shared" si="75"/>
        <v>16.733333336887881</v>
      </c>
      <c r="O172" s="7"/>
      <c r="P172" s="7"/>
      <c r="Q172" s="22"/>
      <c r="R172" s="173"/>
      <c r="S172" s="220">
        <f t="shared" si="76"/>
        <v>1</v>
      </c>
      <c r="T172" s="173" t="str">
        <f t="shared" si="63"/>
        <v>Southbound</v>
      </c>
      <c r="U172" s="19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5" t="str">
        <f t="shared" si="64"/>
        <v>https://d0f6bd738d7f1b3e5a7ca70fe4ff75f0.us-east-1.aws.found.io/app/kibana#/discover/Steve-Slow-Train-Analysis-(2080s-and-2083s)?_g=(refreshInterval:(display:Off,pause:!f,section:0,value:0),time:(from:'2017-11-16T08:27:12-0700',mode:absolute,to:'2017-11-16T10:58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203" t="str">
        <f>IF(AA172&lt;VLOOKUP(AG172,Variables!$AC$3:$AD$8,2,FALSE),"Y","N")</f>
        <v>N</v>
      </c>
      <c r="X172" s="203">
        <f t="shared" si="79"/>
        <v>1</v>
      </c>
      <c r="Y172" s="203">
        <f t="shared" si="85"/>
        <v>5.8659999999999997</v>
      </c>
      <c r="Z172" s="203">
        <f t="shared" si="86"/>
        <v>8.5699999999999998E-2</v>
      </c>
      <c r="AA172" s="203">
        <f t="shared" si="65"/>
        <v>5.7802999999999995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8">
        <f t="shared" si="66"/>
        <v>814</v>
      </c>
      <c r="AE172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72" s="74" t="str">
        <f t="shared" si="68"/>
        <v>"C:\Program Files (x86)\AstroGrep\AstroGrep.exe" /e /r /s /spath="%USERPROFILE%\AppData\Local\Temp\OnboardLogs" /stypes="app*4041*20171116*" /stext=" 16:.+((SYSTEM_STATE.+slice.+state.+changed )|(ment ac)|(multiple cpu faults)|(system.+state.+changed )|(\[timeout)|(PRM\|1\|D)|(kpr)|(kdp)|(train st.+moving)|(\|lc)|(penalty))"</v>
      </c>
      <c r="AG172" s="181" t="str">
        <f t="shared" si="69"/>
        <v>NW</v>
      </c>
      <c r="AH172" s="78" t="str">
        <f t="shared" si="70"/>
        <v>"%USERPROFILE%\Documents\GitHub\eaglep3\Utilities\RefineRTDCRunTimes.py" --tripid 814-16 --locoid 4041 --swversion DE.1.0.9.0 --startMP 300:58660 --initTime 2017-11-16T09:27:12 --startdatetime 2017-11-16T09:42:00 --delay 60 --endMP 204:857 --enddatetime 2017-11-16T09:58:44 --enforcementcount 0 &gt;&gt;%USERPROFILE%\Documents\GitHub\eaglep3-reporting\EC\2017-11-16-refined-times.txt</v>
      </c>
      <c r="AI172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{"issue":{"subject":"","project_id":79,"tracker_id":40,"status_id":1,"priority_id":2,"assigned_to_id":338,"start_date":"2017-11-16","description":"","custom_fields":[{"id":1,"name":"Subdivision","value":"NW"},{"id":4,"name":"Milepost","value":"0.0857"},{"id":17,"name":"Train ID","value":"814-16"},{"id":16,"name":"Locomotive ID","value":"4041"},{"id":130,"name":"Impact","value":""},{"id":150,"name":"Time of Event (Mountain Time)","value":"09:58:44"},{"id":151,"name":"Denver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1" t="str">
        <f t="shared" si="72"/>
        <v>start /low /b %USERPROFILE%\Documents\GitHub\eaglep3\Utilities\DownloadLogsFromS3.py --loco 4041 --day 2017-11-16</v>
      </c>
      <c r="AN172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16:58:44"},{"id":29,"name":"Sharepoint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7" t="str">
        <f t="shared" si="74"/>
        <v>https://d0f6bd738d7f1b3e5a7ca70fe4ff75f0.us-east-1.aws.found.io/app/kibana#/discover/Steve-Slow-Train-Analysis-(2080s-and-2083s)?_g=(refreshInterval:(display:Off,pause:!f,section:0,value:0),time:(from:'2017-11-16T08:27:12-0700',mode:absolute,to:'2017-11-16T10:58:44-0700'))&amp;_a=(columns:!('Message%20ID',Summary),filters:!(),index:'emp_*',interval:auto,query:(query_string:(analyze_wildcard:!t,query:'%22rtdc.l.rtdc.4041%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750</v>
      </c>
      <c r="B173" s="7">
        <v>4042</v>
      </c>
      <c r="C173" s="21" t="s">
        <v>192</v>
      </c>
      <c r="D173" s="21" t="s">
        <v>1016</v>
      </c>
      <c r="E173" s="13">
        <v>43055.393888888888</v>
      </c>
      <c r="F173" s="13">
        <v>43055.423113425924</v>
      </c>
      <c r="G173" s="7">
        <v>60</v>
      </c>
      <c r="H173" s="21" t="s">
        <v>599</v>
      </c>
      <c r="I173" s="13">
        <v>43055.43277777778</v>
      </c>
      <c r="J173" s="7">
        <v>0</v>
      </c>
      <c r="K173" s="89" t="str">
        <f t="shared" si="61"/>
        <v>4041/4042</v>
      </c>
      <c r="L173" s="184" t="str">
        <f>VLOOKUP(A173,'Trips&amp;Operators'!$C$1:$G$99911,5,FALSE)</f>
        <v>FORTUNATO FRANK</v>
      </c>
      <c r="M173" s="6">
        <f t="shared" si="62"/>
        <v>9.6643518554628827E-3</v>
      </c>
      <c r="N173" s="7">
        <f t="shared" si="75"/>
        <v>13.916666671866551</v>
      </c>
      <c r="O173" s="7"/>
      <c r="P173" s="7"/>
      <c r="Q173" s="22"/>
      <c r="R173" s="173"/>
      <c r="S173" s="220">
        <f t="shared" si="76"/>
        <v>0</v>
      </c>
      <c r="T173" s="173" t="str">
        <f t="shared" si="63"/>
        <v>NorthBound</v>
      </c>
      <c r="U173" s="19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15" t="str">
        <f t="shared" si="64"/>
        <v>https://d0f6bd738d7f1b3e5a7ca70fe4ff75f0.us-east-1.aws.found.io/app/kibana#/discover/Steve-Slow-Train-Analysis-(2080s-and-2083s)?_g=(refreshInterval:(display:Off,pause:!f,section:0,value:0),time:(from:'2017-11-16T08:27:12-0700',mode:absolute,to:'2017-11-16T11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203" t="str">
        <f>IF(AA173&lt;VLOOKUP(AG173,Variables!$AC$3:$AD$8,2,FALSE),"Y","N")</f>
        <v>N</v>
      </c>
      <c r="X173" s="203">
        <f t="shared" si="79"/>
        <v>1</v>
      </c>
      <c r="Y173" s="203">
        <f t="shared" si="85"/>
        <v>5.8659999999999997</v>
      </c>
      <c r="Z173" s="203">
        <f t="shared" si="86"/>
        <v>8.5699999999999998E-2</v>
      </c>
      <c r="AA173" s="203">
        <f t="shared" si="65"/>
        <v>5.7802999999999995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8">
        <f t="shared" si="66"/>
        <v>815</v>
      </c>
      <c r="AE173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73" s="74" t="str">
        <f t="shared" si="68"/>
        <v>"C:\Program Files (x86)\AstroGrep\AstroGrep.exe" /e /r /s /spath="%USERPROFILE%\AppData\Local\Temp\OnboardLogs" /stypes="app*4042*20171116*" /stext=" 17:.+((SYSTEM_STATE.+slice.+state.+changed )|(ment ac)|(multiple cpu faults)|(system.+state.+changed )|(\[timeout)|(PRM\|1\|D)|(kpr)|(kdp)|(train st.+moving)|(\|lc)|(penalty))"</v>
      </c>
      <c r="AG173" s="181" t="str">
        <f t="shared" si="69"/>
        <v>NW</v>
      </c>
      <c r="AH173" s="78" t="str">
        <f t="shared" ref="AH173" si="87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815-16 --locoid 4042 --swversion DE.1.0.9.0 --startMP 300:58660 --initTime 2017-11-16T09:27:12 --startdatetime 2017-11-16T10:09:17 --delay 60 --endMP 204:857 --enddatetime 2017-11-16T10:23:12 --enforcementcount 0 &gt;&gt;%USERPROFILE%\Documents\GitHub\eaglep3-reporting\EC\2017-11-16-refined-times.txt</v>
      </c>
      <c r="AI173" s="96" t="str">
        <f t="shared" ref="AI173" si="88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{"issue":{"subject":"","project_id":79,"tracker_id":40,"status_id":1,"priority_id":2,"assigned_to_id":338,"start_date":"2017-11-16","description":"","custom_fields":[{"id":1,"name":"Subdivision","value":"NW"},{"id":4,"name":"Milepost","value":"0.0857"},{"id":17,"name":"Train ID","value":"815-16"},{"id":16,"name":"Locomotive ID","value":"4042"},{"id":130,"name":"Impact","value":""},{"id":150,"name":"Time of Event (Mountain Time)","value":"10:23:12"},{"id":151,"name":"Denver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1" t="str">
        <f t="shared" ref="AM173" si="89">"start /low /b "&amp;dls3logs&amp;" --loco "&amp;B173&amp;" --day "&amp;TEXT(F173,"YYYY-MM-DD")</f>
        <v>start /low /b %USERPROFILE%\Documents\GitHub\eaglep3\Utilities\DownloadLogsFromS3.py --loco 4042 --day 2017-11-16</v>
      </c>
      <c r="AN173" s="150" t="str">
        <f t="shared" ref="AN173" si="90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7" t="str">
        <f t="shared" ref="AO173" si="91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-16T08:27:12-0700',mode:absolute,to:'2017-11-16T11:23:12-0700'))&amp;_a=(columns:!('Message%20ID',Summary),filters:!(),index:'emp_*',interval:auto,query:(query_string:(analyze_wildcard:!t,query:'%22rtdc.l.rtdc.4042%22')),sort:!(Time.ISO8601,asc))</v>
      </c>
    </row>
    <row r="174" spans="1:91" s="20" customFormat="1" x14ac:dyDescent="0.25">
      <c r="A174" s="32" t="s">
        <v>755</v>
      </c>
      <c r="B174" s="7">
        <v>4041</v>
      </c>
      <c r="C174" s="21" t="s">
        <v>192</v>
      </c>
      <c r="D174" s="21" t="s">
        <v>643</v>
      </c>
      <c r="E174" s="13">
        <v>43055.434074074074</v>
      </c>
      <c r="F174" s="13">
        <v>43055.445833333331</v>
      </c>
      <c r="G174" s="7">
        <v>59</v>
      </c>
      <c r="H174" s="21" t="s">
        <v>1034</v>
      </c>
      <c r="I174" s="13">
        <v>43055.454988425925</v>
      </c>
      <c r="J174" s="7">
        <v>0</v>
      </c>
      <c r="K174" s="89" t="str">
        <f t="shared" si="61"/>
        <v>4041/4042</v>
      </c>
      <c r="L174" s="184" t="str">
        <f>VLOOKUP(A174,'Trips&amp;Operators'!$C$1:$G$99911,5,FALSE)</f>
        <v>FORTUNATO FRANK</v>
      </c>
      <c r="M174" s="6">
        <f t="shared" si="62"/>
        <v>9.1550925935734995E-3</v>
      </c>
      <c r="N174" s="7">
        <f t="shared" si="75"/>
        <v>13.183333334745839</v>
      </c>
      <c r="O174" s="7"/>
      <c r="P174" s="7"/>
      <c r="Q174" s="22"/>
      <c r="R174" s="173"/>
      <c r="S174" s="220">
        <f t="shared" si="76"/>
        <v>1</v>
      </c>
      <c r="T174" s="173" t="str">
        <f t="shared" si="63"/>
        <v>Southbound</v>
      </c>
      <c r="U174" s="19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5" t="str">
        <f t="shared" si="64"/>
        <v>https://d0f6bd738d7f1b3e5a7ca70fe4ff75f0.us-east-1.aws.found.io/app/kibana#/discover/Steve-Slow-Train-Analysis-(2080s-and-2083s)?_g=(refreshInterval:(display:Off,pause:!f,section:0,value:0),time:(from:'2017-11-16T09:25:04-0700',mode:absolute,to:'2017-11-16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203" t="str">
        <f>IF(AA174&lt;VLOOKUP(AG174,Variables!$AC$3:$AD$8,2,FALSE),"Y","N")</f>
        <v>N</v>
      </c>
      <c r="X174" s="203">
        <f t="shared" ref="X174:X175" si="92">VALUE(LEFT(AD174,4))-VALUE(LEFT(AD173,4))</f>
        <v>1</v>
      </c>
      <c r="Y174" s="203">
        <f t="shared" si="85"/>
        <v>5.8647</v>
      </c>
      <c r="Z174" s="203">
        <f t="shared" si="86"/>
        <v>8.2400000000000001E-2</v>
      </c>
      <c r="AA174" s="203">
        <f t="shared" si="65"/>
        <v>5.7823000000000002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8">
        <f t="shared" si="66"/>
        <v>816</v>
      </c>
      <c r="AE174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74" s="74" t="str">
        <f t="shared" si="68"/>
        <v>"C:\Program Files (x86)\AstroGrep\AstroGrep.exe" /e /r /s /spath="%USERPROFILE%\AppData\Local\Temp\OnboardLogs" /stypes="app*4041*20171116*" /stext=" 17:.+((SYSTEM_STATE.+slice.+state.+changed )|(ment ac)|(multiple cpu faults)|(system.+state.+changed )|(\[timeout)|(PRM\|1\|D)|(kpr)|(kdp)|(train st.+moving)|(\|lc)|(penalty))"</v>
      </c>
      <c r="AG174" s="181" t="str">
        <f t="shared" si="69"/>
        <v>NW</v>
      </c>
      <c r="AH174" s="78" t="str">
        <f t="shared" si="70"/>
        <v>"%USERPROFILE%\Documents\GitHub\eaglep3\Utilities\RefineRTDCRunTimes.py" --tripid 816-16 --locoid 4041 --swversion DE.1.0.9.0 --startMP 300:58647 --initTime 2017-11-16T10:25:04 --startdatetime 2017-11-16T10:42:00 --delay 59 --endMP 204:824 --enddatetime 2017-11-16T10:55:11 --enforcementcount 0 &gt;&gt;%USERPROFILE%\Documents\GitHub\eaglep3-reporting\EC\2017-11-16-refined-times.txt</v>
      </c>
      <c r="AI174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{"issue":{"subject":"","project_id":79,"tracker_id":40,"status_id":1,"priority_id":2,"assigned_to_id":338,"start_date":"2017-11-16","description":"","custom_fields":[{"id":1,"name":"Subdivision","value":"NW"},{"id":4,"name":"Milepost","value":"0.0824"},{"id":17,"name":"Train ID","value":"816-16"},{"id":16,"name":"Locomotive ID","value":"4041"},{"id":130,"name":"Impact","value":""},{"id":150,"name":"Time of Event (Mountain Time)","value":"10:55:11"},{"id":151,"name":"Denver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1" t="str">
        <f t="shared" si="72"/>
        <v>start /low /b %USERPROFILE%\Documents\GitHub\eaglep3\Utilities\DownloadLogsFromS3.py --loco 4041 --day 2017-11-16</v>
      </c>
      <c r="AN174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7" t="str">
        <f t="shared" si="74"/>
        <v>https://d0f6bd738d7f1b3e5a7ca70fe4ff75f0.us-east-1.aws.found.io/app/kibana#/discover/Steve-Slow-Train-Analysis-(2080s-and-2083s)?_g=(refreshInterval:(display:Off,pause:!f,section:0,value:0),time:(from:'2017-11-16T09:25:04-0700',mode:absolute,to:'2017-11-16T11:55:11-0700'))&amp;_a=(columns:!('Message%20ID',Summary),filters:!(),index:'emp_*',interval:auto,query:(query_string:(analyze_wildcard:!t,query:'%22rtdc.l.rtdc.4041%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763</v>
      </c>
      <c r="B175" s="7">
        <v>4042</v>
      </c>
      <c r="C175" s="21" t="s">
        <v>192</v>
      </c>
      <c r="D175" s="21" t="s">
        <v>1028</v>
      </c>
      <c r="E175" s="13">
        <v>43055.457604166666</v>
      </c>
      <c r="F175" s="13">
        <v>43055.464780092596</v>
      </c>
      <c r="G175" s="7">
        <v>54</v>
      </c>
      <c r="H175" s="21" t="s">
        <v>569</v>
      </c>
      <c r="I175" s="13">
        <v>43055.475266203706</v>
      </c>
      <c r="J175" s="7">
        <v>0</v>
      </c>
      <c r="K175" s="89" t="str">
        <f t="shared" si="61"/>
        <v>4041/4042</v>
      </c>
      <c r="L175" s="184" t="str">
        <f>VLOOKUP(A175,'Trips&amp;Operators'!$C$1:$G$99911,5,FALSE)</f>
        <v>FORTUNATO FRANK</v>
      </c>
      <c r="M175" s="6">
        <f t="shared" si="62"/>
        <v>1.0486111110367347E-2</v>
      </c>
      <c r="N175" s="7">
        <f t="shared" si="75"/>
        <v>15.099999998928979</v>
      </c>
      <c r="O175" s="7"/>
      <c r="P175" s="7"/>
      <c r="Q175" s="22"/>
      <c r="R175" s="173"/>
      <c r="S175" s="220">
        <f t="shared" si="76"/>
        <v>1</v>
      </c>
      <c r="T175" s="173" t="str">
        <f t="shared" si="63"/>
        <v>NorthBound</v>
      </c>
      <c r="U175" s="19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5" t="str">
        <f t="shared" si="64"/>
        <v>https://d0f6bd738d7f1b3e5a7ca70fe4ff75f0.us-east-1.aws.found.io/app/kibana#/discover/Steve-Slow-Train-Analysis-(2080s-and-2083s)?_g=(refreshInterval:(display:Off,pause:!f,section:0,value:0),time:(from:'2017-11-16T09:58:57-0700',mode:absolute,to:'2017-11-16T12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203" t="str">
        <f>IF(AA175&lt;VLOOKUP(AG175,Variables!$AC$3:$AD$8,2,FALSE),"Y","N")</f>
        <v>N</v>
      </c>
      <c r="X175" s="203">
        <f t="shared" si="92"/>
        <v>1</v>
      </c>
      <c r="Y175" s="203">
        <f t="shared" si="85"/>
        <v>0.1114</v>
      </c>
      <c r="Z175" s="203">
        <f t="shared" si="86"/>
        <v>5.8986000000000001</v>
      </c>
      <c r="AA175" s="203">
        <f t="shared" si="65"/>
        <v>5.7872000000000003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8">
        <f t="shared" si="66"/>
        <v>817</v>
      </c>
      <c r="AE175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75" s="74" t="str">
        <f t="shared" si="68"/>
        <v>"C:\Program Files (x86)\AstroGrep\AstroGrep.exe" /e /r /s /spath="%USERPROFILE%\AppData\Local\Temp\OnboardLogs" /stypes="app*4042*20171116*" /stext=" 18:.+((SYSTEM_STATE.+slice.+state.+changed )|(ment ac)|(multiple cpu faults)|(system.+state.+changed )|(\[timeout)|(PRM\|1\|D)|(kpr)|(kdp)|(train st.+moving)|(\|lc)|(penalty))"</v>
      </c>
      <c r="AG175" s="181" t="str">
        <f t="shared" si="69"/>
        <v>NW</v>
      </c>
      <c r="AH175" s="78" t="str">
        <f t="shared" si="70"/>
        <v>"%USERPROFILE%\Documents\GitHub\eaglep3\Utilities\RefineRTDCRunTimes.py" --tripid 817-16 --locoid 4042 --swversion DE.1.0.9.0 --startMP 204:1114 --initTime 2017-11-16T10:58:57 --startdatetime 2017-11-16T11:09:17 --delay 54 --endMP 300:58986 --enddatetime 2017-11-16T11:24:23 --enforcementcount 0 &gt;&gt;%USERPROFILE%\Documents\GitHub\eaglep3-reporting\EC\2017-11-16-refined-times.txt</v>
      </c>
      <c r="AI175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{"issue":{"subject":"","project_id":79,"tracker_id":40,"status_id":1,"priority_id":2,"assigned_to_id":338,"start_date":"2017-11-16","description":"","custom_fields":[{"id":1,"name":"Subdivision","value":"NW"},{"id":4,"name":"Milepost","value":"5.8986"},{"id":17,"name":"Train ID","value":"817-16"},{"id":16,"name":"Locomotive ID","value":"4042"},{"id":130,"name":"Impact","value":""},{"id":150,"name":"Time of Event (Mountain Time)","value":"11:24:23"},{"id":151,"name":"Denver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1" t="str">
        <f t="shared" si="72"/>
        <v>start /low /b %USERPROFILE%\Documents\GitHub\eaglep3\Utilities\DownloadLogsFromS3.py --loco 4042 --day 2017-11-16</v>
      </c>
      <c r="AN175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7" t="str">
        <f t="shared" si="74"/>
        <v>https://d0f6bd738d7f1b3e5a7ca70fe4ff75f0.us-east-1.aws.found.io/app/kibana#/discover/Steve-Slow-Train-Analysis-(2080s-and-2083s)?_g=(refreshInterval:(display:Off,pause:!f,section:0,value:0),time:(from:'2017-11-16T09:58:57-0700',mode:absolute,to:'2017-11-16T12:24:23-0700'))&amp;_a=(columns:!('Message%20ID',Summary),filters:!(),index:'emp_*',interval:auto,query:(query_string:(analyze_wildcard:!t,query:'%22rtdc.l.rtdc.4042%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659</v>
      </c>
      <c r="B176" s="7">
        <v>4041</v>
      </c>
      <c r="C176" s="21" t="s">
        <v>192</v>
      </c>
      <c r="D176" s="21" t="s">
        <v>1035</v>
      </c>
      <c r="E176" s="13">
        <v>43055.476921296293</v>
      </c>
      <c r="F176" s="13">
        <v>43055.487500000003</v>
      </c>
      <c r="G176" s="7">
        <v>51</v>
      </c>
      <c r="H176" s="21" t="s">
        <v>1036</v>
      </c>
      <c r="I176" s="13">
        <v>43055.49728009259</v>
      </c>
      <c r="J176" s="7">
        <v>0</v>
      </c>
      <c r="K176" s="89" t="str">
        <f t="shared" si="61"/>
        <v>4041/4042</v>
      </c>
      <c r="L176" s="184" t="str">
        <f>VLOOKUP(A176,'Trips&amp;Operators'!$C$1:$G$99911,5,FALSE)</f>
        <v>FORTUNATO FRANK</v>
      </c>
      <c r="M176" s="6">
        <f t="shared" si="62"/>
        <v>9.7800925868796185E-3</v>
      </c>
      <c r="N176" s="7">
        <f t="shared" si="75"/>
        <v>14.083333325106651</v>
      </c>
      <c r="O176" s="7"/>
      <c r="P176" s="7"/>
      <c r="Q176" s="22"/>
      <c r="R176" s="173"/>
      <c r="S176" s="220">
        <f t="shared" si="76"/>
        <v>1</v>
      </c>
      <c r="T176" s="173" t="str">
        <f t="shared" si="63"/>
        <v>Southbound</v>
      </c>
      <c r="U176" s="19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5" t="str">
        <f t="shared" si="64"/>
        <v>https://d0f6bd738d7f1b3e5a7ca70fe4ff75f0.us-east-1.aws.found.io/app/kibana#/discover/Steve-Slow-Train-Analysis-(2080s-and-2083s)?_g=(refreshInterval:(display:Off,pause:!f,section:0,value:0),time:(from:'2017-11-16T10:26:46-0700',mode:absolute,to:'2017-11-16T12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203" t="str">
        <f>IF(AA176&lt;VLOOKUP(AG176,Variables!$AC$3:$AD$8,2,FALSE),"Y","N")</f>
        <v>N</v>
      </c>
      <c r="X176" s="203">
        <f t="shared" ref="X176:X193" si="93">VALUE(LEFT(AD176,4))-VALUE(LEFT(AD175,4))</f>
        <v>1</v>
      </c>
      <c r="Y176" s="203">
        <f t="shared" si="85"/>
        <v>5.8667999999999996</v>
      </c>
      <c r="Z176" s="203">
        <f t="shared" si="86"/>
        <v>8.2199999999999995E-2</v>
      </c>
      <c r="AA176" s="203">
        <f t="shared" si="65"/>
        <v>5.7845999999999993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8">
        <f t="shared" si="66"/>
        <v>818</v>
      </c>
      <c r="AE176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76" s="74" t="str">
        <f t="shared" si="68"/>
        <v>"C:\Program Files (x86)\AstroGrep\AstroGrep.exe" /e /r /s /spath="%USERPROFILE%\AppData\Local\Temp\OnboardLogs" /stypes="app*4041*20171116*" /stext=" 18:.+((SYSTEM_STATE.+slice.+state.+changed )|(ment ac)|(multiple cpu faults)|(system.+state.+changed )|(\[timeout)|(PRM\|1\|D)|(kpr)|(kdp)|(train st.+moving)|(\|lc)|(penalty))"</v>
      </c>
      <c r="AG176" s="181" t="str">
        <f t="shared" si="69"/>
        <v>NW</v>
      </c>
      <c r="AH176" s="78" t="str">
        <f t="shared" si="70"/>
        <v>"%USERPROFILE%\Documents\GitHub\eaglep3\Utilities\RefineRTDCRunTimes.py" --tripid 818-16 --locoid 4041 --swversion DE.1.0.9.0 --startMP 300:58668 --initTime 2017-11-16T11:26:46 --startdatetime 2017-11-16T11:42:00 --delay 51 --endMP 204:822 --enddatetime 2017-11-16T11:56:05 --enforcementcount 0 &gt;&gt;%USERPROFILE%\Documents\GitHub\eaglep3-reporting\EC\2017-11-16-refined-times.txt</v>
      </c>
      <c r="AI176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{"issue":{"subject":"","project_id":79,"tracker_id":40,"status_id":1,"priority_id":2,"assigned_to_id":338,"start_date":"2017-11-16","description":"","custom_fields":[{"id":1,"name":"Subdivision","value":"NW"},{"id":4,"name":"Milepost","value":"0.0822"},{"id":17,"name":"Train ID","value":"818-16"},{"id":16,"name":"Locomotive ID","value":"4041"},{"id":130,"name":"Impact","value":""},{"id":150,"name":"Time of Event (Mountain Time)","value":"11:56:05"},{"id":151,"name":"Denver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1" t="str">
        <f t="shared" si="72"/>
        <v>start /low /b %USERPROFILE%\Documents\GitHub\eaglep3\Utilities\DownloadLogsFromS3.py --loco 4041 --day 2017-11-16</v>
      </c>
      <c r="AN176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7" t="str">
        <f t="shared" si="74"/>
        <v>https://d0f6bd738d7f1b3e5a7ca70fe4ff75f0.us-east-1.aws.found.io/app/kibana#/discover/Steve-Slow-Train-Analysis-(2080s-and-2083s)?_g=(refreshInterval:(display:Off,pause:!f,section:0,value:0),time:(from:'2017-11-16T10:26:46-0700',mode:absolute,to:'2017-11-16T12:56:05-0700'))&amp;_a=(columns:!('Message%20ID',Summary),filters:!(),index:'emp_*',interval:auto,query:(query_string:(analyze_wildcard:!t,query:'%22rtdc.l.rtdc.4041%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775</v>
      </c>
      <c r="B177" s="7">
        <v>4042</v>
      </c>
      <c r="C177" s="21" t="s">
        <v>192</v>
      </c>
      <c r="D177" s="21" t="s">
        <v>1037</v>
      </c>
      <c r="E177" s="13">
        <v>43055.498877314814</v>
      </c>
      <c r="F177" s="13">
        <v>43055.506423611114</v>
      </c>
      <c r="G177" s="7">
        <v>55</v>
      </c>
      <c r="H177" s="21" t="s">
        <v>1038</v>
      </c>
      <c r="I177" s="13">
        <v>43055.516539351855</v>
      </c>
      <c r="J177" s="7">
        <v>0</v>
      </c>
      <c r="K177" s="89" t="str">
        <f t="shared" si="61"/>
        <v>4041/4042</v>
      </c>
      <c r="L177" s="184" t="str">
        <f>VLOOKUP(A177,'Trips&amp;Operators'!$C$1:$G$99911,5,FALSE)</f>
        <v>FORTUNATO FRANK</v>
      </c>
      <c r="M177" s="6">
        <f t="shared" si="62"/>
        <v>1.0115740740729962E-2</v>
      </c>
      <c r="N177" s="7">
        <f t="shared" si="75"/>
        <v>14.566666666651145</v>
      </c>
      <c r="O177" s="7"/>
      <c r="P177" s="7"/>
      <c r="Q177" s="22"/>
      <c r="R177" s="173"/>
      <c r="S177" s="220">
        <f t="shared" si="76"/>
        <v>1</v>
      </c>
      <c r="T177" s="173" t="str">
        <f t="shared" si="63"/>
        <v>NorthBound</v>
      </c>
      <c r="U177" s="19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5" t="str">
        <f t="shared" si="64"/>
        <v>https://d0f6bd738d7f1b3e5a7ca70fe4ff75f0.us-east-1.aws.found.io/app/kibana#/discover/Steve-Slow-Train-Analysis-(2080s-and-2083s)?_g=(refreshInterval:(display:Off,pause:!f,section:0,value:0),time:(from:'2017-11-16T10:58:23-0700',mode:absolute,to:'2017-11-16T13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203" t="str">
        <f>IF(AA177&lt;VLOOKUP(AG177,Variables!$AC$3:$AD$8,2,FALSE),"Y","N")</f>
        <v>N</v>
      </c>
      <c r="X177" s="203">
        <f t="shared" si="93"/>
        <v>1</v>
      </c>
      <c r="Y177" s="203">
        <f t="shared" si="85"/>
        <v>0.1116</v>
      </c>
      <c r="Z177" s="203">
        <f t="shared" si="86"/>
        <v>5.8973000000000004</v>
      </c>
      <c r="AA177" s="203">
        <f t="shared" si="65"/>
        <v>5.7857000000000003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8">
        <f t="shared" si="66"/>
        <v>819</v>
      </c>
      <c r="AE177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77" s="74" t="str">
        <f t="shared" si="68"/>
        <v>"C:\Program Files (x86)\AstroGrep\AstroGrep.exe" /e /r /s /spath="%USERPROFILE%\AppData\Local\Temp\OnboardLogs" /stypes="app*4042*20171116*" /stext=" 19:.+((SYSTEM_STATE.+slice.+state.+changed )|(ment ac)|(multiple cpu faults)|(system.+state.+changed )|(\[timeout)|(PRM\|1\|D)|(kpr)|(kdp)|(train st.+moving)|(\|lc)|(penalty))"</v>
      </c>
      <c r="AG177" s="181" t="str">
        <f t="shared" si="69"/>
        <v>NW</v>
      </c>
      <c r="AH177" s="78" t="str">
        <f t="shared" si="70"/>
        <v>"%USERPROFILE%\Documents\GitHub\eaglep3\Utilities\RefineRTDCRunTimes.py" --tripid 819-16 --locoid 4042 --swversion DE.1.0.9.0 --startMP 204:1116 --initTime 2017-11-16T11:58:23 --startdatetime 2017-11-16T12:09:15 --delay 55 --endMP 300:58973 --enddatetime 2017-11-16T12:23:49 --enforcementcount 0 &gt;&gt;%USERPROFILE%\Documents\GitHub\eaglep3-reporting\EC\2017-11-16-refined-times.txt</v>
      </c>
      <c r="AI177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{"issue":{"subject":"","project_id":79,"tracker_id":40,"status_id":1,"priority_id":2,"assigned_to_id":338,"start_date":"2017-11-16","description":"","custom_fields":[{"id":1,"name":"Subdivision","value":"NW"},{"id":4,"name":"Milepost","value":"5.8973"},{"id":17,"name":"Train ID","value":"819-16"},{"id":16,"name":"Locomotive ID","value":"4042"},{"id":130,"name":"Impact","value":""},{"id":150,"name":"Time of Event (Mountain Time)","value":"12:23:49"},{"id":151,"name":"Denver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1" t="str">
        <f t="shared" si="72"/>
        <v>start /low /b %USERPROFILE%\Documents\GitHub\eaglep3\Utilities\DownloadLogsFromS3.py --loco 4042 --day 2017-11-16</v>
      </c>
      <c r="AN177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7" t="str">
        <f t="shared" si="74"/>
        <v>https://d0f6bd738d7f1b3e5a7ca70fe4ff75f0.us-east-1.aws.found.io/app/kibana#/discover/Steve-Slow-Train-Analysis-(2080s-and-2083s)?_g=(refreshInterval:(display:Off,pause:!f,section:0,value:0),time:(from:'2017-11-16T10:58:23-0700',mode:absolute,to:'2017-11-16T13:23:49-0700'))&amp;_a=(columns:!('Message%20ID',Summary),filters:!(),index:'emp_*',interval:auto,query:(query_string:(analyze_wildcard:!t,query:'%22rtdc.l.rtdc.4042%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781</v>
      </c>
      <c r="B178" s="7">
        <v>4041</v>
      </c>
      <c r="C178" s="21" t="s">
        <v>192</v>
      </c>
      <c r="D178" s="21" t="s">
        <v>1039</v>
      </c>
      <c r="E178" s="13">
        <v>43055.517870370371</v>
      </c>
      <c r="F178" s="13">
        <v>43055.529166666667</v>
      </c>
      <c r="G178" s="7">
        <v>62</v>
      </c>
      <c r="H178" s="21" t="s">
        <v>1040</v>
      </c>
      <c r="I178" s="13">
        <v>43055.538217592592</v>
      </c>
      <c r="J178" s="7">
        <v>0</v>
      </c>
      <c r="K178" s="89" t="str">
        <f t="shared" si="61"/>
        <v>4041/4042</v>
      </c>
      <c r="L178" s="184" t="str">
        <f>VLOOKUP(A178,'Trips&amp;Operators'!$C$1:$G$99911,5,FALSE)</f>
        <v>FORTUNATO FRANK</v>
      </c>
      <c r="M178" s="6">
        <f t="shared" si="62"/>
        <v>9.0509259243845008E-3</v>
      </c>
      <c r="N178" s="7">
        <f t="shared" si="75"/>
        <v>13.033333331113681</v>
      </c>
      <c r="O178" s="7"/>
      <c r="P178" s="7"/>
      <c r="Q178" s="22"/>
      <c r="R178" s="173"/>
      <c r="S178" s="220">
        <f t="shared" si="76"/>
        <v>1</v>
      </c>
      <c r="T178" s="173" t="str">
        <f t="shared" si="63"/>
        <v>Southbound</v>
      </c>
      <c r="U178" s="19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5" t="str">
        <f t="shared" si="64"/>
        <v>https://d0f6bd738d7f1b3e5a7ca70fe4ff75f0.us-east-1.aws.found.io/app/kibana#/discover/Steve-Slow-Train-Analysis-(2080s-and-2083s)?_g=(refreshInterval:(display:Off,pause:!f,section:0,value:0),time:(from:'2017-11-16T11:25:44-0700',mode:absolute,to:'2017-11-16T13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203" t="str">
        <f>IF(AA178&lt;VLOOKUP(AG178,Variables!$AC$3:$AD$8,2,FALSE),"Y","N")</f>
        <v>N</v>
      </c>
      <c r="X178" s="203">
        <f t="shared" si="93"/>
        <v>1</v>
      </c>
      <c r="Y178" s="203">
        <f t="shared" si="85"/>
        <v>5.8662000000000001</v>
      </c>
      <c r="Z178" s="203">
        <f t="shared" si="86"/>
        <v>8.3099999999999993E-2</v>
      </c>
      <c r="AA178" s="203">
        <f t="shared" si="65"/>
        <v>5.7831000000000001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8">
        <f t="shared" si="66"/>
        <v>820</v>
      </c>
      <c r="AE178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78" s="74" t="str">
        <f t="shared" si="68"/>
        <v>"C:\Program Files (x86)\AstroGrep\AstroGrep.exe" /e /r /s /spath="%USERPROFILE%\AppData\Local\Temp\OnboardLogs" /stypes="app*4041*20171116*" /stext=" 19:.+((SYSTEM_STATE.+slice.+state.+changed )|(ment ac)|(multiple cpu faults)|(system.+state.+changed )|(\[timeout)|(PRM\|1\|D)|(kpr)|(kdp)|(train st.+moving)|(\|lc)|(penalty))"</v>
      </c>
      <c r="AG178" s="181" t="str">
        <f t="shared" si="69"/>
        <v>NW</v>
      </c>
      <c r="AH178" s="78" t="str">
        <f t="shared" si="70"/>
        <v>"%USERPROFILE%\Documents\GitHub\eaglep3\Utilities\RefineRTDCRunTimes.py" --tripid 820-16 --locoid 4041 --swversion DE.1.0.9.0 --startMP 300:58662 --initTime 2017-11-16T12:25:44 --startdatetime 2017-11-16T12:42:00 --delay 62 --endMP 204:831 --enddatetime 2017-11-16T12:55:02 --enforcementcount 0 &gt;&gt;%USERPROFILE%\Documents\GitHub\eaglep3-reporting\EC\2017-11-16-refined-times.txt</v>
      </c>
      <c r="AI178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{"issue":{"subject":"","project_id":79,"tracker_id":40,"status_id":1,"priority_id":2,"assigned_to_id":338,"start_date":"2017-11-16","description":"","custom_fields":[{"id":1,"name":"Subdivision","value":"NW"},{"id":4,"name":"Milepost","value":"0.0831"},{"id":17,"name":"Train ID","value":"820-16"},{"id":16,"name":"Locomotive ID","value":"4041"},{"id":130,"name":"Impact","value":""},{"id":150,"name":"Time of Event (Mountain Time)","value":"12:55:02"},{"id":151,"name":"Denver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1" t="str">
        <f t="shared" si="72"/>
        <v>start /low /b %USERPROFILE%\Documents\GitHub\eaglep3\Utilities\DownloadLogsFromS3.py --loco 4041 --day 2017-11-16</v>
      </c>
      <c r="AN178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19:55:02"},{"id":29,"name":"Sharepoint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7" t="str">
        <f t="shared" si="74"/>
        <v>https://d0f6bd738d7f1b3e5a7ca70fe4ff75f0.us-east-1.aws.found.io/app/kibana#/discover/Steve-Slow-Train-Analysis-(2080s-and-2083s)?_g=(refreshInterval:(display:Off,pause:!f,section:0,value:0),time:(from:'2017-11-16T11:25:44-0700',mode:absolute,to:'2017-11-16T13:55:02-0700'))&amp;_a=(columns:!('Message%20ID',Summary),filters:!(),index:'emp_*',interval:auto,query:(query_string:(analyze_wildcard:!t,query:'%22rtdc.l.rtdc.4041%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787</v>
      </c>
      <c r="B179" s="7">
        <v>4042</v>
      </c>
      <c r="C179" s="21" t="s">
        <v>192</v>
      </c>
      <c r="D179" s="21" t="s">
        <v>1041</v>
      </c>
      <c r="E179" s="13">
        <v>43055.541631944441</v>
      </c>
      <c r="F179" s="13">
        <v>43055.548356481479</v>
      </c>
      <c r="G179" s="7">
        <v>110</v>
      </c>
      <c r="H179" s="21" t="s">
        <v>572</v>
      </c>
      <c r="I179" s="13">
        <v>43055.558171296296</v>
      </c>
      <c r="J179" s="7">
        <v>0</v>
      </c>
      <c r="K179" s="89" t="str">
        <f t="shared" si="61"/>
        <v>4041/4042</v>
      </c>
      <c r="L179" s="184" t="str">
        <f>VLOOKUP(A179,'Trips&amp;Operators'!$C$1:$G$99911,5,FALSE)</f>
        <v>ANDREA WILLIAMS</v>
      </c>
      <c r="M179" s="6">
        <f t="shared" si="62"/>
        <v>9.8148148172185756E-3</v>
      </c>
      <c r="N179" s="7">
        <f t="shared" ref="N179:N186" si="94">24*60*SUM($M179:$M179)</f>
        <v>14.133333336794749</v>
      </c>
      <c r="O179" s="7"/>
      <c r="P179" s="7"/>
      <c r="Q179" s="22"/>
      <c r="R179" s="173"/>
      <c r="S179" s="220">
        <f t="shared" ref="S179:S186" si="95">1/IF(AG179="EC",12,1)*SUM(U179:U179)</f>
        <v>1</v>
      </c>
      <c r="T179" s="173" t="str">
        <f t="shared" si="63"/>
        <v>NorthBound</v>
      </c>
      <c r="U179" s="19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5" t="str">
        <f t="shared" si="64"/>
        <v>https://d0f6bd738d7f1b3e5a7ca70fe4ff75f0.us-east-1.aws.found.io/app/kibana#/discover/Steve-Slow-Train-Analysis-(2080s-and-2083s)?_g=(refreshInterval:(display:Off,pause:!f,section:0,value:0),time:(from:'2017-11-16T11:59:57-0700',mode:absolute,to:'2017-11-16T14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203" t="str">
        <f>IF(AA179&lt;VLOOKUP(AG179,Variables!$AC$3:$AD$8,2,FALSE),"Y","N")</f>
        <v>N</v>
      </c>
      <c r="X179" s="203">
        <f t="shared" si="93"/>
        <v>1</v>
      </c>
      <c r="Y179" s="203">
        <f t="shared" si="85"/>
        <v>0.1109</v>
      </c>
      <c r="Z179" s="203">
        <f t="shared" si="86"/>
        <v>5.8939000000000004</v>
      </c>
      <c r="AA179" s="203">
        <f t="shared" si="65"/>
        <v>5.7830000000000004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8">
        <f t="shared" si="66"/>
        <v>821</v>
      </c>
      <c r="AE179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79" s="74" t="str">
        <f t="shared" si="68"/>
        <v>"C:\Program Files (x86)\AstroGrep\AstroGrep.exe" /e /r /s /spath="%USERPROFILE%\AppData\Local\Temp\OnboardLogs" /stypes="app*4042*20171116*" /stext=" 20:.+((SYSTEM_STATE.+slice.+state.+changed )|(ment ac)|(multiple cpu faults)|(system.+state.+changed )|(\[timeout)|(PRM\|1\|D)|(kpr)|(kdp)|(train st.+moving)|(\|lc)|(penalty))"</v>
      </c>
      <c r="AG179" s="181" t="str">
        <f t="shared" si="69"/>
        <v>NW</v>
      </c>
      <c r="AH179" s="78" t="str">
        <f t="shared" si="70"/>
        <v>"%USERPROFILE%\Documents\GitHub\eaglep3\Utilities\RefineRTDCRunTimes.py" --tripid 821-16 --locoid 4042 --swversion DE.1.0.9.0 --startMP 204:1109 --initTime 2017-11-16T12:59:57 --startdatetime 2017-11-16T13:09:38 --delay 110 --endMP 300:58939 --enddatetime 2017-11-16T13:23:46 --enforcementcount 0 &gt;&gt;%USERPROFILE%\Documents\GitHub\eaglep3-reporting\EC\2017-11-16-refined-times.txt</v>
      </c>
      <c r="AI179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{"issue":{"subject":"","project_id":79,"tracker_id":40,"status_id":1,"priority_id":2,"assigned_to_id":338,"start_date":"2017-11-16","description":"","custom_fields":[{"id":1,"name":"Subdivision","value":"NW"},{"id":4,"name":"Milepost","value":"5.8939"},{"id":17,"name":"Train ID","value":"821-16"},{"id":16,"name":"Locomotive ID","value":"4042"},{"id":130,"name":"Impact","value":""},{"id":150,"name":"Time of Event (Mountain Time)","value":"13:23:46"},{"id":151,"name":"Denver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1" t="str">
        <f t="shared" si="72"/>
        <v>start /low /b %USERPROFILE%\Documents\GitHub\eaglep3\Utilities\DownloadLogsFromS3.py --loco 4042 --day 2017-11-16</v>
      </c>
      <c r="AN179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7" t="str">
        <f t="shared" si="74"/>
        <v>https://d0f6bd738d7f1b3e5a7ca70fe4ff75f0.us-east-1.aws.found.io/app/kibana#/discover/Steve-Slow-Train-Analysis-(2080s-and-2083s)?_g=(refreshInterval:(display:Off,pause:!f,section:0,value:0),time:(from:'2017-11-16T11:59:57-0700',mode:absolute,to:'2017-11-16T14:23:46-0700'))&amp;_a=(columns:!('Message%20ID',Summary),filters:!(),index:'emp_*',interval:auto,query:(query_string:(analyze_wildcard:!t,query:'%22rtdc.l.rtdc.4042%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791</v>
      </c>
      <c r="B180" s="7">
        <v>4041</v>
      </c>
      <c r="C180" s="21" t="s">
        <v>192</v>
      </c>
      <c r="D180" s="21" t="s">
        <v>1042</v>
      </c>
      <c r="E180" s="13">
        <v>43055.559386574074</v>
      </c>
      <c r="F180" s="13">
        <v>43055.570833333331</v>
      </c>
      <c r="G180" s="7">
        <v>96</v>
      </c>
      <c r="H180" s="21" t="s">
        <v>640</v>
      </c>
      <c r="I180" s="13">
        <v>43055.579363425924</v>
      </c>
      <c r="J180" s="7">
        <v>0</v>
      </c>
      <c r="K180" s="89" t="str">
        <f t="shared" si="61"/>
        <v>4041/4042</v>
      </c>
      <c r="L180" s="184" t="str">
        <f>VLOOKUP(A180,'Trips&amp;Operators'!$C$1:$G$99911,5,FALSE)</f>
        <v>ANDREA WILLIAMS</v>
      </c>
      <c r="M180" s="6">
        <f t="shared" si="62"/>
        <v>8.5300925929914229E-3</v>
      </c>
      <c r="N180" s="7">
        <f t="shared" si="94"/>
        <v>12.283333333907649</v>
      </c>
      <c r="O180" s="7"/>
      <c r="P180" s="7"/>
      <c r="Q180" s="22"/>
      <c r="R180" s="173"/>
      <c r="S180" s="220">
        <f t="shared" si="95"/>
        <v>1</v>
      </c>
      <c r="T180" s="173" t="str">
        <f t="shared" si="63"/>
        <v>Southbound</v>
      </c>
      <c r="U180" s="19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5" t="str">
        <f t="shared" si="64"/>
        <v>https://d0f6bd738d7f1b3e5a7ca70fe4ff75f0.us-east-1.aws.found.io/app/kibana#/discover/Steve-Slow-Train-Analysis-(2080s-and-2083s)?_g=(refreshInterval:(display:Off,pause:!f,section:0,value:0),time:(from:'2017-11-16T12:25:31-0700',mode:absolute,to:'2017-11-16T14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203" t="str">
        <f>IF(AA180&lt;VLOOKUP(AG180,Variables!$AC$3:$AD$8,2,FALSE),"Y","N")</f>
        <v>N</v>
      </c>
      <c r="X180" s="203">
        <f t="shared" si="93"/>
        <v>1</v>
      </c>
      <c r="Y180" s="203">
        <f t="shared" si="85"/>
        <v>5.8628</v>
      </c>
      <c r="Z180" s="203">
        <f t="shared" si="86"/>
        <v>6.8900000000000003E-2</v>
      </c>
      <c r="AA180" s="203">
        <f t="shared" si="65"/>
        <v>5.7938999999999998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8">
        <f t="shared" si="66"/>
        <v>822</v>
      </c>
      <c r="AE180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80" s="74" t="str">
        <f t="shared" si="68"/>
        <v>"C:\Program Files (x86)\AstroGrep\AstroGrep.exe" /e /r /s /spath="%USERPROFILE%\AppData\Local\Temp\OnboardLogs" /stypes="app*4041*20171116*" /stext=" 20:.+((SYSTEM_STATE.+slice.+state.+changed )|(ment ac)|(multiple cpu faults)|(system.+state.+changed )|(\[timeout)|(PRM\|1\|D)|(kpr)|(kdp)|(train st.+moving)|(\|lc)|(penalty))"</v>
      </c>
      <c r="AG180" s="181" t="str">
        <f t="shared" si="69"/>
        <v>NW</v>
      </c>
      <c r="AH180" s="78" t="str">
        <f t="shared" si="70"/>
        <v>"%USERPROFILE%\Documents\GitHub\eaglep3\Utilities\RefineRTDCRunTimes.py" --tripid 822-16 --locoid 4041 --swversion DE.1.0.9.0 --startMP 300:58628 --initTime 2017-11-16T13:25:31 --startdatetime 2017-11-16T13:42:00 --delay 96 --endMP 204:689 --enddatetime 2017-11-16T13:54:17 --enforcementcount 0 &gt;&gt;%USERPROFILE%\Documents\GitHub\eaglep3-reporting\EC\2017-11-16-refined-times.txt</v>
      </c>
      <c r="AI180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{"issue":{"subject":"","project_id":79,"tracker_id":40,"status_id":1,"priority_id":2,"assigned_to_id":338,"start_date":"2017-11-16","description":"","custom_fields":[{"id":1,"name":"Subdivision","value":"NW"},{"id":4,"name":"Milepost","value":"0.0689"},{"id":17,"name":"Train ID","value":"822-16"},{"id":16,"name":"Locomotive ID","value":"4041"},{"id":130,"name":"Impact","value":""},{"id":150,"name":"Time of Event (Mountain Time)","value":"13:54:17"},{"id":151,"name":"Denver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1" t="str">
        <f t="shared" si="72"/>
        <v>start /low /b %USERPROFILE%\Documents\GitHub\eaglep3\Utilities\DownloadLogsFromS3.py --loco 4041 --day 2017-11-16</v>
      </c>
      <c r="AN180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20:54:17"},{"id":29,"name":"Sharepoint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7" t="str">
        <f t="shared" si="74"/>
        <v>https://d0f6bd738d7f1b3e5a7ca70fe4ff75f0.us-east-1.aws.found.io/app/kibana#/discover/Steve-Slow-Train-Analysis-(2080s-and-2083s)?_g=(refreshInterval:(display:Off,pause:!f,section:0,value:0),time:(from:'2017-11-16T12:25:31-0700',mode:absolute,to:'2017-11-16T14:54:17-0700'))&amp;_a=(columns:!('Message%20ID',Summary),filters:!(),index:'emp_*',interval:auto,query:(query_string:(analyze_wildcard:!t,query:'%22rtdc.l.rtdc.4041%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796</v>
      </c>
      <c r="B181" s="7">
        <v>4042</v>
      </c>
      <c r="C181" s="21" t="s">
        <v>192</v>
      </c>
      <c r="D181" s="21" t="s">
        <v>1043</v>
      </c>
      <c r="E181" s="13">
        <v>43055.580636574072</v>
      </c>
      <c r="F181" s="13">
        <v>43055.589768518519</v>
      </c>
      <c r="G181" s="7">
        <v>90</v>
      </c>
      <c r="H181" s="21" t="s">
        <v>1044</v>
      </c>
      <c r="I181" s="13">
        <v>43055.599224537036</v>
      </c>
      <c r="J181" s="7">
        <v>0</v>
      </c>
      <c r="K181" s="89" t="str">
        <f t="shared" si="61"/>
        <v>4041/4042</v>
      </c>
      <c r="L181" s="184" t="str">
        <f>VLOOKUP(A181,'Trips&amp;Operators'!$C$1:$G$99911,5,FALSE)</f>
        <v>ANDREA WILLIAMS</v>
      </c>
      <c r="M181" s="6">
        <f t="shared" si="62"/>
        <v>9.4560185170848854E-3</v>
      </c>
      <c r="N181" s="7">
        <f t="shared" si="94"/>
        <v>13.616666664602235</v>
      </c>
      <c r="O181" s="7"/>
      <c r="P181" s="7"/>
      <c r="Q181" s="22"/>
      <c r="R181" s="173"/>
      <c r="S181" s="220">
        <f t="shared" si="95"/>
        <v>1</v>
      </c>
      <c r="T181" s="173" t="str">
        <f t="shared" si="63"/>
        <v>NorthBound</v>
      </c>
      <c r="U181" s="19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5" t="str">
        <f t="shared" si="64"/>
        <v>https://d0f6bd738d7f1b3e5a7ca70fe4ff75f0.us-east-1.aws.found.io/app/kibana#/discover/Steve-Slow-Train-Analysis-(2080s-and-2083s)?_g=(refreshInterval:(display:Off,pause:!f,section:0,value:0),time:(from:'2017-11-16T12:56:07-0700',mode:absolute,to:'2017-11-16T15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203" t="str">
        <f>IF(AA181&lt;VLOOKUP(AG181,Variables!$AC$3:$AD$8,2,FALSE),"Y","N")</f>
        <v>N</v>
      </c>
      <c r="X181" s="203">
        <f t="shared" si="93"/>
        <v>1</v>
      </c>
      <c r="Y181" s="203">
        <f t="shared" si="85"/>
        <v>9.6699999999999994E-2</v>
      </c>
      <c r="Z181" s="203">
        <f t="shared" si="86"/>
        <v>5.8917999999999999</v>
      </c>
      <c r="AA181" s="203">
        <f t="shared" si="65"/>
        <v>5.7950999999999997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8">
        <f t="shared" si="66"/>
        <v>823</v>
      </c>
      <c r="AE181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81" s="74" t="str">
        <f t="shared" si="68"/>
        <v>"C:\Program Files (x86)\AstroGrep\AstroGrep.exe" /e /r /s /spath="%USERPROFILE%\AppData\Local\Temp\OnboardLogs" /stypes="app*4042*20171116*" /stext=" 21:.+((SYSTEM_STATE.+slice.+state.+changed )|(ment ac)|(multiple cpu faults)|(system.+state.+changed )|(\[timeout)|(PRM\|1\|D)|(kpr)|(kdp)|(train st.+moving)|(\|lc)|(penalty))"</v>
      </c>
      <c r="AG181" s="181" t="str">
        <f t="shared" si="69"/>
        <v>NW</v>
      </c>
      <c r="AH181" s="78" t="str">
        <f t="shared" si="70"/>
        <v>"%USERPROFILE%\Documents\GitHub\eaglep3\Utilities\RefineRTDCRunTimes.py" --tripid 823-16 --locoid 4042 --swversion DE.1.0.9.0 --startMP 204:967 --initTime 2017-11-16T13:56:07 --startdatetime 2017-11-16T14:09:16 --delay 90 --endMP 300:58918 --enddatetime 2017-11-16T14:22:53 --enforcementcount 0 &gt;&gt;%USERPROFILE%\Documents\GitHub\eaglep3-reporting\EC\2017-11-16-refined-times.txt</v>
      </c>
      <c r="AI181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{"issue":{"subject":"","project_id":79,"tracker_id":40,"status_id":1,"priority_id":2,"assigned_to_id":338,"start_date":"2017-11-16","description":"","custom_fields":[{"id":1,"name":"Subdivision","value":"NW"},{"id":4,"name":"Milepost","value":"5.8918"},{"id":17,"name":"Train ID","value":"823-16"},{"id":16,"name":"Locomotive ID","value":"4042"},{"id":130,"name":"Impact","value":""},{"id":150,"name":"Time of Event (Mountain Time)","value":"14:22:53"},{"id":151,"name":"Denver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1" t="str">
        <f t="shared" si="72"/>
        <v>start /low /b %USERPROFILE%\Documents\GitHub\eaglep3\Utilities\DownloadLogsFromS3.py --loco 4042 --day 2017-11-16</v>
      </c>
      <c r="AN181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7" t="str">
        <f t="shared" si="74"/>
        <v>https://d0f6bd738d7f1b3e5a7ca70fe4ff75f0.us-east-1.aws.found.io/app/kibana#/discover/Steve-Slow-Train-Analysis-(2080s-and-2083s)?_g=(refreshInterval:(display:Off,pause:!f,section:0,value:0),time:(from:'2017-11-16T12:56:07-0700',mode:absolute,to:'2017-11-16T15:22:53-0700'))&amp;_a=(columns:!('Message%20ID',Summary),filters:!(),index:'emp_*',interval:auto,query:(query_string:(analyze_wildcard:!t,query:'%22rtdc.l.rtdc.4042%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804</v>
      </c>
      <c r="B182" s="7">
        <v>4041</v>
      </c>
      <c r="C182" s="21" t="s">
        <v>192</v>
      </c>
      <c r="D182" s="21" t="s">
        <v>649</v>
      </c>
      <c r="E182" s="13">
        <v>43055.600775462961</v>
      </c>
      <c r="F182" s="13">
        <v>43055.612500000003</v>
      </c>
      <c r="G182" s="7">
        <v>60</v>
      </c>
      <c r="H182" s="21" t="s">
        <v>1045</v>
      </c>
      <c r="I182" s="13">
        <v>43055.621724537035</v>
      </c>
      <c r="J182" s="7">
        <v>0</v>
      </c>
      <c r="K182" s="89" t="str">
        <f t="shared" si="61"/>
        <v>4041/4042</v>
      </c>
      <c r="L182" s="184" t="str">
        <f>VLOOKUP(A182,'Trips&amp;Operators'!$C$1:$G$99911,5,FALSE)</f>
        <v>ANDREA WILLIAMS</v>
      </c>
      <c r="M182" s="6">
        <f t="shared" si="62"/>
        <v>9.2245370324235409E-3</v>
      </c>
      <c r="N182" s="7">
        <f t="shared" si="94"/>
        <v>13.283333326689899</v>
      </c>
      <c r="O182" s="7"/>
      <c r="P182" s="7"/>
      <c r="Q182" s="22"/>
      <c r="R182" s="173"/>
      <c r="S182" s="220">
        <f t="shared" si="95"/>
        <v>1</v>
      </c>
      <c r="T182" s="173" t="str">
        <f t="shared" si="63"/>
        <v>Southbound</v>
      </c>
      <c r="U182" s="19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5" t="str">
        <f t="shared" si="64"/>
        <v>https://d0f6bd738d7f1b3e5a7ca70fe4ff75f0.us-east-1.aws.found.io/app/kibana#/discover/Steve-Slow-Train-Analysis-(2080s-and-2083s)?_g=(refreshInterval:(display:Off,pause:!f,section:0,value:0),time:(from:'2017-11-16T13:25:07-0700',mode:absolute,to:'2017-11-16T15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203" t="str">
        <f>IF(AA182&lt;VLOOKUP(AG182,Variables!$AC$3:$AD$8,2,FALSE),"Y","N")</f>
        <v>N</v>
      </c>
      <c r="X182" s="203">
        <f t="shared" si="93"/>
        <v>1</v>
      </c>
      <c r="Y182" s="203">
        <f t="shared" si="85"/>
        <v>5.8604000000000003</v>
      </c>
      <c r="Z182" s="203">
        <f t="shared" si="86"/>
        <v>6.9099999999999995E-2</v>
      </c>
      <c r="AA182" s="203">
        <f t="shared" si="65"/>
        <v>5.7913000000000006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8">
        <f t="shared" si="66"/>
        <v>824</v>
      </c>
      <c r="AE182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82" s="74" t="str">
        <f t="shared" si="68"/>
        <v>"C:\Program Files (x86)\AstroGrep\AstroGrep.exe" /e /r /s /spath="%USERPROFILE%\AppData\Local\Temp\OnboardLogs" /stypes="app*4041*20171116*" /stext=" 21:.+((SYSTEM_STATE.+slice.+state.+changed )|(ment ac)|(multiple cpu faults)|(system.+state.+changed )|(\[timeout)|(PRM\|1\|D)|(kpr)|(kdp)|(train st.+moving)|(\|lc)|(penalty))"</v>
      </c>
      <c r="AG182" s="181" t="str">
        <f t="shared" si="69"/>
        <v>NW</v>
      </c>
      <c r="AH182" s="78" t="str">
        <f t="shared" si="70"/>
        <v>"%USERPROFILE%\Documents\GitHub\eaglep3\Utilities\RefineRTDCRunTimes.py" --tripid 824-16 --locoid 4041 --swversion DE.1.0.9.0 --startMP 300:58604 --initTime 2017-11-16T14:25:07 --startdatetime 2017-11-16T14:42:00 --delay 60 --endMP 204:691 --enddatetime 2017-11-16T14:55:17 --enforcementcount 0 &gt;&gt;%USERPROFILE%\Documents\GitHub\eaglep3-reporting\EC\2017-11-16-refined-times.txt</v>
      </c>
      <c r="AI182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{"issue":{"subject":"","project_id":79,"tracker_id":40,"status_id":1,"priority_id":2,"assigned_to_id":338,"start_date":"2017-11-16","description":"","custom_fields":[{"id":1,"name":"Subdivision","value":"NW"},{"id":4,"name":"Milepost","value":"0.0691"},{"id":17,"name":"Train ID","value":"824-16"},{"id":16,"name":"Locomotive ID","value":"4041"},{"id":130,"name":"Impact","value":""},{"id":150,"name":"Time of Event (Mountain Time)","value":"14:55:17"},{"id":151,"name":"Denver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1" t="str">
        <f t="shared" si="72"/>
        <v>start /low /b %USERPROFILE%\Documents\GitHub\eaglep3\Utilities\DownloadLogsFromS3.py --loco 4041 --day 2017-11-16</v>
      </c>
      <c r="AN182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7" t="str">
        <f t="shared" si="74"/>
        <v>https://d0f6bd738d7f1b3e5a7ca70fe4ff75f0.us-east-1.aws.found.io/app/kibana#/discover/Steve-Slow-Train-Analysis-(2080s-and-2083s)?_g=(refreshInterval:(display:Off,pause:!f,section:0,value:0),time:(from:'2017-11-16T13:25:07-0700',mode:absolute,to:'2017-11-16T15:55:17-0700'))&amp;_a=(columns:!('Message%20ID',Summary),filters:!(),index:'emp_*',interval:auto,query:(query_string:(analyze_wildcard:!t,query:'%22rtdc.l.rtdc.4041%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809</v>
      </c>
      <c r="B183" s="7">
        <v>4042</v>
      </c>
      <c r="C183" s="21" t="s">
        <v>192</v>
      </c>
      <c r="D183" s="21" t="s">
        <v>1046</v>
      </c>
      <c r="E183" s="13">
        <v>43055.623715277776</v>
      </c>
      <c r="F183" s="13">
        <v>43055.631458333337</v>
      </c>
      <c r="G183" s="7">
        <v>85</v>
      </c>
      <c r="H183" s="21" t="s">
        <v>1047</v>
      </c>
      <c r="I183" s="13">
        <v>43055.641481481478</v>
      </c>
      <c r="J183" s="7">
        <v>0</v>
      </c>
      <c r="K183" s="89" t="str">
        <f t="shared" si="61"/>
        <v>4041/4042</v>
      </c>
      <c r="L183" s="184" t="str">
        <f>VLOOKUP(A183,'Trips&amp;Operators'!$C$1:$G$99911,5,FALSE)</f>
        <v>ANDREA WILLIAMS</v>
      </c>
      <c r="M183" s="6">
        <f t="shared" si="62"/>
        <v>1.0023148141044658E-2</v>
      </c>
      <c r="N183" s="7">
        <f t="shared" si="94"/>
        <v>14.433333323104307</v>
      </c>
      <c r="O183" s="7"/>
      <c r="P183" s="7"/>
      <c r="Q183" s="22"/>
      <c r="R183" s="173"/>
      <c r="S183" s="220">
        <f t="shared" si="95"/>
        <v>1</v>
      </c>
      <c r="T183" s="173" t="str">
        <f t="shared" si="63"/>
        <v>NorthBound</v>
      </c>
      <c r="U183" s="19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5" t="str">
        <f t="shared" si="64"/>
        <v>https://d0f6bd738d7f1b3e5a7ca70fe4ff75f0.us-east-1.aws.found.io/app/kibana#/discover/Steve-Slow-Train-Analysis-(2080s-and-2083s)?_g=(refreshInterval:(display:Off,pause:!f,section:0,value:0),time:(from:'2017-11-16T13:58:09-0700',mode:absolute,to:'2017-11-16T16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203" t="str">
        <f>IF(AA183&lt;VLOOKUP(AG183,Variables!$AC$3:$AD$8,2,FALSE),"Y","N")</f>
        <v>N</v>
      </c>
      <c r="X183" s="203">
        <f t="shared" si="93"/>
        <v>1</v>
      </c>
      <c r="Y183" s="203">
        <f t="shared" si="85"/>
        <v>0.1002</v>
      </c>
      <c r="Z183" s="203">
        <f t="shared" si="86"/>
        <v>5.8924000000000003</v>
      </c>
      <c r="AA183" s="203">
        <f t="shared" si="65"/>
        <v>5.7922000000000002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8">
        <f t="shared" si="66"/>
        <v>825</v>
      </c>
      <c r="AE183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83" s="74" t="str">
        <f t="shared" si="68"/>
        <v>"C:\Program Files (x86)\AstroGrep\AstroGrep.exe" /e /r /s /spath="%USERPROFILE%\AppData\Local\Temp\OnboardLogs" /stypes="app*4042*20171116*" /stext=" 22:.+((SYSTEM_STATE.+slice.+state.+changed )|(ment ac)|(multiple cpu faults)|(system.+state.+changed )|(\[timeout)|(PRM\|1\|D)|(kpr)|(kdp)|(train st.+moving)|(\|lc)|(penalty))"</v>
      </c>
      <c r="AG183" s="181" t="str">
        <f t="shared" si="69"/>
        <v>NW</v>
      </c>
      <c r="AH183" s="78" t="str">
        <f t="shared" si="70"/>
        <v>"%USERPROFILE%\Documents\GitHub\eaglep3\Utilities\RefineRTDCRunTimes.py" --tripid 825-16 --locoid 4042 --swversion DE.1.0.9.0 --startMP 204:1002 --initTime 2017-11-16T14:58:09 --startdatetime 2017-11-16T15:09:18 --delay 85 --endMP 300:58924 --enddatetime 2017-11-16T15:23:44 --enforcementcount 0 &gt;&gt;%USERPROFILE%\Documents\GitHub\eaglep3-reporting\EC\2017-11-16-refined-times.txt</v>
      </c>
      <c r="AI183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{"issue":{"subject":"","project_id":79,"tracker_id":40,"status_id":1,"priority_id":2,"assigned_to_id":338,"start_date":"2017-11-16","description":"","custom_fields":[{"id":1,"name":"Subdivision","value":"NW"},{"id":4,"name":"Milepost","value":"5.8924"},{"id":17,"name":"Train ID","value":"825-16"},{"id":16,"name":"Locomotive ID","value":"4042"},{"id":130,"name":"Impact","value":""},{"id":150,"name":"Time of Event (Mountain Time)","value":"15:23:44"},{"id":151,"name":"Denver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1" t="str">
        <f t="shared" si="72"/>
        <v>start /low /b %USERPROFILE%\Documents\GitHub\eaglep3\Utilities\DownloadLogsFromS3.py --loco 4042 --day 2017-11-16</v>
      </c>
      <c r="AN183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7" t="str">
        <f t="shared" si="74"/>
        <v>https://d0f6bd738d7f1b3e5a7ca70fe4ff75f0.us-east-1.aws.found.io/app/kibana#/discover/Steve-Slow-Train-Analysis-(2080s-and-2083s)?_g=(refreshInterval:(display:Off,pause:!f,section:0,value:0),time:(from:'2017-11-16T13:58:09-0700',mode:absolute,to:'2017-11-16T16:23:44-0700'))&amp;_a=(columns:!('Message%20ID',Summary),filters:!(),index:'emp_*',interval:auto,query:(query_string:(analyze_wildcard:!t,query:'%22rtdc.l.rtdc.4042%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661</v>
      </c>
      <c r="B184" s="7">
        <v>4041</v>
      </c>
      <c r="C184" s="21" t="s">
        <v>192</v>
      </c>
      <c r="D184" s="21" t="s">
        <v>1048</v>
      </c>
      <c r="E184" s="13">
        <v>43055.642835648148</v>
      </c>
      <c r="F184" s="13">
        <v>43055.654166666667</v>
      </c>
      <c r="G184" s="7">
        <v>63</v>
      </c>
      <c r="H184" s="21" t="s">
        <v>1049</v>
      </c>
      <c r="I184" s="13">
        <v>43055.664027777777</v>
      </c>
      <c r="J184" s="7">
        <v>0</v>
      </c>
      <c r="K184" s="89" t="str">
        <f t="shared" si="61"/>
        <v>4041/4042</v>
      </c>
      <c r="L184" s="184" t="str">
        <f>VLOOKUP(A184,'Trips&amp;Operators'!$C$1:$G$99911,5,FALSE)</f>
        <v>ANDREA WILLIAMS</v>
      </c>
      <c r="M184" s="6">
        <f t="shared" si="62"/>
        <v>9.8611111097852699E-3</v>
      </c>
      <c r="N184" s="7">
        <f t="shared" si="94"/>
        <v>14.199999998090789</v>
      </c>
      <c r="O184" s="7"/>
      <c r="P184" s="7"/>
      <c r="Q184" s="22"/>
      <c r="R184" s="173"/>
      <c r="S184" s="220">
        <f t="shared" si="95"/>
        <v>1</v>
      </c>
      <c r="T184" s="173" t="str">
        <f t="shared" si="63"/>
        <v>Southbound</v>
      </c>
      <c r="U184" s="19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5" t="str">
        <f t="shared" si="64"/>
        <v>https://d0f6bd738d7f1b3e5a7ca70fe4ff75f0.us-east-1.aws.found.io/app/kibana#/discover/Steve-Slow-Train-Analysis-(2080s-and-2083s)?_g=(refreshInterval:(display:Off,pause:!f,section:0,value:0),time:(from:'2017-11-16T14:25:41-0700',mode:absolute,to:'2017-11-16T16:56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203" t="str">
        <f>IF(AA184&lt;VLOOKUP(AG184,Variables!$AC$3:$AD$8,2,FALSE),"Y","N")</f>
        <v>N</v>
      </c>
      <c r="X184" s="203">
        <f t="shared" si="93"/>
        <v>1</v>
      </c>
      <c r="Y184" s="203">
        <f t="shared" si="85"/>
        <v>5.8608000000000002</v>
      </c>
      <c r="Z184" s="203">
        <f t="shared" si="86"/>
        <v>7.4700000000000003E-2</v>
      </c>
      <c r="AA184" s="203">
        <f t="shared" si="65"/>
        <v>5.7861000000000002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8">
        <f t="shared" si="66"/>
        <v>826</v>
      </c>
      <c r="AE184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84" s="74" t="str">
        <f t="shared" si="68"/>
        <v>"C:\Program Files (x86)\AstroGrep\AstroGrep.exe" /e /r /s /spath="%USERPROFILE%\AppData\Local\Temp\OnboardLogs" /stypes="app*4041*20171116*" /stext=" 22:.+((SYSTEM_STATE.+slice.+state.+changed )|(ment ac)|(multiple cpu faults)|(system.+state.+changed )|(\[timeout)|(PRM\|1\|D)|(kpr)|(kdp)|(train st.+moving)|(\|lc)|(penalty))"</v>
      </c>
      <c r="AG184" s="181" t="str">
        <f t="shared" si="69"/>
        <v>NW</v>
      </c>
      <c r="AH184" s="78" t="str">
        <f t="shared" si="70"/>
        <v>"%USERPROFILE%\Documents\GitHub\eaglep3\Utilities\RefineRTDCRunTimes.py" --tripid 826-16 --locoid 4041 --swversion DE.1.0.9.0 --startMP 300:58608 --initTime 2017-11-16T15:25:41 --startdatetime 2017-11-16T15:42:00 --delay 63 --endMP 204:747 --enddatetime 2017-11-16T15:56:12 --enforcementcount 0 &gt;&gt;%USERPROFILE%\Documents\GitHub\eaglep3-reporting\EC\2017-11-16-refined-times.txt</v>
      </c>
      <c r="AI184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{"issue":{"subject":"","project_id":79,"tracker_id":40,"status_id":1,"priority_id":2,"assigned_to_id":338,"start_date":"2017-11-16","description":"","custom_fields":[{"id":1,"name":"Subdivision","value":"NW"},{"id":4,"name":"Milepost","value":"0.0747"},{"id":17,"name":"Train ID","value":"826-16"},{"id":16,"name":"Locomotive ID","value":"4041"},{"id":130,"name":"Impact","value":""},{"id":150,"name":"Time of Event (Mountain Time)","value":"15:56:12"},{"id":151,"name":"Denver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1" t="str">
        <f t="shared" si="72"/>
        <v>start /low /b %USERPROFILE%\Documents\GitHub\eaglep3\Utilities\DownloadLogsFromS3.py --loco 4041 --day 2017-11-16</v>
      </c>
      <c r="AN184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7" t="str">
        <f t="shared" si="74"/>
        <v>https://d0f6bd738d7f1b3e5a7ca70fe4ff75f0.us-east-1.aws.found.io/app/kibana#/discover/Steve-Slow-Train-Analysis-(2080s-and-2083s)?_g=(refreshInterval:(display:Off,pause:!f,section:0,value:0),time:(from:'2017-11-16T14:25:41-0700',mode:absolute,to:'2017-11-16T16:56:12-0700'))&amp;_a=(columns:!('Message%20ID',Summary),filters:!(),index:'emp_*',interval:auto,query:(query_string:(analyze_wildcard:!t,query:'%22rtdc.l.rtdc.4041%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815</v>
      </c>
      <c r="B185" s="7">
        <v>4012</v>
      </c>
      <c r="C185" s="21" t="s">
        <v>192</v>
      </c>
      <c r="D185" s="21" t="s">
        <v>1050</v>
      </c>
      <c r="E185" s="13">
        <v>43055.644618055558</v>
      </c>
      <c r="F185" s="13">
        <v>43055.652256944442</v>
      </c>
      <c r="G185" s="7">
        <v>72</v>
      </c>
      <c r="H185" s="21" t="s">
        <v>537</v>
      </c>
      <c r="I185" s="13">
        <v>43055.662430555552</v>
      </c>
      <c r="J185" s="7">
        <v>0</v>
      </c>
      <c r="K185" s="89" t="str">
        <f t="shared" si="61"/>
        <v>4011/4012</v>
      </c>
      <c r="L185" s="184" t="str">
        <f>VLOOKUP(A185,'Trips&amp;Operators'!$C$1:$G$99911,5,FALSE)</f>
        <v>RESPASS AARON</v>
      </c>
      <c r="M185" s="6">
        <f t="shared" si="62"/>
        <v>1.0173611110076308E-2</v>
      </c>
      <c r="N185" s="7">
        <f t="shared" si="94"/>
        <v>14.649999998509884</v>
      </c>
      <c r="O185" s="7"/>
      <c r="P185" s="7"/>
      <c r="Q185" s="22"/>
      <c r="R185" s="173"/>
      <c r="S185" s="220">
        <f t="shared" si="95"/>
        <v>1</v>
      </c>
      <c r="T185" s="173" t="str">
        <f t="shared" si="63"/>
        <v>NorthBound</v>
      </c>
      <c r="U185" s="19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5" t="str">
        <f t="shared" si="64"/>
        <v>https://d0f6bd738d7f1b3e5a7ca70fe4ff75f0.us-east-1.aws.found.io/app/kibana#/discover/Steve-Slow-Train-Analysis-(2080s-and-2083s)?_g=(refreshInterval:(display:Off,pause:!f,section:0,value:0),time:(from:'2017-11-16T14:28:15-0700',mode:absolute,to:'2017-11-16T16:53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203" t="str">
        <f>IF(AA185&lt;VLOOKUP(AG185,Variables!$AC$3:$AD$8,2,FALSE),"Y","N")</f>
        <v>N</v>
      </c>
      <c r="X185" s="203">
        <f t="shared" si="93"/>
        <v>1</v>
      </c>
      <c r="Y185" s="203">
        <f t="shared" si="85"/>
        <v>0.10440000000000001</v>
      </c>
      <c r="Z185" s="203">
        <f t="shared" si="86"/>
        <v>5.8925999999999998</v>
      </c>
      <c r="AA185" s="203">
        <f t="shared" si="65"/>
        <v>5.7881999999999998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8">
        <f t="shared" si="66"/>
        <v>827</v>
      </c>
      <c r="AE185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85" s="74" t="str">
        <f t="shared" si="68"/>
        <v>"C:\Program Files (x86)\AstroGrep\AstroGrep.exe" /e /r /s /spath="%USERPROFILE%\AppData\Local\Temp\OnboardLogs" /stypes="app*4012*20171116*" /stext=" 22:.+((SYSTEM_STATE.+slice.+state.+changed )|(ment ac)|(multiple cpu faults)|(system.+state.+changed )|(\[timeout)|(PRM\|1\|D)|(kpr)|(kdp)|(train st.+moving)|(\|lc)|(penalty))"</v>
      </c>
      <c r="AG185" s="181" t="str">
        <f t="shared" si="69"/>
        <v>NW</v>
      </c>
      <c r="AH185" s="78" t="str">
        <f t="shared" si="70"/>
        <v>"%USERPROFILE%\Documents\GitHub\eaglep3\Utilities\RefineRTDCRunTimes.py" --tripid 827-16 --locoid 4012 --swversion DE.1.0.9.0 --startMP 204:1044 --initTime 2017-11-16T15:28:15 --startdatetime 2017-11-16T15:39:15 --delay 72 --endMP 300:58926 --enddatetime 2017-11-16T15:53:54 --enforcementcount 0 &gt;&gt;%USERPROFILE%\Documents\GitHub\eaglep3-reporting\EC\2017-11-16-refined-times.txt</v>
      </c>
      <c r="AI185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{"issue":{"subject":"","project_id":79,"tracker_id":40,"status_id":1,"priority_id":2,"assigned_to_id":338,"start_date":"2017-11-16","description":"","custom_fields":[{"id":1,"name":"Subdivision","value":"NW"},{"id":4,"name":"Milepost","value":"5.8926"},{"id":17,"name":"Train ID","value":"827-16"},{"id":16,"name":"Locomotive ID","value":"4012"},{"id":130,"name":"Impact","value":""},{"id":150,"name":"Time of Event (Mountain Time)","value":"15:53:54"},{"id":151,"name":"Denver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1" t="str">
        <f t="shared" si="72"/>
        <v>start /low /b %USERPROFILE%\Documents\GitHub\eaglep3\Utilities\DownloadLogsFromS3.py --loco 4012 --day 2017-11-16</v>
      </c>
      <c r="AN185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7" t="str">
        <f t="shared" si="74"/>
        <v>https://d0f6bd738d7f1b3e5a7ca70fe4ff75f0.us-east-1.aws.found.io/app/kibana#/discover/Steve-Slow-Train-Analysis-(2080s-and-2083s)?_g=(refreshInterval:(display:Off,pause:!f,section:0,value:0),time:(from:'2017-11-16T14:28:15-0700',mode:absolute,to:'2017-11-16T16:53:54-0700'))&amp;_a=(columns:!('Message%20ID',Summary),filters:!(),index:'emp_*',interval:auto,query:(query_string:(analyze_wildcard:!t,query:'%22rtdc.l.rtdc.4012%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820</v>
      </c>
      <c r="B186" s="7">
        <v>4011</v>
      </c>
      <c r="C186" s="21" t="s">
        <v>192</v>
      </c>
      <c r="D186" s="21" t="s">
        <v>1051</v>
      </c>
      <c r="E186" s="13">
        <v>43055.664305555554</v>
      </c>
      <c r="F186" s="13">
        <v>43055.673298611109</v>
      </c>
      <c r="G186" s="7">
        <v>60</v>
      </c>
      <c r="H186" s="21" t="s">
        <v>641</v>
      </c>
      <c r="I186" s="13">
        <v>43055.683495370373</v>
      </c>
      <c r="J186" s="7">
        <v>0</v>
      </c>
      <c r="K186" s="89" t="str">
        <f t="shared" si="61"/>
        <v>4011/4012</v>
      </c>
      <c r="L186" s="184" t="str">
        <f>VLOOKUP(A186,'Trips&amp;Operators'!$C$1:$G$99911,5,FALSE)</f>
        <v>RESPASS AARON</v>
      </c>
      <c r="M186" s="6">
        <f t="shared" si="62"/>
        <v>1.0196759263635613E-2</v>
      </c>
      <c r="N186" s="7">
        <f t="shared" si="94"/>
        <v>14.683333339635283</v>
      </c>
      <c r="O186" s="7"/>
      <c r="P186" s="7"/>
      <c r="Q186" s="22"/>
      <c r="R186" s="173"/>
      <c r="S186" s="220">
        <f t="shared" si="95"/>
        <v>1</v>
      </c>
      <c r="T186" s="173" t="str">
        <f t="shared" si="63"/>
        <v>Southbound</v>
      </c>
      <c r="U186" s="19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5" t="str">
        <f t="shared" si="64"/>
        <v>https://d0f6bd738d7f1b3e5a7ca70fe4ff75f0.us-east-1.aws.found.io/app/kibana#/discover/Steve-Slow-Train-Analysis-(2080s-and-2083s)?_g=(refreshInterval:(display:Off,pause:!f,section:0,value:0),time:(from:'2017-11-16T14:56:36-0700',mode:absolute,to:'2017-11-16T17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203" t="str">
        <f>IF(AA186&lt;VLOOKUP(AG186,Variables!$AC$3:$AD$8,2,FALSE),"Y","N")</f>
        <v>N</v>
      </c>
      <c r="X186" s="203">
        <f t="shared" si="93"/>
        <v>1</v>
      </c>
      <c r="Y186" s="203">
        <f t="shared" si="85"/>
        <v>5.8609</v>
      </c>
      <c r="Z186" s="203">
        <f t="shared" si="86"/>
        <v>7.7499999999999999E-2</v>
      </c>
      <c r="AA186" s="203">
        <f t="shared" si="65"/>
        <v>5.7834000000000003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8">
        <f t="shared" si="66"/>
        <v>828</v>
      </c>
      <c r="AE186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86" s="74" t="str">
        <f t="shared" si="68"/>
        <v>"C:\Program Files (x86)\AstroGrep\AstroGrep.exe" /e /r /s /spath="%USERPROFILE%\AppData\Local\Temp\OnboardLogs" /stypes="app*4011*20171116*" /stext=" 23:.+((SYSTEM_STATE.+slice.+state.+changed )|(ment ac)|(multiple cpu faults)|(system.+state.+changed )|(\[timeout)|(PRM\|1\|D)|(kpr)|(kdp)|(train st.+moving)|(\|lc)|(penalty))"</v>
      </c>
      <c r="AG186" s="181" t="str">
        <f t="shared" si="69"/>
        <v>NW</v>
      </c>
      <c r="AH186" s="78" t="str">
        <f t="shared" si="70"/>
        <v>"%USERPROFILE%\Documents\GitHub\eaglep3\Utilities\RefineRTDCRunTimes.py" --tripid 828-16 --locoid 4011 --swversion DE.1.0.9.0 --startMP 300:58609 --initTime 2017-11-16T15:56:36 --startdatetime 2017-11-16T16:09:33 --delay 60 --endMP 204:775 --enddatetime 2017-11-16T16:24:14 --enforcementcount 0 &gt;&gt;%USERPROFILE%\Documents\GitHub\eaglep3-reporting\EC\2017-11-16-refined-times.txt</v>
      </c>
      <c r="AI186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{"issue":{"subject":"","project_id":79,"tracker_id":40,"status_id":1,"priority_id":2,"assigned_to_id":338,"start_date":"2017-11-16","description":"","custom_fields":[{"id":1,"name":"Subdivision","value":"NW"},{"id":4,"name":"Milepost","value":"0.0775"},{"id":17,"name":"Train ID","value":"828-16"},{"id":16,"name":"Locomotive ID","value":"4011"},{"id":130,"name":"Impact","value":""},{"id":150,"name":"Time of Event (Mountain Time)","value":"16:24:14"},{"id":151,"name":"Denver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1" t="str">
        <f t="shared" si="72"/>
        <v>start /low /b %USERPROFILE%\Documents\GitHub\eaglep3\Utilities\DownloadLogsFromS3.py --loco 4011 --day 2017-11-16</v>
      </c>
      <c r="AN186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7" t="str">
        <f t="shared" si="74"/>
        <v>https://d0f6bd738d7f1b3e5a7ca70fe4ff75f0.us-east-1.aws.found.io/app/kibana#/discover/Steve-Slow-Train-Analysis-(2080s-and-2083s)?_g=(refreshInterval:(display:Off,pause:!f,section:0,value:0),time:(from:'2017-11-16T14:56:36-0700',mode:absolute,to:'2017-11-16T17:24:14-0700'))&amp;_a=(columns:!('Message%20ID',Summary),filters:!(),index:'emp_*',interval:auto,query:(query_string:(analyze_wildcard:!t,query:'%22rtdc.l.rtdc.4011%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663</v>
      </c>
      <c r="B187" s="7">
        <v>4042</v>
      </c>
      <c r="C187" s="21" t="s">
        <v>192</v>
      </c>
      <c r="D187" s="21" t="s">
        <v>1052</v>
      </c>
      <c r="E187" s="13">
        <v>43055.671064814815</v>
      </c>
      <c r="F187" s="13">
        <v>43055.674780092595</v>
      </c>
      <c r="G187" s="7">
        <v>63</v>
      </c>
      <c r="H187" s="21" t="s">
        <v>1053</v>
      </c>
      <c r="I187" s="13">
        <v>43055.684398148151</v>
      </c>
      <c r="J187" s="7">
        <v>0</v>
      </c>
      <c r="K187" s="89" t="str">
        <f t="shared" si="61"/>
        <v>4041/4042</v>
      </c>
      <c r="L187" s="184" t="str">
        <f>VLOOKUP(A187,'Trips&amp;Operators'!$C$1:$G$99911,5,FALSE)</f>
        <v>ANDREA WILLIAMS</v>
      </c>
      <c r="M187" s="6">
        <f t="shared" si="62"/>
        <v>9.6180555556202307E-3</v>
      </c>
      <c r="N187" s="7"/>
      <c r="O187" s="7"/>
      <c r="P187" s="7"/>
      <c r="Q187" s="22"/>
      <c r="R187" s="173"/>
      <c r="S187" s="220"/>
      <c r="T187" s="173" t="str">
        <f t="shared" si="63"/>
        <v>NorthBound</v>
      </c>
      <c r="U187" s="19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0</v>
      </c>
      <c r="V187" s="215" t="str">
        <f t="shared" si="64"/>
        <v>https://d0f6bd738d7f1b3e5a7ca70fe4ff75f0.us-east-1.aws.found.io/app/kibana#/discover/Steve-Slow-Train-Analysis-(2080s-and-2083s)?_g=(refreshInterval:(display:Off,pause:!f,section:0,value:0),time:(from:'2017-11-16T15:06:20-0700',mode:absolute,to:'2017-11-16T17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203" t="str">
        <f>IF(AA187&lt;VLOOKUP(AG187,Variables!$AC$3:$AD$8,2,FALSE),"Y","N")</f>
        <v>Y</v>
      </c>
      <c r="X187" s="203">
        <f t="shared" si="93"/>
        <v>1</v>
      </c>
      <c r="Y187" s="203">
        <f t="shared" si="85"/>
        <v>0.15290000000000001</v>
      </c>
      <c r="Z187" s="203">
        <f t="shared" si="86"/>
        <v>0.18140000000000001</v>
      </c>
      <c r="AA187" s="203">
        <f t="shared" si="65"/>
        <v>2.8499999999999998E-2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8">
        <f t="shared" si="66"/>
        <v>829</v>
      </c>
      <c r="AE187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87" s="74" t="str">
        <f t="shared" si="68"/>
        <v>"C:\Program Files (x86)\AstroGrep\AstroGrep.exe" /e /r /s /spath="%USERPROFILE%\AppData\Local\Temp\OnboardLogs" /stypes="app*4042*20171116*" /stext=" 23:.+((SYSTEM_STATE.+slice.+state.+changed )|(ment ac)|(multiple cpu faults)|(system.+state.+changed )|(\[timeout)|(PRM\|1\|D)|(kpr)|(kdp)|(train st.+moving)|(\|lc)|(penalty))"</v>
      </c>
      <c r="AG187" s="181" t="str">
        <f t="shared" si="69"/>
        <v>NW</v>
      </c>
      <c r="AH187" s="78" t="str">
        <f t="shared" si="70"/>
        <v>"%USERPROFILE%\Documents\GitHub\eaglep3\Utilities\RefineRTDCRunTimes.py" --tripid 829-16 --locoid 4042 --swversion DE.1.0.9.0 --startMP 204:1529 --initTime 2017-11-16T16:06:20 --startdatetime 2017-11-16T16:11:41 --delay 63 --endMP 204:1814 --enddatetime 2017-11-16T16:25:32 --enforcementcount 0 &gt;&gt;%USERPROFILE%\Documents\GitHub\eaglep3-reporting\EC\2017-11-16-refined-times.txt</v>
      </c>
      <c r="AI187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{"issue":{"subject":"","project_id":79,"tracker_id":40,"status_id":1,"priority_id":2,"assigned_to_id":338,"start_date":"2017-11-16","description":"","custom_fields":[{"id":1,"name":"Subdivision","value":"NW"},{"id":4,"name":"Milepost","value":"0.1814"},{"id":17,"name":"Train ID","value":"829-16"},{"id":16,"name":"Locomotive ID","value":"4042"},{"id":130,"name":"Impact","value":""},{"id":150,"name":"Time of Event (Mountain Time)","value":"16:25:32"},{"id":151,"name":"Denver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1" t="str">
        <f t="shared" si="72"/>
        <v>start /low /b %USERPROFILE%\Documents\GitHub\eaglep3\Utilities\DownloadLogsFromS3.py --loco 4042 --day 2017-11-16</v>
      </c>
      <c r="AN187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7" t="str">
        <f t="shared" si="74"/>
        <v>https://d0f6bd738d7f1b3e5a7ca70fe4ff75f0.us-east-1.aws.found.io/app/kibana#/discover/Steve-Slow-Train-Analysis-(2080s-and-2083s)?_g=(refreshInterval:(display:Off,pause:!f,section:0,value:0),time:(from:'2017-11-16T15:06:20-0700',mode:absolute,to:'2017-11-16T17:25:32-0700'))&amp;_a=(columns:!('Message%20ID',Summary),filters:!(),index:'emp_*',interval:auto,query:(query_string:(analyze_wildcard:!t,query:'%22rtdc.l.rtdc.4042%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663</v>
      </c>
      <c r="B188" s="7">
        <v>4042</v>
      </c>
      <c r="C188" s="21" t="s">
        <v>192</v>
      </c>
      <c r="D188" s="21" t="s">
        <v>1054</v>
      </c>
      <c r="E188" s="13">
        <v>43055.67391203704</v>
      </c>
      <c r="F188" s="13">
        <v>43055.674780092595</v>
      </c>
      <c r="G188" s="7">
        <v>45</v>
      </c>
      <c r="H188" s="21" t="s">
        <v>1055</v>
      </c>
      <c r="I188" s="13">
        <v>43055.684398148151</v>
      </c>
      <c r="J188" s="7">
        <v>0</v>
      </c>
      <c r="K188" s="89" t="str">
        <f t="shared" si="61"/>
        <v>4041/4042</v>
      </c>
      <c r="L188" s="184" t="str">
        <f>VLOOKUP(A188,'Trips&amp;Operators'!$C$1:$G$99911,5,FALSE)</f>
        <v>ANDREA WILLIAMS</v>
      </c>
      <c r="M188" s="6">
        <f t="shared" si="62"/>
        <v>9.6180555556202307E-3</v>
      </c>
      <c r="N188" s="7">
        <f t="shared" ref="N188:N219" si="96">24*60*SUM($M188:$M188)</f>
        <v>13.850000000093132</v>
      </c>
      <c r="O188" s="7"/>
      <c r="P188" s="7"/>
      <c r="Q188" s="22"/>
      <c r="R188" s="173" t="s">
        <v>1102</v>
      </c>
      <c r="S188" s="220">
        <f t="shared" ref="S188:S219" si="97">1/IF(AG188="EC",12,1)*SUM(U188:U188)</f>
        <v>1</v>
      </c>
      <c r="T188" s="173" t="str">
        <f t="shared" si="63"/>
        <v>NorthBound</v>
      </c>
      <c r="U188" s="19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5" t="str">
        <f t="shared" si="64"/>
        <v>https://d0f6bd738d7f1b3e5a7ca70fe4ff75f0.us-east-1.aws.found.io/app/kibana#/discover/Steve-Slow-Train-Analysis-(2080s-and-2083s)?_g=(refreshInterval:(display:Off,pause:!f,section:0,value:0),time:(from:'2017-11-16T15:10:26-0700',mode:absolute,to:'2017-11-16T17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8" s="203" t="str">
        <f>IF(AA188&lt;VLOOKUP(AG188,Variables!$AC$3:$AD$8,2,FALSE),"Y","N")</f>
        <v>Y</v>
      </c>
      <c r="X188" s="203">
        <f t="shared" si="93"/>
        <v>0</v>
      </c>
      <c r="Y188" s="203">
        <f t="shared" si="85"/>
        <v>0.24890000000000001</v>
      </c>
      <c r="Z188" s="203">
        <f t="shared" si="86"/>
        <v>5.8983999999999996</v>
      </c>
      <c r="AA188" s="203">
        <f t="shared" si="65"/>
        <v>5.6494999999999997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8">
        <f t="shared" si="66"/>
        <v>829</v>
      </c>
      <c r="AE188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88" s="74" t="str">
        <f t="shared" si="68"/>
        <v>"C:\Program Files (x86)\AstroGrep\AstroGrep.exe" /e /r /s /spath="%USERPROFILE%\AppData\Local\Temp\OnboardLogs" /stypes="app*4042*20171116*" /stext=" 23:.+((SYSTEM_STATE.+slice.+state.+changed )|(ment ac)|(multiple cpu faults)|(system.+state.+changed )|(\[timeout)|(PRM\|1\|D)|(kpr)|(kdp)|(train st.+moving)|(\|lc)|(penalty))"</v>
      </c>
      <c r="AG188" s="181" t="str">
        <f t="shared" si="69"/>
        <v>NW</v>
      </c>
      <c r="AH188" s="78" t="str">
        <f t="shared" si="70"/>
        <v>"%USERPROFILE%\Documents\GitHub\eaglep3\Utilities\RefineRTDCRunTimes.py" --tripid 829-16 --locoid 4042 --swversion DE.1.0.9.0 --startMP 204:2489 --initTime 2017-11-16T16:10:26 --startdatetime 2017-11-16T16:11:41 --delay 45 --endMP 300:58984 --enddatetime 2017-11-16T16:25:32 --enforcementcount 0 &gt;&gt;%USERPROFILE%\Documents\GitHub\eaglep3-reporting\EC\2017-11-16-refined-times.txt</v>
      </c>
      <c r="AI188" s="96" t="str">
        <f t="shared" si="71"/>
        <v>echo {"issue":{"subject":"Delayed by Poor GPS at DUS","project_id":79,"tracker_id":40,"status_id":1,"priority_id":2,"assigned_to_id":338,"start_date":"2017-11-16","description":"","custom_fields":[{"id":1,"name":"Subdivision","value":"NW"},{"id":4,"name":"Milepost","value":"5.8984"},{"id":17,"name":"Train ID","value":"829-16"},{"id":16,"name":"Locomotive ID","value":"4042"},{"id":130,"name":"Impact","value":""},{"id":150,"name":"Time of Event (Mountain Time)","value":"16:25:32"},{"id":151,"name":"Denver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1" t="str">
        <f t="shared" si="72"/>
        <v>start /low /b %USERPROFILE%\Documents\GitHub\eaglep3\Utilities\DownloadLogsFromS3.py --loco 4042 --day 2017-11-16</v>
      </c>
      <c r="AN188" s="150" t="str">
        <f t="shared" si="73"/>
        <v>echo {"issue":{"subject":"Delayed by Poor GPS at DUS","project_id":30,"tracker_id":4,"status_id":1,"priority_id":1,"assigned_to_id":10,"start_date":"2017-11-16","description":"","custom_fields":[{"id":30,"name":"Category","value":"Issue"},{"id":3,"name":"Functional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7" t="str">
        <f t="shared" si="74"/>
        <v>https://d0f6bd738d7f1b3e5a7ca70fe4ff75f0.us-east-1.aws.found.io/app/kibana#/discover/Steve-Slow-Train-Analysis-(2080s-and-2083s)?_g=(refreshInterval:(display:Off,pause:!f,section:0,value:0),time:(from:'2017-11-16T15:10:26-0700',mode:absolute,to:'2017-11-16T17:25:32-0700'))&amp;_a=(columns:!('Message%20ID',Summary),filters:!(),index:'emp_*',interval:auto,query:(query_string:(analyze_wildcard:!t,query:'%22rtdc.l.rtdc.4042%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664</v>
      </c>
      <c r="B189" s="7">
        <v>4041</v>
      </c>
      <c r="C189" s="21" t="s">
        <v>192</v>
      </c>
      <c r="D189" s="21" t="s">
        <v>639</v>
      </c>
      <c r="E189" s="13">
        <v>43055.687361111108</v>
      </c>
      <c r="F189" s="13">
        <v>43055.696747685186</v>
      </c>
      <c r="G189" s="7">
        <v>58</v>
      </c>
      <c r="H189" s="21" t="s">
        <v>1056</v>
      </c>
      <c r="I189" s="13">
        <v>43055.708275462966</v>
      </c>
      <c r="J189" s="7">
        <v>0</v>
      </c>
      <c r="K189" s="89" t="str">
        <f t="shared" si="61"/>
        <v>4041/4042</v>
      </c>
      <c r="L189" s="184" t="str">
        <f>VLOOKUP(A189,'Trips&amp;Operators'!$C$1:$G$99911,5,FALSE)</f>
        <v>ANDREA WILLIAMS</v>
      </c>
      <c r="M189" s="6">
        <f t="shared" si="62"/>
        <v>1.152777778042946E-2</v>
      </c>
      <c r="N189" s="7">
        <f t="shared" si="96"/>
        <v>16.600000003818423</v>
      </c>
      <c r="O189" s="7"/>
      <c r="P189" s="7"/>
      <c r="Q189" s="22"/>
      <c r="R189" s="173"/>
      <c r="S189" s="220">
        <f t="shared" si="97"/>
        <v>1</v>
      </c>
      <c r="T189" s="173" t="str">
        <f t="shared" si="63"/>
        <v>Southbound</v>
      </c>
      <c r="U189" s="19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5" t="str">
        <f t="shared" si="64"/>
        <v>https://d0f6bd738d7f1b3e5a7ca70fe4ff75f0.us-east-1.aws.found.io/app/kibana#/discover/Steve-Slow-Train-Analysis-(2080s-and-2083s)?_g=(refreshInterval:(display:Off,pause:!f,section:0,value:0),time:(from:'2017-11-16T15:29:48-0700',mode:absolute,to:'2017-11-16T17:59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9" s="203" t="str">
        <f>IF(AA189&lt;VLOOKUP(AG189,Variables!$AC$3:$AD$8,2,FALSE),"Y","N")</f>
        <v>N</v>
      </c>
      <c r="X189" s="203">
        <f t="shared" si="93"/>
        <v>1</v>
      </c>
      <c r="Y189" s="203">
        <f t="shared" si="85"/>
        <v>5.8655999999999997</v>
      </c>
      <c r="Z189" s="203">
        <f t="shared" si="86"/>
        <v>6.7000000000000004E-2</v>
      </c>
      <c r="AA189" s="203">
        <f t="shared" si="65"/>
        <v>5.7985999999999995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8">
        <f t="shared" si="66"/>
        <v>830</v>
      </c>
      <c r="AE189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89" s="74" t="str">
        <f t="shared" si="68"/>
        <v>"C:\Program Files (x86)\AstroGrep\AstroGrep.exe" /e /r /s /spath="%USERPROFILE%\AppData\Local\Temp\OnboardLogs" /stypes="app*4041*20171116*" /stext=" 23:.+((SYSTEM_STATE.+slice.+state.+changed )|(ment ac)|(multiple cpu faults)|(system.+state.+changed )|(\[timeout)|(PRM\|1\|D)|(kpr)|(kdp)|(train st.+moving)|(\|lc)|(penalty))"</v>
      </c>
      <c r="AG189" s="181" t="str">
        <f t="shared" si="69"/>
        <v>NW</v>
      </c>
      <c r="AH189" s="78" t="str">
        <f t="shared" si="70"/>
        <v>"%USERPROFILE%\Documents\GitHub\eaglep3\Utilities\RefineRTDCRunTimes.py" --tripid 830-16 --locoid 4041 --swversion DE.1.0.9.0 --startMP 300:58656 --initTime 2017-11-16T16:29:48 --startdatetime 2017-11-16T16:43:19 --delay 58 --endMP 204:670 --enddatetime 2017-11-16T16:59:55 --enforcementcount 0 &gt;&gt;%USERPROFILE%\Documents\GitHub\eaglep3-reporting\EC\2017-11-16-refined-times.txt</v>
      </c>
      <c r="AI189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{"issue":{"subject":"","project_id":79,"tracker_id":40,"status_id":1,"priority_id":2,"assigned_to_id":338,"start_date":"2017-11-16","description":"","custom_fields":[{"id":1,"name":"Subdivision","value":"NW"},{"id":4,"name":"Milepost","value":"0.067"},{"id":17,"name":"Train ID","value":"830-16"},{"id":16,"name":"Locomotive ID","value":"4041"},{"id":130,"name":"Impact","value":""},{"id":150,"name":"Time of Event (Mountain Time)","value":"16:59:55"},{"id":151,"name":"Denver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1" t="str">
        <f t="shared" si="72"/>
        <v>start /low /b %USERPROFILE%\Documents\GitHub\eaglep3\Utilities\DownloadLogsFromS3.py --loco 4041 --day 2017-11-16</v>
      </c>
      <c r="AN189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23:59:55"},{"id":29,"name":"Sharepoint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7" t="str">
        <f t="shared" si="74"/>
        <v>https://d0f6bd738d7f1b3e5a7ca70fe4ff75f0.us-east-1.aws.found.io/app/kibana#/discover/Steve-Slow-Train-Analysis-(2080s-and-2083s)?_g=(refreshInterval:(display:Off,pause:!f,section:0,value:0),time:(from:'2017-11-16T15:29:48-0700',mode:absolute,to:'2017-11-16T17:59:55-0700'))&amp;_a=(columns:!('Message%20ID',Summary),filters:!(),index:'emp_*',interval:auto,query:(query_string:(analyze_wildcard:!t,query:'%22rtdc.l.rtdc.4041%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825</v>
      </c>
      <c r="B190" s="7">
        <v>4012</v>
      </c>
      <c r="C190" s="21" t="s">
        <v>192</v>
      </c>
      <c r="D190" s="21" t="s">
        <v>1057</v>
      </c>
      <c r="E190" s="13">
        <v>43055.684837962966</v>
      </c>
      <c r="F190" s="13">
        <v>43055.694085648145</v>
      </c>
      <c r="G190" s="7">
        <v>63</v>
      </c>
      <c r="H190" s="21" t="s">
        <v>1058</v>
      </c>
      <c r="I190" s="13">
        <v>43055.705428240741</v>
      </c>
      <c r="J190" s="7">
        <v>0</v>
      </c>
      <c r="K190" s="89" t="str">
        <f t="shared" si="61"/>
        <v>4011/4012</v>
      </c>
      <c r="L190" s="184" t="str">
        <f>VLOOKUP(A190,'Trips&amp;Operators'!$C$1:$G$99911,5,FALSE)</f>
        <v>RESPASS AARON</v>
      </c>
      <c r="M190" s="6">
        <f t="shared" si="62"/>
        <v>1.1342592595610768E-2</v>
      </c>
      <c r="N190" s="7">
        <f t="shared" si="96"/>
        <v>16.333333337679505</v>
      </c>
      <c r="O190" s="7"/>
      <c r="P190" s="7"/>
      <c r="Q190" s="22"/>
      <c r="R190" s="173"/>
      <c r="S190" s="220">
        <f t="shared" si="97"/>
        <v>1</v>
      </c>
      <c r="T190" s="173" t="str">
        <f t="shared" si="63"/>
        <v>NorthBound</v>
      </c>
      <c r="U190" s="19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5" t="str">
        <f t="shared" si="64"/>
        <v>https://d0f6bd738d7f1b3e5a7ca70fe4ff75f0.us-east-1.aws.found.io/app/kibana#/discover/Steve-Slow-Train-Analysis-(2080s-and-2083s)?_g=(refreshInterval:(display:Off,pause:!f,section:0,value:0),time:(from:'2017-11-16T15:26:10-0700',mode:absolute,to:'2017-11-16T17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203" t="str">
        <f>IF(AA190&lt;VLOOKUP(AG190,Variables!$AC$3:$AD$8,2,FALSE),"Y","N")</f>
        <v>N</v>
      </c>
      <c r="X190" s="203">
        <f t="shared" si="93"/>
        <v>1</v>
      </c>
      <c r="Y190" s="203">
        <f t="shared" si="85"/>
        <v>0.1051</v>
      </c>
      <c r="Z190" s="203">
        <f t="shared" si="86"/>
        <v>5.8926999999999996</v>
      </c>
      <c r="AA190" s="203">
        <f t="shared" si="65"/>
        <v>5.7875999999999994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8">
        <f t="shared" si="66"/>
        <v>831</v>
      </c>
      <c r="AE190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90" s="74" t="str">
        <f t="shared" si="68"/>
        <v>"C:\Program Files (x86)\AstroGrep\AstroGrep.exe" /e /r /s /spath="%USERPROFILE%\AppData\Local\Temp\OnboardLogs" /stypes="app*4012*20171116*" /stext=" 23:.+((SYSTEM_STATE.+slice.+state.+changed )|(ment ac)|(multiple cpu faults)|(system.+state.+changed )|(\[timeout)|(PRM\|1\|D)|(kpr)|(kdp)|(train st.+moving)|(\|lc)|(penalty))"</v>
      </c>
      <c r="AG190" s="181" t="str">
        <f t="shared" si="69"/>
        <v>NW</v>
      </c>
      <c r="AH190" s="78" t="str">
        <f t="shared" si="70"/>
        <v>"%USERPROFILE%\Documents\GitHub\eaglep3\Utilities\RefineRTDCRunTimes.py" --tripid 831-16 --locoid 4012 --swversion DE.1.0.9.0 --startMP 204:1051 --initTime 2017-11-16T16:26:10 --startdatetime 2017-11-16T16:39:29 --delay 63 --endMP 300:58927 --enddatetime 2017-11-16T16:55:49 --enforcementcount 0 &gt;&gt;%USERPROFILE%\Documents\GitHub\eaglep3-reporting\EC\2017-11-16-refined-times.txt</v>
      </c>
      <c r="AI190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{"issue":{"subject":"","project_id":79,"tracker_id":40,"status_id":1,"priority_id":2,"assigned_to_id":338,"start_date":"2017-11-16","description":"","custom_fields":[{"id":1,"name":"Subdivision","value":"NW"},{"id":4,"name":"Milepost","value":"5.8927"},{"id":17,"name":"Train ID","value":"831-16"},{"id":16,"name":"Locomotive ID","value":"4012"},{"id":130,"name":"Impact","value":""},{"id":150,"name":"Time of Event (Mountain Time)","value":"16:55:49"},{"id":151,"name":"Denver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1" t="str">
        <f t="shared" si="72"/>
        <v>start /low /b %USERPROFILE%\Documents\GitHub\eaglep3\Utilities\DownloadLogsFromS3.py --loco 4012 --day 2017-11-16</v>
      </c>
      <c r="AN190" s="150" t="str">
        <f t="shared" si="73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7" t="str">
        <f t="shared" si="74"/>
        <v>https://d0f6bd738d7f1b3e5a7ca70fe4ff75f0.us-east-1.aws.found.io/app/kibana#/discover/Steve-Slow-Train-Analysis-(2080s-and-2083s)?_g=(refreshInterval:(display:Off,pause:!f,section:0,value:0),time:(from:'2017-11-16T15:26:10-0700',mode:absolute,to:'2017-11-16T17:55:49-0700'))&amp;_a=(columns:!('Message%20ID',Summary),filters:!(),index:'emp_*',interval:auto,query:(query_string:(analyze_wildcard:!t,query:'%22rtdc.l.rtdc.4012%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831</v>
      </c>
      <c r="B191" s="7">
        <v>4011</v>
      </c>
      <c r="C191" s="21" t="s">
        <v>192</v>
      </c>
      <c r="D191" s="21" t="s">
        <v>1059</v>
      </c>
      <c r="E191" s="13">
        <v>43055.706400462965</v>
      </c>
      <c r="F191" s="13">
        <v>43055.716666666667</v>
      </c>
      <c r="G191" s="7">
        <v>64</v>
      </c>
      <c r="H191" s="21" t="s">
        <v>1060</v>
      </c>
      <c r="I191" s="13">
        <v>43055.725370370368</v>
      </c>
      <c r="J191" s="7">
        <v>0</v>
      </c>
      <c r="K191" s="89" t="str">
        <f t="shared" si="61"/>
        <v>4011/4012</v>
      </c>
      <c r="L191" s="184" t="str">
        <f>VLOOKUP(A191,'Trips&amp;Operators'!$C$1:$G$99911,5,FALSE)</f>
        <v>RESPASS AARON</v>
      </c>
      <c r="M191" s="6">
        <f t="shared" si="62"/>
        <v>8.703703701030463E-3</v>
      </c>
      <c r="N191" s="7">
        <f t="shared" si="96"/>
        <v>12.533333329483867</v>
      </c>
      <c r="O191" s="7"/>
      <c r="P191" s="7"/>
      <c r="Q191" s="22"/>
      <c r="R191" s="173"/>
      <c r="S191" s="220">
        <f t="shared" si="97"/>
        <v>1</v>
      </c>
      <c r="T191" s="173" t="str">
        <f t="shared" si="63"/>
        <v>Southbound</v>
      </c>
      <c r="U191" s="19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5" t="str">
        <f t="shared" si="64"/>
        <v>https://d0f6bd738d7f1b3e5a7ca70fe4ff75f0.us-east-1.aws.found.io/app/kibana#/discover/Steve-Slow-Train-Analysis-(2080s-and-2083s)?_g=(refreshInterval:(display:Off,pause:!f,section:0,value:0),time:(from:'2017-11-16T15:57:13-0700',mode:absolute,to:'2017-11-16T18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203" t="str">
        <f>IF(AA191&lt;VLOOKUP(AG191,Variables!$AC$3:$AD$8,2,FALSE),"Y","N")</f>
        <v>N</v>
      </c>
      <c r="X191" s="203">
        <f t="shared" si="93"/>
        <v>1</v>
      </c>
      <c r="Y191" s="203">
        <f t="shared" si="85"/>
        <v>5.8613</v>
      </c>
      <c r="Z191" s="203">
        <f t="shared" si="86"/>
        <v>7.7299999999999994E-2</v>
      </c>
      <c r="AA191" s="203">
        <f t="shared" si="65"/>
        <v>5.7839999999999998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8">
        <f t="shared" si="66"/>
        <v>832</v>
      </c>
      <c r="AE191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91" s="74" t="str">
        <f t="shared" si="68"/>
        <v>"C:\Program Files (x86)\AstroGrep\AstroGrep.exe" /e /r /s /spath="%USERPROFILE%\AppData\Local\Temp\OnboardLogs" /stypes="app*4011*20171117*" /stext=" 00:.+((SYSTEM_STATE.+slice.+state.+changed )|(ment ac)|(multiple cpu faults)|(system.+state.+changed )|(\[timeout)|(PRM\|1\|D)|(kpr)|(kdp)|(train st.+moving)|(\|lc)|(penalty))"</v>
      </c>
      <c r="AG191" s="181" t="str">
        <f t="shared" si="69"/>
        <v>NW</v>
      </c>
      <c r="AH191" s="78" t="str">
        <f t="shared" si="70"/>
        <v>"%USERPROFILE%\Documents\GitHub\eaglep3\Utilities\RefineRTDCRunTimes.py" --tripid 832-16 --locoid 4011 --swversion DE.1.0.9.0 --startMP 300:58613 --initTime 2017-11-16T16:57:13 --startdatetime 2017-11-16T17:12:00 --delay 64 --endMP 204:773 --enddatetime 2017-11-16T17:24:32 --enforcementcount 0 &gt;&gt;%USERPROFILE%\Documents\GitHub\eaglep3-reporting\EC\2017-11-16-refined-times.txt</v>
      </c>
      <c r="AI191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{"issue":{"subject":"","project_id":79,"tracker_id":40,"status_id":1,"priority_id":2,"assigned_to_id":338,"start_date":"2017-11-16","description":"","custom_fields":[{"id":1,"name":"Subdivision","value":"NW"},{"id":4,"name":"Milepost","value":"0.0773"},{"id":17,"name":"Train ID","value":"832-16"},{"id":16,"name":"Locomotive ID","value":"4011"},{"id":130,"name":"Impact","value":""},{"id":150,"name":"Time of Event (Mountain Time)","value":"17:24:32"},{"id":151,"name":"Denver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1" t="str">
        <f t="shared" si="72"/>
        <v>start /low /b %USERPROFILE%\Documents\GitHub\eaglep3\Utilities\DownloadLogsFromS3.py --loco 4011 --day 2017-11-16</v>
      </c>
      <c r="AN191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7" t="str">
        <f t="shared" si="74"/>
        <v>https://d0f6bd738d7f1b3e5a7ca70fe4ff75f0.us-east-1.aws.found.io/app/kibana#/discover/Steve-Slow-Train-Analysis-(2080s-and-2083s)?_g=(refreshInterval:(display:Off,pause:!f,section:0,value:0),time:(from:'2017-11-16T15:57:13-0700',mode:absolute,to:'2017-11-16T18:24:32-0700'))&amp;_a=(columns:!('Message%20ID',Summary),filters:!(),index:'emp_*',interval:auto,query:(query_string:(analyze_wildcard:!t,query:'%22rtdc.l.rtdc.4011%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665</v>
      </c>
      <c r="B192" s="7">
        <v>4042</v>
      </c>
      <c r="C192" s="21" t="s">
        <v>192</v>
      </c>
      <c r="D192" s="21" t="s">
        <v>1061</v>
      </c>
      <c r="E192" s="13">
        <v>43055.710578703707</v>
      </c>
      <c r="F192" s="13">
        <v>43055.715138888889</v>
      </c>
      <c r="G192" s="7">
        <v>85</v>
      </c>
      <c r="H192" s="21" t="s">
        <v>1062</v>
      </c>
      <c r="I192" s="13">
        <v>43055.725208333337</v>
      </c>
      <c r="J192" s="7">
        <v>0</v>
      </c>
      <c r="K192" s="89" t="str">
        <f t="shared" si="61"/>
        <v>4041/4042</v>
      </c>
      <c r="L192" s="184" t="str">
        <f>VLOOKUP(A192,'Trips&amp;Operators'!$C$1:$G$99911,5,FALSE)</f>
        <v>ANDREA WILLIAMS</v>
      </c>
      <c r="M192" s="6">
        <f t="shared" si="62"/>
        <v>1.0069444448163267E-2</v>
      </c>
      <c r="N192" s="7">
        <f t="shared" si="96"/>
        <v>14.500000005355105</v>
      </c>
      <c r="O192" s="7"/>
      <c r="P192" s="7"/>
      <c r="Q192" s="22"/>
      <c r="R192" s="173"/>
      <c r="S192" s="220">
        <f t="shared" si="97"/>
        <v>1</v>
      </c>
      <c r="T192" s="173" t="str">
        <f t="shared" si="63"/>
        <v>NorthBound</v>
      </c>
      <c r="U192" s="19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5" t="str">
        <f t="shared" si="64"/>
        <v>https://d0f6bd738d7f1b3e5a7ca70fe4ff75f0.us-east-1.aws.found.io/app/kibana#/discover/Steve-Slow-Train-Analysis-(2080s-and-2083s)?_g=(refreshInterval:(display:Off,pause:!f,section:0,value:0),time:(from:'2017-11-16T16:03:14-0700',mode:absolute,to:'2017-11-16T18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203" t="str">
        <f>IF(AA192&lt;VLOOKUP(AG192,Variables!$AC$3:$AD$8,2,FALSE),"Y","N")</f>
        <v>N</v>
      </c>
      <c r="X192" s="203">
        <f t="shared" si="93"/>
        <v>1</v>
      </c>
      <c r="Y192" s="203">
        <f t="shared" si="85"/>
        <v>9.64E-2</v>
      </c>
      <c r="Z192" s="203">
        <f t="shared" si="86"/>
        <v>5.8912000000000004</v>
      </c>
      <c r="AA192" s="203">
        <f t="shared" si="65"/>
        <v>5.7948000000000004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8">
        <f t="shared" si="66"/>
        <v>833</v>
      </c>
      <c r="AE192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92" s="74" t="str">
        <f t="shared" si="68"/>
        <v>"C:\Program Files (x86)\AstroGrep\AstroGrep.exe" /e /r /s /spath="%USERPROFILE%\AppData\Local\Temp\OnboardLogs" /stypes="app*4042*20171117*" /stext=" 00:.+((SYSTEM_STATE.+slice.+state.+changed )|(ment ac)|(multiple cpu faults)|(system.+state.+changed )|(\[timeout)|(PRM\|1\|D)|(kpr)|(kdp)|(train st.+moving)|(\|lc)|(penalty))"</v>
      </c>
      <c r="AG192" s="181" t="str">
        <f t="shared" si="69"/>
        <v>NW</v>
      </c>
      <c r="AH192" s="78" t="str">
        <f t="shared" si="70"/>
        <v>"%USERPROFILE%\Documents\GitHub\eaglep3\Utilities\RefineRTDCRunTimes.py" --tripid 833-16 --locoid 4042 --swversion DE.1.0.9.0 --startMP 204:964 --initTime 2017-11-16T17:03:14 --startdatetime 2017-11-16T17:09:48 --delay 85 --endMP 300:58912 --enddatetime 2017-11-16T17:24:18 --enforcementcount 0 &gt;&gt;%USERPROFILE%\Documents\GitHub\eaglep3-reporting\EC\2017-11-16-refined-times.txt</v>
      </c>
      <c r="AI192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{"issue":{"subject":"","project_id":79,"tracker_id":40,"status_id":1,"priority_id":2,"assigned_to_id":338,"start_date":"2017-11-16","description":"","custom_fields":[{"id":1,"name":"Subdivision","value":"NW"},{"id":4,"name":"Milepost","value":"5.8912"},{"id":17,"name":"Train ID","value":"833-16"},{"id":16,"name":"Locomotive ID","value":"4042"},{"id":130,"name":"Impact","value":""},{"id":150,"name":"Time of Event (Mountain Time)","value":"17:24:18"},{"id":151,"name":"Denver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1" t="str">
        <f t="shared" si="72"/>
        <v>start /low /b %USERPROFILE%\Documents\GitHub\eaglep3\Utilities\DownloadLogsFromS3.py --loco 4042 --day 2017-11-16</v>
      </c>
      <c r="AN192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7" t="str">
        <f t="shared" si="74"/>
        <v>https://d0f6bd738d7f1b3e5a7ca70fe4ff75f0.us-east-1.aws.found.io/app/kibana#/discover/Steve-Slow-Train-Analysis-(2080s-and-2083s)?_g=(refreshInterval:(display:Off,pause:!f,section:0,value:0),time:(from:'2017-11-16T16:03:14-0700',mode:absolute,to:'2017-11-16T18:24:18-0700'))&amp;_a=(columns:!('Message%20ID',Summary),filters:!(),index:'emp_*',interval:auto,query:(query_string:(analyze_wildcard:!t,query:'%22rtdc.l.rtdc.4042%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836</v>
      </c>
      <c r="B193" s="7">
        <v>4041</v>
      </c>
      <c r="C193" s="21" t="s">
        <v>192</v>
      </c>
      <c r="D193" s="21" t="s">
        <v>1063</v>
      </c>
      <c r="E193" s="13">
        <v>43055.735208333332</v>
      </c>
      <c r="F193" s="13">
        <v>43055.738344907404</v>
      </c>
      <c r="G193" s="7">
        <v>99</v>
      </c>
      <c r="H193" s="21" t="s">
        <v>1064</v>
      </c>
      <c r="I193" s="13">
        <v>43055.748414351852</v>
      </c>
      <c r="J193" s="7">
        <v>0</v>
      </c>
      <c r="K193" s="89" t="str">
        <f t="shared" si="61"/>
        <v>4041/4042</v>
      </c>
      <c r="L193" s="184" t="str">
        <f>VLOOKUP(A193,'Trips&amp;Operators'!$C$1:$G$99911,5,FALSE)</f>
        <v>ANDREA WILLIAMS</v>
      </c>
      <c r="M193" s="6">
        <f t="shared" si="62"/>
        <v>1.0069444448163267E-2</v>
      </c>
      <c r="N193" s="7">
        <f t="shared" si="96"/>
        <v>14.500000005355105</v>
      </c>
      <c r="O193" s="7"/>
      <c r="P193" s="7"/>
      <c r="Q193" s="22"/>
      <c r="R193" s="173"/>
      <c r="S193" s="220">
        <f t="shared" si="97"/>
        <v>1</v>
      </c>
      <c r="T193" s="173" t="str">
        <f t="shared" si="63"/>
        <v>Southbound</v>
      </c>
      <c r="U193" s="19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5" t="str">
        <f t="shared" si="64"/>
        <v>https://d0f6bd738d7f1b3e5a7ca70fe4ff75f0.us-east-1.aws.found.io/app/kibana#/discover/Steve-Slow-Train-Analysis-(2080s-and-2083s)?_g=(refreshInterval:(display:Off,pause:!f,section:0,value:0),time:(from:'2017-11-16T16:38:42-0700',mode:absolute,to:'2017-11-16T18:57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203" t="str">
        <f>IF(AA193&lt;VLOOKUP(AG193,Variables!$AC$3:$AD$8,2,FALSE),"Y","N")</f>
        <v>N</v>
      </c>
      <c r="X193" s="203">
        <f t="shared" si="93"/>
        <v>1</v>
      </c>
      <c r="Y193" s="203">
        <f t="shared" si="85"/>
        <v>5.7260999999999997</v>
      </c>
      <c r="Z193" s="203">
        <f t="shared" si="86"/>
        <v>7.4999999999999997E-2</v>
      </c>
      <c r="AA193" s="203">
        <f t="shared" si="65"/>
        <v>5.6510999999999996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8">
        <f t="shared" si="66"/>
        <v>834</v>
      </c>
      <c r="AE193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93" s="74" t="str">
        <f t="shared" si="68"/>
        <v>"C:\Program Files (x86)\AstroGrep\AstroGrep.exe" /e /r /s /spath="%USERPROFILE%\AppData\Local\Temp\OnboardLogs" /stypes="app*4041*20171117*" /stext=" 00:.+((SYSTEM_STATE.+slice.+state.+changed )|(ment ac)|(multiple cpu faults)|(system.+state.+changed )|(\[timeout)|(PRM\|1\|D)|(kpr)|(kdp)|(train st.+moving)|(\|lc)|(penalty))"</v>
      </c>
      <c r="AG193" s="181" t="str">
        <f t="shared" si="69"/>
        <v>NW</v>
      </c>
      <c r="AH193" s="78" t="str">
        <f t="shared" si="70"/>
        <v>"%USERPROFILE%\Documents\GitHub\eaglep3\Utilities\RefineRTDCRunTimes.py" --tripid 834-16 --locoid 4041 --swversion DE.1.0.9.0 --startMP 300:57261 --initTime 2017-11-16T17:38:42 --startdatetime 2017-11-16T17:43:13 --delay 99 --endMP 204:750 --enddatetime 2017-11-16T17:57:43 --enforcementcount 0 &gt;&gt;%USERPROFILE%\Documents\GitHub\eaglep3-reporting\EC\2017-11-16-refined-times.txt</v>
      </c>
      <c r="AI193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{"issue":{"subject":"","project_id":79,"tracker_id":40,"status_id":1,"priority_id":2,"assigned_to_id":338,"start_date":"2017-11-16","description":"","custom_fields":[{"id":1,"name":"Subdivision","value":"NW"},{"id":4,"name":"Milepost","value":"0.075"},{"id":17,"name":"Train ID","value":"834-16"},{"id":16,"name":"Locomotive ID","value":"4041"},{"id":130,"name":"Impact","value":""},{"id":150,"name":"Time of Event (Mountain Time)","value":"17:57:43"},{"id":151,"name":"Denver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1" t="str">
        <f t="shared" si="72"/>
        <v>start /low /b %USERPROFILE%\Documents\GitHub\eaglep3\Utilities\DownloadLogsFromS3.py --loco 4041 --day 2017-11-16</v>
      </c>
      <c r="AN193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7" t="str">
        <f t="shared" si="74"/>
        <v>https://d0f6bd738d7f1b3e5a7ca70fe4ff75f0.us-east-1.aws.found.io/app/kibana#/discover/Steve-Slow-Train-Analysis-(2080s-and-2083s)?_g=(refreshInterval:(display:Off,pause:!f,section:0,value:0),time:(from:'2017-11-16T16:38:42-0700',mode:absolute,to:'2017-11-16T18:57:43-0700'))&amp;_a=(columns:!('Message%20ID',Summary),filters:!(),index:'emp_*',interval:auto,query:(query_string:(analyze_wildcard:!t,query:'%22rtdc.l.rtdc.4041%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666</v>
      </c>
      <c r="B194" s="7">
        <v>4012</v>
      </c>
      <c r="C194" s="21" t="s">
        <v>192</v>
      </c>
      <c r="D194" s="21" t="s">
        <v>1066</v>
      </c>
      <c r="E194" s="13">
        <v>43055.732395833336</v>
      </c>
      <c r="F194" s="13">
        <v>43055.735567129632</v>
      </c>
      <c r="G194" s="7">
        <v>55</v>
      </c>
      <c r="H194" s="21" t="s">
        <v>1047</v>
      </c>
      <c r="I194" s="13">
        <v>43055.747777777775</v>
      </c>
      <c r="J194" s="7">
        <v>0</v>
      </c>
      <c r="K194" s="89" t="str">
        <f t="shared" si="61"/>
        <v>4011/4012</v>
      </c>
      <c r="L194" s="184" t="str">
        <f>VLOOKUP(A194,'Trips&amp;Operators'!$C$1:$G$99911,5,FALSE)</f>
        <v>RESPASS AARON</v>
      </c>
      <c r="M194" s="6">
        <f t="shared" si="62"/>
        <v>1.2210648143081926E-2</v>
      </c>
      <c r="N194" s="7">
        <f t="shared" si="96"/>
        <v>17.583333326037973</v>
      </c>
      <c r="O194" s="7"/>
      <c r="P194" s="7"/>
      <c r="Q194" s="22"/>
      <c r="R194" s="173"/>
      <c r="S194" s="220">
        <f t="shared" si="97"/>
        <v>1</v>
      </c>
      <c r="T194" s="173" t="str">
        <f t="shared" si="63"/>
        <v>NorthBound</v>
      </c>
      <c r="U194" s="19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5" t="str">
        <f t="shared" si="64"/>
        <v>https://d0f6bd738d7f1b3e5a7ca70fe4ff75f0.us-east-1.aws.found.io/app/kibana#/discover/Steve-Slow-Train-Analysis-(2080s-and-2083s)?_g=(refreshInterval:(display:Off,pause:!f,section:0,value:0),time:(from:'2017-11-16T16:34:39-0700',mode:absolute,to:'2017-11-16T18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203" t="str">
        <f>IF(AA194&lt;VLOOKUP(AG194,Variables!$AC$3:$AD$8,2,FALSE),"Y","N")</f>
        <v>N</v>
      </c>
      <c r="X194" s="203">
        <f t="shared" ref="X194:X195" si="98">VALUE(LEFT(AD194,4))-VALUE(LEFT(AD193,4))</f>
        <v>1</v>
      </c>
      <c r="Y194" s="203">
        <f t="shared" si="85"/>
        <v>0.10580000000000001</v>
      </c>
      <c r="Z194" s="203">
        <f t="shared" si="86"/>
        <v>5.8924000000000003</v>
      </c>
      <c r="AA194" s="203">
        <f t="shared" si="65"/>
        <v>5.7866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8">
        <f t="shared" si="66"/>
        <v>835</v>
      </c>
      <c r="AE194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94" s="74" t="str">
        <f t="shared" si="68"/>
        <v>"C:\Program Files (x86)\AstroGrep\AstroGrep.exe" /e /r /s /spath="%USERPROFILE%\AppData\Local\Temp\OnboardLogs" /stypes="app*4012*20171117*" /stext=" 00:.+((SYSTEM_STATE.+slice.+state.+changed )|(ment ac)|(multiple cpu faults)|(system.+state.+changed )|(\[timeout)|(PRM\|1\|D)|(kpr)|(kdp)|(train st.+moving)|(\|lc)|(penalty))"</v>
      </c>
      <c r="AG194" s="181" t="str">
        <f t="shared" si="69"/>
        <v>NW</v>
      </c>
      <c r="AH194" s="78" t="str">
        <f t="shared" si="70"/>
        <v>"%USERPROFILE%\Documents\GitHub\eaglep3\Utilities\RefineRTDCRunTimes.py" --tripid 835-16 --locoid 4012 --swversion DE.1.0.9.0 --startMP 204:1058 --initTime 2017-11-16T17:34:39 --startdatetime 2017-11-16T17:39:13 --delay 55 --endMP 300:58924 --enddatetime 2017-11-16T17:56:48 --enforcementcount 0 &gt;&gt;%USERPROFILE%\Documents\GitHub\eaglep3-reporting\EC\2017-11-16-refined-times.txt</v>
      </c>
      <c r="AI194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{"issue":{"subject":"","project_id":79,"tracker_id":40,"status_id":1,"priority_id":2,"assigned_to_id":338,"start_date":"2017-11-16","description":"","custom_fields":[{"id":1,"name":"Subdivision","value":"NW"},{"id":4,"name":"Milepost","value":"5.8924"},{"id":17,"name":"Train ID","value":"835-16"},{"id":16,"name":"Locomotive ID","value":"4012"},{"id":130,"name":"Impact","value":""},{"id":150,"name":"Time of Event (Mountain Time)","value":"17:56:48"},{"id":151,"name":"Denver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1" t="str">
        <f t="shared" si="72"/>
        <v>start /low /b %USERPROFILE%\Documents\GitHub\eaglep3\Utilities\DownloadLogsFromS3.py --loco 4012 --day 2017-11-16</v>
      </c>
      <c r="AN194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00:56:48"},{"id":29,"name":"Sharepoint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7" t="str">
        <f t="shared" si="74"/>
        <v>https://d0f6bd738d7f1b3e5a7ca70fe4ff75f0.us-east-1.aws.found.io/app/kibana#/discover/Steve-Slow-Train-Analysis-(2080s-and-2083s)?_g=(refreshInterval:(display:Off,pause:!f,section:0,value:0),time:(from:'2017-11-16T16:34:39-0700',mode:absolute,to:'2017-11-16T18:56:48-0700'))&amp;_a=(columns:!('Message%20ID',Summary),filters:!(),index:'emp_*',interval:auto,query:(query_string:(analyze_wildcard:!t,query:'%22rtdc.l.rtdc.4012%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839</v>
      </c>
      <c r="B195" s="7">
        <v>4011</v>
      </c>
      <c r="C195" s="21" t="s">
        <v>192</v>
      </c>
      <c r="D195" s="21" t="s">
        <v>1059</v>
      </c>
      <c r="E195" s="13">
        <v>43055.749710648146</v>
      </c>
      <c r="F195" s="13">
        <v>43055.756944444445</v>
      </c>
      <c r="G195" s="7">
        <v>82</v>
      </c>
      <c r="H195" s="21" t="s">
        <v>1067</v>
      </c>
      <c r="I195" s="13">
        <v>43055.767453703702</v>
      </c>
      <c r="J195" s="7">
        <v>0</v>
      </c>
      <c r="K195" s="89" t="str">
        <f t="shared" si="61"/>
        <v>4011/4012</v>
      </c>
      <c r="L195" s="184" t="str">
        <f>VLOOKUP(A195,'Trips&amp;Operators'!$C$1:$G$99911,5,FALSE)</f>
        <v>RESPASS AARON</v>
      </c>
      <c r="M195" s="6">
        <f t="shared" si="62"/>
        <v>1.0509259256650694E-2</v>
      </c>
      <c r="N195" s="7">
        <f t="shared" si="96"/>
        <v>15.133333329576999</v>
      </c>
      <c r="O195" s="7"/>
      <c r="P195" s="7"/>
      <c r="Q195" s="22"/>
      <c r="R195" s="173"/>
      <c r="S195" s="220">
        <f t="shared" si="97"/>
        <v>1</v>
      </c>
      <c r="T195" s="173" t="str">
        <f t="shared" si="63"/>
        <v>Southbound</v>
      </c>
      <c r="U195" s="19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5" t="str">
        <f t="shared" si="64"/>
        <v>https://d0f6bd738d7f1b3e5a7ca70fe4ff75f0.us-east-1.aws.found.io/app/kibana#/discover/Steve-Slow-Train-Analysis-(2080s-and-2083s)?_g=(refreshInterval:(display:Off,pause:!f,section:0,value:0),time:(from:'2017-11-16T16:59:35-0700',mode:absolute,to:'2017-11-16T19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203" t="str">
        <f>IF(AA195&lt;VLOOKUP(AG195,Variables!$AC$3:$AD$8,2,FALSE),"Y","N")</f>
        <v>N</v>
      </c>
      <c r="X195" s="203">
        <f t="shared" si="98"/>
        <v>1</v>
      </c>
      <c r="Y195" s="203">
        <f t="shared" si="85"/>
        <v>5.8613</v>
      </c>
      <c r="Z195" s="203">
        <f t="shared" si="86"/>
        <v>8.0100000000000005E-2</v>
      </c>
      <c r="AA195" s="203">
        <f t="shared" si="65"/>
        <v>5.7812000000000001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8">
        <f t="shared" si="66"/>
        <v>836</v>
      </c>
      <c r="AE195" s="77" t="str">
        <f t="shared" si="67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195" s="74" t="str">
        <f t="shared" si="68"/>
        <v>"C:\Program Files (x86)\AstroGrep\AstroGrep.exe" /e /r /s /spath="%USERPROFILE%\AppData\Local\Temp\OnboardLogs" /stypes="app*4011*20171117*" /stext=" 01:.+((SYSTEM_STATE.+slice.+state.+changed )|(ment ac)|(multiple cpu faults)|(system.+state.+changed )|(\[timeout)|(PRM\|1\|D)|(kpr)|(kdp)|(train st.+moving)|(\|lc)|(penalty))"</v>
      </c>
      <c r="AG195" s="181" t="str">
        <f t="shared" si="69"/>
        <v>NW</v>
      </c>
      <c r="AH195" s="78" t="str">
        <f t="shared" si="70"/>
        <v>"%USERPROFILE%\Documents\GitHub\eaglep3\Utilities\RefineRTDCRunTimes.py" --tripid 836-16 --locoid 4011 --swversion DE.1.0.9.0 --startMP 300:58613 --initTime 2017-11-16T17:59:35 --startdatetime 2017-11-16T18:10:00 --delay 82 --endMP 204:801 --enddatetime 2017-11-16T18:25:08 --enforcementcount 0 &gt;&gt;%USERPROFILE%\Documents\GitHub\eaglep3-reporting\EC\2017-11-16-refined-times.txt</v>
      </c>
      <c r="AI195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{"issue":{"subject":"","project_id":79,"tracker_id":40,"status_id":1,"priority_id":2,"assigned_to_id":338,"start_date":"2017-11-16","description":"","custom_fields":[{"id":1,"name":"Subdivision","value":"NW"},{"id":4,"name":"Milepost","value":"0.0801"},{"id":17,"name":"Train ID","value":"836-16"},{"id":16,"name":"Locomotive ID","value":"4011"},{"id":130,"name":"Impact","value":""},{"id":150,"name":"Time of Event (Mountain Time)","value":"18:25:08"},{"id":151,"name":"Denver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1" t="str">
        <f t="shared" si="72"/>
        <v>start /low /b %USERPROFILE%\Documents\GitHub\eaglep3\Utilities\DownloadLogsFromS3.py --loco 4011 --day 2017-11-16</v>
      </c>
      <c r="AN195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7" t="str">
        <f t="shared" si="74"/>
        <v>https://d0f6bd738d7f1b3e5a7ca70fe4ff75f0.us-east-1.aws.found.io/app/kibana#/discover/Steve-Slow-Train-Analysis-(2080s-and-2083s)?_g=(refreshInterval:(display:Off,pause:!f,section:0,value:0),time:(from:'2017-11-16T16:59:35-0700',mode:absolute,to:'2017-11-16T19:25:08-0700'))&amp;_a=(columns:!('Message%20ID',Summary),filters:!(),index:'emp_*',interval:auto,query:(query_string:(analyze_wildcard:!t,query:'%22rtdc.l.rtdc.4011%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841</v>
      </c>
      <c r="B196" s="7">
        <v>4042</v>
      </c>
      <c r="C196" s="21" t="s">
        <v>192</v>
      </c>
      <c r="D196" s="21" t="s">
        <v>1059</v>
      </c>
      <c r="E196" s="13">
        <v>43055.749710648146</v>
      </c>
      <c r="F196" s="13">
        <v>43055.756504629629</v>
      </c>
      <c r="G196" s="7">
        <v>82</v>
      </c>
      <c r="H196" s="21" t="s">
        <v>1067</v>
      </c>
      <c r="I196" s="13">
        <v>43055.766504629632</v>
      </c>
      <c r="J196" s="7">
        <v>0</v>
      </c>
      <c r="K196" s="89" t="str">
        <f t="shared" si="61"/>
        <v>4041/4042</v>
      </c>
      <c r="L196" s="184" t="str">
        <f>VLOOKUP(A196,'Trips&amp;Operators'!$C$1:$G$99911,5,FALSE)</f>
        <v>ANDREA WILLIAMS</v>
      </c>
      <c r="M196" s="6">
        <f t="shared" si="62"/>
        <v>1.0000000002037268E-2</v>
      </c>
      <c r="N196" s="7">
        <f t="shared" si="96"/>
        <v>14.400000002933666</v>
      </c>
      <c r="O196" s="7"/>
      <c r="P196" s="7"/>
      <c r="Q196" s="22"/>
      <c r="R196" s="173"/>
      <c r="S196" s="220">
        <f t="shared" si="97"/>
        <v>1</v>
      </c>
      <c r="T196" s="173" t="str">
        <f t="shared" si="63"/>
        <v>NorthBound</v>
      </c>
      <c r="U196" s="19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5" t="str">
        <f t="shared" si="64"/>
        <v>https://d0f6bd738d7f1b3e5a7ca70fe4ff75f0.us-east-1.aws.found.io/app/kibana#/discover/Steve-Slow-Train-Analysis-(2080s-and-2083s)?_g=(refreshInterval:(display:Off,pause:!f,section:0,value:0),time:(from:'2017-11-16T16:59:35-0700',mode:absolute,to:'2017-11-16T19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203" t="str">
        <f>IF(AA196&lt;VLOOKUP(AG196,Variables!$AC$3:$AD$8,2,FALSE),"Y","N")</f>
        <v>N</v>
      </c>
      <c r="X196" s="203">
        <f t="shared" ref="X196:X198" si="99">VALUE(LEFT(AD196,4))-VALUE(LEFT(AD195,4))</f>
        <v>1</v>
      </c>
      <c r="Y196" s="203">
        <v>0.10580000000000001</v>
      </c>
      <c r="Z196" s="203">
        <v>5.8924000000000003</v>
      </c>
      <c r="AA196" s="203">
        <f t="shared" si="65"/>
        <v>5.7866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8">
        <f t="shared" si="66"/>
        <v>837</v>
      </c>
      <c r="AE196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196" s="74" t="str">
        <f t="shared" si="68"/>
        <v>"C:\Program Files (x86)\AstroGrep\AstroGrep.exe" /e /r /s /spath="%USERPROFILE%\AppData\Local\Temp\OnboardLogs" /stypes="app*4042*20171117*" /stext=" 01:.+((SYSTEM_STATE.+slice.+state.+changed )|(ment ac)|(multiple cpu faults)|(system.+state.+changed )|(\[timeout)|(PRM\|1\|D)|(kpr)|(kdp)|(train st.+moving)|(\|lc)|(penalty))"</v>
      </c>
      <c r="AG196" s="181" t="str">
        <f t="shared" si="69"/>
        <v>NW</v>
      </c>
      <c r="AH196" s="78" t="str">
        <f t="shared" ref="AH196" si="100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837-16 --locoid 4042 --swversion DE.1.0.9.0 --startMP 300:58613 --initTime 2017-11-16T17:59:35 --startdatetime 2017-11-16T18:09:22 --delay 82 --endMP 204:801 --enddatetime 2017-11-16T18:23:46 --enforcementcount 0 &gt;&gt;%USERPROFILE%\Documents\GitHub\eaglep3-reporting\EC\2017-11-16-refined-times.txt</v>
      </c>
      <c r="AI196" s="96" t="str">
        <f t="shared" ref="AI196" si="101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{"issue":{"subject":"","project_id":79,"tracker_id":40,"status_id":1,"priority_id":2,"assigned_to_id":338,"start_date":"2017-11-16","description":"","custom_fields":[{"id":1,"name":"Subdivision","value":"NW"},{"id":4,"name":"Milepost","value":"5.8924"},{"id":17,"name":"Train ID","value":"837-16"},{"id":16,"name":"Locomotive ID","value":"4042"},{"id":130,"name":"Impact","value":""},{"id":150,"name":"Time of Event (Mountain Time)","value":"18:23:46"},{"id":151,"name":"Denver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1" t="str">
        <f t="shared" ref="AM196" si="102">"start /low /b "&amp;dls3logs&amp;" --loco "&amp;B196&amp;" --day "&amp;TEXT(F196,"YYYY-MM-DD")</f>
        <v>start /low /b %USERPROFILE%\Documents\GitHub\eaglep3\Utilities\DownloadLogsFromS3.py --loco 4042 --day 2017-11-16</v>
      </c>
      <c r="AN196" s="150" t="str">
        <f t="shared" ref="AN196" si="103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7" t="str">
        <f t="shared" ref="AO196" si="104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-16T16:59:35-0700',mode:absolute,to:'2017-11-16T19:23:46-0700'))&amp;_a=(columns:!('Message%20ID',Summary),filters:!(),index:'emp_*',interval:auto,query:(query_string:(analyze_wildcard:!t,query:'%22rtdc.l.rtdc.4042%22')),sort:!(Time.ISO8601,asc))</v>
      </c>
    </row>
    <row r="197" spans="1:91" s="20" customFormat="1" x14ac:dyDescent="0.25">
      <c r="A197" s="32" t="s">
        <v>847</v>
      </c>
      <c r="B197" s="7">
        <v>4041</v>
      </c>
      <c r="C197" s="21" t="s">
        <v>192</v>
      </c>
      <c r="D197" s="21" t="s">
        <v>1068</v>
      </c>
      <c r="E197" s="13">
        <v>43055.767372685186</v>
      </c>
      <c r="F197" s="13">
        <v>43055.779166666667</v>
      </c>
      <c r="G197" s="7">
        <v>58</v>
      </c>
      <c r="H197" s="21" t="s">
        <v>1069</v>
      </c>
      <c r="I197" s="13">
        <v>43055.787951388891</v>
      </c>
      <c r="J197" s="7">
        <v>0</v>
      </c>
      <c r="K197" s="89" t="str">
        <f t="shared" si="61"/>
        <v>4041/4042</v>
      </c>
      <c r="L197" s="184" t="str">
        <f>VLOOKUP(A197,'Trips&amp;Operators'!$C$1:$G$99911,5,FALSE)</f>
        <v>ANDREA WILLIAMS</v>
      </c>
      <c r="M197" s="6">
        <f t="shared" si="62"/>
        <v>8.7847222239361145E-3</v>
      </c>
      <c r="N197" s="7">
        <f t="shared" si="96"/>
        <v>12.650000002468005</v>
      </c>
      <c r="O197" s="7"/>
      <c r="P197" s="7"/>
      <c r="Q197" s="22"/>
      <c r="R197" s="173"/>
      <c r="S197" s="220">
        <f t="shared" si="97"/>
        <v>1</v>
      </c>
      <c r="T197" s="173" t="str">
        <f t="shared" si="63"/>
        <v>Southbound</v>
      </c>
      <c r="U197" s="19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5" t="str">
        <f t="shared" si="64"/>
        <v>https://d0f6bd738d7f1b3e5a7ca70fe4ff75f0.us-east-1.aws.found.io/app/kibana#/discover/Steve-Slow-Train-Analysis-(2080s-and-2083s)?_g=(refreshInterval:(display:Off,pause:!f,section:0,value:0),time:(from:'2017-11-16T17:25:01-0700',mode:absolute,to:'2017-11-16T19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203" t="str">
        <f>IF(AA197&lt;VLOOKUP(AG197,Variables!$AC$3:$AD$8,2,FALSE),"Y","N")</f>
        <v>N</v>
      </c>
      <c r="X197" s="203">
        <f t="shared" si="99"/>
        <v>1</v>
      </c>
      <c r="Y197" s="203">
        <f t="shared" ref="Y197:Y236" si="105">RIGHT(D197,LEN(D197)-4)/10000</f>
        <v>5.8601999999999999</v>
      </c>
      <c r="Z197" s="203">
        <f t="shared" ref="Z197:Z236" si="106">RIGHT(H197,LEN(H197)-4)/10000</f>
        <v>7.0800000000000002E-2</v>
      </c>
      <c r="AA197" s="203">
        <f t="shared" si="65"/>
        <v>5.7893999999999997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8">
        <f t="shared" si="66"/>
        <v>838</v>
      </c>
      <c r="AE197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97" s="74" t="str">
        <f t="shared" si="68"/>
        <v>"C:\Program Files (x86)\AstroGrep\AstroGrep.exe" /e /r /s /spath="%USERPROFILE%\AppData\Local\Temp\OnboardLogs" /stypes="app*4041*20171117*" /stext=" 01:.+((SYSTEM_STATE.+slice.+state.+changed )|(ment ac)|(multiple cpu faults)|(system.+state.+changed )|(\[timeout)|(PRM\|1\|D)|(kpr)|(kdp)|(train st.+moving)|(\|lc)|(penalty))"</v>
      </c>
      <c r="AG197" s="181" t="str">
        <f t="shared" si="69"/>
        <v>NW</v>
      </c>
      <c r="AH197" s="78" t="str">
        <f t="shared" si="70"/>
        <v>"%USERPROFILE%\Documents\GitHub\eaglep3\Utilities\RefineRTDCRunTimes.py" --tripid 838-16 --locoid 4041 --swversion DE.1.0.9.0 --startMP 300:58602 --initTime 2017-11-16T18:25:01 --startdatetime 2017-11-16T18:42:00 --delay 58 --endMP 204:708 --enddatetime 2017-11-16T18:54:39 --enforcementcount 0 &gt;&gt;%USERPROFILE%\Documents\GitHub\eaglep3-reporting\EC\2017-11-16-refined-times.txt</v>
      </c>
      <c r="AI197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{"issue":{"subject":"","project_id":79,"tracker_id":40,"status_id":1,"priority_id":2,"assigned_to_id":338,"start_date":"2017-11-16","description":"","custom_fields":[{"id":1,"name":"Subdivision","value":"NW"},{"id":4,"name":"Milepost","value":"0.0708"},{"id":17,"name":"Train ID","value":"838-16"},{"id":16,"name":"Locomotive ID","value":"4041"},{"id":130,"name":"Impact","value":""},{"id":150,"name":"Time of Event (Mountain Time)","value":"18:54:39"},{"id":151,"name":"Denver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1" t="str">
        <f t="shared" si="72"/>
        <v>start /low /b %USERPROFILE%\Documents\GitHub\eaglep3\Utilities\DownloadLogsFromS3.py --loco 4041 --day 2017-11-16</v>
      </c>
      <c r="AN197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7" t="str">
        <f t="shared" si="74"/>
        <v>https://d0f6bd738d7f1b3e5a7ca70fe4ff75f0.us-east-1.aws.found.io/app/kibana#/discover/Steve-Slow-Train-Analysis-(2080s-and-2083s)?_g=(refreshInterval:(display:Off,pause:!f,section:0,value:0),time:(from:'2017-11-16T17:25:01-0700',mode:absolute,to:'2017-11-16T19:54:39-0700'))&amp;_a=(columns:!('Message%20ID',Summary),filters:!(),index:'emp_*',interval:auto,query:(query_string:(analyze_wildcard:!t,query:'%22rtdc.l.rtdc.4041%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669</v>
      </c>
      <c r="B198" s="7">
        <v>4012</v>
      </c>
      <c r="C198" s="21" t="s">
        <v>192</v>
      </c>
      <c r="D198" s="21" t="s">
        <v>1070</v>
      </c>
      <c r="E198" s="13">
        <v>43055.775300925925</v>
      </c>
      <c r="F198" s="13">
        <v>43055.777222222219</v>
      </c>
      <c r="G198" s="7">
        <v>48</v>
      </c>
      <c r="H198" s="21" t="s">
        <v>1071</v>
      </c>
      <c r="I198" s="13">
        <v>43055.787523148145</v>
      </c>
      <c r="J198" s="7">
        <v>0</v>
      </c>
      <c r="K198" s="89" t="str">
        <f t="shared" si="61"/>
        <v>4011/4012</v>
      </c>
      <c r="L198" s="184" t="str">
        <f>VLOOKUP(A198,'Trips&amp;Operators'!$C$1:$G$99911,5,FALSE)</f>
        <v>RESPASS AARON</v>
      </c>
      <c r="M198" s="6">
        <f t="shared" si="62"/>
        <v>1.0300925925548654E-2</v>
      </c>
      <c r="N198" s="7">
        <f t="shared" si="96"/>
        <v>14.833333332790062</v>
      </c>
      <c r="O198" s="7"/>
      <c r="P198" s="7"/>
      <c r="Q198" s="22"/>
      <c r="R198" s="173"/>
      <c r="S198" s="220">
        <f t="shared" si="97"/>
        <v>1</v>
      </c>
      <c r="T198" s="173" t="str">
        <f t="shared" si="63"/>
        <v>NorthBound</v>
      </c>
      <c r="U198" s="19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5" t="str">
        <f t="shared" si="64"/>
        <v>https://d0f6bd738d7f1b3e5a7ca70fe4ff75f0.us-east-1.aws.found.io/app/kibana#/discover/Steve-Slow-Train-Analysis-(2080s-and-2083s)?_g=(refreshInterval:(display:Off,pause:!f,section:0,value:0),time:(from:'2017-11-16T17:36:26-0700',mode:absolute,to:'2017-11-16T19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203" t="str">
        <f>IF(AA198&lt;VLOOKUP(AG198,Variables!$AC$3:$AD$8,2,FALSE),"Y","N")</f>
        <v>N</v>
      </c>
      <c r="X198" s="203">
        <f t="shared" si="99"/>
        <v>1</v>
      </c>
      <c r="Y198" s="203">
        <f t="shared" si="105"/>
        <v>0.11119999999999999</v>
      </c>
      <c r="Z198" s="203">
        <f t="shared" si="106"/>
        <v>5.8905000000000003</v>
      </c>
      <c r="AA198" s="203">
        <f t="shared" si="65"/>
        <v>5.7793000000000001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8">
        <f t="shared" si="66"/>
        <v>839</v>
      </c>
      <c r="AE198" s="77" t="str">
        <f t="shared" si="67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198" s="74" t="str">
        <f t="shared" si="68"/>
        <v>"C:\Program Files (x86)\AstroGrep\AstroGrep.exe" /e /r /s /spath="%USERPROFILE%\AppData\Local\Temp\OnboardLogs" /stypes="app*4012*20171117*" /stext=" 01:.+((SYSTEM_STATE.+slice.+state.+changed )|(ment ac)|(multiple cpu faults)|(system.+state.+changed )|(\[timeout)|(PRM\|1\|D)|(kpr)|(kdp)|(train st.+moving)|(\|lc)|(penalty))"</v>
      </c>
      <c r="AG198" s="181" t="str">
        <f t="shared" si="69"/>
        <v>NW</v>
      </c>
      <c r="AH198" s="78" t="str">
        <f t="shared" si="70"/>
        <v>"%USERPROFILE%\Documents\GitHub\eaglep3\Utilities\RefineRTDCRunTimes.py" --tripid 839-16 --locoid 4012 --swversion DE.1.0.9.0 --startMP 204:1112 --initTime 2017-11-16T18:36:26 --startdatetime 2017-11-16T18:39:12 --delay 48 --endMP 300:58905 --enddatetime 2017-11-16T18:54:02 --enforcementcount 0 &gt;&gt;%USERPROFILE%\Documents\GitHub\eaglep3-reporting\EC\2017-11-16-refined-times.txt</v>
      </c>
      <c r="AI198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{"issue":{"subject":"","project_id":79,"tracker_id":40,"status_id":1,"priority_id":2,"assigned_to_id":338,"start_date":"2017-11-16","description":"","custom_fields":[{"id":1,"name":"Subdivision","value":"NW"},{"id":4,"name":"Milepost","value":"5.8905"},{"id":17,"name":"Train ID","value":"839-16"},{"id":16,"name":"Locomotive ID","value":"4012"},{"id":130,"name":"Impact","value":""},{"id":150,"name":"Time of Event (Mountain Time)","value":"18:54:02"},{"id":151,"name":"Denver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1" t="str">
        <f t="shared" si="72"/>
        <v>start /low /b %USERPROFILE%\Documents\GitHub\eaglep3\Utilities\DownloadLogsFromS3.py --loco 4012 --day 2017-11-16</v>
      </c>
      <c r="AN198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7" t="str">
        <f t="shared" si="74"/>
        <v>https://d0f6bd738d7f1b3e5a7ca70fe4ff75f0.us-east-1.aws.found.io/app/kibana#/discover/Steve-Slow-Train-Analysis-(2080s-and-2083s)?_g=(refreshInterval:(display:Off,pause:!f,section:0,value:0),time:(from:'2017-11-16T17:36:26-0700',mode:absolute,to:'2017-11-16T19:54:02-0700'))&amp;_a=(columns:!('Message%20ID',Summary),filters:!(),index:'emp_*',interval:auto,query:(query_string:(analyze_wildcard:!t,query:'%22rtdc.l.rtdc.4012%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858</v>
      </c>
      <c r="B199" s="7">
        <v>4041</v>
      </c>
      <c r="C199" s="21" t="s">
        <v>192</v>
      </c>
      <c r="D199" s="21" t="s">
        <v>1072</v>
      </c>
      <c r="E199" s="13">
        <v>43055.809629629628</v>
      </c>
      <c r="F199" s="13">
        <v>43055.820833333331</v>
      </c>
      <c r="G199" s="7">
        <v>60</v>
      </c>
      <c r="H199" s="21" t="s">
        <v>641</v>
      </c>
      <c r="I199" s="13">
        <v>43055.830312500002</v>
      </c>
      <c r="J199" s="7">
        <v>0</v>
      </c>
      <c r="K199" s="89" t="str">
        <f t="shared" si="61"/>
        <v>4041/4042</v>
      </c>
      <c r="L199" s="184" t="str">
        <f>VLOOKUP(A199,'Trips&amp;Operators'!$C$1:$G$99911,5,FALSE)</f>
        <v>ANDREA WILLIAMS</v>
      </c>
      <c r="M199" s="6">
        <f t="shared" si="62"/>
        <v>9.4791666706441902E-3</v>
      </c>
      <c r="N199" s="7">
        <f t="shared" si="96"/>
        <v>13.650000005727634</v>
      </c>
      <c r="O199" s="7"/>
      <c r="P199" s="7"/>
      <c r="Q199" s="22"/>
      <c r="R199" s="173"/>
      <c r="S199" s="220">
        <f t="shared" si="97"/>
        <v>1</v>
      </c>
      <c r="T199" s="173" t="str">
        <f t="shared" si="63"/>
        <v>Southbound</v>
      </c>
      <c r="U199" s="19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5" t="str">
        <f t="shared" si="64"/>
        <v>https://d0f6bd738d7f1b3e5a7ca70fe4ff75f0.us-east-1.aws.found.io/app/kibana#/discover/Steve-Slow-Train-Analysis-(2080s-and-2083s)?_g=(refreshInterval:(display:Off,pause:!f,section:0,value:0),time:(from:'2017-11-16T18:25:52-0700',mode:absolute,to:'2017-11-16T20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9" s="203" t="str">
        <f>IF(AA199&lt;VLOOKUP(AG199,Variables!$AC$3:$AD$8,2,FALSE),"Y","N")</f>
        <v>N</v>
      </c>
      <c r="X199" s="203">
        <f t="shared" ref="X199:X206" si="107">VALUE(LEFT(AD199,4))-VALUE(LEFT(AD198,4))</f>
        <v>1</v>
      </c>
      <c r="Y199" s="203">
        <f t="shared" si="105"/>
        <v>5.8624999999999998</v>
      </c>
      <c r="Z199" s="203">
        <f t="shared" si="106"/>
        <v>7.7499999999999999E-2</v>
      </c>
      <c r="AA199" s="203">
        <f t="shared" si="65"/>
        <v>5.7850000000000001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8">
        <f t="shared" si="66"/>
        <v>840</v>
      </c>
      <c r="AE199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199" s="74" t="str">
        <f t="shared" si="68"/>
        <v>"C:\Program Files (x86)\AstroGrep\AstroGrep.exe" /e /r /s /spath="%USERPROFILE%\AppData\Local\Temp\OnboardLogs" /stypes="app*4041*20171117*" /stext=" 02:.+((SYSTEM_STATE.+slice.+state.+changed )|(ment ac)|(multiple cpu faults)|(system.+state.+changed )|(\[timeout)|(PRM\|1\|D)|(kpr)|(kdp)|(train st.+moving)|(\|lc)|(penalty))"</v>
      </c>
      <c r="AG199" s="181" t="str">
        <f t="shared" si="69"/>
        <v>NW</v>
      </c>
      <c r="AH199" s="78" t="str">
        <f t="shared" si="70"/>
        <v>"%USERPROFILE%\Documents\GitHub\eaglep3\Utilities\RefineRTDCRunTimes.py" --tripid 840-16 --locoid 4041 --swversion DE.1.0.9.0 --startMP 300:58625 --initTime 2017-11-16T19:25:52 --startdatetime 2017-11-16T19:42:00 --delay 60 --endMP 204:775 --enddatetime 2017-11-16T19:55:39 --enforcementcount 0 &gt;&gt;%USERPROFILE%\Documents\GitHub\eaglep3-reporting\EC\2017-11-16-refined-times.txt</v>
      </c>
      <c r="AI199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{"issue":{"subject":"","project_id":79,"tracker_id":40,"status_id":1,"priority_id":2,"assigned_to_id":338,"start_date":"2017-11-16","description":"","custom_fields":[{"id":1,"name":"Subdivision","value":"NW"},{"id":4,"name":"Milepost","value":"0.0775"},{"id":17,"name":"Train ID","value":"840-16"},{"id":16,"name":"Locomotive ID","value":"4041"},{"id":130,"name":"Impact","value":""},{"id":150,"name":"Time of Event (Mountain Time)","value":"19:55:39"},{"id":151,"name":"Denver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1" t="str">
        <f t="shared" si="72"/>
        <v>start /low /b %USERPROFILE%\Documents\GitHub\eaglep3\Utilities\DownloadLogsFromS3.py --loco 4041 --day 2017-11-16</v>
      </c>
      <c r="AN199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7" t="str">
        <f t="shared" si="74"/>
        <v>https://d0f6bd738d7f1b3e5a7ca70fe4ff75f0.us-east-1.aws.found.io/app/kibana#/discover/Steve-Slow-Train-Analysis-(2080s-and-2083s)?_g=(refreshInterval:(display:Off,pause:!f,section:0,value:0),time:(from:'2017-11-16T18:25:52-0700',mode:absolute,to:'2017-11-16T20:55:39-0700'))&amp;_a=(columns:!('Message%20ID',Summary),filters:!(),index:'emp_*',interval:auto,query:(query_string:(analyze_wildcard:!t,query:'%22rtdc.l.rtdc.4041%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855</v>
      </c>
      <c r="B200" s="7">
        <v>4042</v>
      </c>
      <c r="C200" s="21" t="s">
        <v>192</v>
      </c>
      <c r="D200" s="21" t="s">
        <v>1073</v>
      </c>
      <c r="E200" s="13">
        <v>43055.791388888887</v>
      </c>
      <c r="F200" s="13">
        <v>43055.798449074071</v>
      </c>
      <c r="G200" s="7">
        <v>58</v>
      </c>
      <c r="H200" s="21" t="s">
        <v>644</v>
      </c>
      <c r="I200" s="13">
        <v>43055.80840277778</v>
      </c>
      <c r="J200" s="7">
        <v>0</v>
      </c>
      <c r="K200" s="89" t="str">
        <f t="shared" si="61"/>
        <v>4041/4042</v>
      </c>
      <c r="L200" s="184" t="str">
        <f>VLOOKUP(A200,'Trips&amp;Operators'!$C$1:$G$99911,5,FALSE)</f>
        <v>ANDREA WILLIAMS</v>
      </c>
      <c r="M200" s="6">
        <f t="shared" si="62"/>
        <v>9.9537037094705738E-3</v>
      </c>
      <c r="N200" s="7">
        <f t="shared" si="96"/>
        <v>14.333333341637626</v>
      </c>
      <c r="O200" s="7"/>
      <c r="P200" s="7"/>
      <c r="Q200" s="22"/>
      <c r="R200" s="173"/>
      <c r="S200" s="220">
        <f t="shared" si="97"/>
        <v>1</v>
      </c>
      <c r="T200" s="173" t="str">
        <f t="shared" si="63"/>
        <v>NorthBound</v>
      </c>
      <c r="U200" s="19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5" t="str">
        <f t="shared" si="64"/>
        <v>https://d0f6bd738d7f1b3e5a7ca70fe4ff75f0.us-east-1.aws.found.io/app/kibana#/discover/Steve-Slow-Train-Analysis-(2080s-and-2083s)?_g=(refreshInterval:(display:Off,pause:!f,section:0,value:0),time:(from:'2017-11-16T17:59:36-0700',mode:absolute,to:'2017-11-16T20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203" t="str">
        <f>IF(AA200&lt;VLOOKUP(AG200,Variables!$AC$3:$AD$8,2,FALSE),"Y","N")</f>
        <v>N</v>
      </c>
      <c r="X200" s="203">
        <f t="shared" si="107"/>
        <v>1</v>
      </c>
      <c r="Y200" s="203">
        <f t="shared" si="105"/>
        <v>9.7600000000000006E-2</v>
      </c>
      <c r="Z200" s="203">
        <f t="shared" si="106"/>
        <v>5.8933</v>
      </c>
      <c r="AA200" s="203">
        <f t="shared" si="65"/>
        <v>5.7957000000000001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8">
        <f t="shared" si="66"/>
        <v>841</v>
      </c>
      <c r="AE200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200" s="74" t="str">
        <f t="shared" si="68"/>
        <v>"C:\Program Files (x86)\AstroGrep\AstroGrep.exe" /e /r /s /spath="%USERPROFILE%\AppData\Local\Temp\OnboardLogs" /stypes="app*4042*20171117*" /stext=" 02:.+((SYSTEM_STATE.+slice.+state.+changed )|(ment ac)|(multiple cpu faults)|(system.+state.+changed )|(\[timeout)|(PRM\|1\|D)|(kpr)|(kdp)|(train st.+moving)|(\|lc)|(penalty))"</v>
      </c>
      <c r="AG200" s="181" t="str">
        <f t="shared" si="69"/>
        <v>NW</v>
      </c>
      <c r="AH200" s="78" t="str">
        <f t="shared" si="70"/>
        <v>"%USERPROFILE%\Documents\GitHub\eaglep3\Utilities\RefineRTDCRunTimes.py" --tripid 841-16 --locoid 4042 --swversion DE.1.0.9.0 --startMP 204:976 --initTime 2017-11-16T18:59:36 --startdatetime 2017-11-16T19:09:46 --delay 58 --endMP 300:58933 --enddatetime 2017-11-16T19:24:06 --enforcementcount 0 &gt;&gt;%USERPROFILE%\Documents\GitHub\eaglep3-reporting\EC\2017-11-16-refined-times.txt</v>
      </c>
      <c r="AI200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{"issue":{"subject":"","project_id":79,"tracker_id":40,"status_id":1,"priority_id":2,"assigned_to_id":338,"start_date":"2017-11-16","description":"","custom_fields":[{"id":1,"name":"Subdivision","value":"NW"},{"id":4,"name":"Milepost","value":"5.8933"},{"id":17,"name":"Train ID","value":"841-16"},{"id":16,"name":"Locomotive ID","value":"4042"},{"id":130,"name":"Impact","value":""},{"id":150,"name":"Time of Event (Mountain Time)","value":"19:24:06"},{"id":151,"name":"Denver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1" t="str">
        <f t="shared" si="72"/>
        <v>start /low /b %USERPROFILE%\Documents\GitHub\eaglep3\Utilities\DownloadLogsFromS3.py --loco 4042 --day 2017-11-16</v>
      </c>
      <c r="AN200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7" t="str">
        <f t="shared" si="74"/>
        <v>https://d0f6bd738d7f1b3e5a7ca70fe4ff75f0.us-east-1.aws.found.io/app/kibana#/discover/Steve-Slow-Train-Analysis-(2080s-and-2083s)?_g=(refreshInterval:(display:Off,pause:!f,section:0,value:0),time:(from:'2017-11-16T17:59:36-0700',mode:absolute,to:'2017-11-16T20:24:06-0700'))&amp;_a=(columns:!('Message%20ID',Summary),filters:!(),index:'emp_*',interval:auto,query:(query_string:(analyze_wildcard:!t,query:'%22rtdc.l.rtdc.4042%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865</v>
      </c>
      <c r="B201" s="7">
        <v>4041</v>
      </c>
      <c r="C201" s="21" t="s">
        <v>192</v>
      </c>
      <c r="D201" s="21" t="s">
        <v>648</v>
      </c>
      <c r="E201" s="13">
        <v>43055.850960648146</v>
      </c>
      <c r="F201" s="13">
        <v>43055.862500000003</v>
      </c>
      <c r="G201" s="7">
        <v>51</v>
      </c>
      <c r="H201" s="21" t="s">
        <v>1074</v>
      </c>
      <c r="I201" s="13">
        <v>43055.87090277778</v>
      </c>
      <c r="J201" s="7">
        <v>0</v>
      </c>
      <c r="K201" s="89" t="str">
        <f t="shared" si="61"/>
        <v>4041/4042</v>
      </c>
      <c r="L201" s="184" t="str">
        <f>VLOOKUP(A201,'Trips&amp;Operators'!$C$1:$G$99911,5,FALSE)</f>
        <v>ANDREA WILLIAMS</v>
      </c>
      <c r="M201" s="6">
        <f t="shared" si="62"/>
        <v>8.4027777775190771E-3</v>
      </c>
      <c r="N201" s="7">
        <f t="shared" si="96"/>
        <v>12.099999999627471</v>
      </c>
      <c r="O201" s="7"/>
      <c r="P201" s="7"/>
      <c r="Q201" s="22"/>
      <c r="R201" s="173"/>
      <c r="S201" s="220">
        <f t="shared" si="97"/>
        <v>1</v>
      </c>
      <c r="T201" s="173" t="str">
        <f t="shared" si="63"/>
        <v>Southbound</v>
      </c>
      <c r="U201" s="19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5" t="str">
        <f t="shared" si="64"/>
        <v>https://d0f6bd738d7f1b3e5a7ca70fe4ff75f0.us-east-1.aws.found.io/app/kibana#/discover/Steve-Slow-Train-Analysis-(2080s-and-2083s)?_g=(refreshInterval:(display:Off,pause:!f,section:0,value:0),time:(from:'2017-11-16T19:25:23-0700',mode:absolute,to:'2017-11-16T21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203" t="str">
        <f>IF(AA201&lt;VLOOKUP(AG201,Variables!$AC$3:$AD$8,2,FALSE),"Y","N")</f>
        <v>N</v>
      </c>
      <c r="X201" s="203">
        <f t="shared" si="107"/>
        <v>1</v>
      </c>
      <c r="Y201" s="203">
        <f t="shared" si="105"/>
        <v>5.8605999999999998</v>
      </c>
      <c r="Z201" s="203">
        <f t="shared" si="106"/>
        <v>7.2900000000000006E-2</v>
      </c>
      <c r="AA201" s="203">
        <f t="shared" si="65"/>
        <v>5.7877000000000001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8">
        <f t="shared" si="66"/>
        <v>842</v>
      </c>
      <c r="AE201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201" s="74" t="str">
        <f t="shared" si="68"/>
        <v>"C:\Program Files (x86)\AstroGrep\AstroGrep.exe" /e /r /s /spath="%USERPROFILE%\AppData\Local\Temp\OnboardLogs" /stypes="app*4041*20171117*" /stext=" 03:.+((SYSTEM_STATE.+slice.+state.+changed )|(ment ac)|(multiple cpu faults)|(system.+state.+changed )|(\[timeout)|(PRM\|1\|D)|(kpr)|(kdp)|(train st.+moving)|(\|lc)|(penalty))"</v>
      </c>
      <c r="AG201" s="181" t="str">
        <f t="shared" si="69"/>
        <v>NW</v>
      </c>
      <c r="AH201" s="78" t="str">
        <f t="shared" si="70"/>
        <v>"%USERPROFILE%\Documents\GitHub\eaglep3\Utilities\RefineRTDCRunTimes.py" --tripid 842-16 --locoid 4041 --swversion DE.1.0.9.0 --startMP 300:58606 --initTime 2017-11-16T20:25:23 --startdatetime 2017-11-16T20:42:00 --delay 51 --endMP 204:729 --enddatetime 2017-11-16T20:54:06 --enforcementcount 0 &gt;&gt;%USERPROFILE%\Documents\GitHub\eaglep3-reporting\EC\2017-11-16-refined-times.txt</v>
      </c>
      <c r="AI201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{"issue":{"subject":"","project_id":79,"tracker_id":40,"status_id":1,"priority_id":2,"assigned_to_id":338,"start_date":"2017-11-16","description":"","custom_fields":[{"id":1,"name":"Subdivision","value":"NW"},{"id":4,"name":"Milepost","value":"0.0729"},{"id":17,"name":"Train ID","value":"842-16"},{"id":16,"name":"Locomotive ID","value":"4041"},{"id":130,"name":"Impact","value":""},{"id":150,"name":"Time of Event (Mountain Time)","value":"20:54:06"},{"id":151,"name":"Denver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1" t="str">
        <f t="shared" si="72"/>
        <v>start /low /b %USERPROFILE%\Documents\GitHub\eaglep3\Utilities\DownloadLogsFromS3.py --loco 4041 --day 2017-11-16</v>
      </c>
      <c r="AN201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03:54:06"},{"id":29,"name":"Sharepoint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7" t="str">
        <f t="shared" si="74"/>
        <v>https://d0f6bd738d7f1b3e5a7ca70fe4ff75f0.us-east-1.aws.found.io/app/kibana#/discover/Steve-Slow-Train-Analysis-(2080s-and-2083s)?_g=(refreshInterval:(display:Off,pause:!f,section:0,value:0),time:(from:'2017-11-16T19:25:23-0700',mode:absolute,to:'2017-11-16T21:54:06-0700'))&amp;_a=(columns:!('Message%20ID',Summary),filters:!(),index:'emp_*',interval:auto,query:(query_string:(analyze_wildcard:!t,query:'%22rtdc.l.rtdc.4041%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670</v>
      </c>
      <c r="B202" s="7">
        <v>4042</v>
      </c>
      <c r="C202" s="21" t="s">
        <v>192</v>
      </c>
      <c r="D202" s="21" t="s">
        <v>642</v>
      </c>
      <c r="E202" s="13">
        <v>43055.835277777776</v>
      </c>
      <c r="F202" s="13">
        <v>43055.839895833335</v>
      </c>
      <c r="G202" s="7">
        <v>137</v>
      </c>
      <c r="H202" s="21" t="s">
        <v>1044</v>
      </c>
      <c r="I202" s="13">
        <v>43055.849976851852</v>
      </c>
      <c r="J202" s="7">
        <v>0</v>
      </c>
      <c r="K202" s="89" t="str">
        <f t="shared" si="61"/>
        <v>4041/4042</v>
      </c>
      <c r="L202" s="184" t="str">
        <f>VLOOKUP(A202,'Trips&amp;Operators'!$C$1:$G$99911,5,FALSE)</f>
        <v>ANDREA WILLIAMS</v>
      </c>
      <c r="M202" s="6">
        <f t="shared" si="62"/>
        <v>1.0081018517666962E-2</v>
      </c>
      <c r="N202" s="7">
        <f t="shared" si="96"/>
        <v>14.516666665440425</v>
      </c>
      <c r="O202" s="7"/>
      <c r="P202" s="7"/>
      <c r="Q202" s="22"/>
      <c r="R202" s="173"/>
      <c r="S202" s="220">
        <f t="shared" si="97"/>
        <v>1</v>
      </c>
      <c r="T202" s="173" t="str">
        <f t="shared" si="63"/>
        <v>NorthBound</v>
      </c>
      <c r="U202" s="19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5" t="str">
        <f t="shared" si="64"/>
        <v>https://d0f6bd738d7f1b3e5a7ca70fe4ff75f0.us-east-1.aws.found.io/app/kibana#/discover/Steve-Slow-Train-Analysis-(2080s-and-2083s)?_g=(refreshInterval:(display:Off,pause:!f,section:0,value:0),time:(from:'2017-11-16T19:02:48-0700',mode:absolute,to:'2017-11-16T21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203" t="str">
        <f>IF(AA202&lt;VLOOKUP(AG202,Variables!$AC$3:$AD$8,2,FALSE),"Y","N")</f>
        <v>N</v>
      </c>
      <c r="X202" s="203">
        <f t="shared" si="107"/>
        <v>1</v>
      </c>
      <c r="Y202" s="203">
        <f t="shared" si="105"/>
        <v>0.1028</v>
      </c>
      <c r="Z202" s="203">
        <f t="shared" si="106"/>
        <v>5.8917999999999999</v>
      </c>
      <c r="AA202" s="203">
        <f t="shared" si="65"/>
        <v>5.7889999999999997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8">
        <f t="shared" si="66"/>
        <v>843</v>
      </c>
      <c r="AE202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202" s="74" t="str">
        <f t="shared" si="68"/>
        <v>"C:\Program Files (x86)\AstroGrep\AstroGrep.exe" /e /r /s /spath="%USERPROFILE%\AppData\Local\Temp\OnboardLogs" /stypes="app*4042*20171117*" /stext=" 03:.+((SYSTEM_STATE.+slice.+state.+changed )|(ment ac)|(multiple cpu faults)|(system.+state.+changed )|(\[timeout)|(PRM\|1\|D)|(kpr)|(kdp)|(train st.+moving)|(\|lc)|(penalty))"</v>
      </c>
      <c r="AG202" s="181" t="str">
        <f t="shared" si="69"/>
        <v>NW</v>
      </c>
      <c r="AH202" s="78" t="str">
        <f t="shared" si="70"/>
        <v>"%USERPROFILE%\Documents\GitHub\eaglep3\Utilities\RefineRTDCRunTimes.py" --tripid 843-16 --locoid 4042 --swversion DE.1.0.9.0 --startMP 204:1028 --initTime 2017-11-16T20:02:48 --startdatetime 2017-11-16T20:09:27 --delay 137 --endMP 300:58918 --enddatetime 2017-11-16T20:23:58 --enforcementcount 0 &gt;&gt;%USERPROFILE%\Documents\GitHub\eaglep3-reporting\EC\2017-11-16-refined-times.txt</v>
      </c>
      <c r="AI202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{"issue":{"subject":"","project_id":79,"tracker_id":40,"status_id":1,"priority_id":2,"assigned_to_id":338,"start_date":"2017-11-16","description":"","custom_fields":[{"id":1,"name":"Subdivision","value":"NW"},{"id":4,"name":"Milepost","value":"5.8918"},{"id":17,"name":"Train ID","value":"843-16"},{"id":16,"name":"Locomotive ID","value":"4042"},{"id":130,"name":"Impact","value":""},{"id":150,"name":"Time of Event (Mountain Time)","value":"20:23:58"},{"id":151,"name":"Denver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1" t="str">
        <f t="shared" si="72"/>
        <v>start /low /b %USERPROFILE%\Documents\GitHub\eaglep3\Utilities\DownloadLogsFromS3.py --loco 4042 --day 2017-11-16</v>
      </c>
      <c r="AN202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03:23:58"},{"id":29,"name":"Sharepoint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7" t="str">
        <f t="shared" si="74"/>
        <v>https://d0f6bd738d7f1b3e5a7ca70fe4ff75f0.us-east-1.aws.found.io/app/kibana#/discover/Steve-Slow-Train-Analysis-(2080s-and-2083s)?_g=(refreshInterval:(display:Off,pause:!f,section:0,value:0),time:(from:'2017-11-16T19:02:48-0700',mode:absolute,to:'2017-11-16T21:23:58-0700'))&amp;_a=(columns:!('Message%20ID',Summary),filters:!(),index:'emp_*',interval:auto,query:(query_string:(analyze_wildcard:!t,query:'%22rtdc.l.rtdc.4042%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870</v>
      </c>
      <c r="B203" s="7">
        <v>4041</v>
      </c>
      <c r="C203" s="21" t="s">
        <v>192</v>
      </c>
      <c r="D203" s="21" t="s">
        <v>649</v>
      </c>
      <c r="E203" s="13">
        <v>43055.894270833334</v>
      </c>
      <c r="F203" s="13">
        <v>43055.904166666667</v>
      </c>
      <c r="G203" s="7">
        <v>61</v>
      </c>
      <c r="H203" s="21" t="s">
        <v>1075</v>
      </c>
      <c r="I203" s="13">
        <v>43055.913055555553</v>
      </c>
      <c r="J203" s="7">
        <v>0</v>
      </c>
      <c r="K203" s="89" t="str">
        <f t="shared" si="61"/>
        <v>4041/4042</v>
      </c>
      <c r="L203" s="184" t="str">
        <f>VLOOKUP(A203,'Trips&amp;Operators'!$C$1:$G$99911,5,FALSE)</f>
        <v>RESPASS AARON</v>
      </c>
      <c r="M203" s="6">
        <f t="shared" si="62"/>
        <v>8.8888888858491555E-3</v>
      </c>
      <c r="N203" s="7">
        <f t="shared" si="96"/>
        <v>12.799999995622784</v>
      </c>
      <c r="O203" s="7"/>
      <c r="P203" s="7"/>
      <c r="Q203" s="22"/>
      <c r="R203" s="173"/>
      <c r="S203" s="220">
        <f t="shared" si="97"/>
        <v>1</v>
      </c>
      <c r="T203" s="173" t="str">
        <f t="shared" si="63"/>
        <v>Southbound</v>
      </c>
      <c r="U203" s="19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5" t="str">
        <f t="shared" si="64"/>
        <v>https://d0f6bd738d7f1b3e5a7ca70fe4ff75f0.us-east-1.aws.found.io/app/kibana#/discover/Steve-Slow-Train-Analysis-(2080s-and-2083s)?_g=(refreshInterval:(display:Off,pause:!f,section:0,value:0),time:(from:'2017-11-16T20:27:45-0700',mode:absolute,to:'2017-11-16T22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3" s="203" t="str">
        <f>IF(AA203&lt;VLOOKUP(AG203,Variables!$AC$3:$AD$8,2,FALSE),"Y","N")</f>
        <v>N</v>
      </c>
      <c r="X203" s="203">
        <f t="shared" si="107"/>
        <v>1</v>
      </c>
      <c r="Y203" s="203">
        <f t="shared" si="105"/>
        <v>5.8604000000000003</v>
      </c>
      <c r="Z203" s="203">
        <f t="shared" si="106"/>
        <v>7.8E-2</v>
      </c>
      <c r="AA203" s="203">
        <f t="shared" si="65"/>
        <v>5.7824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8">
        <f t="shared" si="66"/>
        <v>844</v>
      </c>
      <c r="AE203" s="77" t="str">
        <f t="shared" si="67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203" s="74" t="str">
        <f t="shared" si="68"/>
        <v>"C:\Program Files (x86)\AstroGrep\AstroGrep.exe" /e /r /s /spath="%USERPROFILE%\AppData\Local\Temp\OnboardLogs" /stypes="app*4041*20171117*" /stext=" 04:.+((SYSTEM_STATE.+slice.+state.+changed )|(ment ac)|(multiple cpu faults)|(system.+state.+changed )|(\[timeout)|(PRM\|1\|D)|(kpr)|(kdp)|(train st.+moving)|(\|lc)|(penalty))"</v>
      </c>
      <c r="AG203" s="181" t="str">
        <f t="shared" si="69"/>
        <v>NW</v>
      </c>
      <c r="AH203" s="78" t="str">
        <f t="shared" si="70"/>
        <v>"%USERPROFILE%\Documents\GitHub\eaglep3\Utilities\RefineRTDCRunTimes.py" --tripid 844-16 --locoid 4041 --swversion DE.1.0.9.0 --startMP 300:58604 --initTime 2017-11-16T21:27:45 --startdatetime 2017-11-16T21:42:00 --delay 61 --endMP 204:780 --enddatetime 2017-11-16T21:54:48 --enforcementcount 0 &gt;&gt;%USERPROFILE%\Documents\GitHub\eaglep3-reporting\EC\2017-11-16-refined-times.txt</v>
      </c>
      <c r="AI203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{"issue":{"subject":"","project_id":79,"tracker_id":40,"status_id":1,"priority_id":2,"assigned_to_id":338,"start_date":"2017-11-16","description":"","custom_fields":[{"id":1,"name":"Subdivision","value":"NW"},{"id":4,"name":"Milepost","value":"0.078"},{"id":17,"name":"Train ID","value":"844-16"},{"id":16,"name":"Locomotive ID","value":"4041"},{"id":130,"name":"Impact","value":""},{"id":150,"name":"Time of Event (Mountain Time)","value":"21:54:48"},{"id":151,"name":"Denver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1" t="str">
        <f t="shared" si="72"/>
        <v>start /low /b %USERPROFILE%\Documents\GitHub\eaglep3\Utilities\DownloadLogsFromS3.py --loco 4041 --day 2017-11-16</v>
      </c>
      <c r="AN203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04:54:48"},{"id":29,"name":"Sharepoint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7" t="str">
        <f t="shared" si="74"/>
        <v>https://d0f6bd738d7f1b3e5a7ca70fe4ff75f0.us-east-1.aws.found.io/app/kibana#/discover/Steve-Slow-Train-Analysis-(2080s-and-2083s)?_g=(refreshInterval:(display:Off,pause:!f,section:0,value:0),time:(from:'2017-11-16T20:27:45-0700',mode:absolute,to:'2017-11-16T22:54:48-0700'))&amp;_a=(columns:!('Message%20ID',Summary),filters:!(),index:'emp_*',interval:auto,query:(query_string:(analyze_wildcard:!t,query:'%22rtdc.l.rtdc.4041%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671</v>
      </c>
      <c r="B204" s="7">
        <v>4042</v>
      </c>
      <c r="C204" s="21" t="s">
        <v>192</v>
      </c>
      <c r="D204" s="21" t="s">
        <v>1076</v>
      </c>
      <c r="E204" s="13">
        <v>43055.874467592592</v>
      </c>
      <c r="F204" s="13">
        <v>43055.881643518522</v>
      </c>
      <c r="G204" s="7">
        <v>127</v>
      </c>
      <c r="H204" s="21" t="s">
        <v>1044</v>
      </c>
      <c r="I204" s="13">
        <v>43055.89234953704</v>
      </c>
      <c r="J204" s="7">
        <v>0</v>
      </c>
      <c r="K204" s="89" t="str">
        <f t="shared" si="61"/>
        <v>4041/4042</v>
      </c>
      <c r="L204" s="184" t="str">
        <f>VLOOKUP(A204,'Trips&amp;Operators'!$C$1:$G$99911,5,FALSE)</f>
        <v>RESPASS AARON</v>
      </c>
      <c r="M204" s="6">
        <f t="shared" si="62"/>
        <v>1.0706018518249039E-2</v>
      </c>
      <c r="N204" s="7">
        <f t="shared" si="96"/>
        <v>15.416666666278616</v>
      </c>
      <c r="O204" s="7"/>
      <c r="P204" s="7"/>
      <c r="Q204" s="22"/>
      <c r="R204" s="173"/>
      <c r="S204" s="220">
        <f t="shared" si="97"/>
        <v>1</v>
      </c>
      <c r="T204" s="173" t="str">
        <f t="shared" si="63"/>
        <v>NorthBound</v>
      </c>
      <c r="U204" s="19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5" t="str">
        <f t="shared" si="64"/>
        <v>https://d0f6bd738d7f1b3e5a7ca70fe4ff75f0.us-east-1.aws.found.io/app/kibana#/discover/Steve-Slow-Train-Analysis-(2080s-and-2083s)?_g=(refreshInterval:(display:Off,pause:!f,section:0,value:0),time:(from:'2017-11-16T19:59:14-0700',mode:absolute,to:'2017-11-16T22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203" t="str">
        <f>IF(AA204&lt;VLOOKUP(AG204,Variables!$AC$3:$AD$8,2,FALSE),"Y","N")</f>
        <v>N</v>
      </c>
      <c r="X204" s="203">
        <f t="shared" si="107"/>
        <v>1</v>
      </c>
      <c r="Y204" s="203">
        <f t="shared" si="105"/>
        <v>0.1014</v>
      </c>
      <c r="Z204" s="203">
        <f t="shared" si="106"/>
        <v>5.8917999999999999</v>
      </c>
      <c r="AA204" s="203">
        <f t="shared" si="65"/>
        <v>5.7904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8">
        <f t="shared" si="66"/>
        <v>845</v>
      </c>
      <c r="AE204" s="77" t="str">
        <f t="shared" si="67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204" s="74" t="str">
        <f t="shared" si="68"/>
        <v>"C:\Program Files (x86)\AstroGrep\AstroGrep.exe" /e /r /s /spath="%USERPROFILE%\AppData\Local\Temp\OnboardLogs" /stypes="app*4042*20171117*" /stext=" 04:.+((SYSTEM_STATE.+slice.+state.+changed )|(ment ac)|(multiple cpu faults)|(system.+state.+changed )|(\[timeout)|(PRM\|1\|D)|(kpr)|(kdp)|(train st.+moving)|(\|lc)|(penalty))"</v>
      </c>
      <c r="AG204" s="181" t="str">
        <f t="shared" si="69"/>
        <v>NW</v>
      </c>
      <c r="AH204" s="78" t="str">
        <f t="shared" si="70"/>
        <v>"%USERPROFILE%\Documents\GitHub\eaglep3\Utilities\RefineRTDCRunTimes.py" --tripid 845-16 --locoid 4042 --swversion DE.1.0.9.0 --startMP 204:1014 --initTime 2017-11-16T20:59:14 --startdatetime 2017-11-16T21:09:34 --delay 127 --endMP 300:58918 --enddatetime 2017-11-16T21:24:59 --enforcementcount 0 &gt;&gt;%USERPROFILE%\Documents\GitHub\eaglep3-reporting\EC\2017-11-16-refined-times.txt</v>
      </c>
      <c r="AI204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{"issue":{"subject":"","project_id":79,"tracker_id":40,"status_id":1,"priority_id":2,"assigned_to_id":338,"start_date":"2017-11-16","description":"","custom_fields":[{"id":1,"name":"Subdivision","value":"NW"},{"id":4,"name":"Milepost","value":"5.8918"},{"id":17,"name":"Train ID","value":"845-16"},{"id":16,"name":"Locomotive ID","value":"4042"},{"id":130,"name":"Impact","value":""},{"id":150,"name":"Time of Event (Mountain Time)","value":"21:24:59"},{"id":151,"name":"Denver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1" t="str">
        <f t="shared" si="72"/>
        <v>start /low /b %USERPROFILE%\Documents\GitHub\eaglep3\Utilities\DownloadLogsFromS3.py --loco 4042 --day 2017-11-16</v>
      </c>
      <c r="AN204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04:24:59"},{"id":29,"name":"Sharepoint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7" t="str">
        <f t="shared" si="74"/>
        <v>https://d0f6bd738d7f1b3e5a7ca70fe4ff75f0.us-east-1.aws.found.io/app/kibana#/discover/Steve-Slow-Train-Analysis-(2080s-and-2083s)?_g=(refreshInterval:(display:Off,pause:!f,section:0,value:0),time:(from:'2017-11-16T19:59:14-0700',mode:absolute,to:'2017-11-16T22:24:59-0700'))&amp;_a=(columns:!('Message%20ID',Summary),filters:!(),index:'emp_*',interval:auto,query:(query_string:(analyze_wildcard:!t,query:'%22rtdc.l.rtdc.4042%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672</v>
      </c>
      <c r="B205" s="7">
        <v>4041</v>
      </c>
      <c r="C205" s="21" t="s">
        <v>192</v>
      </c>
      <c r="D205" s="21" t="s">
        <v>649</v>
      </c>
      <c r="E205" s="13">
        <v>43055.934629629628</v>
      </c>
      <c r="F205" s="13">
        <v>43055.945833333331</v>
      </c>
      <c r="G205" s="7">
        <v>76</v>
      </c>
      <c r="H205" s="21" t="s">
        <v>1077</v>
      </c>
      <c r="I205" s="13">
        <v>43055.955810185187</v>
      </c>
      <c r="J205" s="7">
        <v>0</v>
      </c>
      <c r="K205" s="89" t="str">
        <f t="shared" ref="K205:K236" si="108">IF(ISEVEN(B205),(B205-1)&amp;"/"&amp;B205,B205&amp;"/"&amp;(B205+1))</f>
        <v>4041/4042</v>
      </c>
      <c r="L205" s="184" t="str">
        <f>VLOOKUP(A205,'Trips&amp;Operators'!$C$1:$G$99911,5,FALSE)</f>
        <v>RESPASS AARON</v>
      </c>
      <c r="M205" s="6">
        <f t="shared" ref="M205:M236" si="109">I205-F205</f>
        <v>9.976851855753921E-3</v>
      </c>
      <c r="N205" s="7">
        <f t="shared" si="96"/>
        <v>14.366666672285646</v>
      </c>
      <c r="O205" s="7"/>
      <c r="P205" s="7"/>
      <c r="Q205" s="22"/>
      <c r="R205" s="173"/>
      <c r="S205" s="220">
        <f t="shared" si="97"/>
        <v>1</v>
      </c>
      <c r="T205" s="173" t="str">
        <f t="shared" ref="T205:T236" si="110">IF(ISEVEN(LEFT(AD205,4)),"Southbound","NorthBound")</f>
        <v>Southbound</v>
      </c>
      <c r="U205" s="19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5" t="str">
        <f t="shared" ref="V205:V236" si="11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-16T21:25:52-0700',mode:absolute,to:'2017-11-16T23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5" s="203" t="str">
        <f>IF(AA205&lt;VLOOKUP(AG205,Variables!$AC$3:$AD$8,2,FALSE),"Y","N")</f>
        <v>N</v>
      </c>
      <c r="X205" s="203">
        <f t="shared" si="107"/>
        <v>1</v>
      </c>
      <c r="Y205" s="203">
        <f t="shared" si="105"/>
        <v>5.8604000000000003</v>
      </c>
      <c r="Z205" s="203">
        <f t="shared" si="106"/>
        <v>7.8899999999999998E-2</v>
      </c>
      <c r="AA205" s="203">
        <f t="shared" ref="AA205:AA268" si="112">ABS(Z205-Y205)</f>
        <v>5.7815000000000003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8">
        <f t="shared" ref="AD205:AD236" si="113">VALUE(LEFT(A205,LEN(A205)-3))</f>
        <v>846</v>
      </c>
      <c r="AE205" s="77" t="str">
        <f t="shared" ref="AE205:AE236" si="11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205" s="74" t="str">
        <f t="shared" ref="AF205:AF236" si="11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/stypes="app*4041*20171117*" /stext=" 05:.+((SYSTEM_STATE.+slice.+state.+changed )|(ment ac)|(multiple cpu faults)|(system.+state.+changed )|(\[timeout)|(PRM\|1\|D)|(kpr)|(kdp)|(train st.+moving)|(\|lc)|(penalty))"</v>
      </c>
      <c r="AG205" s="181" t="str">
        <f t="shared" ref="AG205:AG236" si="116">DetSubdiv(A205)</f>
        <v>NW</v>
      </c>
      <c r="AH205" s="78" t="str">
        <f t="shared" si="70"/>
        <v>"%USERPROFILE%\Documents\GitHub\eaglep3\Utilities\RefineRTDCRunTimes.py" --tripid 846-16 --locoid 4041 --swversion DE.1.0.9.0 --startMP 300:58604 --initTime 2017-11-16T22:25:52 --startdatetime 2017-11-16T22:42:00 --delay 76 --endMP 204:789 --enddatetime 2017-11-16T22:56:22 --enforcementcount 0 &gt;&gt;%USERPROFILE%\Documents\GitHub\eaglep3-reporting\EC\2017-11-16-refined-times.txt</v>
      </c>
      <c r="AI205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{"issue":{"subject":"","project_id":79,"tracker_id":40,"status_id":1,"priority_id":2,"assigned_to_id":338,"start_date":"2017-11-16","description":"","custom_fields":[{"id":1,"name":"Subdivision","value":"NW"},{"id":4,"name":"Milepost","value":"0.0789"},{"id":17,"name":"Train ID","value":"846-16"},{"id":16,"name":"Locomotive ID","value":"4041"},{"id":130,"name":"Impact","value":""},{"id":150,"name":"Time of Event (Mountain Time)","value":"22:56:22"},{"id":151,"name":"Denver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1" t="str">
        <f t="shared" si="72"/>
        <v>start /low /b %USERPROFILE%\Documents\GitHub\eaglep3\Utilities\DownloadLogsFromS3.py --loco 4041 --day 2017-11-16</v>
      </c>
      <c r="AN205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05:56:22"},{"id":29,"name":"Sharepoint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7" t="str">
        <f t="shared" si="74"/>
        <v>https://d0f6bd738d7f1b3e5a7ca70fe4ff75f0.us-east-1.aws.found.io/app/kibana#/discover/Steve-Slow-Train-Analysis-(2080s-and-2083s)?_g=(refreshInterval:(display:Off,pause:!f,section:0,value:0),time:(from:'2017-11-16T21:25:52-0700',mode:absolute,to:'2017-11-16T23:56:22-0700'))&amp;_a=(columns:!('Message%20ID',Summary),filters:!(),index:'emp_*',interval:auto,query:(query_string:(analyze_wildcard:!t,query:'%22rtdc.l.rtdc.4041%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873</v>
      </c>
      <c r="B206" s="7">
        <v>4042</v>
      </c>
      <c r="C206" s="21" t="s">
        <v>192</v>
      </c>
      <c r="D206" s="21" t="s">
        <v>1078</v>
      </c>
      <c r="E206" s="13">
        <v>43055.921759259261</v>
      </c>
      <c r="F206" s="13">
        <v>43055.924178240741</v>
      </c>
      <c r="G206" s="7">
        <v>51</v>
      </c>
      <c r="H206" s="21" t="s">
        <v>1079</v>
      </c>
      <c r="I206" s="13">
        <v>43055.933692129627</v>
      </c>
      <c r="J206" s="7">
        <v>0</v>
      </c>
      <c r="K206" s="89" t="str">
        <f t="shared" si="108"/>
        <v>4041/4042</v>
      </c>
      <c r="L206" s="184" t="str">
        <f>VLOOKUP(A206,'Trips&amp;Operators'!$C$1:$G$99911,5,FALSE)</f>
        <v>RESPASS AARON</v>
      </c>
      <c r="M206" s="6">
        <f t="shared" si="109"/>
        <v>9.5138888864312321E-3</v>
      </c>
      <c r="N206" s="7">
        <f t="shared" si="96"/>
        <v>13.699999996460974</v>
      </c>
      <c r="O206" s="7"/>
      <c r="P206" s="7"/>
      <c r="Q206" s="22"/>
      <c r="R206" s="173"/>
      <c r="S206" s="220">
        <f t="shared" si="97"/>
        <v>1</v>
      </c>
      <c r="T206" s="173" t="str">
        <f t="shared" si="110"/>
        <v>NorthBound</v>
      </c>
      <c r="U206" s="19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5" t="str">
        <f t="shared" si="111"/>
        <v>https://d0f6bd738d7f1b3e5a7ca70fe4ff75f0.us-east-1.aws.found.io/app/kibana#/discover/Steve-Slow-Train-Analysis-(2080s-and-2083s)?_g=(refreshInterval:(display:Off,pause:!f,section:0,value:0),time:(from:'2017-11-16T21:07:20-0700',mode:absolute,to:'2017-11-16T23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203" t="str">
        <f>IF(AA206&lt;VLOOKUP(AG206,Variables!$AC$3:$AD$8,2,FALSE),"Y","N")</f>
        <v>N</v>
      </c>
      <c r="X206" s="203">
        <f t="shared" si="107"/>
        <v>1</v>
      </c>
      <c r="Y206" s="203">
        <f t="shared" si="105"/>
        <v>0.1389</v>
      </c>
      <c r="Z206" s="203">
        <f t="shared" si="106"/>
        <v>5.8916000000000004</v>
      </c>
      <c r="AA206" s="203">
        <f t="shared" si="112"/>
        <v>5.7527000000000008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8">
        <f t="shared" si="113"/>
        <v>847</v>
      </c>
      <c r="AE206" s="77" t="str">
        <f t="shared" si="114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206" s="74" t="str">
        <f t="shared" si="115"/>
        <v>"C:\Program Files (x86)\AstroGrep\AstroGrep.exe" /e /r /s /spath="%USERPROFILE%\AppData\Local\Temp\OnboardLogs" /stypes="app*4042*20171117*" /stext=" 05:.+((SYSTEM_STATE.+slice.+state.+changed )|(ment ac)|(multiple cpu faults)|(system.+state.+changed )|(\[timeout)|(PRM\|1\|D)|(kpr)|(kdp)|(train st.+moving)|(\|lc)|(penalty))"</v>
      </c>
      <c r="AG206" s="181" t="str">
        <f t="shared" si="116"/>
        <v>NW</v>
      </c>
      <c r="AH206" s="78" t="str">
        <f t="shared" si="70"/>
        <v>"%USERPROFILE%\Documents\GitHub\eaglep3\Utilities\RefineRTDCRunTimes.py" --tripid 847-16 --locoid 4042 --swversion DE.1.0.9.0 --startMP 204:1389 --initTime 2017-11-16T22:07:20 --startdatetime 2017-11-16T22:10:49 --delay 51 --endMP 300:58916 --enddatetime 2017-11-16T22:24:31 --enforcementcount 0 &gt;&gt;%USERPROFILE%\Documents\GitHub\eaglep3-reporting\EC\2017-11-16-refined-times.txt</v>
      </c>
      <c r="AI206" s="96" t="str">
        <f t="shared" si="71"/>
        <v>echo {"issue":{"subject":"","project_id":79,"tracker_id":40,"status_id":1,"priority_id":2,"assigned_to_id":338,"start_date":"2017-11-16","description":"","custom_fields":[{"id":1,"name":"Subdivision","value":"NW"},{"id":4,"name":"Milepost","value":"5.8916"},{"id":17,"name":"Train ID","value":"847-16"},{"id":16,"name":"Locomotive ID","value":"4042"},{"id":130,"name":"Impact","value":""},{"id":150,"name":"Time of Event (Mountain Time)","value":"22:24:31"},{"id":151,"name":"Denver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1" t="str">
        <f t="shared" si="72"/>
        <v>start /low /b %USERPROFILE%\Documents\GitHub\eaglep3\Utilities\DownloadLogsFromS3.py --loco 4042 --day 2017-11-16</v>
      </c>
      <c r="AN206" s="150" t="str">
        <f t="shared" si="73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05:24:31"},{"id":29,"name":"Sharepoint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7" t="str">
        <f t="shared" si="74"/>
        <v>https://d0f6bd738d7f1b3e5a7ca70fe4ff75f0.us-east-1.aws.found.io/app/kibana#/discover/Steve-Slow-Train-Analysis-(2080s-and-2083s)?_g=(refreshInterval:(display:Off,pause:!f,section:0,value:0),time:(from:'2017-11-16T21:07:20-0700',mode:absolute,to:'2017-11-16T23:24:31-0700'))&amp;_a=(columns:!('Message%20ID',Summary),filters:!(),index:'emp_*',interval:auto,query:(query_string:(analyze_wildcard:!t,query:'%22rtdc.l.rtdc.4042%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878</v>
      </c>
      <c r="B207" s="7">
        <v>4042</v>
      </c>
      <c r="C207" s="21" t="s">
        <v>192</v>
      </c>
      <c r="D207" s="21" t="s">
        <v>1078</v>
      </c>
      <c r="E207" s="13">
        <v>43055.921759259261</v>
      </c>
      <c r="F207" s="13">
        <v>43055.964895833335</v>
      </c>
      <c r="G207" s="7">
        <v>51</v>
      </c>
      <c r="H207" s="21" t="s">
        <v>1079</v>
      </c>
      <c r="I207" s="13">
        <v>43055.974710648145</v>
      </c>
      <c r="J207" s="7">
        <v>0</v>
      </c>
      <c r="K207" s="89" t="str">
        <f t="shared" si="108"/>
        <v>4041/4042</v>
      </c>
      <c r="L207" s="184" t="str">
        <f>VLOOKUP(A207,'Trips&amp;Operators'!$C$1:$G$99911,5,FALSE)</f>
        <v>RESPASS AARON</v>
      </c>
      <c r="M207" s="6">
        <f t="shared" si="109"/>
        <v>9.814814809942618E-3</v>
      </c>
      <c r="N207" s="7">
        <f t="shared" si="96"/>
        <v>14.13333332631737</v>
      </c>
      <c r="O207" s="7"/>
      <c r="P207" s="7"/>
      <c r="Q207" s="22"/>
      <c r="R207" s="173"/>
      <c r="S207" s="220">
        <f t="shared" si="97"/>
        <v>1</v>
      </c>
      <c r="T207" s="173" t="str">
        <f t="shared" si="110"/>
        <v>NorthBound</v>
      </c>
      <c r="U207" s="19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5" t="str">
        <f t="shared" si="111"/>
        <v>https://d0f6bd738d7f1b3e5a7ca70fe4ff75f0.us-east-1.aws.found.io/app/kibana#/discover/Steve-Slow-Train-Analysis-(2080s-and-2083s)?_g=(refreshInterval:(display:Off,pause:!f,section:0,value:0),time:(from:'2017-11-16T21:07:20-0700',mode:absolute,to:'2017-11-17T00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03" t="str">
        <f>IF(AA207&lt;VLOOKUP(AG207,Variables!$AC$3:$AD$8,2,FALSE),"Y","N")</f>
        <v>N</v>
      </c>
      <c r="X207" s="203">
        <f t="shared" ref="X207:X208" si="117">VALUE(LEFT(AD207,4))-VALUE(LEFT(AD206,4))</f>
        <v>2</v>
      </c>
      <c r="Y207" s="203">
        <f t="shared" si="105"/>
        <v>0.1389</v>
      </c>
      <c r="Z207" s="203">
        <f t="shared" si="106"/>
        <v>5.8916000000000004</v>
      </c>
      <c r="AA207" s="203">
        <f t="shared" si="112"/>
        <v>5.7527000000000008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8">
        <f t="shared" si="113"/>
        <v>849</v>
      </c>
      <c r="AE207" s="77" t="str">
        <f t="shared" si="114"/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AF207" s="74" t="str">
        <f t="shared" si="115"/>
        <v>"C:\Program Files (x86)\AstroGrep\AstroGrep.exe" /e /r /s /spath="%USERPROFILE%\AppData\Local\Temp\OnboardLogs" /stypes="app*4042*20171117*" /stext=" 06:.+((SYSTEM_STATE.+slice.+state.+changed )|(ment ac)|(multiple cpu faults)|(system.+state.+changed )|(\[timeout)|(PRM\|1\|D)|(kpr)|(kdp)|(train st.+moving)|(\|lc)|(penalty))"</v>
      </c>
      <c r="AG207" s="181" t="str">
        <f t="shared" si="116"/>
        <v>NW</v>
      </c>
      <c r="AH207" s="78" t="str">
        <f t="shared" ref="AH207" si="118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849-16 --locoid 4042 --swversion DE.1.0.9.0 --startMP 204:1389 --initTime 2017-11-16T22:07:20 --startdatetime 2017-11-16T23:09:27 --delay 51 --endMP 300:58916 --enddatetime 2017-11-16T23:23:35 --enforcementcount 0 &gt;&gt;%USERPROFILE%\Documents\GitHub\eaglep3-reporting\EC\2017-11-16-refined-times.txt</v>
      </c>
      <c r="AI207" s="96" t="str">
        <f t="shared" ref="AI207" si="119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{"issue":{"subject":"","project_id":79,"tracker_id":40,"status_id":1,"priority_id":2,"assigned_to_id":338,"start_date":"2017-11-16","description":"","custom_fields":[{"id":1,"name":"Subdivision","value":"NW"},{"id":4,"name":"Milepost","value":"5.8916"},{"id":17,"name":"Train ID","value":"849-16"},{"id":16,"name":"Locomotive ID","value":"4042"},{"id":130,"name":"Impact","value":""},{"id":150,"name":"Time of Event (Mountain Time)","value":"23:23:35"},{"id":151,"name":"Denver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1" t="str">
        <f t="shared" ref="AM207" si="120">"start /low /b "&amp;dls3logs&amp;" --loco "&amp;B207&amp;" --day "&amp;TEXT(F207,"YYYY-MM-DD")</f>
        <v>start /low /b %USERPROFILE%\Documents\GitHub\eaglep3\Utilities\DownloadLogsFromS3.py --loco 4042 --day 2017-11-16</v>
      </c>
      <c r="AN207" s="150" t="str">
        <f t="shared" ref="AN207" si="121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06:23:35"},{"id":29,"name":"Sharepoint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7" t="str">
        <f t="shared" ref="AO207" si="122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-16T21:07:20-0700',mode:absolute,to:'2017-11-17T00:23:35-0700'))&amp;_a=(columns:!('Message%20ID',Summary),filters:!(),index:'emp_*',interval:auto,query:(query_string:(analyze_wildcard:!t,query:'%22rtdc.l.rtdc.4042%22')),sort:!(Time.ISO8601,asc))</v>
      </c>
    </row>
    <row r="208" spans="1:91" s="20" customFormat="1" x14ac:dyDescent="0.25">
      <c r="A208" s="32" t="s">
        <v>850</v>
      </c>
      <c r="B208" s="7">
        <v>4052</v>
      </c>
      <c r="C208" s="21" t="s">
        <v>192</v>
      </c>
      <c r="D208" s="21" t="s">
        <v>645</v>
      </c>
      <c r="E208" s="13">
        <v>43055.776863425926</v>
      </c>
      <c r="F208" s="13">
        <v>43055.778124999997</v>
      </c>
      <c r="G208" s="7">
        <v>73</v>
      </c>
      <c r="H208" s="21" t="s">
        <v>635</v>
      </c>
      <c r="I208" s="13">
        <v>43055.783935185187</v>
      </c>
      <c r="J208" s="7">
        <v>0</v>
      </c>
      <c r="K208" s="89" t="str">
        <f t="shared" si="108"/>
        <v>4051/4052</v>
      </c>
      <c r="L208" s="184" t="str">
        <f>VLOOKUP(A208,'Trips&amp;Operators'!$C$1:$G$99911,5,FALSE)</f>
        <v>LEVIN SCOTT</v>
      </c>
      <c r="M208" s="6">
        <f t="shared" si="109"/>
        <v>5.810185190057382E-3</v>
      </c>
      <c r="N208" s="7">
        <f t="shared" si="96"/>
        <v>8.3666666736826301</v>
      </c>
      <c r="O208" s="7"/>
      <c r="P208" s="7"/>
      <c r="Q208" s="22"/>
      <c r="R208" s="173"/>
      <c r="S208" s="220">
        <f t="shared" si="97"/>
        <v>1</v>
      </c>
      <c r="T208" s="173" t="str">
        <f t="shared" si="110"/>
        <v>NorthBound</v>
      </c>
      <c r="U208" s="19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5" t="str">
        <f t="shared" si="111"/>
        <v>https://d0f6bd738d7f1b3e5a7ca70fe4ff75f0.us-east-1.aws.found.io/app/kibana#/discover/Steve-Slow-Train-Analysis-(2080s-and-2083s)?_g=(refreshInterval:(display:Off,pause:!f,section:0,value:0),time:(from:'2017-11-16T17:38:41-0700',mode:absolute,to:'2017-11-16T19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8" s="203" t="str">
        <f>IF(AA208&lt;VLOOKUP(AG208,Variables!$AC$3:$AD$8,2,FALSE),"Y","N")</f>
        <v>Y</v>
      </c>
      <c r="X208" s="203">
        <f t="shared" si="117"/>
        <v>-548</v>
      </c>
      <c r="Y208" s="203">
        <f t="shared" si="105"/>
        <v>4.7899999999999998E-2</v>
      </c>
      <c r="Z208" s="203">
        <f t="shared" si="106"/>
        <v>2.3346</v>
      </c>
      <c r="AA208" s="203">
        <f t="shared" si="112"/>
        <v>2.2867000000000002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8">
        <f t="shared" si="113"/>
        <v>301</v>
      </c>
      <c r="AE208" s="77" t="str">
        <f t="shared" si="114"/>
        <v>aws s3 cp s3://rtdc.mdm.uploadarchive.raw/RTDC4052/ "%USERPROFILE%\AppData\Local\Temp\OnboardLogs"\RTDC4052\2017-11-16 --exclude "*" --recursive --include "*20171116*" &amp; "%USERPROFILE%\Documents\GitHub\mrs-test-scripts\Headless Mode &amp; Sideloading\WalkAndUnGZ.bat" "%USERPROFILE%\AppData\Local\Temp\OnboardLogs"\RTDC4052\2017-11-16 &amp; aws s3 cp s3://rtdc.mdm.uploadarchive.raw/RTDC4052/ "%USERPROFILE%\AppData\Local\Temp\OnboardLogs"\RTDC4052\2017-11-17 --exclude "*" --recursive --include "*20171117*" &amp; "%USERPROFILE%\Documents\GitHub\mrs-test-scripts\Headless Mode &amp; Sideloading\WalkAndUnGZ.bat" "%USERPROFILE%\AppData\Local\Temp\OnboardLogs"\RTDC4052\2017-11-17</v>
      </c>
      <c r="AF208" s="74" t="str">
        <f t="shared" si="115"/>
        <v>"C:\Program Files (x86)\AstroGrep\AstroGrep.exe" /e /r /s /spath="%USERPROFILE%\AppData\Local\Temp\OnboardLogs" /stypes="app*4052*20171117*" /stext=" 01:.+((SYSTEM_STATE.+slice.+state.+changed )|(ment ac)|(multiple cpu faults)|(system.+state.+changed )|(\[timeout)|(PRM\|1\|D)|(kpr)|(kdp)|(train st.+moving)|(\|lc)|(penalty))"</v>
      </c>
      <c r="AG208" s="181" t="str">
        <f t="shared" si="116"/>
        <v>Other</v>
      </c>
      <c r="AH208" s="78" t="str">
        <f t="shared" ref="AH208:AH236" si="123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301-16 --locoid 4052 --swversion DE.1.0.9.0 --startMP 204:479 --initTime 2017-11-16T18:38:41 --startdatetime 2017-11-16T18:40:30 --delay 73 --endMP 300:23346 --enddatetime 2017-11-16T18:48:52 --enforcementcount 0 &gt;&gt;%USERPROFILE%\Documents\GitHub\eaglep3-reporting\EC\2017-11-16-refined-times.txt</v>
      </c>
      <c r="AI208" s="96" t="str">
        <f t="shared" ref="AI208:AI236" si="124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{"issue":{"subject":"","project_id":79,"tracker_id":40,"status_id":1,"priority_id":2,"assigned_to_id":338,"start_date":"2017-11-16","description":"","custom_fields":[{"id":1,"name":"Subdivision","value":"Other"},{"id":4,"name":"Milepost","value":"2.3346"},{"id":17,"name":"Train ID","value":"301-16"},{"id":16,"name":"Locomotive ID","value":"4052"},{"id":130,"name":"Impact","value":""},{"id":150,"name":"Time of Event (Mountain Time)","value":"18:48:52"},{"id":151,"name":"Denver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1" t="str">
        <f t="shared" ref="AM208:AM236" si="125">"start /low /b "&amp;dls3logs&amp;" --loco "&amp;B208&amp;" --day "&amp;TEXT(F208,"YYYY-MM-DD")</f>
        <v>start /low /b %USERPROFILE%\Documents\GitHub\eaglep3\Utilities\DownloadLogsFromS3.py --loco 4052 --day 2017-11-16</v>
      </c>
      <c r="AN208" s="150" t="str">
        <f t="shared" ref="AN208:AN236" si="126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7" t="str">
        <f t="shared" ref="AO208:AO236" si="127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-16T17:38:41-0700',mode:absolute,to:'2017-11-16T19:48:52-0700'))&amp;_a=(columns:!('Message%20ID',Summary),filters:!(),index:'emp_*',interval:auto,query:(query_string:(analyze_wildcard:!t,query:'%22rtdc.l.rtdc.4052%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677</v>
      </c>
      <c r="B209" s="7">
        <v>4007</v>
      </c>
      <c r="C209" s="21" t="s">
        <v>192</v>
      </c>
      <c r="D209" s="21" t="s">
        <v>980</v>
      </c>
      <c r="E209" s="13">
        <v>43055.138206018521</v>
      </c>
      <c r="F209" s="13">
        <v>43055.143877314818</v>
      </c>
      <c r="G209" s="7">
        <v>61</v>
      </c>
      <c r="H209" s="21" t="s">
        <v>981</v>
      </c>
      <c r="I209" s="13">
        <v>43055.149259259262</v>
      </c>
      <c r="J209" s="7">
        <v>0</v>
      </c>
      <c r="K209" s="89" t="str">
        <f t="shared" si="108"/>
        <v>4007/4008</v>
      </c>
      <c r="L209" s="184" t="str">
        <f>VLOOKUP(A209,'Trips&amp;Operators'!$C$1:$G$99911,5,FALSE)</f>
        <v>MAELZER KURT</v>
      </c>
      <c r="M209" s="6">
        <f t="shared" si="109"/>
        <v>5.3819444437976927E-3</v>
      </c>
      <c r="N209" s="7">
        <f t="shared" si="96"/>
        <v>7.7499999990686774</v>
      </c>
      <c r="O209" s="7"/>
      <c r="P209" s="7"/>
      <c r="Q209" s="22"/>
      <c r="R209" s="173"/>
      <c r="S209" s="220">
        <f t="shared" si="97"/>
        <v>1</v>
      </c>
      <c r="T209" s="173" t="str">
        <f t="shared" si="110"/>
        <v>Southbound</v>
      </c>
      <c r="U209" s="19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5" t="str">
        <f t="shared" si="111"/>
        <v>https://d0f6bd738d7f1b3e5a7ca70fe4ff75f0.us-east-1.aws.found.io/app/kibana#/discover/Steve-Slow-Train-Analysis-(2080s-and-2083s)?_g=(refreshInterval:(display:Off,pause:!f,section:0,value:0),time:(from:'2017-11-16T02:19:01-0700',mode:absolute,to:'2017-11-16T04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203" t="str">
        <f>IF(AA209&lt;VLOOKUP(AG209,Variables!$AC$3:$AD$8,2,FALSE),"Y","N")</f>
        <v>Y</v>
      </c>
      <c r="X209" s="203">
        <f t="shared" ref="X209:X210" si="128">VALUE(LEFT(AD209,4))-VALUE(LEFT(AD208,4))</f>
        <v>1</v>
      </c>
      <c r="Y209" s="203">
        <f t="shared" si="105"/>
        <v>1.9040999999999999</v>
      </c>
      <c r="Z209" s="203">
        <f t="shared" si="106"/>
        <v>1.83E-2</v>
      </c>
      <c r="AA209" s="203">
        <f t="shared" si="112"/>
        <v>1.8857999999999999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8">
        <f t="shared" si="113"/>
        <v>302</v>
      </c>
      <c r="AE209" s="77" t="str">
        <f t="shared" si="114"/>
        <v>aws s3 cp s3://rtdc.mdm.uploadarchive.raw/RTDC4007/ "%USERPROFILE%\AppData\Local\Temp\OnboardLogs"\RTDC4007\2017-11-16 --exclude "*" --recursive --include "*20171116*" &amp; "%USERPROFILE%\Documents\GitHub\mrs-test-scripts\Headless Mode &amp; Sideloading\WalkAndUnGZ.bat" "%USERPROFILE%\AppData\Local\Temp\OnboardLogs"\RTDC4007\2017-11-16 &amp; aws s3 cp s3://rtdc.mdm.uploadarchive.raw/RTDC4007/ "%USERPROFILE%\AppData\Local\Temp\OnboardLogs"\RTDC4007\2017-11-17 --exclude "*" --recursive --include "*20171117*" &amp; "%USERPROFILE%\Documents\GitHub\mrs-test-scripts\Headless Mode &amp; Sideloading\WalkAndUnGZ.bat" "%USERPROFILE%\AppData\Local\Temp\OnboardLogs"\RTDC4007\2017-11-17</v>
      </c>
      <c r="AF209" s="74" t="str">
        <f t="shared" si="115"/>
        <v>"C:\Program Files (x86)\AstroGrep\AstroGrep.exe" /e /r /s /spath="%USERPROFILE%\AppData\Local\Temp\OnboardLogs" /stypes="app*4007*20171116*" /stext=" 10:.+((SYSTEM_STATE.+slice.+state.+changed )|(ment ac)|(multiple cpu faults)|(system.+state.+changed )|(\[timeout)|(PRM\|1\|D)|(kpr)|(kdp)|(train st.+moving)|(\|lc)|(penalty))"</v>
      </c>
      <c r="AG209" s="181" t="str">
        <f t="shared" si="116"/>
        <v>Other</v>
      </c>
      <c r="AH209" s="78" t="str">
        <f t="shared" si="123"/>
        <v>"%USERPROFILE%\Documents\GitHub\eaglep3\Utilities\RefineRTDCRunTimes.py" --tripid 302-16 --locoid 4007 --swversion DE.1.0.9.0 --startMP 300:19041 --initTime 2017-11-16T03:19:01 --startdatetime 2017-11-16T03:27:11 --delay 61 --endMP 204:183 --enddatetime 2017-11-16T03:34:56 --enforcementcount 0 &gt;&gt;%USERPROFILE%\Documents\GitHub\eaglep3-reporting\EC\2017-11-16-refined-times.txt</v>
      </c>
      <c r="AI209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{"issue":{"subject":"","project_id":79,"tracker_id":40,"status_id":1,"priority_id":2,"assigned_to_id":338,"start_date":"2017-11-16","description":"","custom_fields":[{"id":1,"name":"Subdivision","value":"Other"},{"id":4,"name":"Milepost","value":"0.0183"},{"id":17,"name":"Train ID","value":"302-16"},{"id":16,"name":"Locomotive ID","value":"4007"},{"id":130,"name":"Impact","value":""},{"id":150,"name":"Time of Event (Mountain Time)","value":"03:34:56"},{"id":151,"name":"Denver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1" t="str">
        <f t="shared" si="125"/>
        <v>start /low /b %USERPROFILE%\Documents\GitHub\eaglep3\Utilities\DownloadLogsFromS3.py --loco 4007 --day 2017-11-16</v>
      </c>
      <c r="AN209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7" t="str">
        <f t="shared" si="127"/>
        <v>https://d0f6bd738d7f1b3e5a7ca70fe4ff75f0.us-east-1.aws.found.io/app/kibana#/discover/Steve-Slow-Train-Analysis-(2080s-and-2083s)?_g=(refreshInterval:(display:Off,pause:!f,section:0,value:0),time:(from:'2017-11-16T02:19:01-0700',mode:absolute,to:'2017-11-16T04:34:56-0700'))&amp;_a=(columns:!('Message%20ID',Summary),filters:!(),index:'emp_*',interval:auto,query:(query_string:(analyze_wildcard:!t,query:'%22rtdc.l.rtdc.4007%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856</v>
      </c>
      <c r="B210" s="7">
        <v>4062</v>
      </c>
      <c r="C210" s="21" t="s">
        <v>192</v>
      </c>
      <c r="D210" s="21" t="s">
        <v>935</v>
      </c>
      <c r="E210" s="13">
        <v>43055.798379629632</v>
      </c>
      <c r="F210" s="13">
        <v>43055.800092592595</v>
      </c>
      <c r="G210" s="7">
        <v>55</v>
      </c>
      <c r="H210" s="21" t="s">
        <v>498</v>
      </c>
      <c r="I210" s="13">
        <v>43055.80773148148</v>
      </c>
      <c r="J210" s="7">
        <v>0</v>
      </c>
      <c r="K210" s="89" t="str">
        <f t="shared" si="108"/>
        <v>4061/4062</v>
      </c>
      <c r="L210" s="184" t="str">
        <f>VLOOKUP(A210,'Trips&amp;Operators'!$C$1:$G$99911,5,FALSE)</f>
        <v>LEVERE CRAIG</v>
      </c>
      <c r="M210" s="6">
        <f t="shared" si="109"/>
        <v>7.6388888846850023E-3</v>
      </c>
      <c r="N210" s="7">
        <f t="shared" si="96"/>
        <v>10.999999993946403</v>
      </c>
      <c r="O210" s="7"/>
      <c r="P210" s="7"/>
      <c r="Q210" s="22"/>
      <c r="R210" s="173"/>
      <c r="S210" s="220">
        <f t="shared" si="97"/>
        <v>1</v>
      </c>
      <c r="T210" s="173" t="str">
        <f t="shared" si="110"/>
        <v>NorthBound</v>
      </c>
      <c r="U210" s="19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5" t="str">
        <f t="shared" si="111"/>
        <v>https://d0f6bd738d7f1b3e5a7ca70fe4ff75f0.us-east-1.aws.found.io/app/kibana#/discover/Steve-Slow-Train-Analysis-(2080s-and-2083s)?_g=(refreshInterval:(display:Off,pause:!f,section:0,value:0),time:(from:'2017-11-16T18:09:40-0700',mode:absolute,to:'2017-11-16T20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03" t="str">
        <f>IF(AA210&lt;VLOOKUP(AG210,Variables!$AC$3:$AD$8,2,FALSE),"Y","N")</f>
        <v>Y</v>
      </c>
      <c r="X210" s="203">
        <f t="shared" si="128"/>
        <v>1</v>
      </c>
      <c r="Y210" s="203">
        <f t="shared" si="105"/>
        <v>5.5899999999999998E-2</v>
      </c>
      <c r="Z210" s="203">
        <f t="shared" si="106"/>
        <v>2.3304</v>
      </c>
      <c r="AA210" s="203">
        <f t="shared" si="112"/>
        <v>2.2745000000000002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8">
        <f t="shared" si="113"/>
        <v>303</v>
      </c>
      <c r="AE210" s="77" t="str">
        <f t="shared" si="114"/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AF210" s="74" t="str">
        <f t="shared" si="115"/>
        <v>"C:\Program Files (x86)\AstroGrep\AstroGrep.exe" /e /r /s /spath="%USERPROFILE%\AppData\Local\Temp\OnboardLogs" /stypes="app*4062*20171117*" /stext=" 02:.+((SYSTEM_STATE.+slice.+state.+changed )|(ment ac)|(multiple cpu faults)|(system.+state.+changed )|(\[timeout)|(PRM\|1\|D)|(kpr)|(kdp)|(train st.+moving)|(\|lc)|(penalty))"</v>
      </c>
      <c r="AG210" s="181" t="str">
        <f t="shared" si="116"/>
        <v>Other</v>
      </c>
      <c r="AH210" s="78" t="str">
        <f t="shared" si="123"/>
        <v>"%USERPROFILE%\Documents\GitHub\eaglep3\Utilities\RefineRTDCRunTimes.py" --tripid 303-16 --locoid 4062 --swversion DE.1.0.9.0 --startMP 204:559 --initTime 2017-11-16T19:09:40 --startdatetime 2017-11-16T19:12:08 --delay 55 --endMP 300:23304 --enddatetime 2017-11-16T19:23:08 --enforcementcount 0 &gt;&gt;%USERPROFILE%\Documents\GitHub\eaglep3-reporting\EC\2017-11-16-refined-times.txt</v>
      </c>
      <c r="AI210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{"issue":{"subject":"","project_id":79,"tracker_id":40,"status_id":1,"priority_id":2,"assigned_to_id":338,"start_date":"2017-11-16","description":"","custom_fields":[{"id":1,"name":"Subdivision","value":"Other"},{"id":4,"name":"Milepost","value":"2.3304"},{"id":17,"name":"Train ID","value":"303-16"},{"id":16,"name":"Locomotive ID","value":"4062"},{"id":130,"name":"Impact","value":""},{"id":150,"name":"Time of Event (Mountain Time)","value":"19:23:08"},{"id":151,"name":"Denver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1" t="str">
        <f t="shared" si="125"/>
        <v>start /low /b %USERPROFILE%\Documents\GitHub\eaglep3\Utilities\DownloadLogsFromS3.py --loco 4062 --day 2017-11-16</v>
      </c>
      <c r="AN210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7" t="str">
        <f t="shared" si="127"/>
        <v>https://d0f6bd738d7f1b3e5a7ca70fe4ff75f0.us-east-1.aws.found.io/app/kibana#/discover/Steve-Slow-Train-Analysis-(2080s-and-2083s)?_g=(refreshInterval:(display:Off,pause:!f,section:0,value:0),time:(from:'2017-11-16T18:09:40-0700',mode:absolute,to:'2017-11-16T20:23:08-0700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684</v>
      </c>
      <c r="B211" s="7">
        <v>4035</v>
      </c>
      <c r="C211" s="21" t="s">
        <v>192</v>
      </c>
      <c r="D211" s="21" t="s">
        <v>982</v>
      </c>
      <c r="E211" s="13">
        <v>43055.160775462966</v>
      </c>
      <c r="F211" s="13">
        <v>43055.165960648148</v>
      </c>
      <c r="G211" s="7">
        <v>136</v>
      </c>
      <c r="H211" s="21" t="s">
        <v>507</v>
      </c>
      <c r="I211" s="13">
        <v>43055.17150462963</v>
      </c>
      <c r="J211" s="7">
        <v>0</v>
      </c>
      <c r="K211" s="89" t="str">
        <f t="shared" si="108"/>
        <v>4035/4036</v>
      </c>
      <c r="L211" s="184" t="str">
        <f>VLOOKUP(A211,'Trips&amp;Operators'!$C$1:$G$99911,5,FALSE)</f>
        <v>AUSTIN THOMPSON</v>
      </c>
      <c r="M211" s="6">
        <f t="shared" si="109"/>
        <v>5.543981482333038E-3</v>
      </c>
      <c r="N211" s="7">
        <f t="shared" si="96"/>
        <v>7.9833333345595747</v>
      </c>
      <c r="O211" s="7"/>
      <c r="P211" s="7"/>
      <c r="Q211" s="22"/>
      <c r="R211" s="173"/>
      <c r="S211" s="220">
        <f t="shared" si="97"/>
        <v>1</v>
      </c>
      <c r="T211" s="173" t="str">
        <f t="shared" si="110"/>
        <v>Southbound</v>
      </c>
      <c r="U211" s="19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5" t="str">
        <f t="shared" si="111"/>
        <v>https://d0f6bd738d7f1b3e5a7ca70fe4ff75f0.us-east-1.aws.found.io/app/kibana#/discover/Steve-Slow-Train-Analysis-(2080s-and-2083s)?_g=(refreshInterval:(display:Off,pause:!f,section:0,value:0),time:(from:'2017-11-16T02:51:31-0700',mode:absolute,to:'2017-11-16T05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1" s="203" t="str">
        <f>IF(AA211&lt;VLOOKUP(AG211,Variables!$AC$3:$AD$8,2,FALSE),"Y","N")</f>
        <v>Y</v>
      </c>
      <c r="X211" s="203">
        <f t="shared" ref="X211:X236" si="129">VALUE(LEFT(AD211,4))-VALUE(LEFT(AD210,4))</f>
        <v>1</v>
      </c>
      <c r="Y211" s="203">
        <f t="shared" si="105"/>
        <v>2.3441999999999998</v>
      </c>
      <c r="Z211" s="203">
        <f t="shared" si="106"/>
        <v>2.18E-2</v>
      </c>
      <c r="AA211" s="203">
        <f t="shared" si="112"/>
        <v>2.3224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8">
        <f t="shared" si="113"/>
        <v>304</v>
      </c>
      <c r="AE211" s="77" t="str">
        <f t="shared" si="114"/>
        <v>aws s3 cp s3://rtdc.mdm.uploadarchive.raw/RTDC4035/ "%USERPROFILE%\AppData\Local\Temp\OnboardLogs"\RTDC4035\2017-11-16 --exclude "*" --recursive --include "*20171116*" &amp; "%USERPROFILE%\Documents\GitHub\mrs-test-scripts\Headless Mode &amp; Sideloading\WalkAndUnGZ.bat" "%USERPROFILE%\AppData\Local\Temp\OnboardLogs"\RTDC4035\2017-11-16 &amp; 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</v>
      </c>
      <c r="AF211" s="74" t="str">
        <f t="shared" si="115"/>
        <v>"C:\Program Files (x86)\AstroGrep\AstroGrep.exe" /e /r /s /spath="%USERPROFILE%\AppData\Local\Temp\OnboardLogs" /stypes="app*4035*20171116*" /stext=" 11:.+((SYSTEM_STATE.+slice.+state.+changed )|(ment ac)|(multiple cpu faults)|(system.+state.+changed )|(\[timeout)|(PRM\|1\|D)|(kpr)|(kdp)|(train st.+moving)|(\|lc)|(penalty))"</v>
      </c>
      <c r="AG211" s="181" t="str">
        <f t="shared" si="116"/>
        <v>Other</v>
      </c>
      <c r="AH211" s="78" t="str">
        <f t="shared" si="123"/>
        <v>"%USERPROFILE%\Documents\GitHub\eaglep3\Utilities\RefineRTDCRunTimes.py" --tripid 304-16 --locoid 4035 --swversion DE.1.0.9.0 --startMP 300:23442 --initTime 2017-11-16T03:51:31 --startdatetime 2017-11-16T03:58:59 --delay 136 --endMP 204:218 --enddatetime 2017-11-16T04:06:58 --enforcementcount 0 &gt;&gt;%USERPROFILE%\Documents\GitHub\eaglep3-reporting\EC\2017-11-16-refined-times.txt</v>
      </c>
      <c r="AI211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{"issue":{"subject":"","project_id":79,"tracker_id":40,"status_id":1,"priority_id":2,"assigned_to_id":338,"start_date":"2017-11-16","description":"","custom_fields":[{"id":1,"name":"Subdivision","value":"Other"},{"id":4,"name":"Milepost","value":"0.0218"},{"id":17,"name":"Train ID","value":"304-16"},{"id":16,"name":"Locomotive ID","value":"4035"},{"id":130,"name":"Impact","value":""},{"id":150,"name":"Time of Event (Mountain Time)","value":"04:06:58"},{"id":151,"name":"Denver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1" t="str">
        <f t="shared" si="125"/>
        <v>start /low /b %USERPROFILE%\Documents\GitHub\eaglep3\Utilities\DownloadLogsFromS3.py --loco 4035 --day 2017-11-16</v>
      </c>
      <c r="AN211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7" t="str">
        <f t="shared" si="127"/>
        <v>https://d0f6bd738d7f1b3e5a7ca70fe4ff75f0.us-east-1.aws.found.io/app/kibana#/discover/Steve-Slow-Train-Analysis-(2080s-and-2083s)?_g=(refreshInterval:(display:Off,pause:!f,section:0,value:0),time:(from:'2017-11-16T02:51:31-0700',mode:absolute,to:'2017-11-16T05:06:58-0700'))&amp;_a=(columns:!('Message%20ID',Summary),filters:!(),index:'emp_*',interval:auto,query:(query_string:(analyze_wildcard:!t,query:'%22rtdc.l.rtdc.4035%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860</v>
      </c>
      <c r="B212" s="7">
        <v>4016</v>
      </c>
      <c r="C212" s="21" t="s">
        <v>192</v>
      </c>
      <c r="D212" s="21" t="s">
        <v>983</v>
      </c>
      <c r="E212" s="13">
        <v>43055.817997685182</v>
      </c>
      <c r="F212" s="13">
        <v>43055.819201388891</v>
      </c>
      <c r="G212" s="7">
        <v>60</v>
      </c>
      <c r="H212" s="21" t="s">
        <v>498</v>
      </c>
      <c r="I212" s="13">
        <v>43055.825416666667</v>
      </c>
      <c r="J212" s="7">
        <v>0</v>
      </c>
      <c r="K212" s="89" t="str">
        <f t="shared" si="108"/>
        <v>4015/4016</v>
      </c>
      <c r="L212" s="184" t="str">
        <f>VLOOKUP(A212,'Trips&amp;Operators'!$C$1:$G$99911,5,FALSE)</f>
        <v>HOLCOMB KAMDEN</v>
      </c>
      <c r="M212" s="6">
        <f t="shared" si="109"/>
        <v>6.2152777754818089E-3</v>
      </c>
      <c r="N212" s="7">
        <f t="shared" si="96"/>
        <v>8.9499999966938049</v>
      </c>
      <c r="O212" s="7"/>
      <c r="P212" s="7"/>
      <c r="Q212" s="22"/>
      <c r="R212" s="173"/>
      <c r="S212" s="220">
        <f t="shared" si="97"/>
        <v>1</v>
      </c>
      <c r="T212" s="173" t="str">
        <f t="shared" si="110"/>
        <v>NorthBound</v>
      </c>
      <c r="U212" s="19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5" t="str">
        <f t="shared" si="111"/>
        <v>https://d0f6bd738d7f1b3e5a7ca70fe4ff75f0.us-east-1.aws.found.io/app/kibana#/discover/Steve-Slow-Train-Analysis-(2080s-and-2083s)?_g=(refreshInterval:(display:Off,pause:!f,section:0,value:0),time:(from:'2017-11-16T18:37:55-0700',mode:absolute,to:'2017-11-16T20:48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2" s="203" t="str">
        <f>IF(AA212&lt;VLOOKUP(AG212,Variables!$AC$3:$AD$8,2,FALSE),"Y","N")</f>
        <v>Y</v>
      </c>
      <c r="X212" s="203">
        <f t="shared" si="129"/>
        <v>1</v>
      </c>
      <c r="Y212" s="203">
        <f t="shared" si="105"/>
        <v>3.4500000000000003E-2</v>
      </c>
      <c r="Z212" s="203">
        <f t="shared" si="106"/>
        <v>2.3304</v>
      </c>
      <c r="AA212" s="203">
        <f t="shared" si="112"/>
        <v>2.2959000000000001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8">
        <f t="shared" si="113"/>
        <v>305</v>
      </c>
      <c r="AE212" s="77" t="str">
        <f t="shared" si="114"/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AF212" s="74" t="str">
        <f t="shared" si="115"/>
        <v>"C:\Program Files (x86)\AstroGrep\AstroGrep.exe" /e /r /s /spath="%USERPROFILE%\AppData\Local\Temp\OnboardLogs" /stypes="app*4016*20171117*" /stext=" 02:.+((SYSTEM_STATE.+slice.+state.+changed )|(ment ac)|(multiple cpu faults)|(system.+state.+changed )|(\[timeout)|(PRM\|1\|D)|(kpr)|(kdp)|(train st.+moving)|(\|lc)|(penalty))"</v>
      </c>
      <c r="AG212" s="181" t="str">
        <f t="shared" si="116"/>
        <v>Other</v>
      </c>
      <c r="AH212" s="78" t="str">
        <f t="shared" si="123"/>
        <v>"%USERPROFILE%\Documents\GitHub\eaglep3\Utilities\RefineRTDCRunTimes.py" --tripid 305-16 --locoid 4016 --swversion DE.1.0.9.0 --startMP 204:345 --initTime 2017-11-16T19:37:55 --startdatetime 2017-11-16T19:39:39 --delay 60 --endMP 300:23304 --enddatetime 2017-11-16T19:48:36 --enforcementcount 0 &gt;&gt;%USERPROFILE%\Documents\GitHub\eaglep3-reporting\EC\2017-11-16-refined-times.txt</v>
      </c>
      <c r="AI212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{"issue":{"subject":"","project_id":79,"tracker_id":40,"status_id":1,"priority_id":2,"assigned_to_id":338,"start_date":"2017-11-16","description":"","custom_fields":[{"id":1,"name":"Subdivision","value":"Other"},{"id":4,"name":"Milepost","value":"2.3304"},{"id":17,"name":"Train ID","value":"305-16"},{"id":16,"name":"Locomotive ID","value":"4016"},{"id":130,"name":"Impact","value":""},{"id":150,"name":"Time of Event (Mountain Time)","value":"19:48:36"},{"id":151,"name":"Denver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1" t="str">
        <f t="shared" si="125"/>
        <v>start /low /b %USERPROFILE%\Documents\GitHub\eaglep3\Utilities\DownloadLogsFromS3.py --loco 4016 --day 2017-11-16</v>
      </c>
      <c r="AN212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7" t="str">
        <f t="shared" si="127"/>
        <v>https://d0f6bd738d7f1b3e5a7ca70fe4ff75f0.us-east-1.aws.found.io/app/kibana#/discover/Steve-Slow-Train-Analysis-(2080s-and-2083s)?_g=(refreshInterval:(display:Off,pause:!f,section:0,value:0),time:(from:'2017-11-16T18:37:55-0700',mode:absolute,to:'2017-11-16T20:48:36-0700'))&amp;_a=(columns:!('Message%20ID',Summary),filters:!(),index:'emp_*',interval:auto,query:(query_string:(analyze_wildcard:!t,query:'%22rtdc.l.rtdc.4016%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685</v>
      </c>
      <c r="B213" s="7">
        <v>4017</v>
      </c>
      <c r="C213" s="21" t="s">
        <v>192</v>
      </c>
      <c r="D213" s="21" t="s">
        <v>984</v>
      </c>
      <c r="E213" s="13">
        <v>43055.169930555552</v>
      </c>
      <c r="F213" s="13">
        <v>43055.175370370373</v>
      </c>
      <c r="G213" s="7">
        <v>132</v>
      </c>
      <c r="H213" s="21" t="s">
        <v>530</v>
      </c>
      <c r="I213" s="13">
        <v>43055.180937500001</v>
      </c>
      <c r="J213" s="7">
        <v>0</v>
      </c>
      <c r="K213" s="89" t="str">
        <f t="shared" si="108"/>
        <v>4017/4018</v>
      </c>
      <c r="L213" s="184" t="str">
        <f>VLOOKUP(A213,'Trips&amp;Operators'!$C$1:$G$99911,5,FALSE)</f>
        <v>GEBRETEKLE DAGNEW</v>
      </c>
      <c r="M213" s="6">
        <f t="shared" si="109"/>
        <v>5.5671296286163852E-3</v>
      </c>
      <c r="N213" s="7">
        <f t="shared" si="96"/>
        <v>8.0166666652075946</v>
      </c>
      <c r="O213" s="7"/>
      <c r="P213" s="7"/>
      <c r="Q213" s="22"/>
      <c r="R213" s="173"/>
      <c r="S213" s="220">
        <f t="shared" si="97"/>
        <v>1</v>
      </c>
      <c r="T213" s="173" t="str">
        <f t="shared" si="110"/>
        <v>Southbound</v>
      </c>
      <c r="U213" s="19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5" t="str">
        <f t="shared" si="111"/>
        <v>https://d0f6bd738d7f1b3e5a7ca70fe4ff75f0.us-east-1.aws.found.io/app/kibana#/discover/Steve-Slow-Train-Analysis-(2080s-and-2083s)?_g=(refreshInterval:(display:Off,pause:!f,section:0,value:0),time:(from:'2017-11-16T03:04:42-0700',mode:absolute,to:'2017-11-16T05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3" s="203" t="str">
        <f>IF(AA213&lt;VLOOKUP(AG213,Variables!$AC$3:$AD$8,2,FALSE),"Y","N")</f>
        <v>Y</v>
      </c>
      <c r="X213" s="203">
        <f t="shared" si="129"/>
        <v>1</v>
      </c>
      <c r="Y213" s="203">
        <f t="shared" si="105"/>
        <v>2.3365999999999998</v>
      </c>
      <c r="Z213" s="203">
        <f t="shared" si="106"/>
        <v>1.9599999999999999E-2</v>
      </c>
      <c r="AA213" s="203">
        <f t="shared" si="112"/>
        <v>2.3169999999999997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8">
        <f t="shared" si="113"/>
        <v>306</v>
      </c>
      <c r="AE213" s="77" t="str">
        <f t="shared" si="114"/>
        <v>aws s3 cp s3://rtdc.mdm.uploadarchive.raw/RTDC4017/ "%USERPROFILE%\AppData\Local\Temp\OnboardLogs"\RTDC4017\2017-11-16 --exclude "*" --recursive --include "*20171116*" &amp; "%USERPROFILE%\Documents\GitHub\mrs-test-scripts\Headless Mode &amp; Sideloading\WalkAndUnGZ.bat" "%USERPROFILE%\AppData\Local\Temp\OnboardLogs"\RTDC4017\2017-11-16 &amp; aws s3 cp s3://rtdc.mdm.uploadarchive.raw/RTDC4017/ "%USERPROFILE%\AppData\Local\Temp\OnboardLogs"\RTDC4017\2017-11-17 --exclude "*" --recursive --include "*20171117*" &amp; "%USERPROFILE%\Documents\GitHub\mrs-test-scripts\Headless Mode &amp; Sideloading\WalkAndUnGZ.bat" "%USERPROFILE%\AppData\Local\Temp\OnboardLogs"\RTDC4017\2017-11-17</v>
      </c>
      <c r="AF213" s="74" t="str">
        <f t="shared" si="115"/>
        <v>"C:\Program Files (x86)\AstroGrep\AstroGrep.exe" /e /r /s /spath="%USERPROFILE%\AppData\Local\Temp\OnboardLogs" /stypes="app*4017*20171116*" /stext=" 11:.+((SYSTEM_STATE.+slice.+state.+changed )|(ment ac)|(multiple cpu faults)|(system.+state.+changed )|(\[timeout)|(PRM\|1\|D)|(kpr)|(kdp)|(train st.+moving)|(\|lc)|(penalty))"</v>
      </c>
      <c r="AG213" s="181" t="str">
        <f t="shared" si="116"/>
        <v>Other</v>
      </c>
      <c r="AH213" s="78" t="str">
        <f t="shared" si="123"/>
        <v>"%USERPROFILE%\Documents\GitHub\eaglep3\Utilities\RefineRTDCRunTimes.py" --tripid 306-16 --locoid 4017 --swversion DE.1.0.9.0 --startMP 300:23366 --initTime 2017-11-16T04:04:42 --startdatetime 2017-11-16T04:12:32 --delay 132 --endMP 204:196 --enddatetime 2017-11-16T04:20:33 --enforcementcount 0 &gt;&gt;%USERPROFILE%\Documents\GitHub\eaglep3-reporting\EC\2017-11-16-refined-times.txt</v>
      </c>
      <c r="AI213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{"issue":{"subject":"","project_id":79,"tracker_id":40,"status_id":1,"priority_id":2,"assigned_to_id":338,"start_date":"2017-11-16","description":"","custom_fields":[{"id":1,"name":"Subdivision","value":"Other"},{"id":4,"name":"Milepost","value":"0.0196"},{"id":17,"name":"Train ID","value":"306-16"},{"id":16,"name":"Locomotive ID","value":"4017"},{"id":130,"name":"Impact","value":""},{"id":150,"name":"Time of Event (Mountain Time)","value":"04:20:33"},{"id":151,"name":"Denver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1" t="str">
        <f t="shared" si="125"/>
        <v>start /low /b %USERPROFILE%\Documents\GitHub\eaglep3\Utilities\DownloadLogsFromS3.py --loco 4017 --day 2017-11-16</v>
      </c>
      <c r="AN213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7" t="str">
        <f t="shared" si="127"/>
        <v>https://d0f6bd738d7f1b3e5a7ca70fe4ff75f0.us-east-1.aws.found.io/app/kibana#/discover/Steve-Slow-Train-Analysis-(2080s-and-2083s)?_g=(refreshInterval:(display:Off,pause:!f,section:0,value:0),time:(from:'2017-11-16T03:04:42-0700',mode:absolute,to:'2017-11-16T05:20:33-0700'))&amp;_a=(columns:!('Message%20ID',Summary),filters:!(),index:'emp_*',interval:auto,query:(query_string:(analyze_wildcard:!t,query:'%22rtdc.l.rtdc.4017%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888</v>
      </c>
      <c r="B214" s="7">
        <v>4008</v>
      </c>
      <c r="C214" s="21" t="s">
        <v>192</v>
      </c>
      <c r="D214" s="21" t="s">
        <v>560</v>
      </c>
      <c r="E214" s="13">
        <v>43056.046817129631</v>
      </c>
      <c r="F214" s="13">
        <v>43056.049583333333</v>
      </c>
      <c r="G214" s="7">
        <v>168</v>
      </c>
      <c r="H214" s="21" t="s">
        <v>985</v>
      </c>
      <c r="I214" s="13">
        <v>43056.060648148145</v>
      </c>
      <c r="J214" s="7">
        <v>0</v>
      </c>
      <c r="K214" s="89" t="str">
        <f t="shared" si="108"/>
        <v>4007/4008</v>
      </c>
      <c r="L214" s="184" t="str">
        <f>VLOOKUP(A214,'Trips&amp;Operators'!$C$1:$G$99911,5,FALSE)</f>
        <v>LOZA FIDEL</v>
      </c>
      <c r="M214" s="6">
        <f t="shared" si="109"/>
        <v>1.1064814811106771E-2</v>
      </c>
      <c r="N214" s="7">
        <f t="shared" si="96"/>
        <v>15.933333327993751</v>
      </c>
      <c r="O214" s="7"/>
      <c r="P214" s="7"/>
      <c r="Q214" s="22"/>
      <c r="R214" s="173"/>
      <c r="S214" s="220">
        <f t="shared" si="97"/>
        <v>1</v>
      </c>
      <c r="T214" s="173" t="str">
        <f t="shared" si="110"/>
        <v>NorthBound</v>
      </c>
      <c r="U214" s="19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5" t="str">
        <f t="shared" si="111"/>
        <v>https://d0f6bd738d7f1b3e5a7ca70fe4ff75f0.us-east-1.aws.found.io/app/kibana#/discover/Steve-Slow-Train-Analysis-(2080s-and-2083s)?_g=(refreshInterval:(display:Off,pause:!f,section:0,value:0),time:(from:'2017-11-17T00:07:25-0700',mode:absolute,to:'2017-11-17T02:27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203" t="str">
        <f>IF(AA214&lt;VLOOKUP(AG214,Variables!$AC$3:$AD$8,2,FALSE),"Y","N")</f>
        <v>Y</v>
      </c>
      <c r="X214" s="203">
        <f t="shared" si="129"/>
        <v>1</v>
      </c>
      <c r="Y214" s="203">
        <f t="shared" si="105"/>
        <v>5.04E-2</v>
      </c>
      <c r="Z214" s="203">
        <f t="shared" si="106"/>
        <v>2.331</v>
      </c>
      <c r="AA214" s="203">
        <f t="shared" si="112"/>
        <v>2.2805999999999997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8">
        <f t="shared" si="113"/>
        <v>307</v>
      </c>
      <c r="AE214" s="77" t="str">
        <f t="shared" si="114"/>
        <v>aws s3 cp s3://rtdc.mdm.uploadarchive.raw/RTDC4008/ "%USERPROFILE%\AppData\Local\Temp\OnboardLogs"\RTDC4008\2017-11-17 --exclude "*" --recursive --include "*20171117*" &amp; "%USERPROFILE%\Documents\GitHub\mrs-test-scripts\Headless Mode &amp; Sideloading\WalkAndUnGZ.bat" "%USERPROFILE%\AppData\Local\Temp\OnboardLogs"\RTDC4008\2017-11-17 &amp; aws s3 cp s3://rtdc.mdm.uploadarchive.raw/RTDC4008/ "%USERPROFILE%\AppData\Local\Temp\OnboardLogs"\RTDC4008\2017-11-18 --exclude "*" --recursive --include "*20171118*" &amp; "%USERPROFILE%\Documents\GitHub\mrs-test-scripts\Headless Mode &amp; Sideloading\WalkAndUnGZ.bat" "%USERPROFILE%\AppData\Local\Temp\OnboardLogs"\RTDC4008\2017-11-18</v>
      </c>
      <c r="AF214" s="74" t="str">
        <f t="shared" si="115"/>
        <v>"C:\Program Files (x86)\AstroGrep\AstroGrep.exe" /e /r /s /spath="%USERPROFILE%\AppData\Local\Temp\OnboardLogs" /stypes="app*4008*20171117*" /stext=" 08:.+((SYSTEM_STATE.+slice.+state.+changed )|(ment ac)|(multiple cpu faults)|(system.+state.+changed )|(\[timeout)|(PRM\|1\|D)|(kpr)|(kdp)|(train st.+moving)|(\|lc)|(penalty))"</v>
      </c>
      <c r="AG214" s="181" t="str">
        <f t="shared" si="116"/>
        <v>Other</v>
      </c>
      <c r="AH214" s="78" t="str">
        <f t="shared" si="123"/>
        <v>"%USERPROFILE%\Documents\GitHub\eaglep3\Utilities\RefineRTDCRunTimes.py" --tripid 307-16 --locoid 4008 --swversion DE.1.0.9.0 --startMP 204:504 --initTime 2017-11-17T01:07:25 --startdatetime 2017-11-17T01:11:24 --delay 168 --endMP 300:23310 --enddatetime 2017-11-17T01:27:20 --enforcementcount 0 &gt;&gt;%USERPROFILE%\Documents\GitHub\eaglep3-reporting\EC\2017-11-16-refined-times.txt</v>
      </c>
      <c r="AI214" s="96" t="str">
        <f t="shared" si="124"/>
        <v>echo {"issue":{"subject":"","project_id":79,"tracker_id":40,"status_id":1,"priority_id":2,"assigned_to_id":338,"start_date":"2017-11-17","description":"","custom_fields":[{"id":1,"name":"Subdivision","value":"Other"},{"id":4,"name":"Milepost","value":"2.331"},{"id":17,"name":"Train ID","value":"307-16"},{"id":16,"name":"Locomotive ID","value":"4008"},{"id":130,"name":"Impact","value":""},{"id":150,"name":"Time of Event (Mountain Time)","value":"01:27:20"},{"id":151,"name":"Denver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1" t="str">
        <f t="shared" si="125"/>
        <v>start /low /b %USERPROFILE%\Documents\GitHub\eaglep3\Utilities\DownloadLogsFromS3.py --loco 4008 --day 2017-11-17</v>
      </c>
      <c r="AN214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08:27:20"},{"id":29,"name":"Sharepoint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7" t="str">
        <f t="shared" si="127"/>
        <v>https://d0f6bd738d7f1b3e5a7ca70fe4ff75f0.us-east-1.aws.found.io/app/kibana#/discover/Steve-Slow-Train-Analysis-(2080s-and-2083s)?_g=(refreshInterval:(display:Off,pause:!f,section:0,value:0),time:(from:'2017-11-17T00:07:25-0700',mode:absolute,to:'2017-11-17T02:27:20-0700'))&amp;_a=(columns:!('Message%20ID',Summary),filters:!(),index:'emp_*',interval:auto,query:(query_string:(analyze_wildcard:!t,query:'%22rtdc.l.rtdc.4008%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687</v>
      </c>
      <c r="B215" s="7">
        <v>4051</v>
      </c>
      <c r="C215" s="21" t="s">
        <v>192</v>
      </c>
      <c r="D215" s="21" t="s">
        <v>986</v>
      </c>
      <c r="E215" s="13">
        <v>43055.175937499997</v>
      </c>
      <c r="F215" s="13">
        <v>43055.182210648149</v>
      </c>
      <c r="G215" s="7">
        <v>127</v>
      </c>
      <c r="H215" s="21" t="s">
        <v>506</v>
      </c>
      <c r="I215" s="13">
        <v>43055.190439814818</v>
      </c>
      <c r="J215" s="7">
        <v>0</v>
      </c>
      <c r="K215" s="89" t="str">
        <f t="shared" si="108"/>
        <v>4051/4052</v>
      </c>
      <c r="L215" s="184" t="str">
        <f>VLOOKUP(A215,'Trips&amp;Operators'!$C$1:$G$99911,5,FALSE)</f>
        <v>WILLIAMS DONTE</v>
      </c>
      <c r="M215" s="6">
        <f t="shared" si="109"/>
        <v>8.2291666694800369E-3</v>
      </c>
      <c r="N215" s="7">
        <f t="shared" si="96"/>
        <v>11.850000004051253</v>
      </c>
      <c r="O215" s="7"/>
      <c r="P215" s="7"/>
      <c r="Q215" s="22"/>
      <c r="R215" s="173"/>
      <c r="S215" s="220">
        <f t="shared" si="97"/>
        <v>1</v>
      </c>
      <c r="T215" s="173" t="str">
        <f t="shared" si="110"/>
        <v>Southbound</v>
      </c>
      <c r="U215" s="19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5" t="str">
        <f t="shared" si="111"/>
        <v>https://d0f6bd738d7f1b3e5a7ca70fe4ff75f0.us-east-1.aws.found.io/app/kibana#/discover/Steve-Slow-Train-Analysis-(2080s-and-2083s)?_g=(refreshInterval:(display:Off,pause:!f,section:0,value:0),time:(from:'2017-11-16T03:13:21-0700',mode:absolute,to:'2017-11-16T05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203" t="str">
        <f>IF(AA215&lt;VLOOKUP(AG215,Variables!$AC$3:$AD$8,2,FALSE),"Y","N")</f>
        <v>Y</v>
      </c>
      <c r="X215" s="203">
        <f t="shared" si="129"/>
        <v>1</v>
      </c>
      <c r="Y215" s="203">
        <f t="shared" si="105"/>
        <v>2.319</v>
      </c>
      <c r="Z215" s="203">
        <f t="shared" si="106"/>
        <v>1.9099999999999999E-2</v>
      </c>
      <c r="AA215" s="203">
        <f t="shared" si="112"/>
        <v>2.2999000000000001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8">
        <f t="shared" si="113"/>
        <v>308</v>
      </c>
      <c r="AE215" s="77" t="str">
        <f t="shared" si="114"/>
        <v>aws s3 cp s3://rtdc.mdm.uploadarchive.raw/RTDC4051/ "%USERPROFILE%\AppData\Local\Temp\OnboardLogs"\RTDC4051\2017-11-16 --exclude "*" --recursive --include "*20171116*" &amp; "%USERPROFILE%\Documents\GitHub\mrs-test-scripts\Headless Mode &amp; Sideloading\WalkAndUnGZ.bat" "%USERPROFILE%\AppData\Local\Temp\OnboardLogs"\RTDC4051\2017-11-16 &amp; aws s3 cp s3://rtdc.mdm.uploadarchive.raw/RTDC4051/ "%USERPROFILE%\AppData\Local\Temp\OnboardLogs"\RTDC4051\2017-11-17 --exclude "*" --recursive --include "*20171117*" &amp; "%USERPROFILE%\Documents\GitHub\mrs-test-scripts\Headless Mode &amp; Sideloading\WalkAndUnGZ.bat" "%USERPROFILE%\AppData\Local\Temp\OnboardLogs"\RTDC4051\2017-11-17</v>
      </c>
      <c r="AF215" s="74" t="str">
        <f t="shared" si="115"/>
        <v>"C:\Program Files (x86)\AstroGrep\AstroGrep.exe" /e /r /s /spath="%USERPROFILE%\AppData\Local\Temp\OnboardLogs" /stypes="app*4051*20171116*" /stext=" 11:.+((SYSTEM_STATE.+slice.+state.+changed )|(ment ac)|(multiple cpu faults)|(system.+state.+changed )|(\[timeout)|(PRM\|1\|D)|(kpr)|(kdp)|(train st.+moving)|(\|lc)|(penalty))"</v>
      </c>
      <c r="AG215" s="181" t="str">
        <f t="shared" si="116"/>
        <v>Other</v>
      </c>
      <c r="AH215" s="78" t="str">
        <f t="shared" si="123"/>
        <v>"%USERPROFILE%\Documents\GitHub\eaglep3\Utilities\RefineRTDCRunTimes.py" --tripid 308-16 --locoid 4051 --swversion DE.1.0.9.0 --startMP 300:23190 --initTime 2017-11-16T04:13:21 --startdatetime 2017-11-16T04:22:23 --delay 127 --endMP 204:191 --enddatetime 2017-11-16T04:34:14 --enforcementcount 0 &gt;&gt;%USERPROFILE%\Documents\GitHub\eaglep3-reporting\EC\2017-11-16-refined-times.txt</v>
      </c>
      <c r="AI215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{"issue":{"subject":"","project_id":79,"tracker_id":40,"status_id":1,"priority_id":2,"assigned_to_id":338,"start_date":"2017-11-16","description":"","custom_fields":[{"id":1,"name":"Subdivision","value":"Other"},{"id":4,"name":"Milepost","value":"0.0191"},{"id":17,"name":"Train ID","value":"308-16"},{"id":16,"name":"Locomotive ID","value":"4051"},{"id":130,"name":"Impact","value":""},{"id":150,"name":"Time of Event (Mountain Time)","value":"04:34:14"},{"id":151,"name":"Denver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1" t="str">
        <f t="shared" si="125"/>
        <v>start /low /b %USERPROFILE%\Documents\GitHub\eaglep3\Utilities\DownloadLogsFromS3.py --loco 4051 --day 2017-11-16</v>
      </c>
      <c r="AN215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7" t="str">
        <f t="shared" si="127"/>
        <v>https://d0f6bd738d7f1b3e5a7ca70fe4ff75f0.us-east-1.aws.found.io/app/kibana#/discover/Steve-Slow-Train-Analysis-(2080s-and-2083s)?_g=(refreshInterval:(display:Off,pause:!f,section:0,value:0),time:(from:'2017-11-16T03:13:21-0700',mode:absolute,to:'2017-11-16T05:34:14-0700'))&amp;_a=(columns:!('Message%20ID',Summary),filters:!(),index:'emp_*',interval:auto,query:(query_string:(analyze_wildcard:!t,query:'%22rtdc.l.rtdc.4051%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890</v>
      </c>
      <c r="B216" s="7">
        <v>4004</v>
      </c>
      <c r="C216" s="21" t="s">
        <v>192</v>
      </c>
      <c r="D216" s="21" t="s">
        <v>987</v>
      </c>
      <c r="E216" s="13">
        <v>43056.065509259257</v>
      </c>
      <c r="F216" s="13">
        <v>43056.068888888891</v>
      </c>
      <c r="G216" s="7">
        <v>88</v>
      </c>
      <c r="H216" s="21" t="s">
        <v>568</v>
      </c>
      <c r="I216" s="13">
        <v>43056.084965277776</v>
      </c>
      <c r="J216" s="7">
        <v>0</v>
      </c>
      <c r="K216" s="89" t="str">
        <f t="shared" si="108"/>
        <v>4003/4004</v>
      </c>
      <c r="L216" s="184" t="str">
        <f>VLOOKUP(A216,'Trips&amp;Operators'!$C$1:$G$99911,5,FALSE)</f>
        <v>ELBAUM MIKE</v>
      </c>
      <c r="M216" s="6">
        <f t="shared" si="109"/>
        <v>1.6076388885267079E-2</v>
      </c>
      <c r="N216" s="7">
        <f t="shared" si="96"/>
        <v>23.149999994784594</v>
      </c>
      <c r="O216" s="7"/>
      <c r="P216" s="7"/>
      <c r="Q216" s="22"/>
      <c r="R216" s="173"/>
      <c r="S216" s="220">
        <f t="shared" si="97"/>
        <v>1</v>
      </c>
      <c r="T216" s="173" t="str">
        <f t="shared" si="110"/>
        <v>NorthBound</v>
      </c>
      <c r="U216" s="19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5" t="str">
        <f t="shared" si="111"/>
        <v>https://d0f6bd738d7f1b3e5a7ca70fe4ff75f0.us-east-1.aws.found.io/app/kibana#/discover/Steve-Slow-Train-Analysis-(2080s-and-2083s)?_g=(refreshInterval:(display:Off,pause:!f,section:0,value:0),time:(from:'2017-11-17T00:34:20-0700',mode:absolute,to:'2017-11-17T03:02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203" t="str">
        <f>IF(AA216&lt;VLOOKUP(AG216,Variables!$AC$3:$AD$8,2,FALSE),"Y","N")</f>
        <v>Y</v>
      </c>
      <c r="X216" s="203">
        <f t="shared" si="129"/>
        <v>1</v>
      </c>
      <c r="Y216" s="203">
        <f t="shared" si="105"/>
        <v>5.7000000000000002E-2</v>
      </c>
      <c r="Z216" s="203">
        <f t="shared" si="106"/>
        <v>2.3302</v>
      </c>
      <c r="AA216" s="203">
        <f t="shared" si="112"/>
        <v>2.2732000000000001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8">
        <f t="shared" si="113"/>
        <v>309</v>
      </c>
      <c r="AE216" s="77" t="str">
        <f t="shared" si="114"/>
        <v>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 &amp; aws s3 cp s3://rtdc.mdm.uploadarchive.raw/RTDC4004/ "%USERPROFILE%\AppData\Local\Temp\OnboardLogs"\RTDC4004\2017-11-18 --exclude "*" --recursive --include "*20171118*" &amp; "%USERPROFILE%\Documents\GitHub\mrs-test-scripts\Headless Mode &amp; Sideloading\WalkAndUnGZ.bat" "%USERPROFILE%\AppData\Local\Temp\OnboardLogs"\RTDC4004\2017-11-18</v>
      </c>
      <c r="AF216" s="74" t="str">
        <f t="shared" si="115"/>
        <v>"C:\Program Files (x86)\AstroGrep\AstroGrep.exe" /e /r /s /spath="%USERPROFILE%\AppData\Local\Temp\OnboardLogs" /stypes="app*4004*20171117*" /stext=" 09:.+((SYSTEM_STATE.+slice.+state.+changed )|(ment ac)|(multiple cpu faults)|(system.+state.+changed )|(\[timeout)|(PRM\|1\|D)|(kpr)|(kdp)|(train st.+moving)|(\|lc)|(penalty))"</v>
      </c>
      <c r="AG216" s="181" t="str">
        <f t="shared" si="116"/>
        <v>Other</v>
      </c>
      <c r="AH216" s="78" t="str">
        <f t="shared" si="123"/>
        <v>"%USERPROFILE%\Documents\GitHub\eaglep3\Utilities\RefineRTDCRunTimes.py" --tripid 309-16 --locoid 4004 --swversion DE.1.0.9.0 --startMP 204:570 --initTime 2017-11-17T01:34:20 --startdatetime 2017-11-17T01:39:12 --delay 88 --endMP 300:23302 --enddatetime 2017-11-17T02:02:21 --enforcementcount 0 &gt;&gt;%USERPROFILE%\Documents\GitHub\eaglep3-reporting\EC\2017-11-16-refined-times.txt</v>
      </c>
      <c r="AI216" s="96" t="str">
        <f t="shared" si="124"/>
        <v>echo {"issue":{"subject":"","project_id":79,"tracker_id":40,"status_id":1,"priority_id":2,"assigned_to_id":338,"start_date":"2017-11-17","description":"","custom_fields":[{"id":1,"name":"Subdivision","value":"Other"},{"id":4,"name":"Milepost","value":"2.3302"},{"id":17,"name":"Train ID","value":"309-16"},{"id":16,"name":"Locomotive ID","value":"4004"},{"id":130,"name":"Impact","value":""},{"id":150,"name":"Time of Event (Mountain Time)","value":"02:02:21"},{"id":151,"name":"Denver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1" t="str">
        <f t="shared" si="125"/>
        <v>start /low /b %USERPROFILE%\Documents\GitHub\eaglep3\Utilities\DownloadLogsFromS3.py --loco 4004 --day 2017-11-17</v>
      </c>
      <c r="AN216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09:02:21"},{"id":29,"name":"Sharepoint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7" t="str">
        <f t="shared" si="127"/>
        <v>https://d0f6bd738d7f1b3e5a7ca70fe4ff75f0.us-east-1.aws.found.io/app/kibana#/discover/Steve-Slow-Train-Analysis-(2080s-and-2083s)?_g=(refreshInterval:(display:Off,pause:!f,section:0,value:0),time:(from:'2017-11-17T00:34:20-0700',mode:absolute,to:'2017-11-17T03:02:21-0700'))&amp;_a=(columns:!('Message%20ID',Summary),filters:!(),index:'emp_*',interval:auto,query:(query_string:(analyze_wildcard:!t,query:'%22rtdc.l.rtdc.4004%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692</v>
      </c>
      <c r="B217" s="7">
        <v>4061</v>
      </c>
      <c r="C217" s="21" t="s">
        <v>192</v>
      </c>
      <c r="D217" s="21" t="s">
        <v>988</v>
      </c>
      <c r="E217" s="13">
        <v>43055.195798611108</v>
      </c>
      <c r="F217" s="13">
        <v>43055.19840277778</v>
      </c>
      <c r="G217" s="7">
        <v>80</v>
      </c>
      <c r="H217" s="21" t="s">
        <v>989</v>
      </c>
      <c r="I217" s="13">
        <v>43055.20349537037</v>
      </c>
      <c r="J217" s="7">
        <v>0</v>
      </c>
      <c r="K217" s="89" t="str">
        <f t="shared" si="108"/>
        <v>4061/4062</v>
      </c>
      <c r="L217" s="184" t="str">
        <f>VLOOKUP(A217,'Trips&amp;Operators'!$C$1:$G$99911,5,FALSE)</f>
        <v>YANAI IAN</v>
      </c>
      <c r="M217" s="6">
        <f t="shared" si="109"/>
        <v>5.0925925897900015E-3</v>
      </c>
      <c r="N217" s="7">
        <f t="shared" si="96"/>
        <v>7.3333333292976022</v>
      </c>
      <c r="O217" s="7"/>
      <c r="P217" s="7"/>
      <c r="Q217" s="22"/>
      <c r="R217" s="173"/>
      <c r="S217" s="220">
        <f t="shared" si="97"/>
        <v>1</v>
      </c>
      <c r="T217" s="173" t="str">
        <f t="shared" si="110"/>
        <v>Southbound</v>
      </c>
      <c r="U217" s="19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5" t="str">
        <f t="shared" si="111"/>
        <v>https://d0f6bd738d7f1b3e5a7ca70fe4ff75f0.us-east-1.aws.found.io/app/kibana#/discover/Steve-Slow-Train-Analysis-(2080s-and-2083s)?_g=(refreshInterval:(display:Off,pause:!f,section:0,value:0),time:(from:'2017-11-16T03:41:57-0700',mode:absolute,to:'2017-11-16T05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203" t="str">
        <f>IF(AA217&lt;VLOOKUP(AG217,Variables!$AC$3:$AD$8,2,FALSE),"Y","N")</f>
        <v>Y</v>
      </c>
      <c r="X217" s="203">
        <f t="shared" si="129"/>
        <v>1</v>
      </c>
      <c r="Y217" s="203">
        <f t="shared" si="105"/>
        <v>2.3700999999999999</v>
      </c>
      <c r="Z217" s="203">
        <f t="shared" si="106"/>
        <v>1.4999999999999999E-2</v>
      </c>
      <c r="AA217" s="203">
        <f t="shared" si="112"/>
        <v>2.3550999999999997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8">
        <f t="shared" si="113"/>
        <v>310</v>
      </c>
      <c r="AE217" s="77" t="str">
        <f t="shared" si="114"/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AF217" s="74" t="str">
        <f t="shared" si="115"/>
        <v>"C:\Program Files (x86)\AstroGrep\AstroGrep.exe" /e /r /s /spath="%USERPROFILE%\AppData\Local\Temp\OnboardLogs" /stypes="app*4061*20171116*" /stext=" 11:.+((SYSTEM_STATE.+slice.+state.+changed )|(ment ac)|(multiple cpu faults)|(system.+state.+changed )|(\[timeout)|(PRM\|1\|D)|(kpr)|(kdp)|(train st.+moving)|(\|lc)|(penalty))"</v>
      </c>
      <c r="AG217" s="181" t="str">
        <f t="shared" si="116"/>
        <v>Other</v>
      </c>
      <c r="AH217" s="78" t="str">
        <f t="shared" si="123"/>
        <v>"%USERPROFILE%\Documents\GitHub\eaglep3\Utilities\RefineRTDCRunTimes.py" --tripid 310-16 --locoid 4061 --swversion DE.1.0.9.0 --startMP 300:23701 --initTime 2017-11-16T04:41:57 --startdatetime 2017-11-16T04:45:42 --delay 80 --endMP 204:150 --enddatetime 2017-11-16T04:53:02 --enforcementcount 0 &gt;&gt;%USERPROFILE%\Documents\GitHub\eaglep3-reporting\EC\2017-11-16-refined-times.txt</v>
      </c>
      <c r="AI217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{"issue":{"subject":"","project_id":79,"tracker_id":40,"status_id":1,"priority_id":2,"assigned_to_id":338,"start_date":"2017-11-16","description":"","custom_fields":[{"id":1,"name":"Subdivision","value":"Other"},{"id":4,"name":"Milepost","value":"0.015"},{"id":17,"name":"Train ID","value":"310-16"},{"id":16,"name":"Locomotive ID","value":"4061"},{"id":130,"name":"Impact","value":""},{"id":150,"name":"Time of Event (Mountain Time)","value":"04:53:02"},{"id":151,"name":"Denver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1" t="str">
        <f t="shared" si="125"/>
        <v>start /low /b %USERPROFILE%\Documents\GitHub\eaglep3\Utilities\DownloadLogsFromS3.py --loco 4061 --day 2017-11-16</v>
      </c>
      <c r="AN217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7" t="str">
        <f t="shared" si="127"/>
        <v>https://d0f6bd738d7f1b3e5a7ca70fe4ff75f0.us-east-1.aws.found.io/app/kibana#/discover/Steve-Slow-Train-Analysis-(2080s-and-2083s)?_g=(refreshInterval:(display:Off,pause:!f,section:0,value:0),time:(from:'2017-11-16T03:41:57-0700',mode:absolute,to:'2017-11-16T05:53:02-0700'))&amp;_a=(columns:!('Message%20ID',Summary),filters:!(),index:'emp_*',interval:auto,query:(query_string:(analyze_wildcard:!t,query:'%22rtdc.l.rtdc.4061%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891</v>
      </c>
      <c r="B218" s="7">
        <v>4018</v>
      </c>
      <c r="C218" s="21" t="s">
        <v>192</v>
      </c>
      <c r="D218" s="21" t="s">
        <v>444</v>
      </c>
      <c r="E218" s="13">
        <v>43056.091006944444</v>
      </c>
      <c r="F218" s="13">
        <v>43056.092604166668</v>
      </c>
      <c r="G218" s="7">
        <v>70</v>
      </c>
      <c r="H218" s="21" t="s">
        <v>498</v>
      </c>
      <c r="I218" s="13">
        <v>43056.105567129627</v>
      </c>
      <c r="J218" s="7">
        <v>0</v>
      </c>
      <c r="K218" s="89" t="str">
        <f t="shared" si="108"/>
        <v>4017/4018</v>
      </c>
      <c r="L218" s="184" t="str">
        <f>VLOOKUP(A218,'Trips&amp;Operators'!$C$1:$G$99911,5,FALSE)</f>
        <v>NICHOLSON WESLEY</v>
      </c>
      <c r="M218" s="6">
        <f t="shared" si="109"/>
        <v>1.2962962959136348E-2</v>
      </c>
      <c r="N218" s="7">
        <f t="shared" si="96"/>
        <v>18.666666661156341</v>
      </c>
      <c r="O218" s="7"/>
      <c r="P218" s="7"/>
      <c r="Q218" s="22"/>
      <c r="R218" s="173"/>
      <c r="S218" s="220">
        <f t="shared" si="97"/>
        <v>1</v>
      </c>
      <c r="T218" s="173" t="str">
        <f t="shared" si="110"/>
        <v>NorthBound</v>
      </c>
      <c r="U218" s="19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5" t="str">
        <f t="shared" si="111"/>
        <v>https://d0f6bd738d7f1b3e5a7ca70fe4ff75f0.us-east-1.aws.found.io/app/kibana#/discover/Steve-Slow-Train-Analysis-(2080s-and-2083s)?_g=(refreshInterval:(display:Off,pause:!f,section:0,value:0),time:(from:'2017-11-17T01:11:03-0700',mode:absolute,to:'2017-11-17T03:32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203" t="str">
        <f>IF(AA218&lt;VLOOKUP(AG218,Variables!$AC$3:$AD$8,2,FALSE),"Y","N")</f>
        <v>Y</v>
      </c>
      <c r="X218" s="203">
        <f t="shared" si="129"/>
        <v>1</v>
      </c>
      <c r="Y218" s="203">
        <f t="shared" si="105"/>
        <v>5.1700000000000003E-2</v>
      </c>
      <c r="Z218" s="203">
        <f t="shared" si="106"/>
        <v>2.3304</v>
      </c>
      <c r="AA218" s="203">
        <f t="shared" si="112"/>
        <v>2.2787000000000002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8">
        <f t="shared" si="113"/>
        <v>311</v>
      </c>
      <c r="AE218" s="77" t="str">
        <f t="shared" si="114"/>
        <v>aws s3 cp s3://rtdc.mdm.uploadarchive.raw/RTDC4018/ "%USERPROFILE%\AppData\Local\Temp\OnboardLogs"\RTDC4018\2017-11-17 --exclude "*" --recursive --include "*20171117*" &amp; "%USERPROFILE%\Documents\GitHub\mrs-test-scripts\Headless Mode &amp; Sideloading\WalkAndUnGZ.bat" "%USERPROFILE%\AppData\Local\Temp\OnboardLogs"\RTDC4018\2017-11-17 &amp; aws s3 cp s3://rtdc.mdm.uploadarchive.raw/RTDC4018/ "%USERPROFILE%\AppData\Local\Temp\OnboardLogs"\RTDC4018\2017-11-18 --exclude "*" --recursive --include "*20171118*" &amp; "%USERPROFILE%\Documents\GitHub\mrs-test-scripts\Headless Mode &amp; Sideloading\WalkAndUnGZ.bat" "%USERPROFILE%\AppData\Local\Temp\OnboardLogs"\RTDC4018\2017-11-18</v>
      </c>
      <c r="AF218" s="74" t="str">
        <f t="shared" si="115"/>
        <v>"C:\Program Files (x86)\AstroGrep\AstroGrep.exe" /e /r /s /spath="%USERPROFILE%\AppData\Local\Temp\OnboardLogs" /stypes="app*4018*20171117*" /stext=" 09:.+((SYSTEM_STATE.+slice.+state.+changed )|(ment ac)|(multiple cpu faults)|(system.+state.+changed )|(\[timeout)|(PRM\|1\|D)|(kpr)|(kdp)|(train st.+moving)|(\|lc)|(penalty))"</v>
      </c>
      <c r="AG218" s="181" t="str">
        <f t="shared" si="116"/>
        <v>Other</v>
      </c>
      <c r="AH218" s="78" t="str">
        <f t="shared" si="123"/>
        <v>"%USERPROFILE%\Documents\GitHub\eaglep3\Utilities\RefineRTDCRunTimes.py" --tripid 311-16 --locoid 4018 --swversion DE.1.0.9.0 --startMP 204:517 --initTime 2017-11-17T02:11:03 --startdatetime 2017-11-17T02:13:21 --delay 70 --endMP 300:23304 --enddatetime 2017-11-17T02:32:01 --enforcementcount 0 &gt;&gt;%USERPROFILE%\Documents\GitHub\eaglep3-reporting\EC\2017-11-16-refined-times.txt</v>
      </c>
      <c r="AI218" s="96" t="str">
        <f t="shared" si="124"/>
        <v>echo {"issue":{"subject":"","project_id":79,"tracker_id":40,"status_id":1,"priority_id":2,"assigned_to_id":338,"start_date":"2017-11-17","description":"","custom_fields":[{"id":1,"name":"Subdivision","value":"Other"},{"id":4,"name":"Milepost","value":"2.3304"},{"id":17,"name":"Train ID","value":"311-16"},{"id":16,"name":"Locomotive ID","value":"4018"},{"id":130,"name":"Impact","value":""},{"id":150,"name":"Time of Event (Mountain Time)","value":"02:32:01"},{"id":151,"name":"Denver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1" t="str">
        <f t="shared" si="125"/>
        <v>start /low /b %USERPROFILE%\Documents\GitHub\eaglep3\Utilities\DownloadLogsFromS3.py --loco 4018 --day 2017-11-17</v>
      </c>
      <c r="AN218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09:32:01"},{"id":29,"name":"Sharepoint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7" t="str">
        <f t="shared" si="127"/>
        <v>https://d0f6bd738d7f1b3e5a7ca70fe4ff75f0.us-east-1.aws.found.io/app/kibana#/discover/Steve-Slow-Train-Analysis-(2080s-and-2083s)?_g=(refreshInterval:(display:Off,pause:!f,section:0,value:0),time:(from:'2017-11-17T01:11:03-0700',mode:absolute,to:'2017-11-17T03:32:01-0700'))&amp;_a=(columns:!('Message%20ID',Summary),filters:!(),index:'emp_*',interval:auto,query:(query_string:(analyze_wildcard:!t,query:'%22rtdc.l.rtdc.4018%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700</v>
      </c>
      <c r="B219" s="7">
        <v>4015</v>
      </c>
      <c r="C219" s="21" t="s">
        <v>192</v>
      </c>
      <c r="D219" s="21" t="s">
        <v>990</v>
      </c>
      <c r="E219" s="13">
        <v>43055.217199074075</v>
      </c>
      <c r="F219" s="13">
        <v>43055.222395833334</v>
      </c>
      <c r="G219" s="7">
        <v>169</v>
      </c>
      <c r="H219" s="21" t="s">
        <v>536</v>
      </c>
      <c r="I219" s="13">
        <v>43055.227812500001</v>
      </c>
      <c r="J219" s="7">
        <v>0</v>
      </c>
      <c r="K219" s="89" t="str">
        <f t="shared" si="108"/>
        <v>4015/4016</v>
      </c>
      <c r="L219" s="184" t="str">
        <f>VLOOKUP(A219,'Trips&amp;Operators'!$C$1:$G$99911,5,FALSE)</f>
        <v>DAVIDSON DAVID</v>
      </c>
      <c r="M219" s="6">
        <f t="shared" si="109"/>
        <v>5.4166666668606922E-3</v>
      </c>
      <c r="N219" s="7">
        <f t="shared" si="96"/>
        <v>7.8000000002793968</v>
      </c>
      <c r="O219" s="7"/>
      <c r="P219" s="7"/>
      <c r="Q219" s="22"/>
      <c r="R219" s="173"/>
      <c r="S219" s="220">
        <f t="shared" si="97"/>
        <v>1</v>
      </c>
      <c r="T219" s="173" t="str">
        <f t="shared" si="110"/>
        <v>Southbound</v>
      </c>
      <c r="U219" s="19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5" t="str">
        <f t="shared" si="111"/>
        <v>https://d0f6bd738d7f1b3e5a7ca70fe4ff75f0.us-east-1.aws.found.io/app/kibana#/discover/Steve-Slow-Train-Analysis-(2080s-and-2083s)?_g=(refreshInterval:(display:Off,pause:!f,section:0,value:0),time:(from:'2017-11-16T04:12:46-0700',mode:absolute,to:'2017-11-16T06:28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203" t="str">
        <f>IF(AA219&lt;VLOOKUP(AG219,Variables!$AC$3:$AD$8,2,FALSE),"Y","N")</f>
        <v>Y</v>
      </c>
      <c r="X219" s="203">
        <f t="shared" si="129"/>
        <v>1</v>
      </c>
      <c r="Y219" s="203">
        <f t="shared" si="105"/>
        <v>2.2503000000000002</v>
      </c>
      <c r="Z219" s="203">
        <f t="shared" si="106"/>
        <v>2.12E-2</v>
      </c>
      <c r="AA219" s="203">
        <f t="shared" si="112"/>
        <v>2.2291000000000003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8">
        <f t="shared" si="113"/>
        <v>312</v>
      </c>
      <c r="AE219" s="77" t="str">
        <f t="shared" si="114"/>
        <v>aws s3 cp s3://rtdc.mdm.uploadarchive.raw/RTDC4015/ "%USERPROFILE%\AppData\Local\Temp\OnboardLogs"\RTDC4015\2017-11-16 --exclude "*" --recursive --include "*20171116*" &amp; "%USERPROFILE%\Documents\GitHub\mrs-test-scripts\Headless Mode &amp; Sideloading\WalkAndUnGZ.bat" "%USERPROFILE%\AppData\Local\Temp\OnboardLogs"\RTDC4015\2017-11-16 &amp; 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</v>
      </c>
      <c r="AF219" s="74" t="str">
        <f t="shared" si="115"/>
        <v>"C:\Program Files (x86)\AstroGrep\AstroGrep.exe" /e /r /s /spath="%USERPROFILE%\AppData\Local\Temp\OnboardLogs" /stypes="app*4015*20171116*" /stext=" 12:.+((SYSTEM_STATE.+slice.+state.+changed )|(ment ac)|(multiple cpu faults)|(system.+state.+changed )|(\[timeout)|(PRM\|1\|D)|(kpr)|(kdp)|(train st.+moving)|(\|lc)|(penalty))"</v>
      </c>
      <c r="AG219" s="181" t="str">
        <f t="shared" si="116"/>
        <v>Other</v>
      </c>
      <c r="AH219" s="78" t="str">
        <f t="shared" si="123"/>
        <v>"%USERPROFILE%\Documents\GitHub\eaglep3\Utilities\RefineRTDCRunTimes.py" --tripid 312-16 --locoid 4015 --swversion DE.1.0.9.0 --startMP 300:22503 --initTime 2017-11-16T05:12:46 --startdatetime 2017-11-16T05:20:15 --delay 169 --endMP 204:212 --enddatetime 2017-11-16T05:28:03 --enforcementcount 0 &gt;&gt;%USERPROFILE%\Documents\GitHub\eaglep3-reporting\EC\2017-11-16-refined-times.txt</v>
      </c>
      <c r="AI219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{"issue":{"subject":"","project_id":79,"tracker_id":40,"status_id":1,"priority_id":2,"assigned_to_id":338,"start_date":"2017-11-16","description":"","custom_fields":[{"id":1,"name":"Subdivision","value":"Other"},{"id":4,"name":"Milepost","value":"0.0212"},{"id":17,"name":"Train ID","value":"312-16"},{"id":16,"name":"Locomotive ID","value":"4015"},{"id":130,"name":"Impact","value":""},{"id":150,"name":"Time of Event (Mountain Time)","value":"05:28:03"},{"id":151,"name":"Denver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1" t="str">
        <f t="shared" si="125"/>
        <v>start /low /b %USERPROFILE%\Documents\GitHub\eaglep3\Utilities\DownloadLogsFromS3.py --loco 4015 --day 2017-11-16</v>
      </c>
      <c r="AN219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7" t="str">
        <f t="shared" si="127"/>
        <v>https://d0f6bd738d7f1b3e5a7ca70fe4ff75f0.us-east-1.aws.found.io/app/kibana#/discover/Steve-Slow-Train-Analysis-(2080s-and-2083s)?_g=(refreshInterval:(display:Off,pause:!f,section:0,value:0),time:(from:'2017-11-16T04:12:46-0700',mode:absolute,to:'2017-11-16T06:28:03-0700'))&amp;_a=(columns:!('Message%20ID',Summary),filters:!(),index:'emp_*',interval:auto,query:(query_string:(analyze_wildcard:!t,query:'%22rtdc.l.rtdc.4015%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887</v>
      </c>
      <c r="B220" s="7">
        <v>4002</v>
      </c>
      <c r="C220" s="21" t="s">
        <v>192</v>
      </c>
      <c r="D220" s="21" t="s">
        <v>526</v>
      </c>
      <c r="E220" s="13">
        <v>43056.027013888888</v>
      </c>
      <c r="F220" s="13">
        <v>43056.02847222222</v>
      </c>
      <c r="G220" s="7">
        <v>58</v>
      </c>
      <c r="H220" s="21" t="s">
        <v>991</v>
      </c>
      <c r="I220" s="13">
        <v>43056.036608796298</v>
      </c>
      <c r="J220" s="7">
        <v>0</v>
      </c>
      <c r="K220" s="89" t="str">
        <f t="shared" si="108"/>
        <v>4001/4002</v>
      </c>
      <c r="L220" s="184" t="str">
        <f>VLOOKUP(A220,'Trips&amp;Operators'!$C$1:$G$99911,5,FALSE)</f>
        <v>ANDERS STEVEN</v>
      </c>
      <c r="M220" s="6">
        <f t="shared" si="109"/>
        <v>8.1365740770706907E-3</v>
      </c>
      <c r="N220" s="7">
        <f t="shared" ref="N220:N236" si="130">24*60*SUM($M220:$M220)</f>
        <v>11.716666670981795</v>
      </c>
      <c r="O220" s="7"/>
      <c r="P220" s="7"/>
      <c r="Q220" s="22"/>
      <c r="R220" s="173"/>
      <c r="S220" s="220">
        <f t="shared" ref="S220:S236" si="131">1/IF(AG220="EC",12,1)*SUM(U220:U220)</f>
        <v>1</v>
      </c>
      <c r="T220" s="173" t="str">
        <f t="shared" si="110"/>
        <v>NorthBound</v>
      </c>
      <c r="U220" s="19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5" t="str">
        <f t="shared" si="111"/>
        <v>https://d0f6bd738d7f1b3e5a7ca70fe4ff75f0.us-east-1.aws.found.io/app/kibana#/discover/Steve-Slow-Train-Analysis-(2080s-and-2083s)?_g=(refreshInterval:(display:Off,pause:!f,section:0,value:0),time:(from:'2017-11-16T23:38:54-0700',mode:absolute,to:'2017-11-17T01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203" t="str">
        <f>IF(AA220&lt;VLOOKUP(AG220,Variables!$AC$3:$AD$8,2,FALSE),"Y","N")</f>
        <v>Y</v>
      </c>
      <c r="X220" s="203">
        <f t="shared" si="129"/>
        <v>1</v>
      </c>
      <c r="Y220" s="203">
        <f t="shared" si="105"/>
        <v>5.1999999999999998E-2</v>
      </c>
      <c r="Z220" s="203">
        <f t="shared" si="106"/>
        <v>2.3300999999999998</v>
      </c>
      <c r="AA220" s="203">
        <f t="shared" si="112"/>
        <v>2.2780999999999998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8">
        <f t="shared" si="113"/>
        <v>313</v>
      </c>
      <c r="AE220" s="77" t="str">
        <f t="shared" si="114"/>
        <v>aws s3 cp s3://rtdc.mdm.uploadarchive.raw/RTDC4002/ "%USERPROFILE%\AppData\Local\Temp\OnboardLogs"\RTDC4002\2017-11-17 --exclude "*" --recursive --include "*20171117*" &amp; "%USERPROFILE%\Documents\GitHub\mrs-test-scripts\Headless Mode &amp; Sideloading\WalkAndUnGZ.bat" "%USERPROFILE%\AppData\Local\Temp\OnboardLogs"\RTDC4002\2017-11-17 &amp; aws s3 cp s3://rtdc.mdm.uploadarchive.raw/RTDC4002/ "%USERPROFILE%\AppData\Local\Temp\OnboardLogs"\RTDC4002\2017-11-18 --exclude "*" --recursive --include "*20171118*" &amp; "%USERPROFILE%\Documents\GitHub\mrs-test-scripts\Headless Mode &amp; Sideloading\WalkAndUnGZ.bat" "%USERPROFILE%\AppData\Local\Temp\OnboardLogs"\RTDC4002\2017-11-18</v>
      </c>
      <c r="AF220" s="74" t="str">
        <f t="shared" si="115"/>
        <v>"C:\Program Files (x86)\AstroGrep\AstroGrep.exe" /e /r /s /spath="%USERPROFILE%\AppData\Local\Temp\OnboardLogs" /stypes="app*4002*20171117*" /stext=" 07:.+((SYSTEM_STATE.+slice.+state.+changed )|(ment ac)|(multiple cpu faults)|(system.+state.+changed )|(\[timeout)|(PRM\|1\|D)|(kpr)|(kdp)|(train st.+moving)|(\|lc)|(penalty))"</v>
      </c>
      <c r="AG220" s="181" t="str">
        <f t="shared" si="116"/>
        <v>Other</v>
      </c>
      <c r="AH220" s="78" t="str">
        <f t="shared" si="123"/>
        <v>"%USERPROFILE%\Documents\GitHub\eaglep3\Utilities\RefineRTDCRunTimes.py" --tripid 313-16 --locoid 4002 --swversion DE.1.0.9.0 --startMP 204:520 --initTime 2017-11-17T00:38:54 --startdatetime 2017-11-17T00:41:00 --delay 58 --endMP 300:23301 --enddatetime 2017-11-17T00:52:43 --enforcementcount 0 &gt;&gt;%USERPROFILE%\Documents\GitHub\eaglep3-reporting\EC\2017-11-16-refined-times.txt</v>
      </c>
      <c r="AI220" s="96" t="str">
        <f t="shared" si="124"/>
        <v>echo {"issue":{"subject":"","project_id":79,"tracker_id":40,"status_id":1,"priority_id":2,"assigned_to_id":338,"start_date":"2017-11-17","description":"","custom_fields":[{"id":1,"name":"Subdivision","value":"Other"},{"id":4,"name":"Milepost","value":"2.3301"},{"id":17,"name":"Train ID","value":"313-16"},{"id":16,"name":"Locomotive ID","value":"4002"},{"id":130,"name":"Impact","value":""},{"id":150,"name":"Time of Event (Mountain Time)","value":"00:52:43"},{"id":151,"name":"Denver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1" t="str">
        <f t="shared" si="125"/>
        <v>start /low /b %USERPROFILE%\Documents\GitHub\eaglep3\Utilities\DownloadLogsFromS3.py --loco 4002 --day 2017-11-17</v>
      </c>
      <c r="AN220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07:52:43"},{"id":29,"name":"Sharepoint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7" t="str">
        <f t="shared" si="127"/>
        <v>https://d0f6bd738d7f1b3e5a7ca70fe4ff75f0.us-east-1.aws.found.io/app/kibana#/discover/Steve-Slow-Train-Analysis-(2080s-and-2083s)?_g=(refreshInterval:(display:Off,pause:!f,section:0,value:0),time:(from:'2017-11-16T23:38:54-0700',mode:absolute,to:'2017-11-17T01:52:43-0700'))&amp;_a=(columns:!('Message%20ID',Summary),filters:!(),index:'emp_*',interval:auto,query:(query_string:(analyze_wildcard:!t,query:'%22rtdc.l.rtdc.4002%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694</v>
      </c>
      <c r="B221" s="7">
        <v>4012</v>
      </c>
      <c r="C221" s="21" t="s">
        <v>192</v>
      </c>
      <c r="D221" s="21" t="s">
        <v>1080</v>
      </c>
      <c r="E221" s="13">
        <v>43055.201770833337</v>
      </c>
      <c r="F221" s="13">
        <v>43055.209722222222</v>
      </c>
      <c r="G221" s="7">
        <v>104</v>
      </c>
      <c r="H221" s="21" t="s">
        <v>569</v>
      </c>
      <c r="I221" s="13">
        <v>43055.215636574074</v>
      </c>
      <c r="J221" s="7">
        <v>0</v>
      </c>
      <c r="K221" s="89" t="str">
        <f t="shared" si="108"/>
        <v>4011/4012</v>
      </c>
      <c r="L221" s="184" t="str">
        <f>VLOOKUP(A221,'Trips&amp;Operators'!$C$1:$G$99911,5,FALSE)</f>
        <v>STRICKLAND EVAN</v>
      </c>
      <c r="M221" s="6">
        <f t="shared" si="109"/>
        <v>5.914351851970423E-3</v>
      </c>
      <c r="N221" s="7">
        <f t="shared" si="130"/>
        <v>8.5166666668374091</v>
      </c>
      <c r="O221" s="7"/>
      <c r="P221" s="7"/>
      <c r="Q221" s="22"/>
      <c r="R221" s="173"/>
      <c r="S221" s="220">
        <f t="shared" si="131"/>
        <v>0</v>
      </c>
      <c r="T221" s="173" t="str">
        <f t="shared" si="110"/>
        <v>NorthBound</v>
      </c>
      <c r="U221" s="19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5" t="str">
        <f t="shared" si="111"/>
        <v>https://d0f6bd738d7f1b3e5a7ca70fe4ff75f0.us-east-1.aws.found.io/app/kibana#/discover/Steve-Slow-Train-Analysis-(2080s-and-2083s)?_g=(refreshInterval:(display:Off,pause:!f,section:0,value:0),time:(from:'2017-11-16T03:50:33-0700',mode:absolute,to:'2017-11-16T06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203" t="str">
        <f>IF(AA221&lt;VLOOKUP(AG221,Variables!$AC$3:$AD$8,2,FALSE),"Y","N")</f>
        <v>Y</v>
      </c>
      <c r="X221" s="203">
        <f t="shared" si="129"/>
        <v>588</v>
      </c>
      <c r="Y221" s="203">
        <f t="shared" si="105"/>
        <v>2.9933999999999998</v>
      </c>
      <c r="Z221" s="203">
        <f t="shared" si="106"/>
        <v>5.8986000000000001</v>
      </c>
      <c r="AA221" s="203">
        <f t="shared" si="112"/>
        <v>2.9052000000000002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8">
        <f t="shared" si="113"/>
        <v>901</v>
      </c>
      <c r="AE221" s="77" t="str">
        <f t="shared" si="114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221" s="74" t="str">
        <f t="shared" si="115"/>
        <v>"C:\Program Files (x86)\AstroGrep\AstroGrep.exe" /e /r /s /spath="%USERPROFILE%\AppData\Local\Temp\OnboardLogs" /stypes="app*4012*20171116*" /stext=" 12:.+((SYSTEM_STATE.+slice.+state.+changed )|(ment ac)|(multiple cpu faults)|(system.+state.+changed )|(\[timeout)|(PRM\|1\|D)|(kpr)|(kdp)|(train st.+moving)|(\|lc)|(penalty))"</v>
      </c>
      <c r="AG221" s="181" t="str">
        <f t="shared" si="116"/>
        <v>Other</v>
      </c>
      <c r="AH221" s="78" t="str">
        <f t="shared" si="123"/>
        <v>"%USERPROFILE%\Documents\GitHub\eaglep3\Utilities\RefineRTDCRunTimes.py" --tripid 901-16 --locoid 4012 --swversion DE.1.0.9.0 --startMP 300:29934 --initTime 2017-11-16T04:50:33 --startdatetime 2017-11-16T05:02:00 --delay 104 --endMP 300:58986 --enddatetime 2017-11-16T05:10:31 --enforcementcount 0 &gt;&gt;%USERPROFILE%\Documents\GitHub\eaglep3-reporting\EC\2017-11-16-refined-times.txt</v>
      </c>
      <c r="AI221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{"issue":{"subject":"","project_id":79,"tracker_id":40,"status_id":1,"priority_id":2,"assigned_to_id":338,"start_date":"2017-11-16","description":"","custom_fields":[{"id":1,"name":"Subdivision","value":"Other"},{"id":4,"name":"Milepost","value":"5.8986"},{"id":17,"name":"Train ID","value":"901-16"},{"id":16,"name":"Locomotive ID","value":"4012"},{"id":130,"name":"Impact","value":""},{"id":150,"name":"Time of Event (Mountain Time)","value":"05:10:31"},{"id":151,"name":"Denver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1" t="str">
        <f t="shared" si="125"/>
        <v>start /low /b %USERPROFILE%\Documents\GitHub\eaglep3\Utilities\DownloadLogsFromS3.py --loco 4012 --day 2017-11-16</v>
      </c>
      <c r="AN221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7" t="str">
        <f t="shared" si="127"/>
        <v>https://d0f6bd738d7f1b3e5a7ca70fe4ff75f0.us-east-1.aws.found.io/app/kibana#/discover/Steve-Slow-Train-Analysis-(2080s-and-2083s)?_g=(refreshInterval:(display:Off,pause:!f,section:0,value:0),time:(from:'2017-11-16T03:50:33-0700',mode:absolute,to:'2017-11-16T06:10:31-0700'))&amp;_a=(columns:!('Message%20ID',Summary),filters:!(),index:'emp_*',interval:auto,query:(query_string:(analyze_wildcard:!t,query:'%22rtdc.l.rtdc.4012%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706</v>
      </c>
      <c r="B222" s="7">
        <v>4041</v>
      </c>
      <c r="C222" s="21" t="s">
        <v>192</v>
      </c>
      <c r="D222" s="21" t="s">
        <v>1081</v>
      </c>
      <c r="E222" s="13">
        <v>43055.23773148148</v>
      </c>
      <c r="F222" s="13">
        <v>43055.240451388891</v>
      </c>
      <c r="G222" s="7">
        <v>94</v>
      </c>
      <c r="H222" s="21" t="s">
        <v>1082</v>
      </c>
      <c r="I222" s="13">
        <v>43055.246793981481</v>
      </c>
      <c r="J222" s="7">
        <v>0</v>
      </c>
      <c r="K222" s="89" t="str">
        <f t="shared" si="108"/>
        <v>4041/4042</v>
      </c>
      <c r="L222" s="184" t="str">
        <f>VLOOKUP(A222,'Trips&amp;Operators'!$C$1:$G$99911,5,FALSE)</f>
        <v>FORTUNATO FRANK</v>
      </c>
      <c r="M222" s="6">
        <f t="shared" si="109"/>
        <v>6.3425925909541547E-3</v>
      </c>
      <c r="N222" s="7">
        <f t="shared" si="130"/>
        <v>9.1333333309739828</v>
      </c>
      <c r="O222" s="7"/>
      <c r="P222" s="7"/>
      <c r="Q222" s="22"/>
      <c r="R222" s="173"/>
      <c r="S222" s="220">
        <f t="shared" si="131"/>
        <v>1</v>
      </c>
      <c r="T222" s="173" t="str">
        <f t="shared" si="110"/>
        <v>Southbound</v>
      </c>
      <c r="U222" s="19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5" t="str">
        <f t="shared" si="111"/>
        <v>https://d0f6bd738d7f1b3e5a7ca70fe4ff75f0.us-east-1.aws.found.io/app/kibana#/discover/Steve-Slow-Train-Analysis-(2080s-and-2083s)?_g=(refreshInterval:(display:Off,pause:!f,section:0,value:0),time:(from:'2017-11-16T04:42:20-0700',mode:absolute,to:'2017-11-16T06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2" s="203" t="str">
        <f>IF(AA222&lt;VLOOKUP(AG222,Variables!$AC$3:$AD$8,2,FALSE),"Y","N")</f>
        <v>Y</v>
      </c>
      <c r="X222" s="203">
        <f t="shared" si="129"/>
        <v>1</v>
      </c>
      <c r="Y222" s="203">
        <f t="shared" si="105"/>
        <v>2.3451</v>
      </c>
      <c r="Z222" s="203">
        <f t="shared" si="106"/>
        <v>8.3799999999999999E-2</v>
      </c>
      <c r="AA222" s="203">
        <f t="shared" si="112"/>
        <v>2.2612999999999999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8">
        <f t="shared" si="113"/>
        <v>902</v>
      </c>
      <c r="AE222" s="77" t="str">
        <f t="shared" si="114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222" s="74" t="str">
        <f t="shared" si="115"/>
        <v>"C:\Program Files (x86)\AstroGrep\AstroGrep.exe" /e /r /s /spath="%USERPROFILE%\AppData\Local\Temp\OnboardLogs" /stypes="app*4041*20171116*" /stext=" 12:.+((SYSTEM_STATE.+slice.+state.+changed )|(ment ac)|(multiple cpu faults)|(system.+state.+changed )|(\[timeout)|(PRM\|1\|D)|(kpr)|(kdp)|(train st.+moving)|(\|lc)|(penalty))"</v>
      </c>
      <c r="AG222" s="181" t="str">
        <f t="shared" si="116"/>
        <v>Other</v>
      </c>
      <c r="AH222" s="78" t="str">
        <f t="shared" si="123"/>
        <v>"%USERPROFILE%\Documents\GitHub\eaglep3\Utilities\RefineRTDCRunTimes.py" --tripid 902-16 --locoid 4041 --swversion DE.1.0.9.0 --startMP 300:23451 --initTime 2017-11-16T05:42:20 --startdatetime 2017-11-16T05:46:15 --delay 94 --endMP 204:838 --enddatetime 2017-11-16T05:55:23 --enforcementcount 0 &gt;&gt;%USERPROFILE%\Documents\GitHub\eaglep3-reporting\EC\2017-11-16-refined-times.txt</v>
      </c>
      <c r="AI222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{"issue":{"subject":"","project_id":79,"tracker_id":40,"status_id":1,"priority_id":2,"assigned_to_id":338,"start_date":"2017-11-16","description":"","custom_fields":[{"id":1,"name":"Subdivision","value":"Other"},{"id":4,"name":"Milepost","value":"0.0838"},{"id":17,"name":"Train ID","value":"902-16"},{"id":16,"name":"Locomotive ID","value":"4041"},{"id":130,"name":"Impact","value":""},{"id":150,"name":"Time of Event (Mountain Time)","value":"05:55:23"},{"id":151,"name":"Denver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1" t="str">
        <f t="shared" si="125"/>
        <v>start /low /b %USERPROFILE%\Documents\GitHub\eaglep3\Utilities\DownloadLogsFromS3.py --loco 4041 --day 2017-11-16</v>
      </c>
      <c r="AN222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7" t="str">
        <f t="shared" si="127"/>
        <v>https://d0f6bd738d7f1b3e5a7ca70fe4ff75f0.us-east-1.aws.found.io/app/kibana#/discover/Steve-Slow-Train-Analysis-(2080s-and-2083s)?_g=(refreshInterval:(display:Off,pause:!f,section:0,value:0),time:(from:'2017-11-16T04:42:20-0700',mode:absolute,to:'2017-11-16T06:55:23-0700'))&amp;_a=(columns:!('Message%20ID',Summary),filters:!(),index:'emp_*',interval:auto,query:(query_string:(analyze_wildcard:!t,query:'%22rtdc.l.rtdc.4041%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734</v>
      </c>
      <c r="B223" s="7">
        <v>4012</v>
      </c>
      <c r="C223" s="21" t="s">
        <v>192</v>
      </c>
      <c r="D223" s="21" t="s">
        <v>1083</v>
      </c>
      <c r="E223" s="13">
        <v>43055.35292824074</v>
      </c>
      <c r="F223" s="13">
        <v>43055.354768518519</v>
      </c>
      <c r="G223" s="7">
        <v>75</v>
      </c>
      <c r="H223" s="21" t="s">
        <v>1084</v>
      </c>
      <c r="I223" s="13">
        <v>43055.360868055555</v>
      </c>
      <c r="J223" s="7">
        <v>0</v>
      </c>
      <c r="K223" s="89" t="str">
        <f t="shared" si="108"/>
        <v>4011/4012</v>
      </c>
      <c r="L223" s="184" t="str">
        <f>VLOOKUP(A223,'Trips&amp;Operators'!$C$1:$G$99911,5,FALSE)</f>
        <v>STRICKLAND EVAN</v>
      </c>
      <c r="M223" s="6">
        <f t="shared" si="109"/>
        <v>6.0995370367891155E-3</v>
      </c>
      <c r="N223" s="7">
        <f t="shared" si="130"/>
        <v>8.7833333329763263</v>
      </c>
      <c r="O223" s="7"/>
      <c r="P223" s="7"/>
      <c r="Q223" s="22"/>
      <c r="R223" s="173"/>
      <c r="S223" s="220">
        <f t="shared" si="131"/>
        <v>1</v>
      </c>
      <c r="T223" s="173" t="str">
        <f t="shared" si="110"/>
        <v>NorthBound</v>
      </c>
      <c r="U223" s="19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5" t="str">
        <f t="shared" si="111"/>
        <v>https://d0f6bd738d7f1b3e5a7ca70fe4ff75f0.us-east-1.aws.found.io/app/kibana#/discover/Steve-Slow-Train-Analysis-(2080s-and-2083s)?_g=(refreshInterval:(display:Off,pause:!f,section:0,value:0),time:(from:'2017-11-16T07:28:13-0700',mode:absolute,to:'2017-11-16T09:39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3" s="203" t="str">
        <f>IF(AA223&lt;VLOOKUP(AG223,Variables!$AC$3:$AD$8,2,FALSE),"Y","N")</f>
        <v>Y</v>
      </c>
      <c r="X223" s="203">
        <f t="shared" si="129"/>
        <v>1</v>
      </c>
      <c r="Y223" s="203">
        <f t="shared" si="105"/>
        <v>4.3200000000000002E-2</v>
      </c>
      <c r="Z223" s="203">
        <f t="shared" si="106"/>
        <v>2.4226000000000001</v>
      </c>
      <c r="AA223" s="203">
        <f t="shared" si="112"/>
        <v>2.3794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8">
        <f t="shared" si="113"/>
        <v>903</v>
      </c>
      <c r="AE223" s="77" t="str">
        <f t="shared" si="114"/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AF223" s="74" t="str">
        <f t="shared" si="115"/>
        <v>"C:\Program Files (x86)\AstroGrep\AstroGrep.exe" /e /r /s /spath="%USERPROFILE%\AppData\Local\Temp\OnboardLogs" /stypes="app*4012*20171116*" /stext=" 15:.+((SYSTEM_STATE.+slice.+state.+changed )|(ment ac)|(multiple cpu faults)|(system.+state.+changed )|(\[timeout)|(PRM\|1\|D)|(kpr)|(kdp)|(train st.+moving)|(\|lc)|(penalty))"</v>
      </c>
      <c r="AG223" s="181" t="str">
        <f t="shared" si="116"/>
        <v>Other</v>
      </c>
      <c r="AH223" s="78" t="str">
        <f t="shared" si="123"/>
        <v>"%USERPROFILE%\Documents\GitHub\eaglep3\Utilities\RefineRTDCRunTimes.py" --tripid 903-16 --locoid 4012 --swversion DE.1.0.9.0 --startMP 204:432 --initTime 2017-11-16T08:28:13 --startdatetime 2017-11-16T08:30:52 --delay 75 --endMP 300:24226 --enddatetime 2017-11-16T08:39:39 --enforcementcount 0 &gt;&gt;%USERPROFILE%\Documents\GitHub\eaglep3-reporting\EC\2017-11-16-refined-times.txt</v>
      </c>
      <c r="AI223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{"issue":{"subject":"","project_id":79,"tracker_id":40,"status_id":1,"priority_id":2,"assigned_to_id":338,"start_date":"2017-11-16","description":"","custom_fields":[{"id":1,"name":"Subdivision","value":"Other"},{"id":4,"name":"Milepost","value":"2.4226"},{"id":17,"name":"Train ID","value":"903-16"},{"id":16,"name":"Locomotive ID","value":"4012"},{"id":130,"name":"Impact","value":""},{"id":150,"name":"Time of Event (Mountain Time)","value":"08:39:39"},{"id":151,"name":"Denver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1" t="str">
        <f t="shared" si="125"/>
        <v>start /low /b %USERPROFILE%\Documents\GitHub\eaglep3\Utilities\DownloadLogsFromS3.py --loco 4012 --day 2017-11-16</v>
      </c>
      <c r="AN223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15:39:39"},{"id":29,"name":"Sharepoint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7" t="str">
        <f t="shared" si="127"/>
        <v>https://d0f6bd738d7f1b3e5a7ca70fe4ff75f0.us-east-1.aws.found.io/app/kibana#/discover/Steve-Slow-Train-Analysis-(2080s-and-2083s)?_g=(refreshInterval:(display:Off,pause:!f,section:0,value:0),time:(from:'2017-11-16T07:28:13-0700',mode:absolute,to:'2017-11-16T09:39:39-0700'))&amp;_a=(columns:!('Message%20ID',Summary),filters:!(),index:'emp_*',interval:auto,query:(query_string:(analyze_wildcard:!t,query:'%22rtdc.l.rtdc.4012%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812</v>
      </c>
      <c r="B224" s="7">
        <v>4011</v>
      </c>
      <c r="C224" s="21" t="s">
        <v>192</v>
      </c>
      <c r="D224" s="21" t="s">
        <v>1085</v>
      </c>
      <c r="E224" s="13">
        <v>43055.635833333334</v>
      </c>
      <c r="F224" s="13">
        <v>43055.637916666667</v>
      </c>
      <c r="G224" s="7">
        <v>63</v>
      </c>
      <c r="H224" s="21" t="s">
        <v>1086</v>
      </c>
      <c r="I224" s="13">
        <v>43055.642939814818</v>
      </c>
      <c r="J224" s="7">
        <v>0</v>
      </c>
      <c r="K224" s="89" t="str">
        <f t="shared" si="108"/>
        <v>4011/4012</v>
      </c>
      <c r="L224" s="184" t="str">
        <f>VLOOKUP(A224,'Trips&amp;Operators'!$C$1:$G$99911,5,FALSE)</f>
        <v>RESPASS AARON</v>
      </c>
      <c r="M224" s="6">
        <f t="shared" si="109"/>
        <v>5.02314815093996E-3</v>
      </c>
      <c r="N224" s="7">
        <f t="shared" si="130"/>
        <v>7.2333333373535424</v>
      </c>
      <c r="O224" s="7"/>
      <c r="P224" s="7"/>
      <c r="Q224" s="22"/>
      <c r="R224" s="173"/>
      <c r="S224" s="220">
        <f t="shared" si="131"/>
        <v>1</v>
      </c>
      <c r="T224" s="173" t="str">
        <f t="shared" si="110"/>
        <v>Southbound</v>
      </c>
      <c r="U224" s="19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5" t="str">
        <f t="shared" si="111"/>
        <v>https://d0f6bd738d7f1b3e5a7ca70fe4ff75f0.us-east-1.aws.found.io/app/kibana#/discover/Steve-Slow-Train-Analysis-(2080s-and-2083s)?_g=(refreshInterval:(display:Off,pause:!f,section:0,value:0),time:(from:'2017-11-16T14:15:36-0700',mode:absolute,to:'2017-11-16T16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203" t="str">
        <f>IF(AA224&lt;VLOOKUP(AG224,Variables!$AC$3:$AD$8,2,FALSE),"Y","N")</f>
        <v>Y</v>
      </c>
      <c r="X224" s="203">
        <f t="shared" si="129"/>
        <v>1</v>
      </c>
      <c r="Y224" s="203">
        <f t="shared" si="105"/>
        <v>2.3679999999999999</v>
      </c>
      <c r="Z224" s="203">
        <f t="shared" si="106"/>
        <v>7.5899999999999995E-2</v>
      </c>
      <c r="AA224" s="203">
        <f t="shared" si="112"/>
        <v>2.2921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8">
        <f t="shared" si="113"/>
        <v>904</v>
      </c>
      <c r="AE224" s="77" t="str">
        <f t="shared" si="114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224" s="74" t="str">
        <f t="shared" si="115"/>
        <v>"C:\Program Files (x86)\AstroGrep\AstroGrep.exe" /e /r /s /spath="%USERPROFILE%\AppData\Local\Temp\OnboardLogs" /stypes="app*4011*20171116*" /stext=" 22:.+((SYSTEM_STATE.+slice.+state.+changed )|(ment ac)|(multiple cpu faults)|(system.+state.+changed )|(\[timeout)|(PRM\|1\|D)|(kpr)|(kdp)|(train st.+moving)|(\|lc)|(penalty))"</v>
      </c>
      <c r="AG224" s="181" t="str">
        <f t="shared" si="116"/>
        <v>Other</v>
      </c>
      <c r="AH224" s="78" t="str">
        <f t="shared" si="123"/>
        <v>"%USERPROFILE%\Documents\GitHub\eaglep3\Utilities\RefineRTDCRunTimes.py" --tripid 904-16 --locoid 4011 --swversion DE.1.0.9.0 --startMP 300:23680 --initTime 2017-11-16T15:15:36 --startdatetime 2017-11-16T15:18:36 --delay 63 --endMP 204:759 --enddatetime 2017-11-16T15:25:50 --enforcementcount 0 &gt;&gt;%USERPROFILE%\Documents\GitHub\eaglep3-reporting\EC\2017-11-16-refined-times.txt</v>
      </c>
      <c r="AI224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{"issue":{"subject":"","project_id":79,"tracker_id":40,"status_id":1,"priority_id":2,"assigned_to_id":338,"start_date":"2017-11-16","description":"","custom_fields":[{"id":1,"name":"Subdivision","value":"Other"},{"id":4,"name":"Milepost","value":"0.0759"},{"id":17,"name":"Train ID","value":"904-16"},{"id":16,"name":"Locomotive ID","value":"4011"},{"id":130,"name":"Impact","value":""},{"id":150,"name":"Time of Event (Mountain Time)","value":"15:25:50"},{"id":151,"name":"Denver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1" t="str">
        <f t="shared" si="125"/>
        <v>start /low /b %USERPROFILE%\Documents\GitHub\eaglep3\Utilities\DownloadLogsFromS3.py --loco 4011 --day 2017-11-16</v>
      </c>
      <c r="AN224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22:25:50"},{"id":29,"name":"Sharepoint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7" t="str">
        <f t="shared" si="127"/>
        <v>https://d0f6bd738d7f1b3e5a7ca70fe4ff75f0.us-east-1.aws.found.io/app/kibana#/discover/Steve-Slow-Train-Analysis-(2080s-and-2083s)?_g=(refreshInterval:(display:Off,pause:!f,section:0,value:0),time:(from:'2017-11-16T14:15:36-0700',mode:absolute,to:'2017-11-16T16:25:50-0700'))&amp;_a=(columns:!('Message%20ID',Summary),filters:!(),index:'emp_*',interval:auto,query:(query_string:(analyze_wildcard:!t,query:'%22rtdc.l.rtdc.4011%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854</v>
      </c>
      <c r="B225" s="7">
        <v>4011</v>
      </c>
      <c r="C225" s="21" t="s">
        <v>192</v>
      </c>
      <c r="D225" s="21" t="s">
        <v>1087</v>
      </c>
      <c r="E225" s="13">
        <v>43055.789918981478</v>
      </c>
      <c r="F225" s="13">
        <v>43055.791412037041</v>
      </c>
      <c r="G225" s="7">
        <v>55</v>
      </c>
      <c r="H225" s="21" t="s">
        <v>1088</v>
      </c>
      <c r="I225" s="13">
        <v>43055.798981481479</v>
      </c>
      <c r="J225" s="7">
        <v>0</v>
      </c>
      <c r="K225" s="89" t="str">
        <f t="shared" si="108"/>
        <v>4011/4012</v>
      </c>
      <c r="L225" s="184" t="str">
        <f>VLOOKUP(A225,'Trips&amp;Operators'!$C$1:$G$99911,5,FALSE)</f>
        <v>RESPASS AARON</v>
      </c>
      <c r="M225" s="6">
        <f t="shared" si="109"/>
        <v>7.5694444385590032E-3</v>
      </c>
      <c r="N225" s="7">
        <f t="shared" si="130"/>
        <v>10.899999991524965</v>
      </c>
      <c r="O225" s="7"/>
      <c r="P225" s="7"/>
      <c r="Q225" s="22"/>
      <c r="R225" s="173"/>
      <c r="S225" s="220">
        <f t="shared" si="131"/>
        <v>0</v>
      </c>
      <c r="T225" s="173" t="str">
        <f t="shared" si="110"/>
        <v>Southbound</v>
      </c>
      <c r="U225" s="19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5" t="str">
        <f t="shared" si="111"/>
        <v>https://d0f6bd738d7f1b3e5a7ca70fe4ff75f0.us-east-1.aws.found.io/app/kibana#/discover/Steve-Slow-Train-Analysis-(2080s-and-2083s)?_g=(refreshInterval:(display:Off,pause:!f,section:0,value:0),time:(from:'2017-11-16T17:57:29-0700',mode:absolute,to:'2017-11-16T20:10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5" s="203" t="str">
        <f>IF(AA225&lt;VLOOKUP(AG225,Variables!$AC$3:$AD$8,2,FALSE),"Y","N")</f>
        <v>Y</v>
      </c>
      <c r="X225" s="203">
        <f t="shared" si="129"/>
        <v>2</v>
      </c>
      <c r="Y225" s="203">
        <f t="shared" si="105"/>
        <v>5.8582999999999998</v>
      </c>
      <c r="Z225" s="203">
        <f t="shared" si="106"/>
        <v>2.8759000000000001</v>
      </c>
      <c r="AA225" s="203">
        <f t="shared" si="112"/>
        <v>2.9823999999999997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8">
        <f t="shared" si="113"/>
        <v>906</v>
      </c>
      <c r="AE225" s="77" t="str">
        <f t="shared" si="114"/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AF225" s="74" t="str">
        <f t="shared" si="115"/>
        <v>"C:\Program Files (x86)\AstroGrep\AstroGrep.exe" /e /r /s /spath="%USERPROFILE%\AppData\Local\Temp\OnboardLogs" /stypes="app*4011*20171117*" /stext=" 02:.+((SYSTEM_STATE.+slice.+state.+changed )|(ment ac)|(multiple cpu faults)|(system.+state.+changed )|(\[timeout)|(PRM\|1\|D)|(kpr)|(kdp)|(train st.+moving)|(\|lc)|(penalty))"</v>
      </c>
      <c r="AG225" s="181" t="str">
        <f t="shared" si="116"/>
        <v>Other</v>
      </c>
      <c r="AH225" s="78" t="str">
        <f t="shared" si="123"/>
        <v>"%USERPROFILE%\Documents\GitHub\eaglep3\Utilities\RefineRTDCRunTimes.py" --tripid 906-16 --locoid 4011 --swversion DE.1.0.9.0 --startMP 300:58583 --initTime 2017-11-16T18:57:29 --startdatetime 2017-11-16T18:59:38 --delay 55 --endMP 300:28759 --enddatetime 2017-11-16T19:10:32 --enforcementcount 0 &gt;&gt;%USERPROFILE%\Documents\GitHub\eaglep3-reporting\EC\2017-11-16-refined-times.txt</v>
      </c>
      <c r="AI225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{"issue":{"subject":"","project_id":79,"tracker_id":40,"status_id":1,"priority_id":2,"assigned_to_id":338,"start_date":"2017-11-16","description":"","custom_fields":[{"id":1,"name":"Subdivision","value":"Other"},{"id":4,"name":"Milepost","value":"2.8759"},{"id":17,"name":"Train ID","value":"906-16"},{"id":16,"name":"Locomotive ID","value":"4011"},{"id":130,"name":"Impact","value":""},{"id":150,"name":"Time of Event (Mountain Time)","value":"19:10:32"},{"id":151,"name":"Denver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1" t="str">
        <f t="shared" si="125"/>
        <v>start /low /b %USERPROFILE%\Documents\GitHub\eaglep3\Utilities\DownloadLogsFromS3.py --loco 4011 --day 2017-11-16</v>
      </c>
      <c r="AN225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02:10:32"},{"id":29,"name":"Sharepoint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7" t="str">
        <f t="shared" si="127"/>
        <v>https://d0f6bd738d7f1b3e5a7ca70fe4ff75f0.us-east-1.aws.found.io/app/kibana#/discover/Steve-Slow-Train-Analysis-(2080s-and-2083s)?_g=(refreshInterval:(display:Off,pause:!f,section:0,value:0),time:(from:'2017-11-16T17:57:29-0700',mode:absolute,to:'2017-11-16T20:10:32-0700'))&amp;_a=(columns:!('Message%20ID',Summary),filters:!(),index:'emp_*',interval:auto,query:(query_string:(analyze_wildcard:!t,query:'%22rtdc.l.rtdc.4011%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881</v>
      </c>
      <c r="B226" s="7">
        <v>4041</v>
      </c>
      <c r="C226" s="21" t="s">
        <v>192</v>
      </c>
      <c r="D226" s="21" t="s">
        <v>1065</v>
      </c>
      <c r="E226" s="13">
        <v>43055.975775462961</v>
      </c>
      <c r="F226" s="13">
        <v>43055.977187500001</v>
      </c>
      <c r="G226" s="7">
        <v>51</v>
      </c>
      <c r="H226" s="21" t="s">
        <v>1089</v>
      </c>
      <c r="I226" s="13">
        <v>43055.984571759262</v>
      </c>
      <c r="J226" s="7">
        <v>0</v>
      </c>
      <c r="K226" s="89" t="str">
        <f t="shared" si="108"/>
        <v>4041/4042</v>
      </c>
      <c r="L226" s="184" t="str">
        <f>VLOOKUP(A226,'Trips&amp;Operators'!$C$1:$G$99911,5,FALSE)</f>
        <v>RESPASS AARON</v>
      </c>
      <c r="M226" s="6">
        <f t="shared" si="109"/>
        <v>7.3842592610162683E-3</v>
      </c>
      <c r="N226" s="7">
        <f t="shared" si="130"/>
        <v>10.633333335863426</v>
      </c>
      <c r="O226" s="7"/>
      <c r="P226" s="7"/>
      <c r="Q226" s="22"/>
      <c r="R226" s="173"/>
      <c r="S226" s="220">
        <f t="shared" si="131"/>
        <v>0</v>
      </c>
      <c r="T226" s="173" t="str">
        <f t="shared" si="110"/>
        <v>Southbound</v>
      </c>
      <c r="U226" s="19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5" t="str">
        <f t="shared" si="111"/>
        <v>https://d0f6bd738d7f1b3e5a7ca70fe4ff75f0.us-east-1.aws.found.io/app/kibana#/discover/Steve-Slow-Train-Analysis-(2080s-and-2083s)?_g=(refreshInterval:(display:Off,pause:!f,section:0,value:0),time:(from:'2017-11-16T22:25:07-0700',mode:absolute,to:'2017-11-17T00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6" s="203" t="str">
        <f>IF(AA226&lt;VLOOKUP(AG226,Variables!$AC$3:$AD$8,2,FALSE),"Y","N")</f>
        <v>Y</v>
      </c>
      <c r="X226" s="203">
        <f t="shared" si="129"/>
        <v>2</v>
      </c>
      <c r="Y226" s="203">
        <f t="shared" si="105"/>
        <v>5.8597999999999999</v>
      </c>
      <c r="Z226" s="203">
        <f t="shared" si="106"/>
        <v>2.8788999999999998</v>
      </c>
      <c r="AA226" s="203">
        <f t="shared" si="112"/>
        <v>2.9809000000000001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8">
        <f t="shared" si="113"/>
        <v>908</v>
      </c>
      <c r="AE226" s="77" t="str">
        <f t="shared" si="114"/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AF226" s="74" t="str">
        <f t="shared" si="115"/>
        <v>"C:\Program Files (x86)\AstroGrep\AstroGrep.exe" /e /r /s /spath="%USERPROFILE%\AppData\Local\Temp\OnboardLogs" /stypes="app*4041*20171117*" /stext=" 06:.+((SYSTEM_STATE.+slice.+state.+changed )|(ment ac)|(multiple cpu faults)|(system.+state.+changed )|(\[timeout)|(PRM\|1\|D)|(kpr)|(kdp)|(train st.+moving)|(\|lc)|(penalty))"</v>
      </c>
      <c r="AG226" s="181" t="str">
        <f t="shared" si="116"/>
        <v>Other</v>
      </c>
      <c r="AH226" s="78" t="str">
        <f t="shared" si="123"/>
        <v>"%USERPROFILE%\Documents\GitHub\eaglep3\Utilities\RefineRTDCRunTimes.py" --tripid 908-16 --locoid 4041 --swversion DE.1.0.9.0 --startMP 300:58598 --initTime 2017-11-16T23:25:07 --startdatetime 2017-11-16T23:27:09 --delay 51 --endMP 300:28789 --enddatetime 2017-11-16T23:37:47 --enforcementcount 0 &gt;&gt;%USERPROFILE%\Documents\GitHub\eaglep3-reporting\EC\2017-11-16-refined-times.txt</v>
      </c>
      <c r="AI226" s="96" t="str">
        <f t="shared" si="124"/>
        <v>echo {"issue":{"subject":"","project_id":79,"tracker_id":40,"status_id":1,"priority_id":2,"assigned_to_id":338,"start_date":"2017-11-16","description":"","custom_fields":[{"id":1,"name":"Subdivision","value":"Other"},{"id":4,"name":"Milepost","value":"2.8789"},{"id":17,"name":"Train ID","value":"908-16"},{"id":16,"name":"Locomotive ID","value":"4041"},{"id":130,"name":"Impact","value":""},{"id":150,"name":"Time of Event (Mountain Time)","value":"23:37:47"},{"id":151,"name":"Denver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1" t="str">
        <f t="shared" si="125"/>
        <v>start /low /b %USERPROFILE%\Documents\GitHub\eaglep3\Utilities\DownloadLogsFromS3.py --loco 4041 --day 2017-11-16</v>
      </c>
      <c r="AN226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06:37:47"},{"id":29,"name":"Sharepoint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7" t="str">
        <f t="shared" si="127"/>
        <v>https://d0f6bd738d7f1b3e5a7ca70fe4ff75f0.us-east-1.aws.found.io/app/kibana#/discover/Steve-Slow-Train-Analysis-(2080s-and-2083s)?_g=(refreshInterval:(display:Off,pause:!f,section:0,value:0),time:(from:'2017-11-16T22:25:07-0700',mode:absolute,to:'2017-11-17T00:37:47-0700'))&amp;_a=(columns:!('Message%20ID',Summary),filters:!(),index:'emp_*',interval:auto,query:(query_string:(analyze_wildcard:!t,query:'%22rtdc.l.rtdc.4041%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674</v>
      </c>
      <c r="B227" s="7">
        <v>4004</v>
      </c>
      <c r="C227" s="21" t="s">
        <v>192</v>
      </c>
      <c r="D227" s="21" t="s">
        <v>992</v>
      </c>
      <c r="E227" s="13">
        <v>43055.124479166669</v>
      </c>
      <c r="F227" s="13">
        <v>43055.137141203704</v>
      </c>
      <c r="G227" s="7">
        <v>70</v>
      </c>
      <c r="H227" s="21" t="s">
        <v>993</v>
      </c>
      <c r="I227" s="13">
        <v>43055.138229166667</v>
      </c>
      <c r="J227" s="7">
        <v>0</v>
      </c>
      <c r="K227" s="89" t="str">
        <f t="shared" si="108"/>
        <v>4003/4004</v>
      </c>
      <c r="L227" s="184" t="str">
        <f>VLOOKUP(A227,'Trips&amp;Operators'!$C$1:$G$99911,5,FALSE)</f>
        <v>SPECTOR MICHAEL</v>
      </c>
      <c r="M227" s="6">
        <f t="shared" si="109"/>
        <v>1.0879629626288079E-3</v>
      </c>
      <c r="N227" s="7">
        <f t="shared" si="130"/>
        <v>1.5666666661854833</v>
      </c>
      <c r="O227" s="7"/>
      <c r="P227" s="7"/>
      <c r="Q227" s="22"/>
      <c r="R227" s="173"/>
      <c r="S227" s="220">
        <f t="shared" si="131"/>
        <v>0</v>
      </c>
      <c r="T227" s="173" t="str">
        <f t="shared" si="110"/>
        <v>NorthBound</v>
      </c>
      <c r="U227" s="19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5" t="str">
        <f t="shared" si="111"/>
        <v>https://d0f6bd738d7f1b3e5a7ca70fe4ff75f0.us-east-1.aws.found.io/app/kibana#/discover/Steve-Slow-Train-Analysis-(2080s-and-2083s)?_g=(refreshInterval:(display:Off,pause:!f,section:0,value:0),time:(from:'2017-11-16T01:59:15-0700',mode:absolute,to:'2017-11-16T04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7" s="203" t="str">
        <f>IF(AA227&lt;VLOOKUP(AG227,Variables!$AC$3:$AD$8,2,FALSE),"Y","N")</f>
        <v>Y</v>
      </c>
      <c r="X227" s="203">
        <f t="shared" si="129"/>
        <v>-857</v>
      </c>
      <c r="Y227" s="203">
        <f t="shared" si="105"/>
        <v>4.2200000000000001E-2</v>
      </c>
      <c r="Z227" s="203">
        <f t="shared" si="106"/>
        <v>0.35560000000000003</v>
      </c>
      <c r="AA227" s="203">
        <f t="shared" si="112"/>
        <v>0.31340000000000001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8">
        <f t="shared" si="113"/>
        <v>51</v>
      </c>
      <c r="AE227" s="77" t="str">
        <f t="shared" si="114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227" s="74" t="str">
        <f t="shared" si="115"/>
        <v>"C:\Program Files (x86)\AstroGrep\AstroGrep.exe" /e /r /s /spath="%USERPROFILE%\AppData\Local\Temp\OnboardLogs" /stypes="app*4004*20171116*" /stext=" 10:.+((SYSTEM_STATE.+slice.+state.+changed )|(ment ac)|(multiple cpu faults)|(system.+state.+changed )|(\[timeout)|(PRM\|1\|D)|(kpr)|(kdp)|(train st.+moving)|(\|lc)|(penalty))"</v>
      </c>
      <c r="AG227" s="181" t="str">
        <f t="shared" si="116"/>
        <v>Shuttle/Test</v>
      </c>
      <c r="AH227" s="78" t="str">
        <f t="shared" si="123"/>
        <v>"%USERPROFILE%\Documents\GitHub\eaglep3\Utilities\RefineRTDCRunTimes.py" --tripid 51-16 --locoid 4004 --swversion DE.1.0.9.0 --startMP 204:422 --initTime 2017-11-16T02:59:15 --startdatetime 2017-11-16T03:17:29 --delay 70 --endMP 204:3556 --enddatetime 2017-11-16T03:19:03 --enforcementcount 0 &gt;&gt;%USERPROFILE%\Documents\GitHub\eaglep3-reporting\EC\2017-11-16-refined-times.txt</v>
      </c>
      <c r="AI227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0.3556"},{"id":17,"name":"Train ID","value":"51-16"},{"id":16,"name":"Locomotive ID","value":"4004"},{"id":130,"name":"Impact","value":""},{"id":150,"name":"Time of Event (Mountain Time)","value":"03:19:03"},{"id":151,"name":"Denver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1" t="str">
        <f t="shared" si="125"/>
        <v>start /low /b %USERPROFILE%\Documents\GitHub\eaglep3\Utilities\DownloadLogsFromS3.py --loco 4004 --day 2017-11-16</v>
      </c>
      <c r="AN227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10:19:03"},{"id":29,"name":"Sharepoint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7" t="str">
        <f t="shared" si="127"/>
        <v>https://d0f6bd738d7f1b3e5a7ca70fe4ff75f0.us-east-1.aws.found.io/app/kibana#/discover/Steve-Slow-Train-Analysis-(2080s-and-2083s)?_g=(refreshInterval:(display:Off,pause:!f,section:0,value:0),time:(from:'2017-11-16T01:59:15-0700',mode:absolute,to:'2017-11-16T04:19:03-0700'))&amp;_a=(columns:!('Message%20ID',Summary),filters:!(),index:'emp_*',interval:auto,query:(query_string:(analyze_wildcard:!t,query:'%22rtdc.l.rtdc.4004%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674</v>
      </c>
      <c r="B228" s="7">
        <v>4003</v>
      </c>
      <c r="C228" s="21" t="s">
        <v>192</v>
      </c>
      <c r="D228" s="21" t="s">
        <v>994</v>
      </c>
      <c r="E228" s="13">
        <v>43055.316724537035</v>
      </c>
      <c r="F228" s="13">
        <v>43055.318460648145</v>
      </c>
      <c r="G228" s="7">
        <v>67</v>
      </c>
      <c r="H228" s="21" t="s">
        <v>995</v>
      </c>
      <c r="I228" s="13">
        <v>43055.319456018522</v>
      </c>
      <c r="J228" s="7">
        <v>0</v>
      </c>
      <c r="K228" s="89" t="str">
        <f t="shared" si="108"/>
        <v>4003/4004</v>
      </c>
      <c r="L228" s="184" t="str">
        <f>VLOOKUP(A228,'Trips&amp;Operators'!$C$1:$G$99911,5,FALSE)</f>
        <v>SPECTOR MICHAEL</v>
      </c>
      <c r="M228" s="6">
        <f t="shared" si="109"/>
        <v>9.9537037749541923E-4</v>
      </c>
      <c r="N228" s="7">
        <f t="shared" si="130"/>
        <v>1.4333333435934037</v>
      </c>
      <c r="O228" s="7"/>
      <c r="P228" s="7"/>
      <c r="Q228" s="22"/>
      <c r="R228" s="173"/>
      <c r="S228" s="220">
        <f t="shared" si="131"/>
        <v>0</v>
      </c>
      <c r="T228" s="173" t="str">
        <f t="shared" si="110"/>
        <v>NorthBound</v>
      </c>
      <c r="U228" s="19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5" t="str">
        <f t="shared" si="111"/>
        <v>https://d0f6bd738d7f1b3e5a7ca70fe4ff75f0.us-east-1.aws.found.io/app/kibana#/discover/Steve-Slow-Train-Analysis-(2080s-and-2083s)?_g=(refreshInterval:(display:Off,pause:!f,section:0,value:0),time:(from:'2017-11-16T06:36:05-0700',mode:absolute,to:'2017-11-16T08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8" s="203" t="str">
        <f>IF(AA228&lt;VLOOKUP(AG228,Variables!$AC$3:$AD$8,2,FALSE),"Y","N")</f>
        <v>Y</v>
      </c>
      <c r="X228" s="203">
        <f t="shared" si="129"/>
        <v>0</v>
      </c>
      <c r="Y228" s="203">
        <f t="shared" si="105"/>
        <v>0.3221</v>
      </c>
      <c r="Z228" s="203">
        <f t="shared" si="106"/>
        <v>1.43E-2</v>
      </c>
      <c r="AA228" s="203">
        <f t="shared" si="112"/>
        <v>0.30780000000000002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8">
        <f t="shared" si="113"/>
        <v>51</v>
      </c>
      <c r="AE228" s="77" t="str">
        <f t="shared" si="114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228" s="74" t="str">
        <f t="shared" si="115"/>
        <v>"C:\Program Files (x86)\AstroGrep\AstroGrep.exe" /e /r /s /spath="%USERPROFILE%\AppData\Local\Temp\OnboardLogs" /stypes="app*4003*20171116*" /stext=" 14:.+((SYSTEM_STATE.+slice.+state.+changed )|(ment ac)|(multiple cpu faults)|(system.+state.+changed )|(\[timeout)|(PRM\|1\|D)|(kpr)|(kdp)|(train st.+moving)|(\|lc)|(penalty))"</v>
      </c>
      <c r="AG228" s="181" t="str">
        <f t="shared" si="116"/>
        <v>Shuttle/Test</v>
      </c>
      <c r="AH228" s="78" t="str">
        <f t="shared" si="123"/>
        <v>"%USERPROFILE%\Documents\GitHub\eaglep3\Utilities\RefineRTDCRunTimes.py" --tripid 51-16 --locoid 4003 --swversion DE.1.0.9.0 --startMP 204:3221 --initTime 2017-11-16T07:36:05 --startdatetime 2017-11-16T07:38:35 --delay 67 --endMP 204:143 --enddatetime 2017-11-16T07:40:01 --enforcementcount 0 &gt;&gt;%USERPROFILE%\Documents\GitHub\eaglep3-reporting\EC\2017-11-16-refined-times.txt</v>
      </c>
      <c r="AI228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0.0143"},{"id":17,"name":"Train ID","value":"51-16"},{"id":16,"name":"Locomotive ID","value":"4003"},{"id":130,"name":"Impact","value":""},{"id":150,"name":"Time of Event (Mountain Time)","value":"07:40:01"},{"id":151,"name":"Denver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1" t="str">
        <f t="shared" si="125"/>
        <v>start /low /b %USERPROFILE%\Documents\GitHub\eaglep3\Utilities\DownloadLogsFromS3.py --loco 4003 --day 2017-11-16</v>
      </c>
      <c r="AN228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7" t="str">
        <f t="shared" si="127"/>
        <v>https://d0f6bd738d7f1b3e5a7ca70fe4ff75f0.us-east-1.aws.found.io/app/kibana#/discover/Steve-Slow-Train-Analysis-(2080s-and-2083s)?_g=(refreshInterval:(display:Off,pause:!f,section:0,value:0),time:(from:'2017-11-16T06:36:05-0700',mode:absolute,to:'2017-11-16T08:40:01-0700'))&amp;_a=(columns:!('Message%20ID',Summary),filters:!(),index:'emp_*',interval:auto,query:(query_string:(analyze_wildcard:!t,query:'%22rtdc.l.rtdc.4003%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674</v>
      </c>
      <c r="B229" s="7">
        <v>4004</v>
      </c>
      <c r="C229" s="21" t="s">
        <v>192</v>
      </c>
      <c r="D229" s="21" t="s">
        <v>996</v>
      </c>
      <c r="E229" s="13">
        <v>43055.306331018517</v>
      </c>
      <c r="F229" s="13">
        <v>43055.318460648145</v>
      </c>
      <c r="G229" s="7">
        <v>79</v>
      </c>
      <c r="H229" s="21" t="s">
        <v>997</v>
      </c>
      <c r="I229" s="13">
        <v>43055.319456018522</v>
      </c>
      <c r="J229" s="7">
        <v>0</v>
      </c>
      <c r="K229" s="89" t="str">
        <f t="shared" si="108"/>
        <v>4003/4004</v>
      </c>
      <c r="L229" s="184" t="str">
        <f>VLOOKUP(A229,'Trips&amp;Operators'!$C$1:$G$99911,5,FALSE)</f>
        <v>SPECTOR MICHAEL</v>
      </c>
      <c r="M229" s="6">
        <f t="shared" si="109"/>
        <v>9.9537037749541923E-4</v>
      </c>
      <c r="N229" s="7">
        <f t="shared" si="130"/>
        <v>1.4333333435934037</v>
      </c>
      <c r="O229" s="7"/>
      <c r="P229" s="7"/>
      <c r="Q229" s="22"/>
      <c r="R229" s="173"/>
      <c r="S229" s="220">
        <f t="shared" si="131"/>
        <v>0</v>
      </c>
      <c r="T229" s="173" t="str">
        <f t="shared" si="110"/>
        <v>NorthBound</v>
      </c>
      <c r="U229" s="19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5" t="str">
        <f t="shared" si="111"/>
        <v>https://d0f6bd738d7f1b3e5a7ca70fe4ff75f0.us-east-1.aws.found.io/app/kibana#/discover/Steve-Slow-Train-Analysis-(2080s-and-2083s)?_g=(refreshInterval:(display:Off,pause:!f,section:0,value:0),time:(from:'2017-11-16T06:21:07-0700',mode:absolute,to:'2017-11-16T08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9" s="203" t="str">
        <f>IF(AA229&lt;VLOOKUP(AG229,Variables!$AC$3:$AD$8,2,FALSE),"Y","N")</f>
        <v>Y</v>
      </c>
      <c r="X229" s="203">
        <f t="shared" si="129"/>
        <v>0</v>
      </c>
      <c r="Y229" s="203">
        <f t="shared" si="105"/>
        <v>0.15010000000000001</v>
      </c>
      <c r="Z229" s="203">
        <f t="shared" si="106"/>
        <v>0.35420000000000001</v>
      </c>
      <c r="AA229" s="203">
        <f t="shared" si="112"/>
        <v>0.2041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8">
        <f t="shared" si="113"/>
        <v>51</v>
      </c>
      <c r="AE229" s="77" t="str">
        <f t="shared" si="114"/>
        <v>aws s3 cp s3://rtdc.mdm.uploadarchive.raw/RTDC4004/ "%USERPROFILE%\AppData\Local\Temp\OnboardLogs"\RTDC4004\2017-11-16 --exclude "*" --recursive --include "*20171116*" &amp; "%USERPROFILE%\Documents\GitHub\mrs-test-scripts\Headless Mode &amp; Sideloading\WalkAndUnGZ.bat" "%USERPROFILE%\AppData\Local\Temp\OnboardLogs"\RTDC4004\2017-11-16 &amp; aws s3 cp s3://rtdc.mdm.uploadarchive.raw/RTDC4004/ "%USERPROFILE%\AppData\Local\Temp\OnboardLogs"\RTDC4004\2017-11-17 --exclude "*" --recursive --include "*20171117*" &amp; "%USERPROFILE%\Documents\GitHub\mrs-test-scripts\Headless Mode &amp; Sideloading\WalkAndUnGZ.bat" "%USERPROFILE%\AppData\Local\Temp\OnboardLogs"\RTDC4004\2017-11-17</v>
      </c>
      <c r="AF229" s="74" t="str">
        <f t="shared" si="115"/>
        <v>"C:\Program Files (x86)\AstroGrep\AstroGrep.exe" /e /r /s /spath="%USERPROFILE%\AppData\Local\Temp\OnboardLogs" /stypes="app*4004*20171116*" /stext=" 14:.+((SYSTEM_STATE.+slice.+state.+changed )|(ment ac)|(multiple cpu faults)|(system.+state.+changed )|(\[timeout)|(PRM\|1\|D)|(kpr)|(kdp)|(train st.+moving)|(\|lc)|(penalty))"</v>
      </c>
      <c r="AG229" s="181" t="str">
        <f t="shared" si="116"/>
        <v>Shuttle/Test</v>
      </c>
      <c r="AH229" s="78" t="str">
        <f t="shared" si="123"/>
        <v>"%USERPROFILE%\Documents\GitHub\eaglep3\Utilities\RefineRTDCRunTimes.py" --tripid 51-16 --locoid 4004 --swversion DE.1.0.9.0 --startMP 204:1501 --initTime 2017-11-16T07:21:07 --startdatetime 2017-11-16T07:38:35 --delay 79 --endMP 204:3542 --enddatetime 2017-11-16T07:40:01 --enforcementcount 0 &gt;&gt;%USERPROFILE%\Documents\GitHub\eaglep3-reporting\EC\2017-11-16-refined-times.txt</v>
      </c>
      <c r="AI229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0.3542"},{"id":17,"name":"Train ID","value":"51-16"},{"id":16,"name":"Locomotive ID","value":"4004"},{"id":130,"name":"Impact","value":""},{"id":150,"name":"Time of Event (Mountain Time)","value":"07:40:01"},{"id":151,"name":"Denver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1" t="str">
        <f t="shared" si="125"/>
        <v>start /low /b %USERPROFILE%\Documents\GitHub\eaglep3\Utilities\DownloadLogsFromS3.py --loco 4004 --day 2017-11-16</v>
      </c>
      <c r="AN229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14:40:01"},{"id":29,"name":"Sharepoint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7" t="str">
        <f t="shared" si="127"/>
        <v>https://d0f6bd738d7f1b3e5a7ca70fe4ff75f0.us-east-1.aws.found.io/app/kibana#/discover/Steve-Slow-Train-Analysis-(2080s-and-2083s)?_g=(refreshInterval:(display:Off,pause:!f,section:0,value:0),time:(from:'2017-11-16T06:21:07-0700',mode:absolute,to:'2017-11-16T08:40:01-0700'))&amp;_a=(columns:!('Message%20ID',Summary),filters:!(),index:'emp_*',interval:auto,query:(query_string:(analyze_wildcard:!t,query:'%22rtdc.l.rtdc.4004%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680</v>
      </c>
      <c r="B230" s="7">
        <v>4003</v>
      </c>
      <c r="C230" s="21" t="s">
        <v>192</v>
      </c>
      <c r="D230" s="21" t="s">
        <v>998</v>
      </c>
      <c r="E230" s="13">
        <v>43055.139155092591</v>
      </c>
      <c r="F230" s="13">
        <v>43055.140636574077</v>
      </c>
      <c r="G230" s="7">
        <v>71</v>
      </c>
      <c r="H230" s="21" t="s">
        <v>999</v>
      </c>
      <c r="I230" s="13">
        <v>43055.141631944447</v>
      </c>
      <c r="J230" s="7">
        <v>0</v>
      </c>
      <c r="K230" s="89" t="str">
        <f t="shared" si="108"/>
        <v>4003/4004</v>
      </c>
      <c r="L230" s="184" t="str">
        <f>VLOOKUP(A230,'Trips&amp;Operators'!$C$1:$G$99911,5,FALSE)</f>
        <v>SPECTOR MICHAEL</v>
      </c>
      <c r="M230" s="6">
        <f t="shared" si="109"/>
        <v>9.9537037021946162E-4</v>
      </c>
      <c r="N230" s="7">
        <f t="shared" si="130"/>
        <v>1.4333333331160247</v>
      </c>
      <c r="O230" s="7"/>
      <c r="P230" s="7"/>
      <c r="Q230" s="22"/>
      <c r="R230" s="173"/>
      <c r="S230" s="220">
        <f t="shared" si="131"/>
        <v>0</v>
      </c>
      <c r="T230" s="173" t="str">
        <f t="shared" si="110"/>
        <v>Southbound</v>
      </c>
      <c r="U230" s="19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5" t="str">
        <f t="shared" si="111"/>
        <v>https://d0f6bd738d7f1b3e5a7ca70fe4ff75f0.us-east-1.aws.found.io/app/kibana#/discover/Steve-Slow-Train-Analysis-(2080s-and-2083s)?_g=(refreshInterval:(display:Off,pause:!f,section:0,value:0),time:(from:'2017-11-16T02:20:23-0700',mode:absolute,to:'2017-11-16T04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0" s="203" t="str">
        <f>IF(AA230&lt;VLOOKUP(AG230,Variables!$AC$3:$AD$8,2,FALSE),"Y","N")</f>
        <v>Y</v>
      </c>
      <c r="X230" s="203">
        <f t="shared" si="129"/>
        <v>1</v>
      </c>
      <c r="Y230" s="203">
        <f t="shared" si="105"/>
        <v>0.32190000000000002</v>
      </c>
      <c r="Z230" s="203">
        <f t="shared" si="106"/>
        <v>0.1173</v>
      </c>
      <c r="AA230" s="203">
        <f t="shared" si="112"/>
        <v>0.2046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8">
        <f t="shared" si="113"/>
        <v>52</v>
      </c>
      <c r="AE230" s="77" t="str">
        <f t="shared" si="114"/>
        <v>aws s3 cp s3://rtdc.mdm.uploadarchive.raw/RTDC4003/ "%USERPROFILE%\AppData\Local\Temp\OnboardLogs"\RTDC4003\2017-11-16 --exclude "*" --recursive --include "*20171116*" &amp; "%USERPROFILE%\Documents\GitHub\mrs-test-scripts\Headless Mode &amp; Sideloading\WalkAndUnGZ.bat" "%USERPROFILE%\AppData\Local\Temp\OnboardLogs"\RTDC4003\2017-11-16 &amp; aws s3 cp s3://rtdc.mdm.uploadarchive.raw/RTDC4003/ "%USERPROFILE%\AppData\Local\Temp\OnboardLogs"\RTDC4003\2017-11-17 --exclude "*" --recursive --include "*20171117*" &amp; "%USERPROFILE%\Documents\GitHub\mrs-test-scripts\Headless Mode &amp; Sideloading\WalkAndUnGZ.bat" "%USERPROFILE%\AppData\Local\Temp\OnboardLogs"\RTDC4003\2017-11-17</v>
      </c>
      <c r="AF230" s="74" t="str">
        <f t="shared" si="115"/>
        <v>"C:\Program Files (x86)\AstroGrep\AstroGrep.exe" /e /r /s /spath="%USERPROFILE%\AppData\Local\Temp\OnboardLogs" /stypes="app*4003*20171116*" /stext=" 10:.+((SYSTEM_STATE.+slice.+state.+changed )|(ment ac)|(multiple cpu faults)|(system.+state.+changed )|(\[timeout)|(PRM\|1\|D)|(kpr)|(kdp)|(train st.+moving)|(\|lc)|(penalty))"</v>
      </c>
      <c r="AG230" s="181" t="str">
        <f t="shared" si="116"/>
        <v>Shuttle/Test</v>
      </c>
      <c r="AH230" s="78" t="str">
        <f t="shared" si="123"/>
        <v>"%USERPROFILE%\Documents\GitHub\eaglep3\Utilities\RefineRTDCRunTimes.py" --tripid 52-16 --locoid 4003 --swversion DE.1.0.9.0 --startMP 204:3219 --initTime 2017-11-16T03:20:23 --startdatetime 2017-11-16T03:22:31 --delay 71 --endMP 204:1173 --enddatetime 2017-11-16T03:23:57 --enforcementcount 0 &gt;&gt;%USERPROFILE%\Documents\GitHub\eaglep3-reporting\EC\2017-11-16-refined-times.txt</v>
      </c>
      <c r="AI230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0.1173"},{"id":17,"name":"Train ID","value":"52-16"},{"id":16,"name":"Locomotive ID","value":"4003"},{"id":130,"name":"Impact","value":""},{"id":150,"name":"Time of Event (Mountain Time)","value":"03:23:57"},{"id":151,"name":"Denver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1" t="str">
        <f t="shared" si="125"/>
        <v>start /low /b %USERPROFILE%\Documents\GitHub\eaglep3\Utilities\DownloadLogsFromS3.py --loco 4003 --day 2017-11-16</v>
      </c>
      <c r="AN230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10:23:57"},{"id":29,"name":"Sharepoint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7" t="str">
        <f t="shared" si="127"/>
        <v>https://d0f6bd738d7f1b3e5a7ca70fe4ff75f0.us-east-1.aws.found.io/app/kibana#/discover/Steve-Slow-Train-Analysis-(2080s-and-2083s)?_g=(refreshInterval:(display:Off,pause:!f,section:0,value:0),time:(from:'2017-11-16T02:20:23-0700',mode:absolute,to:'2017-11-16T04:23:57-0700'))&amp;_a=(columns:!('Message%20ID',Summary),filters:!(),index:'emp_*',interval:auto,query:(query_string:(analyze_wildcard:!t,query:'%22rtdc.l.rtdc.4003%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770</v>
      </c>
      <c r="B231" s="7">
        <v>4026</v>
      </c>
      <c r="C231" s="21" t="s">
        <v>192</v>
      </c>
      <c r="D231" s="21" t="s">
        <v>1000</v>
      </c>
      <c r="E231" s="13">
        <v>43055.476759259262</v>
      </c>
      <c r="F231" s="13">
        <v>43055.47797453704</v>
      </c>
      <c r="G231" s="7">
        <v>53</v>
      </c>
      <c r="H231" s="21" t="s">
        <v>1001</v>
      </c>
      <c r="I231" s="13">
        <v>43055.483368055553</v>
      </c>
      <c r="J231" s="7">
        <v>0</v>
      </c>
      <c r="K231" s="89" t="str">
        <f t="shared" si="108"/>
        <v>4025/4026</v>
      </c>
      <c r="L231" s="184" t="str">
        <f>VLOOKUP(A231,'Trips&amp;Operators'!$C$1:$G$99911,5,FALSE)</f>
        <v>BONDS REYNALDO</v>
      </c>
      <c r="M231" s="6">
        <f t="shared" si="109"/>
        <v>5.3935185133013874E-3</v>
      </c>
      <c r="N231" s="7">
        <f t="shared" si="130"/>
        <v>7.7666666591539979</v>
      </c>
      <c r="O231" s="7"/>
      <c r="P231" s="7"/>
      <c r="Q231" s="22"/>
      <c r="R231" s="173"/>
      <c r="S231" s="220">
        <f t="shared" si="131"/>
        <v>0</v>
      </c>
      <c r="T231" s="173" t="str">
        <f t="shared" si="110"/>
        <v>Southbound</v>
      </c>
      <c r="U231" s="19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5" t="str">
        <f t="shared" si="111"/>
        <v>https://d0f6bd738d7f1b3e5a7ca70fe4ff75f0.us-east-1.aws.found.io/app/kibana#/discover/Steve-Slow-Train-Analysis-(2080s-and-2083s)?_g=(refreshInterval:(display:Off,pause:!f,section:0,value:0),time:(from:'2017-11-16T10:26:32-0700',mode:absolute,to:'2017-11-16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1" s="203" t="str">
        <f>IF(AA231&lt;VLOOKUP(AG231,Variables!$AC$3:$AD$8,2,FALSE),"Y","N")</f>
        <v>Y</v>
      </c>
      <c r="X231" s="203">
        <f t="shared" si="129"/>
        <v>2</v>
      </c>
      <c r="Y231" s="203">
        <f t="shared" si="105"/>
        <v>4.7300000000000002E-2</v>
      </c>
      <c r="Z231" s="203">
        <f t="shared" si="106"/>
        <v>2.4239000000000002</v>
      </c>
      <c r="AA231" s="203">
        <f t="shared" si="112"/>
        <v>2.3766000000000003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8">
        <f t="shared" si="113"/>
        <v>54</v>
      </c>
      <c r="AE231" s="77" t="str">
        <f t="shared" si="114"/>
        <v>aws s3 cp s3://rtdc.mdm.uploadarchive.raw/RTDC4026/ "%USERPROFILE%\AppData\Local\Temp\OnboardLogs"\RTDC4026\2017-11-16 --exclude "*" --recursive --include "*20171116*" &amp; "%USERPROFILE%\Documents\GitHub\mrs-test-scripts\Headless Mode &amp; Sideloading\WalkAndUnGZ.bat" "%USERPROFILE%\AppData\Local\Temp\OnboardLogs"\RTDC4026\2017-11-16 &amp; aws s3 cp s3://rtdc.mdm.uploadarchive.raw/RTDC4026/ "%USERPROFILE%\AppData\Local\Temp\OnboardLogs"\RTDC4026\2017-11-17 --exclude "*" --recursive --include "*20171117*" &amp; "%USERPROFILE%\Documents\GitHub\mrs-test-scripts\Headless Mode &amp; Sideloading\WalkAndUnGZ.bat" "%USERPROFILE%\AppData\Local\Temp\OnboardLogs"\RTDC4026\2017-11-17</v>
      </c>
      <c r="AF231" s="74" t="str">
        <f t="shared" si="115"/>
        <v>"C:\Program Files (x86)\AstroGrep\AstroGrep.exe" /e /r /s /spath="%USERPROFILE%\AppData\Local\Temp\OnboardLogs" /stypes="app*4026*20171116*" /stext=" 18:.+((SYSTEM_STATE.+slice.+state.+changed )|(ment ac)|(multiple cpu faults)|(system.+state.+changed )|(\[timeout)|(PRM\|1\|D)|(kpr)|(kdp)|(train st.+moving)|(\|lc)|(penalty))"</v>
      </c>
      <c r="AG231" s="181" t="str">
        <f t="shared" si="116"/>
        <v>Shuttle/Test</v>
      </c>
      <c r="AH231" s="78" t="str">
        <f t="shared" si="123"/>
        <v>"%USERPROFILE%\Documents\GitHub\eaglep3\Utilities\RefineRTDCRunTimes.py" --tripid 54-16 --locoid 4026 --swversion DE.1.0.9.0 --startMP 204:473 --initTime 2017-11-16T11:26:32 --startdatetime 2017-11-16T11:28:17 --delay 53 --endMP 300:24239 --enddatetime 2017-11-16T11:36:03 --enforcementcount 0 &gt;&gt;%USERPROFILE%\Documents\GitHub\eaglep3-reporting\EC\2017-11-16-refined-times.txt</v>
      </c>
      <c r="AI231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2.4239"},{"id":17,"name":"Train ID","value":"54-16"},{"id":16,"name":"Locomotive ID","value":"4026"},{"id":130,"name":"Impact","value":""},{"id":150,"name":"Time of Event (Mountain Time)","value":"11:36:03"},{"id":151,"name":"Denver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1" t="str">
        <f t="shared" si="125"/>
        <v>start /low /b %USERPROFILE%\Documents\GitHub\eaglep3\Utilities\DownloadLogsFromS3.py --loco 4026 --day 2017-11-16</v>
      </c>
      <c r="AN231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7" t="str">
        <f t="shared" si="127"/>
        <v>https://d0f6bd738d7f1b3e5a7ca70fe4ff75f0.us-east-1.aws.found.io/app/kibana#/discover/Steve-Slow-Train-Analysis-(2080s-and-2083s)?_g=(refreshInterval:(display:Off,pause:!f,section:0,value:0),time:(from:'2017-11-16T10:26:32-0700',mode:absolute,to:'2017-11-16T12:36:03-0700'))&amp;_a=(columns:!('Message%20ID',Summary),filters:!(),index:'emp_*',interval:auto,query:(query_string:(analyze_wildcard:!t,query:'%22rtdc.l.rtdc.4026%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798</v>
      </c>
      <c r="B232" s="7">
        <v>4013</v>
      </c>
      <c r="C232" s="21" t="s">
        <v>192</v>
      </c>
      <c r="D232" s="21" t="s">
        <v>1002</v>
      </c>
      <c r="E232" s="13">
        <v>43055.58966435185</v>
      </c>
      <c r="F232" s="13">
        <v>43055.592928240738</v>
      </c>
      <c r="G232" s="7">
        <v>88</v>
      </c>
      <c r="H232" s="21" t="s">
        <v>1003</v>
      </c>
      <c r="I232" s="13">
        <v>43055.59878472222</v>
      </c>
      <c r="J232" s="7">
        <v>0</v>
      </c>
      <c r="K232" s="89" t="str">
        <f t="shared" si="108"/>
        <v>4013/4014</v>
      </c>
      <c r="L232" s="184" t="str">
        <f>VLOOKUP(A232,'Trips&amp;Operators'!$C$1:$G$99911,5,FALSE)</f>
        <v>ZEWDU DEREJE</v>
      </c>
      <c r="M232" s="6">
        <f t="shared" si="109"/>
        <v>5.8564814826240763E-3</v>
      </c>
      <c r="N232" s="7">
        <f t="shared" si="130"/>
        <v>8.4333333349786699</v>
      </c>
      <c r="O232" s="7"/>
      <c r="P232" s="7"/>
      <c r="Q232" s="22"/>
      <c r="R232" s="173"/>
      <c r="S232" s="220">
        <f t="shared" si="131"/>
        <v>0</v>
      </c>
      <c r="T232" s="173" t="str">
        <f t="shared" si="110"/>
        <v>NorthBound</v>
      </c>
      <c r="U232" s="19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5" t="str">
        <f t="shared" si="111"/>
        <v>https://d0f6bd738d7f1b3e5a7ca70fe4ff75f0.us-east-1.aws.found.io/app/kibana#/discover/Steve-Slow-Train-Analysis-(2080s-and-2083s)?_g=(refreshInterval:(display:Off,pause:!f,section:0,value:0),time:(from:'2017-11-16T13:09:07-0700',mode:absolute,to:'2017-11-16T15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2" s="203" t="str">
        <f>IF(AA232&lt;VLOOKUP(AG232,Variables!$AC$3:$AD$8,2,FALSE),"Y","N")</f>
        <v>Y</v>
      </c>
      <c r="X232" s="203">
        <f t="shared" si="129"/>
        <v>5</v>
      </c>
      <c r="Y232" s="203">
        <f t="shared" si="105"/>
        <v>2.2240000000000002</v>
      </c>
      <c r="Z232" s="203">
        <f t="shared" si="106"/>
        <v>8.6900000000000005E-2</v>
      </c>
      <c r="AA232" s="203">
        <f t="shared" si="112"/>
        <v>2.1371000000000002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8">
        <f t="shared" si="113"/>
        <v>59</v>
      </c>
      <c r="AE232" s="77" t="str">
        <f t="shared" si="114"/>
        <v>aws s3 cp s3://rtdc.mdm.uploadarchive.raw/RTDC4013/ "%USERPROFILE%\AppData\Local\Temp\OnboardLogs"\RTDC4013\2017-11-16 --exclude "*" --recursive --include "*20171116*" &amp; "%USERPROFILE%\Documents\GitHub\mrs-test-scripts\Headless Mode &amp; Sideloading\WalkAndUnGZ.bat" "%USERPROFILE%\AppData\Local\Temp\OnboardLogs"\RTDC4013\2017-11-16 &amp; aws s3 cp s3://rtdc.mdm.uploadarchive.raw/RTDC4013/ "%USERPROFILE%\AppData\Local\Temp\OnboardLogs"\RTDC4013\2017-11-17 --exclude "*" --recursive --include "*20171117*" &amp; "%USERPROFILE%\Documents\GitHub\mrs-test-scripts\Headless Mode &amp; Sideloading\WalkAndUnGZ.bat" "%USERPROFILE%\AppData\Local\Temp\OnboardLogs"\RTDC4013\2017-11-17</v>
      </c>
      <c r="AF232" s="74" t="str">
        <f t="shared" si="115"/>
        <v>"C:\Program Files (x86)\AstroGrep\AstroGrep.exe" /e /r /s /spath="%USERPROFILE%\AppData\Local\Temp\OnboardLogs" /stypes="app*4013*20171116*" /stext=" 21:.+((SYSTEM_STATE.+slice.+state.+changed )|(ment ac)|(multiple cpu faults)|(system.+state.+changed )|(\[timeout)|(PRM\|1\|D)|(kpr)|(kdp)|(train st.+moving)|(\|lc)|(penalty))"</v>
      </c>
      <c r="AG232" s="181" t="str">
        <f t="shared" si="116"/>
        <v>Shuttle/Test</v>
      </c>
      <c r="AH232" s="78" t="str">
        <f t="shared" si="123"/>
        <v>"%USERPROFILE%\Documents\GitHub\eaglep3\Utilities\RefineRTDCRunTimes.py" --tripid 59-16 --locoid 4013 --swversion DE.1.0.9.0 --startMP 300:22240 --initTime 2017-11-16T14:09:07 --startdatetime 2017-11-16T14:13:49 --delay 88 --endMP 204:869 --enddatetime 2017-11-16T14:22:15 --enforcementcount 0 &gt;&gt;%USERPROFILE%\Documents\GitHub\eaglep3-reporting\EC\2017-11-16-refined-times.txt</v>
      </c>
      <c r="AI232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0.0869"},{"id":17,"name":"Train ID","value":"59-16"},{"id":16,"name":"Locomotive ID","value":"4013"},{"id":130,"name":"Impact","value":""},{"id":150,"name":"Time of Event (Mountain Time)","value":"14:22:15"},{"id":151,"name":"Denver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1" t="str">
        <f t="shared" si="125"/>
        <v>start /low /b %USERPROFILE%\Documents\GitHub\eaglep3\Utilities\DownloadLogsFromS3.py --loco 4013 --day 2017-11-16</v>
      </c>
      <c r="AN232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7" t="str">
        <f t="shared" si="127"/>
        <v>https://d0f6bd738d7f1b3e5a7ca70fe4ff75f0.us-east-1.aws.found.io/app/kibana#/discover/Steve-Slow-Train-Analysis-(2080s-and-2083s)?_g=(refreshInterval:(display:Off,pause:!f,section:0,value:0),time:(from:'2017-11-16T13:09:07-0700',mode:absolute,to:'2017-11-16T15:22:15-0700'))&amp;_a=(columns:!('Message%20ID',Summary),filters:!(),index:'emp_*',interval:auto,query:(query_string:(analyze_wildcard:!t,query:'%22rtdc.l.rtdc.4013%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759</v>
      </c>
      <c r="B233" s="7">
        <v>4025</v>
      </c>
      <c r="C233" s="21" t="s">
        <v>192</v>
      </c>
      <c r="D233" s="21" t="s">
        <v>1004</v>
      </c>
      <c r="E233" s="13">
        <v>43055.446643518517</v>
      </c>
      <c r="F233" s="13">
        <v>43055.452789351853</v>
      </c>
      <c r="G233" s="7">
        <v>77</v>
      </c>
      <c r="H233" s="21" t="s">
        <v>647</v>
      </c>
      <c r="I233" s="13">
        <v>43055.45789351852</v>
      </c>
      <c r="J233" s="7">
        <v>0</v>
      </c>
      <c r="K233" s="89" t="str">
        <f t="shared" si="108"/>
        <v>4025/4026</v>
      </c>
      <c r="L233" s="184" t="str">
        <f>VLOOKUP(A233,'Trips&amp;Operators'!$C$1:$G$99911,5,FALSE)</f>
        <v>MOSES BRADLEY</v>
      </c>
      <c r="M233" s="6">
        <f t="shared" si="109"/>
        <v>5.1041666665696539E-3</v>
      </c>
      <c r="N233" s="7">
        <f t="shared" si="130"/>
        <v>7.3499999998603016</v>
      </c>
      <c r="O233" s="7"/>
      <c r="P233" s="7"/>
      <c r="Q233" s="22"/>
      <c r="R233" s="173"/>
      <c r="S233" s="220">
        <f t="shared" si="131"/>
        <v>1</v>
      </c>
      <c r="T233" s="173" t="str">
        <f t="shared" si="110"/>
        <v>Southbound</v>
      </c>
      <c r="U233" s="19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5" t="str">
        <f t="shared" si="111"/>
        <v>https://d0f6bd738d7f1b3e5a7ca70fe4ff75f0.us-east-1.aws.found.io/app/kibana#/discover/Steve-Slow-Train-Analysis-(2080s-and-2083s)?_g=(refreshInterval:(display:Off,pause:!f,section:0,value:0),time:(from:'2017-11-16T09:43:10-0700',mode:absolute,to:'2017-11-16T11:59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203" t="str">
        <f>IF(AA233&lt;VLOOKUP(AG233,Variables!$AC$3:$AD$8,2,FALSE),"Y","N")</f>
        <v>Y</v>
      </c>
      <c r="X233" s="203">
        <f t="shared" si="129"/>
        <v>3</v>
      </c>
      <c r="Y233" s="203">
        <f t="shared" si="105"/>
        <v>2.0648</v>
      </c>
      <c r="Z233" s="203">
        <f t="shared" si="106"/>
        <v>1.6400000000000001E-2</v>
      </c>
      <c r="AA233" s="203">
        <f t="shared" si="112"/>
        <v>2.0484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8">
        <f t="shared" si="113"/>
        <v>62</v>
      </c>
      <c r="AE233" s="77" t="str">
        <f t="shared" si="114"/>
        <v>aws s3 cp s3://rtdc.mdm.uploadarchive.raw/RTDC4025/ "%USERPROFILE%\AppData\Local\Temp\OnboardLogs"\RTDC4025\2017-11-16 --exclude "*" --recursive --include "*20171116*" &amp; "%USERPROFILE%\Documents\GitHub\mrs-test-scripts\Headless Mode &amp; Sideloading\WalkAndUnGZ.bat" "%USERPROFILE%\AppData\Local\Temp\OnboardLogs"\RTDC4025\2017-11-16 &amp; aws s3 cp s3://rtdc.mdm.uploadarchive.raw/RTDC4025/ "%USERPROFILE%\AppData\Local\Temp\OnboardLogs"\RTDC4025\2017-11-17 --exclude "*" --recursive --include "*20171117*" &amp; "%USERPROFILE%\Documents\GitHub\mrs-test-scripts\Headless Mode &amp; Sideloading\WalkAndUnGZ.bat" "%USERPROFILE%\AppData\Local\Temp\OnboardLogs"\RTDC4025\2017-11-17</v>
      </c>
      <c r="AF233" s="74" t="str">
        <f t="shared" si="115"/>
        <v>"C:\Program Files (x86)\AstroGrep\AstroGrep.exe" /e /r /s /spath="%USERPROFILE%\AppData\Local\Temp\OnboardLogs" /stypes="app*4025*20171116*" /stext=" 17:.+((SYSTEM_STATE.+slice.+state.+changed )|(ment ac)|(multiple cpu faults)|(system.+state.+changed )|(\[timeout)|(PRM\|1\|D)|(kpr)|(kdp)|(train st.+moving)|(\|lc)|(penalty))"</v>
      </c>
      <c r="AG233" s="181" t="str">
        <f t="shared" si="116"/>
        <v>Shuttle/Test</v>
      </c>
      <c r="AH233" s="78" t="str">
        <f t="shared" si="123"/>
        <v>"%USERPROFILE%\Documents\GitHub\eaglep3\Utilities\RefineRTDCRunTimes.py" --tripid 62-16 --locoid 4025 --swversion DE.1.0.9.0 --startMP 300:20648 --initTime 2017-11-16T10:43:10 --startdatetime 2017-11-16T10:52:01 --delay 77 --endMP 204:164 --enddatetime 2017-11-16T10:59:22 --enforcementcount 0 &gt;&gt;%USERPROFILE%\Documents\GitHub\eaglep3-reporting\EC\2017-11-16-refined-times.txt</v>
      </c>
      <c r="AI233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0.0164"},{"id":17,"name":"Train ID","value":"62-16"},{"id":16,"name":"Locomotive ID","value":"4025"},{"id":130,"name":"Impact","value":""},{"id":150,"name":"Time of Event (Mountain Time)","value":"10:59:22"},{"id":151,"name":"Denver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1" t="str">
        <f t="shared" si="125"/>
        <v>start /low /b %USERPROFILE%\Documents\GitHub\eaglep3\Utilities\DownloadLogsFromS3.py --loco 4025 --day 2017-11-16</v>
      </c>
      <c r="AN233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17:59:22"},{"id":29,"name":"Sharepoint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7" t="str">
        <f t="shared" si="127"/>
        <v>https://d0f6bd738d7f1b3e5a7ca70fe4ff75f0.us-east-1.aws.found.io/app/kibana#/discover/Steve-Slow-Train-Analysis-(2080s-and-2083s)?_g=(refreshInterval:(display:Off,pause:!f,section:0,value:0),time:(from:'2017-11-16T09:43:10-0700',mode:absolute,to:'2017-11-16T11:59:22-0700'))&amp;_a=(columns:!('Message%20ID',Summary),filters:!(),index:'emp_*',interval:auto,query:(query_string:(analyze_wildcard:!t,query:'%22rtdc.l.rtdc.4025%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826</v>
      </c>
      <c r="B234" s="7">
        <v>4030</v>
      </c>
      <c r="C234" s="21" t="s">
        <v>192</v>
      </c>
      <c r="D234" s="21" t="s">
        <v>1005</v>
      </c>
      <c r="E234" s="13">
        <v>43055.687627314815</v>
      </c>
      <c r="F234" s="13">
        <v>43055.689814814818</v>
      </c>
      <c r="G234" s="7">
        <v>92</v>
      </c>
      <c r="H234" s="21" t="s">
        <v>567</v>
      </c>
      <c r="I234" s="13">
        <v>43055.703541666669</v>
      </c>
      <c r="J234" s="7">
        <v>0</v>
      </c>
      <c r="K234" s="89" t="str">
        <f t="shared" si="108"/>
        <v>4029/4030</v>
      </c>
      <c r="L234" s="184" t="str">
        <f>VLOOKUP(A234,'Trips&amp;Operators'!$C$1:$G$99911,5,FALSE)</f>
        <v>NEWELL JAMES</v>
      </c>
      <c r="M234" s="6">
        <f t="shared" si="109"/>
        <v>1.3726851851970423E-2</v>
      </c>
      <c r="N234" s="7">
        <f t="shared" si="130"/>
        <v>19.766666666837409</v>
      </c>
      <c r="O234" s="7"/>
      <c r="P234" s="7"/>
      <c r="Q234" s="22"/>
      <c r="R234" s="173"/>
      <c r="S234" s="220">
        <f t="shared" si="131"/>
        <v>1</v>
      </c>
      <c r="T234" s="173" t="str">
        <f t="shared" si="110"/>
        <v>NorthBound</v>
      </c>
      <c r="U234" s="19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5" t="str">
        <f t="shared" si="111"/>
        <v>https://d0f6bd738d7f1b3e5a7ca70fe4ff75f0.us-east-1.aws.found.io/app/kibana#/discover/Steve-Slow-Train-Analysis-(2080s-and-2083s)?_g=(refreshInterval:(display:Off,pause:!f,section:0,value:0),time:(from:'2017-11-16T15:30:11-0700',mode:absolute,to:'2017-11-16T17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4" s="203" t="str">
        <f>IF(AA234&lt;VLOOKUP(AG234,Variables!$AC$3:$AD$8,2,FALSE),"Y","N")</f>
        <v>Y</v>
      </c>
      <c r="X234" s="203">
        <f t="shared" si="129"/>
        <v>13</v>
      </c>
      <c r="Y234" s="203">
        <f t="shared" si="105"/>
        <v>0.1148</v>
      </c>
      <c r="Z234" s="203">
        <f t="shared" si="106"/>
        <v>2.3306</v>
      </c>
      <c r="AA234" s="203">
        <f t="shared" si="112"/>
        <v>2.2158000000000002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8">
        <f t="shared" si="113"/>
        <v>75</v>
      </c>
      <c r="AE234" s="77" t="str">
        <f t="shared" si="114"/>
        <v>aws s3 cp s3://rtdc.mdm.uploadarchive.raw/RTDC4030/ "%USERPROFILE%\AppData\Local\Temp\OnboardLogs"\RTDC4030\2017-11-16 --exclude "*" --recursive --include "*20171116*" &amp; "%USERPROFILE%\Documents\GitHub\mrs-test-scripts\Headless Mode &amp; Sideloading\WalkAndUnGZ.bat" "%USERPROFILE%\AppData\Local\Temp\OnboardLogs"\RTDC4030\2017-11-16 &amp; 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</v>
      </c>
      <c r="AF234" s="74" t="str">
        <f t="shared" si="115"/>
        <v>"C:\Program Files (x86)\AstroGrep\AstroGrep.exe" /e /r /s /spath="%USERPROFILE%\AppData\Local\Temp\OnboardLogs" /stypes="app*4030*20171116*" /stext=" 23:.+((SYSTEM_STATE.+slice.+state.+changed )|(ment ac)|(multiple cpu faults)|(system.+state.+changed )|(\[timeout)|(PRM\|1\|D)|(kpr)|(kdp)|(train st.+moving)|(\|lc)|(penalty))"</v>
      </c>
      <c r="AG234" s="181" t="str">
        <f t="shared" si="116"/>
        <v>Shuttle/Test</v>
      </c>
      <c r="AH234" s="78" t="str">
        <f t="shared" si="123"/>
        <v>"%USERPROFILE%\Documents\GitHub\eaglep3\Utilities\RefineRTDCRunTimes.py" --tripid 75-16 --locoid 4030 --swversion DE.1.0.9.0 --startMP 204:1148 --initTime 2017-11-16T16:30:11 --startdatetime 2017-11-16T16:33:20 --delay 92 --endMP 300:23306 --enddatetime 2017-11-16T16:53:06 --enforcementcount 0 &gt;&gt;%USERPROFILE%\Documents\GitHub\eaglep3-reporting\EC\2017-11-16-refined-times.txt</v>
      </c>
      <c r="AI234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2.3306"},{"id":17,"name":"Train ID","value":"75-16"},{"id":16,"name":"Locomotive ID","value":"4030"},{"id":130,"name":"Impact","value":""},{"id":150,"name":"Time of Event (Mountain Time)","value":"16:53:06"},{"id":151,"name":"Denver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1" t="str">
        <f t="shared" si="125"/>
        <v>start /low /b %USERPROFILE%\Documents\GitHub\eaglep3\Utilities\DownloadLogsFromS3.py --loco 4030 --day 2017-11-16</v>
      </c>
      <c r="AN234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23:53:06"},{"id":29,"name":"Sharepoint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7" t="str">
        <f t="shared" si="127"/>
        <v>https://d0f6bd738d7f1b3e5a7ca70fe4ff75f0.us-east-1.aws.found.io/app/kibana#/discover/Steve-Slow-Train-Analysis-(2080s-and-2083s)?_g=(refreshInterval:(display:Off,pause:!f,section:0,value:0),time:(from:'2017-11-16T15:30:11-0700',mode:absolute,to:'2017-11-16T17:53:06-0700'))&amp;_a=(columns:!('Message%20ID',Summary),filters:!(),index:'emp_*',interval:auto,query:(query_string:(analyze_wildcard:!t,query:'%22rtdc.l.rtdc.4030%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846</v>
      </c>
      <c r="B235" s="7">
        <v>4014</v>
      </c>
      <c r="C235" s="21" t="s">
        <v>192</v>
      </c>
      <c r="D235" s="21" t="s">
        <v>1006</v>
      </c>
      <c r="E235" s="13">
        <v>43055.761412037034</v>
      </c>
      <c r="F235" s="13">
        <v>43055.77547453704</v>
      </c>
      <c r="G235" s="7">
        <v>62</v>
      </c>
      <c r="H235" s="21" t="s">
        <v>1007</v>
      </c>
      <c r="I235" s="13">
        <v>43055.776759259257</v>
      </c>
      <c r="J235" s="7">
        <v>0</v>
      </c>
      <c r="K235" s="89" t="str">
        <f t="shared" si="108"/>
        <v>4013/4014</v>
      </c>
      <c r="L235" s="184" t="str">
        <f>VLOOKUP(A235,'Trips&amp;Operators'!$C$1:$G$99911,5,FALSE)</f>
        <v>MCREYNOLDS KYLE</v>
      </c>
      <c r="M235" s="6">
        <f t="shared" si="109"/>
        <v>1.2847222169511952E-3</v>
      </c>
      <c r="N235" s="7">
        <f t="shared" si="130"/>
        <v>1.849999992409721</v>
      </c>
      <c r="O235" s="7"/>
      <c r="P235" s="7"/>
      <c r="Q235" s="22"/>
      <c r="R235" s="173"/>
      <c r="S235" s="220">
        <f t="shared" si="131"/>
        <v>0</v>
      </c>
      <c r="T235" s="173" t="str">
        <f t="shared" si="110"/>
        <v>NorthBound</v>
      </c>
      <c r="U235" s="19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5" t="str">
        <f t="shared" si="111"/>
        <v>https://d0f6bd738d7f1b3e5a7ca70fe4ff75f0.us-east-1.aws.found.io/app/kibana#/discover/Steve-Slow-Train-Analysis-(2080s-and-2083s)?_g=(refreshInterval:(display:Off,pause:!f,section:0,value:0),time:(from:'2017-11-16T17:16:26-0700',mode:absolute,to:'2017-11-16T19:38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5" s="203" t="str">
        <f>IF(AA235&lt;VLOOKUP(AG235,Variables!$AC$3:$AD$8,2,FALSE),"Y","N")</f>
        <v>Y</v>
      </c>
      <c r="X235" s="203">
        <f t="shared" si="129"/>
        <v>2</v>
      </c>
      <c r="Y235" s="203">
        <f t="shared" si="105"/>
        <v>0.1186</v>
      </c>
      <c r="Z235" s="203">
        <f t="shared" si="106"/>
        <v>0.51370000000000005</v>
      </c>
      <c r="AA235" s="203">
        <f t="shared" si="112"/>
        <v>0.39510000000000006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8">
        <f t="shared" si="113"/>
        <v>77</v>
      </c>
      <c r="AE235" s="77" t="str">
        <f t="shared" si="114"/>
        <v>aws s3 cp s3://rtdc.mdm.uploadarchive.raw/RTDC4014/ "%USERPROFILE%\AppData\Local\Temp\OnboardLogs"\RTDC4014\2017-11-16 --exclude "*" --recursive --include "*20171116*" &amp; "%USERPROFILE%\Documents\GitHub\mrs-test-scripts\Headless Mode &amp; Sideloading\WalkAndUnGZ.bat" "%USERPROFILE%\AppData\Local\Temp\OnboardLogs"\RTDC4014\2017-11-16 &amp; 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</v>
      </c>
      <c r="AF235" s="74" t="str">
        <f t="shared" si="115"/>
        <v>"C:\Program Files (x86)\AstroGrep\AstroGrep.exe" /e /r /s /spath="%USERPROFILE%\AppData\Local\Temp\OnboardLogs" /stypes="app*4014*20171117*" /stext=" 01:.+((SYSTEM_STATE.+slice.+state.+changed )|(ment ac)|(multiple cpu faults)|(system.+state.+changed )|(\[timeout)|(PRM\|1\|D)|(kpr)|(kdp)|(train st.+moving)|(\|lc)|(penalty))"</v>
      </c>
      <c r="AG235" s="181" t="str">
        <f t="shared" si="116"/>
        <v>Shuttle/Test</v>
      </c>
      <c r="AH235" s="78" t="str">
        <f t="shared" si="123"/>
        <v>"%USERPROFILE%\Documents\GitHub\eaglep3\Utilities\RefineRTDCRunTimes.py" --tripid 77-16 --locoid 4014 --swversion DE.1.0.9.0 --startMP 204:1186 --initTime 2017-11-16T18:16:26 --startdatetime 2017-11-16T18:36:41 --delay 62 --endMP 300:5137 --enddatetime 2017-11-16T18:38:32 --enforcementcount 0 &gt;&gt;%USERPROFILE%\Documents\GitHub\eaglep3-reporting\EC\2017-11-16-refined-times.txt</v>
      </c>
      <c r="AI235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0.5137"},{"id":17,"name":"Train ID","value":"77-16"},{"id":16,"name":"Locomotive ID","value":"4014"},{"id":130,"name":"Impact","value":""},{"id":150,"name":"Time of Event (Mountain Time)","value":"18:38:32"},{"id":151,"name":"Denver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1" t="str">
        <f t="shared" si="125"/>
        <v>start /low /b %USERPROFILE%\Documents\GitHub\eaglep3\Utilities\DownloadLogsFromS3.py --loco 4014 --day 2017-11-16</v>
      </c>
      <c r="AN235" s="150" t="str">
        <f t="shared" si="126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01:38:32"},{"id":29,"name":"Sharepoint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7" t="str">
        <f t="shared" si="127"/>
        <v>https://d0f6bd738d7f1b3e5a7ca70fe4ff75f0.us-east-1.aws.found.io/app/kibana#/discover/Steve-Slow-Train-Analysis-(2080s-and-2083s)?_g=(refreshInterval:(display:Off,pause:!f,section:0,value:0),time:(from:'2017-11-16T17:16:26-0700',mode:absolute,to:'2017-11-16T19:38:32-0700'))&amp;_a=(columns:!('Message%20ID',Summary),filters:!(),index:'emp_*',interval:auto,query:(query_string:(analyze_wildcard:!t,query:'%22rtdc.l.rtdc.4014%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764</v>
      </c>
      <c r="B236" s="7">
        <v>4036</v>
      </c>
      <c r="C236" s="21" t="s">
        <v>192</v>
      </c>
      <c r="D236" s="21" t="s">
        <v>1008</v>
      </c>
      <c r="E236" s="13">
        <v>43055.462280092594</v>
      </c>
      <c r="F236" s="13">
        <v>43055.463692129626</v>
      </c>
      <c r="G236" s="7">
        <v>71</v>
      </c>
      <c r="H236" s="21" t="s">
        <v>638</v>
      </c>
      <c r="I236" s="13">
        <v>43055.485405092593</v>
      </c>
      <c r="J236" s="7">
        <v>0</v>
      </c>
      <c r="K236" s="89" t="str">
        <f t="shared" si="108"/>
        <v>4035/4036</v>
      </c>
      <c r="L236" s="184" t="str">
        <f>VLOOKUP(A236,'Trips&amp;Operators'!$C$1:$G$99911,5,FALSE)</f>
        <v>GONZALEZ ARMANDO</v>
      </c>
      <c r="M236" s="6">
        <f t="shared" si="109"/>
        <v>2.1712962967285421E-2</v>
      </c>
      <c r="N236" s="7">
        <f t="shared" si="130"/>
        <v>31.266666672891006</v>
      </c>
      <c r="O236" s="7"/>
      <c r="P236" s="7"/>
      <c r="Q236" s="22"/>
      <c r="R236" s="173"/>
      <c r="S236" s="220">
        <f t="shared" si="131"/>
        <v>1</v>
      </c>
      <c r="T236" s="173" t="str">
        <f t="shared" si="110"/>
        <v>NorthBound</v>
      </c>
      <c r="U236" s="19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5" t="str">
        <f t="shared" si="111"/>
        <v>https://d0f6bd738d7f1b3e5a7ca70fe4ff75f0.us-east-1.aws.found.io/app/kibana#/discover/Steve-Slow-Train-Analysis-(2080s-and-2083s)?_g=(refreshInterval:(display:Off,pause:!f,section:0,value:0),time:(from:'2017-11-16T10:05:41-0700',mode:absolute,to:'2017-11-16T12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6" s="203" t="str">
        <f>IF(AA236&lt;VLOOKUP(AG236,Variables!$AC$3:$AD$8,2,FALSE),"Y","N")</f>
        <v>Y</v>
      </c>
      <c r="X236" s="203">
        <f t="shared" si="129"/>
        <v>2</v>
      </c>
      <c r="Y236" s="203">
        <f t="shared" si="105"/>
        <v>0.1305</v>
      </c>
      <c r="Z236" s="203">
        <f t="shared" si="106"/>
        <v>2.3308</v>
      </c>
      <c r="AA236" s="203">
        <f t="shared" si="112"/>
        <v>2.2002999999999999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8">
        <f t="shared" si="113"/>
        <v>79</v>
      </c>
      <c r="AE236" s="77" t="str">
        <f t="shared" si="114"/>
        <v>aws s3 cp s3://rtdc.mdm.uploadarchive.raw/RTDC4036/ "%USERPROFILE%\AppData\Local\Temp\OnboardLogs"\RTDC4036\2017-11-16 --exclude "*" --recursive --include "*20171116*" &amp; "%USERPROFILE%\Documents\GitHub\mrs-test-scripts\Headless Mode &amp; Sideloading\WalkAndUnGZ.bat" "%USERPROFILE%\AppData\Local\Temp\OnboardLogs"\RTDC4036\2017-11-16 &amp; 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</v>
      </c>
      <c r="AF236" s="74" t="str">
        <f t="shared" si="115"/>
        <v>"C:\Program Files (x86)\AstroGrep\AstroGrep.exe" /e /r /s /spath="%USERPROFILE%\AppData\Local\Temp\OnboardLogs" /stypes="app*4036*20171116*" /stext=" 18:.+((SYSTEM_STATE.+slice.+state.+changed )|(ment ac)|(multiple cpu faults)|(system.+state.+changed )|(\[timeout)|(PRM\|1\|D)|(kpr)|(kdp)|(train st.+moving)|(\|lc)|(penalty))"</v>
      </c>
      <c r="AG236" s="181" t="str">
        <f t="shared" si="116"/>
        <v>Shuttle/Test</v>
      </c>
      <c r="AH236" s="78" t="str">
        <f t="shared" si="123"/>
        <v>"%USERPROFILE%\Documents\GitHub\eaglep3\Utilities\RefineRTDCRunTimes.py" --tripid 79-16 --locoid 4036 --swversion DE.1.0.9.0 --startMP 204:1305 --initTime 2017-11-16T11:05:41 --startdatetime 2017-11-16T11:07:43 --delay 71 --endMP 300:23308 --enddatetime 2017-11-16T11:38:59 --enforcementcount 0 &gt;&gt;%USERPROFILE%\Documents\GitHub\eaglep3-reporting\EC\2017-11-16-refined-times.txt</v>
      </c>
      <c r="AI236" s="96" t="str">
        <f t="shared" si="124"/>
        <v>echo {"issue":{"subject":"","project_id":79,"tracker_id":40,"status_id":1,"priority_id":2,"assigned_to_id":338,"start_date":"2017-11-16","description":"","custom_fields":[{"id":1,"name":"Subdivision","value":"Shuttle/Test"},{"id":4,"name":"Milepost","value":"2.3308"},{"id":17,"name":"Train ID","value":"79-16"},{"id":16,"name":"Locomotive ID","value":"4036"},{"id":130,"name":"Impact","value":""},{"id":150,"name":"Time of Event (Mountain Time)","value":"11:38:59"},{"id":151,"name":"Denver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1" t="str">
        <f t="shared" si="125"/>
        <v>start /low /b %USERPROFILE%\Documents\GitHub\eaglep3\Utilities\DownloadLogsFromS3.py --loco 4036 --day 2017-11-16</v>
      </c>
      <c r="AN236" s="150" t="str">
        <f t="shared" si="126"/>
        <v>echo {"issue":{"subject":"","project_id":30,"tracker_id":4,"status_id":1,"priority_id":1,"assigned_to_id":10,"start_date":"2017-11-16","description":"","custom_fields":[{"id":30,"name":"Category","value":"Issue"},{"id":3,"name":"Functional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UTC","value":"2017-11-16 18:38:59"},{"id":29,"name":"Sharepoint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7" t="str">
        <f t="shared" si="127"/>
        <v>https://d0f6bd738d7f1b3e5a7ca70fe4ff75f0.us-east-1.aws.found.io/app/kibana#/discover/Steve-Slow-Train-Analysis-(2080s-and-2083s)?_g=(refreshInterval:(display:Off,pause:!f,section:0,value:0),time:(from:'2017-11-16T10:05:41-0700',mode:absolute,to:'2017-11-16T12:38:59-0700'))&amp;_a=(columns:!('Message%20ID',Summary),filters:!(),index:'emp_*',interval:auto,query:(query_string:(analyze_wildcard:!t,query:'%22rtdc.l.rtdc.4036%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</sheetData>
  <autoFilter ref="A12:AG491">
    <sortState ref="A13:AG491">
      <sortCondition ref="AG13:AG236"/>
      <sortCondition ref="AD13:AD236"/>
    </sortState>
  </autoFilter>
  <sortState ref="A13:AN396">
    <sortCondition ref="AG13:AG396"/>
    <sortCondition ref="AD13:AD396"/>
  </sortState>
  <mergeCells count="1">
    <mergeCell ref="A11:P11"/>
  </mergeCells>
  <conditionalFormatting sqref="W11:W12 W497:X1048576 W13:X236">
    <cfRule type="cellIs" dxfId="10" priority="465" operator="equal">
      <formula>"Y"</formula>
    </cfRule>
  </conditionalFormatting>
  <conditionalFormatting sqref="X497:X1048576 X13:X236">
    <cfRule type="cellIs" dxfId="9" priority="448" operator="greaterThan">
      <formula>1</formula>
    </cfRule>
  </conditionalFormatting>
  <conditionalFormatting sqref="X497:X1048576 X12:X236">
    <cfRule type="cellIs" dxfId="8" priority="445" operator="equal">
      <formula>0</formula>
    </cfRule>
  </conditionalFormatting>
  <conditionalFormatting sqref="A13:S236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2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COUNTIF($O$7:$O$179,"=Y")</f>
        <v>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COUNTA($O$7:$O$179)-O2</f>
        <v>12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25" t="str">
        <f>"Eagle P3 Braking Events - "&amp;TEXT(Variables!$A$2,"YYYY-mm-dd")</f>
        <v>Eagle P3 Braking Events - 2017-11-16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43055.753761574073</v>
      </c>
      <c r="B7" s="30" t="s">
        <v>586</v>
      </c>
      <c r="C7" s="30" t="s">
        <v>667</v>
      </c>
      <c r="D7" s="30" t="s">
        <v>49</v>
      </c>
      <c r="E7" s="30" t="s">
        <v>190</v>
      </c>
      <c r="F7" s="42">
        <v>300</v>
      </c>
      <c r="G7" s="42">
        <v>360</v>
      </c>
      <c r="H7" s="42">
        <v>20286</v>
      </c>
      <c r="I7" s="42">
        <v>21162</v>
      </c>
      <c r="J7" s="30" t="s">
        <v>191</v>
      </c>
      <c r="K7" s="42">
        <v>20338</v>
      </c>
      <c r="L7" s="131" t="s">
        <v>50</v>
      </c>
      <c r="M7" s="132">
        <f t="shared" ref="M7:M21" si="0">CONVERT((I7-K7)/10000,"mi","ft")*IF(L7="Increasing Mileposts (1)",-1,1)</f>
        <v>-435.072</v>
      </c>
      <c r="N7" s="133" t="str">
        <f>VLOOKUP(C7,'Trips&amp;Operators'!$C$1:$G$99911,5,FALSE)</f>
        <v>HOLCOMB KAMDEN</v>
      </c>
      <c r="O7" s="175" t="s">
        <v>178</v>
      </c>
      <c r="P7" s="134"/>
      <c r="Q7" s="30"/>
      <c r="R7" s="81" t="str">
        <f>VLOOKUP(C7,'Train Runs'!$A$13:$AE$10150,31,0)</f>
        <v>aws s3 cp s3://rtdc.mdm.uploadarchive.raw/RTDC4016/ "%USERPROFILE%\AppData\Local\Temp\OnboardLogs"\RTDC4016\2017-11-16 --exclude "*" --recursive --include "*20171116*" &amp; "%USERPROFILE%\Documents\GitHub\mrs-test-scripts\Headless Mode &amp; Sideloading\WalkAndUnGZ.bat" "%USERPROFILE%\AppData\Local\Temp\OnboardLogs"\RTDC4016\2017-11-16 &amp; 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</v>
      </c>
      <c r="S7" s="84" t="str">
        <f>VLOOKUP(C7,'Train Runs'!$A$13:$AE$10150,22,0)</f>
        <v>https://d0f6bd738d7f1b3e5a7ca70fe4ff75f0.us-east-1.aws.found.io/app/kibana#/discover/Steve-Slow-Train-Analysis-(2080s-and-2083s)?_g=(refreshInterval:(display:Off,pause:!f,section:0,value:0),time:(from:'2017-11-16T16:53:54-0700',mode:absolute,to:'2017-11-16T19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6" t="str">
        <f t="shared" ref="T7:T2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/stypes="*4016*201711170*" /stext=" 01:.+((SYSTEM_STATE.+slice.+state.+changed )|(ment ac)|(multiple cpu faults)|(system.+state.+changed )|(\[timeout)|(PRM\|1\|D)|(kpr)|(kdp)|(train st.+moving)|(\|lc)|(penalty))"</v>
      </c>
      <c r="U7" s="9" t="str">
        <f t="shared" ref="U7:U21" si="2">MID(B7,13,4)</f>
        <v>4016</v>
      </c>
      <c r="V7" s="31">
        <f t="shared" ref="V7:V21" si="3">A7-utc_offset/24</f>
        <v>43056.045428240737</v>
      </c>
      <c r="W7" s="45" t="str">
        <f t="shared" ref="W7:W21" si="4">DetSubdiv(C7)</f>
        <v>EC</v>
      </c>
      <c r="X7" s="22">
        <f t="shared" ref="X7:X21" si="5">VALUE(LEFT(C7,LEN(C7)-3))</f>
        <v>215</v>
      </c>
      <c r="Y7" s="96" t="str">
        <f t="shared" ref="Y7:Y2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{"issue":{"subject":"","project_id":79,"tracker_id":40,"status_id":1,"priority_id":2,"assigned_to_id":338,"start_date":"2017-11-16","description":"","custom_fields":[{"id":1,"name":"Subdivision","value":"EC"},{"id":4,"name":"Milepost","value":"2.0338"},{"id":17,"name":"Train ID","value":"215-16"},{"id":16,"name":"Locomotive ID","value":"4016"},{"id":130,"name":"Impact","value":""},{"id":150,"name":"Time of Event (Mountain Time)","value":"18:05:25"},{"id":151,"name":"Denver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/c/Users/stu/AppData/Local/Temp/OnboardLogs/RTDC4016 --include="*4016*201711170*"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"%USERPROFILE%\AppData\Local\Temp\OnboardLogs"\RTDC4016\*4016*201711170* &gt;&gt; 2017-11-16-SliceDisagreementCheck.txt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4016 --day 2017-11-17</v>
      </c>
    </row>
    <row r="8" spans="1:32" s="1" customFormat="1" x14ac:dyDescent="0.25">
      <c r="A8" s="31">
        <v>43055.535833333335</v>
      </c>
      <c r="B8" s="30" t="s">
        <v>384</v>
      </c>
      <c r="C8" s="30" t="s">
        <v>660</v>
      </c>
      <c r="D8" s="30" t="s">
        <v>49</v>
      </c>
      <c r="E8" s="30" t="s">
        <v>190</v>
      </c>
      <c r="F8" s="42">
        <v>550</v>
      </c>
      <c r="G8" s="42">
        <v>604</v>
      </c>
      <c r="H8" s="42">
        <v>220385</v>
      </c>
      <c r="I8" s="42">
        <v>222729</v>
      </c>
      <c r="J8" s="30" t="s">
        <v>191</v>
      </c>
      <c r="K8" s="42">
        <v>222090</v>
      </c>
      <c r="L8" s="131" t="s">
        <v>50</v>
      </c>
      <c r="M8" s="132">
        <f t="shared" si="0"/>
        <v>-337.392</v>
      </c>
      <c r="N8" s="133" t="str">
        <f>VLOOKUP(C8,'Trips&amp;Operators'!$C$1:$G$99911,5,FALSE)</f>
        <v>ROBINSON KADDIBA</v>
      </c>
      <c r="O8" s="175" t="s">
        <v>178</v>
      </c>
      <c r="P8" s="134"/>
      <c r="Q8" s="30"/>
      <c r="R8" s="81" t="str">
        <f>VLOOKUP(C8,'Train Runs'!$A$13:$AE$10150,31,0)</f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S8" s="84" t="str">
        <f>VLOOKUP(C8,'Train Runs'!$A$13:$AE$10150,22,0)</f>
        <v>https://d0f6bd738d7f1b3e5a7ca70fe4ff75f0.us-east-1.aws.found.io/app/kibana#/discover/Steve-Slow-Train-Analysis-(2080s-and-2083s)?_g=(refreshInterval:(display:Off,pause:!f,section:0,value:0),time:(from:'2017-11-16T11:04:43-0700',mode:absolute,to:'2017-11-16T13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6" t="str">
        <f t="shared" si="1"/>
        <v>"C:\Program Files (x86)\AstroGrep\AstroGrep.exe" /e /r /s /spath="%USERPROFILE%\AppData\Local\Temp\OnboardLogs" /stypes="*4062*201711161*"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4062</v>
      </c>
      <c r="V8" s="31">
        <f t="shared" si="3"/>
        <v>43055.827499999999</v>
      </c>
      <c r="W8" s="45" t="str">
        <f t="shared" si="4"/>
        <v>EC</v>
      </c>
      <c r="X8" s="22">
        <f t="shared" si="5"/>
        <v>169</v>
      </c>
      <c r="Y8" s="96" t="str">
        <f t="shared" si="6"/>
        <v>echo {"issue":{"subject":"","project_id":79,"tracker_id":40,"status_id":1,"priority_id":2,"assigned_to_id":338,"start_date":"2017-11-16","description":"","custom_fields":[{"id":1,"name":"Subdivision","value":"EC"},{"id":4,"name":"Milepost","value":"22.209"},{"id":17,"name":"Train ID","value":"169-16"},{"id":16,"name":"Locomotive ID","value":"4062"},{"id":130,"name":"Impact","value":""},{"id":150,"name":"Time of Event (Mountain Time)","value":"12:51:36"},{"id":151,"name":"Denver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47"/>
      <c r="AB8" s="47"/>
      <c r="AC8" s="115" t="str">
        <f t="shared" si="7"/>
        <v>grep -hrE -A400 "Enforcement Action" /c/Users/stu/AppData/Local/Temp/OnboardLogs/RTDC4062 --include="*4062*201711161*"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"%USERPROFILE%\AppData\Local\Temp\OnboardLogs"\RTDC4062\*4062*201711161* &gt;&gt; 2017-11-16-SliceDisagreementCheck.txt</v>
      </c>
      <c r="AE8" s="144" t="str">
        <f t="shared" ref="AE8:AE21" si="9">"start /low /b "&amp;dls3logs&amp;" --loco "&amp;U8&amp;" --day "&amp;TEXT(V8,"YYYY-MM-DD")</f>
        <v>start /low /b %USERPROFILE%\Documents\GitHub\eaglep3\Utilities\DownloadLogsFromS3.py --loco 4062 --day 2017-11-16</v>
      </c>
    </row>
    <row r="9" spans="1:32" s="1" customFormat="1" x14ac:dyDescent="0.25">
      <c r="A9" s="31">
        <v>43055.404849537037</v>
      </c>
      <c r="B9" s="30" t="s">
        <v>386</v>
      </c>
      <c r="C9" s="30" t="s">
        <v>657</v>
      </c>
      <c r="D9" s="30" t="s">
        <v>49</v>
      </c>
      <c r="E9" s="30" t="s">
        <v>354</v>
      </c>
      <c r="F9" s="42">
        <v>0</v>
      </c>
      <c r="G9" s="42">
        <v>146</v>
      </c>
      <c r="H9" s="42">
        <v>231961</v>
      </c>
      <c r="I9" s="42">
        <v>231663</v>
      </c>
      <c r="J9" s="30" t="s">
        <v>355</v>
      </c>
      <c r="K9" s="42">
        <v>231147</v>
      </c>
      <c r="L9" s="131" t="s">
        <v>51</v>
      </c>
      <c r="M9" s="132">
        <f t="shared" si="0"/>
        <v>272.44799999999998</v>
      </c>
      <c r="N9" s="133" t="str">
        <f>VLOOKUP(C9,'Trips&amp;Operators'!$C$1:$G$99911,5,FALSE)</f>
        <v>YANAI IAN</v>
      </c>
      <c r="O9" s="175" t="s">
        <v>178</v>
      </c>
      <c r="P9" s="134" t="s">
        <v>1103</v>
      </c>
      <c r="Q9" s="30"/>
      <c r="R9" s="81" t="str">
        <f>VLOOKUP(C9,'Train Runs'!$A$13:$AE$10150,31,0)</f>
        <v>aws s3 cp s3://rtdc.mdm.uploadarchive.raw/RTDC4061/ "%USERPROFILE%\AppData\Local\Temp\OnboardLogs"\RTDC4061\2017-11-16 --exclude "*" --recursive --include "*20171116*" &amp; "%USERPROFILE%\Documents\GitHub\mrs-test-scripts\Headless Mode &amp; Sideloading\WalkAndUnGZ.bat" "%USERPROFILE%\AppData\Local\Temp\OnboardLogs"\RTDC4061\2017-11-16 &amp; 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</v>
      </c>
      <c r="S9" s="84" t="str">
        <f>VLOOKUP(C9,'Train Runs'!$A$13:$AE$10150,22,0)</f>
        <v>https://d0f6bd738d7f1b3e5a7ca70fe4ff75f0.us-east-1.aws.found.io/app/kibana#/discover/Steve-Slow-Train-Analysis-(2080s-and-2083s)?_g=(refreshInterval:(display:Off,pause:!f,section:0,value:0),time:(from:'2017-11-16T08:21:08-0700',mode:absolute,to:'2017-11-16T11:20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6" t="str">
        <f t="shared" si="1"/>
        <v>"C:\Program Files (x86)\AstroGrep\AstroGrep.exe" /e /r /s /spath="%USERPROFILE%\AppData\Local\Temp\OnboardLogs" /stypes="*4061*201711161*"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4061</v>
      </c>
      <c r="V9" s="31">
        <f t="shared" si="3"/>
        <v>43055.696516203701</v>
      </c>
      <c r="W9" s="45" t="str">
        <f t="shared" si="4"/>
        <v>EC</v>
      </c>
      <c r="X9" s="22">
        <f t="shared" si="5"/>
        <v>142</v>
      </c>
      <c r="Y9" s="96" t="str">
        <f t="shared" si="6"/>
        <v>echo {"issue":{"subject":"Went active too close to signal","project_id":79,"tracker_id":40,"status_id":1,"priority_id":2,"assigned_to_id":338,"start_date":"2017-11-16","description":"","custom_fields":[{"id":1,"name":"Subdivision","value":"EC"},{"id":4,"name":"Milepost","value":"23.1147"},{"id":17,"name":"Train ID","value":"142-16"},{"id":16,"name":"Locomotive ID","value":"4061"},{"id":130,"name":"Impact","value":""},{"id":150,"name":"Time of Event (Mountain Time)","value":"09:42:59"},{"id":151,"name":"Denver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47"/>
      <c r="AB9" s="47"/>
      <c r="AC9" s="115" t="str">
        <f t="shared" si="7"/>
        <v>grep -hrE -A400 "Enforcement Action" /c/Users/stu/AppData/Local/Temp/OnboardLogs/RTDC4061 --include="*4061*201711161*"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"%USERPROFILE%\AppData\Local\Temp\OnboardLogs"\RTDC4061\*4061*201711161* &gt;&gt; 2017-11-16-SliceDisagreementCheck.txt</v>
      </c>
      <c r="AE9" s="144" t="str">
        <f t="shared" si="9"/>
        <v>start /low /b %USERPROFILE%\Documents\GitHub\eaglep3\Utilities\DownloadLogsFromS3.py --loco 4061 --day 2017-11-16</v>
      </c>
    </row>
    <row r="10" spans="1:32" x14ac:dyDescent="0.25">
      <c r="A10" s="31">
        <v>43055.525868055556</v>
      </c>
      <c r="B10" s="30" t="s">
        <v>384</v>
      </c>
      <c r="C10" s="30" t="s">
        <v>660</v>
      </c>
      <c r="D10" s="30" t="s">
        <v>49</v>
      </c>
      <c r="E10" s="30" t="s">
        <v>461</v>
      </c>
      <c r="F10" s="42">
        <v>0</v>
      </c>
      <c r="G10" s="42">
        <v>529</v>
      </c>
      <c r="H10" s="42">
        <v>126195</v>
      </c>
      <c r="I10" s="42">
        <v>0</v>
      </c>
      <c r="J10" s="30" t="s">
        <v>462</v>
      </c>
      <c r="K10" s="42">
        <v>126678</v>
      </c>
      <c r="L10" s="131" t="s">
        <v>50</v>
      </c>
      <c r="M10" s="132">
        <f t="shared" si="0"/>
        <v>66885.983999999997</v>
      </c>
      <c r="N10" s="133" t="str">
        <f>VLOOKUP(C10,'Trips&amp;Operators'!$C$1:$G$99911,5,FALSE)</f>
        <v>ROBINSON KADDIBA</v>
      </c>
      <c r="O10" s="175" t="s">
        <v>348</v>
      </c>
      <c r="P10" s="134" t="s">
        <v>538</v>
      </c>
      <c r="Q10" s="30"/>
      <c r="R10" s="81" t="str">
        <f>VLOOKUP(C10,'Train Runs'!$A$13:$AE$10150,31,0)</f>
        <v>aws s3 cp s3://rtdc.mdm.uploadarchive.raw/RTDC4062/ "%USERPROFILE%\AppData\Local\Temp\OnboardLogs"\RTDC4062\2017-11-16 --exclude "*" --recursive --include "*20171116*" &amp; "%USERPROFILE%\Documents\GitHub\mrs-test-scripts\Headless Mode &amp; Sideloading\WalkAndUnGZ.bat" "%USERPROFILE%\AppData\Local\Temp\OnboardLogs"\RTDC4062\2017-11-16 &amp; 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</v>
      </c>
      <c r="S10" s="84" t="str">
        <f>VLOOKUP(C10,'Train Runs'!$A$13:$AE$10150,22,0)</f>
        <v>https://d0f6bd738d7f1b3e5a7ca70fe4ff75f0.us-east-1.aws.found.io/app/kibana#/discover/Steve-Slow-Train-Analysis-(2080s-and-2083s)?_g=(refreshInterval:(display:Off,pause:!f,section:0,value:0),time:(from:'2017-11-16T11:04:43-0700',mode:absolute,to:'2017-11-16T13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0" s="86" t="str">
        <f t="shared" si="1"/>
        <v>"C:\Program Files (x86)\AstroGrep\AstroGrep.exe" /e /r /s /spath="%USERPROFILE%\AppData\Local\Temp\OnboardLogs" /stypes="*4062*201711161*"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4062</v>
      </c>
      <c r="V10" s="31">
        <f t="shared" si="3"/>
        <v>43055.81753472222</v>
      </c>
      <c r="W10" s="45" t="str">
        <f t="shared" si="4"/>
        <v>EC</v>
      </c>
      <c r="X10" s="22">
        <f t="shared" si="5"/>
        <v>169</v>
      </c>
      <c r="Y10" s="96" t="str">
        <f t="shared" si="6"/>
        <v>echo {"issue":{"subject":"Wi-MAX data drop","project_id":79,"tracker_id":40,"status_id":1,"priority_id":2,"assigned_to_id":338,"start_date":"2017-11-16","description":"","custom_fields":[{"id":1,"name":"Subdivision","value":"EC"},{"id":4,"name":"Milepost","value":"12.6678"},{"id":17,"name":"Train ID","value":"169-16"},{"id":16,"name":"Locomotive ID","value":"4062"},{"id":130,"name":"Impact","value":""},{"id":150,"name":"Time of Event (Mountain Time)","value":"12:37:15"},{"id":151,"name":"Denver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47"/>
      <c r="AB10" s="47"/>
      <c r="AC10" s="115" t="str">
        <f t="shared" si="7"/>
        <v>grep -hrE -A400 "Enforcement Action" /c/Users/stu/AppData/Local/Temp/OnboardLogs/RTDC4062 --include="*4062*201711161*"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"%USERPROFILE%\AppData\Local\Temp\OnboardLogs"\RTDC4062\*4062*201711161* &gt;&gt; 2017-11-16-SliceDisagreementCheck.txt</v>
      </c>
      <c r="AE10" s="144" t="str">
        <f t="shared" si="9"/>
        <v>start /low /b %USERPROFILE%\Documents\GitHub\eaglep3\Utilities\DownloadLogsFromS3.py --loco 4062 --day 2017-11-16</v>
      </c>
      <c r="AF10" s="1"/>
    </row>
    <row r="11" spans="1:32" x14ac:dyDescent="0.25">
      <c r="A11" s="31">
        <v>43055.884571759256</v>
      </c>
      <c r="B11" s="30" t="s">
        <v>662</v>
      </c>
      <c r="C11" s="30" t="s">
        <v>671</v>
      </c>
      <c r="D11" s="30" t="s">
        <v>49</v>
      </c>
      <c r="E11" s="30" t="s">
        <v>183</v>
      </c>
      <c r="F11" s="42">
        <v>0</v>
      </c>
      <c r="G11" s="42">
        <v>414</v>
      </c>
      <c r="H11" s="42">
        <v>10697</v>
      </c>
      <c r="I11" s="42">
        <v>12172</v>
      </c>
      <c r="J11" s="30" t="s">
        <v>184</v>
      </c>
      <c r="K11" s="42">
        <v>10714</v>
      </c>
      <c r="L11" s="131" t="s">
        <v>50</v>
      </c>
      <c r="M11" s="132">
        <f t="shared" si="0"/>
        <v>-769.82399999999996</v>
      </c>
      <c r="N11" s="133" t="str">
        <f>VLOOKUP(C11,'Trips&amp;Operators'!$C$1:$G$99911,5,FALSE)</f>
        <v>RESPASS AARON</v>
      </c>
      <c r="O11" s="175" t="s">
        <v>178</v>
      </c>
      <c r="P11" s="134" t="s">
        <v>1104</v>
      </c>
      <c r="Q11" s="30"/>
      <c r="R11" s="81" t="str">
        <f>VLOOKUP(C11,'Train Runs'!$A$13:$AE$10150,31,0)</f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S11" s="84" t="str">
        <f>VLOOKUP(C11,'Train Runs'!$A$13:$AE$10150,22,0)</f>
        <v>https://d0f6bd738d7f1b3e5a7ca70fe4ff75f0.us-east-1.aws.found.io/app/kibana#/discover/Steve-Slow-Train-Analysis-(2080s-and-2083s)?_g=(refreshInterval:(display:Off,pause:!f,section:0,value:0),time:(from:'2017-11-16T19:59:14-0700',mode:absolute,to:'2017-11-16T22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1" s="86" t="str">
        <f t="shared" si="1"/>
        <v>"C:\Program Files (x86)\AstroGrep\AstroGrep.exe" /e /r /s /spath="%USERPROFILE%\AppData\Local\Temp\OnboardLogs" /stypes="*4042*201711170*" /stext=" 04:.+((SYSTEM_STATE.+slice.+state.+changed )|(ment ac)|(multiple cpu faults)|(system.+state.+changed )|(\[timeout)|(PRM\|1\|D)|(kpr)|(kdp)|(train st.+moving)|(\|lc)|(penalty))"</v>
      </c>
      <c r="U11" s="9" t="str">
        <f t="shared" si="2"/>
        <v>4042</v>
      </c>
      <c r="V11" s="31">
        <f t="shared" si="3"/>
        <v>43056.17623842592</v>
      </c>
      <c r="W11" s="45" t="str">
        <f t="shared" si="4"/>
        <v>NW</v>
      </c>
      <c r="X11" s="22">
        <f t="shared" si="5"/>
        <v>845</v>
      </c>
      <c r="Y11" s="96" t="str">
        <f t="shared" si="6"/>
        <v>echo {"issue":{"subject":"Early arrival","project_id":79,"tracker_id":40,"status_id":1,"priority_id":2,"assigned_to_id":338,"start_date":"2017-11-16","description":"","custom_fields":[{"id":1,"name":"Subdivision","value":"NW"},{"id":4,"name":"Milepost","value":"1.0714"},{"id":17,"name":"Train ID","value":"845-16"},{"id":16,"name":"Locomotive ID","value":"4042"},{"id":130,"name":"Impact","value":""},{"id":150,"name":"Time of Event (Mountain Time)","value":"21:13:47"},{"id":151,"name":"Denver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47"/>
      <c r="AB11" s="47"/>
      <c r="AC11" s="115" t="str">
        <f t="shared" si="7"/>
        <v>grep -hrE -A400 "Enforcement Action" /c/Users/stu/AppData/Local/Temp/OnboardLogs/RTDC4042 --include="*4042*201711170*"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"%USERPROFILE%\AppData\Local\Temp\OnboardLogs"\RTDC4042\*4042*201711170* &gt;&gt; 2017-11-16-SliceDisagreementCheck.txt</v>
      </c>
      <c r="AE11" s="144" t="str">
        <f t="shared" si="9"/>
        <v>start /low /b %USERPROFILE%\Documents\GitHub\eaglep3\Utilities\DownloadLogsFromS3.py --loco 4042 --day 2017-11-17</v>
      </c>
      <c r="AF11" s="1"/>
    </row>
    <row r="12" spans="1:32" x14ac:dyDescent="0.25">
      <c r="A12" s="31">
        <v>43055.743425925924</v>
      </c>
      <c r="B12" s="30" t="s">
        <v>370</v>
      </c>
      <c r="C12" s="30" t="s">
        <v>666</v>
      </c>
      <c r="D12" s="30" t="s">
        <v>95</v>
      </c>
      <c r="E12" s="30" t="s">
        <v>190</v>
      </c>
      <c r="F12" s="42">
        <v>400</v>
      </c>
      <c r="G12" s="42">
        <v>450</v>
      </c>
      <c r="H12" s="42">
        <v>43860</v>
      </c>
      <c r="I12" s="42">
        <v>45404</v>
      </c>
      <c r="J12" s="30" t="s">
        <v>191</v>
      </c>
      <c r="K12" s="42">
        <v>41797</v>
      </c>
      <c r="L12" s="131" t="s">
        <v>50</v>
      </c>
      <c r="M12" s="132">
        <f t="shared" si="0"/>
        <v>-1904.4960000000001</v>
      </c>
      <c r="N12" s="133" t="str">
        <f>VLOOKUP(C12,'Trips&amp;Operators'!$C$1:$G$99911,5,FALSE)</f>
        <v>RESPASS AARON</v>
      </c>
      <c r="O12" s="175" t="s">
        <v>178</v>
      </c>
      <c r="P12" s="134"/>
      <c r="Q12" s="30"/>
      <c r="R12" s="81" t="str">
        <f>VLOOKUP(C12,'Train Runs'!$A$13:$AE$10150,31,0)</f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S12" s="84" t="str">
        <f>VLOOKUP(C12,'Train Runs'!$A$13:$AE$10150,22,0)</f>
        <v>https://d0f6bd738d7f1b3e5a7ca70fe4ff75f0.us-east-1.aws.found.io/app/kibana#/discover/Steve-Slow-Train-Analysis-(2080s-and-2083s)?_g=(refreshInterval:(display:Off,pause:!f,section:0,value:0),time:(from:'2017-11-16T16:34:39-0700',mode:absolute,to:'2017-11-16T18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86" t="str">
        <f t="shared" si="1"/>
        <v>"C:\Program Files (x86)\AstroGrep\AstroGrep.exe" /e /r /s /spath="%USERPROFILE%\AppData\Local\Temp\OnboardLogs" /stypes="*4012*201711170*"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4012</v>
      </c>
      <c r="V12" s="31">
        <f t="shared" si="3"/>
        <v>43056.035092592589</v>
      </c>
      <c r="W12" s="45" t="str">
        <f t="shared" si="4"/>
        <v>NW</v>
      </c>
      <c r="X12" s="22">
        <f t="shared" si="5"/>
        <v>835</v>
      </c>
      <c r="Y12" s="96" t="str">
        <f t="shared" si="6"/>
        <v>echo {"issue":{"subject":"","project_id":79,"tracker_id":40,"status_id":1,"priority_id":2,"assigned_to_id":338,"start_date":"2017-11-16","description":"","custom_fields":[{"id":1,"name":"Subdivision","value":"NW"},{"id":4,"name":"Milepost","value":"4.1797"},{"id":17,"name":"Train ID","value":"835-16"},{"id":16,"name":"Locomotive ID","value":"4012"},{"id":130,"name":"Impact","value":""},{"id":150,"name":"Time of Event (Mountain Time)","value":"17:50:32"},{"id":151,"name":"Denver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47"/>
      <c r="AB12" s="47"/>
      <c r="AC12" s="115" t="str">
        <f t="shared" si="7"/>
        <v>grep -hrE -A400 "Enforcement Action" /c/Users/stu/AppData/Local/Temp/OnboardLogs/RTDC4012 --include="*4012*201711170*"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"%USERPROFILE%\AppData\Local\Temp\OnboardLogs"\RTDC4012\*4012*201711170* &gt;&gt; 2017-11-16-SliceDisagreementCheck.txt</v>
      </c>
      <c r="AE12" s="144" t="str">
        <f t="shared" si="9"/>
        <v>start /low /b %USERPROFILE%\Documents\GitHub\eaglep3\Utilities\DownloadLogsFromS3.py --loco 4012 --day 2017-11-17</v>
      </c>
      <c r="AF12" s="1"/>
    </row>
    <row r="13" spans="1:32" x14ac:dyDescent="0.25">
      <c r="A13" s="31">
        <v>43055.680787037039</v>
      </c>
      <c r="B13" s="30" t="s">
        <v>662</v>
      </c>
      <c r="C13" s="30" t="s">
        <v>663</v>
      </c>
      <c r="D13" s="30" t="s">
        <v>49</v>
      </c>
      <c r="E13" s="30" t="s">
        <v>190</v>
      </c>
      <c r="F13" s="42">
        <v>400</v>
      </c>
      <c r="G13" s="42">
        <v>467</v>
      </c>
      <c r="H13" s="42">
        <v>46802</v>
      </c>
      <c r="I13" s="42">
        <v>48293</v>
      </c>
      <c r="J13" s="30" t="s">
        <v>191</v>
      </c>
      <c r="K13" s="42">
        <v>47810</v>
      </c>
      <c r="L13" s="131" t="s">
        <v>50</v>
      </c>
      <c r="M13" s="132">
        <f t="shared" si="0"/>
        <v>-255.024</v>
      </c>
      <c r="N13" s="133" t="str">
        <f>VLOOKUP(C13,'Trips&amp;Operators'!$C$1:$G$99911,5,FALSE)</f>
        <v>ANDREA WILLIAMS</v>
      </c>
      <c r="O13" s="175" t="s">
        <v>178</v>
      </c>
      <c r="P13" s="134"/>
      <c r="Q13" s="30"/>
      <c r="R13" s="81" t="str">
        <f>VLOOKUP(C13,'Train Runs'!$A$13:$AE$10150,31,0)</f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S13" s="84" t="str">
        <f>VLOOKUP(C13,'Train Runs'!$A$13:$AE$10150,22,0)</f>
        <v>https://d0f6bd738d7f1b3e5a7ca70fe4ff75f0.us-east-1.aws.found.io/app/kibana#/discover/Steve-Slow-Train-Analysis-(2080s-and-2083s)?_g=(refreshInterval:(display:Off,pause:!f,section:0,value:0),time:(from:'2017-11-16T15:06:20-0700',mode:absolute,to:'2017-11-16T17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6" t="str">
        <f t="shared" si="1"/>
        <v>"C:\Program Files (x86)\AstroGrep\AstroGrep.exe" /e /r /s /spath="%USERPROFILE%\AppData\Local\Temp\OnboardLogs" /stypes="*4042*201711162*"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4042</v>
      </c>
      <c r="V13" s="31">
        <f t="shared" si="3"/>
        <v>43055.972453703704</v>
      </c>
      <c r="W13" s="45" t="str">
        <f t="shared" si="4"/>
        <v>NW</v>
      </c>
      <c r="X13" s="22">
        <f t="shared" si="5"/>
        <v>829</v>
      </c>
      <c r="Y13" s="96" t="str">
        <f t="shared" si="6"/>
        <v>echo {"issue":{"subject":"","project_id":79,"tracker_id":40,"status_id":1,"priority_id":2,"assigned_to_id":338,"start_date":"2017-11-16","description":"","custom_fields":[{"id":1,"name":"Subdivision","value":"NW"},{"id":4,"name":"Milepost","value":"4.781"},{"id":17,"name":"Train ID","value":"829-16"},{"id":16,"name":"Locomotive ID","value":"4042"},{"id":130,"name":"Impact","value":""},{"id":150,"name":"Time of Event (Mountain Time)","value":"16:20:20"},{"id":151,"name":"Denver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47"/>
      <c r="AB13" s="47"/>
      <c r="AC13" s="115" t="str">
        <f t="shared" si="7"/>
        <v>grep -hrE -A400 "Enforcement Action" /c/Users/stu/AppData/Local/Temp/OnboardLogs/RTDC4042 --include="*4042*201711162*"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"%USERPROFILE%\AppData\Local\Temp\OnboardLogs"\RTDC4042\*4042*201711162* &gt;&gt; 2017-11-16-SliceDisagreementCheck.txt</v>
      </c>
      <c r="AE13" s="144" t="str">
        <f t="shared" si="9"/>
        <v>start /low /b %USERPROFILE%\Documents\GitHub\eaglep3\Utilities\DownloadLogsFromS3.py --loco 4042 --day 2017-11-16</v>
      </c>
      <c r="AF13" s="1"/>
    </row>
    <row r="14" spans="1:32" x14ac:dyDescent="0.25">
      <c r="A14" s="31">
        <v>43055.846458333333</v>
      </c>
      <c r="B14" s="30" t="s">
        <v>662</v>
      </c>
      <c r="C14" s="30" t="s">
        <v>670</v>
      </c>
      <c r="D14" s="30" t="s">
        <v>49</v>
      </c>
      <c r="E14" s="30" t="s">
        <v>190</v>
      </c>
      <c r="F14" s="42">
        <v>400</v>
      </c>
      <c r="G14" s="42">
        <v>477</v>
      </c>
      <c r="H14" s="42">
        <v>46833</v>
      </c>
      <c r="I14" s="42">
        <v>48320</v>
      </c>
      <c r="J14" s="30" t="s">
        <v>191</v>
      </c>
      <c r="K14" s="42">
        <v>47810</v>
      </c>
      <c r="L14" s="131" t="s">
        <v>50</v>
      </c>
      <c r="M14" s="132">
        <f t="shared" si="0"/>
        <v>-269.27999999999997</v>
      </c>
      <c r="N14" s="133" t="str">
        <f>VLOOKUP(C14,'Trips&amp;Operators'!$C$1:$G$99911,5,FALSE)</f>
        <v>ANDREA WILLIAMS</v>
      </c>
      <c r="O14" s="175" t="s">
        <v>178</v>
      </c>
      <c r="P14" s="134"/>
      <c r="Q14" s="30"/>
      <c r="R14" s="81" t="str">
        <f>VLOOKUP(C14,'Train Runs'!$A$13:$AE$10150,31,0)</f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S14" s="84" t="str">
        <f>VLOOKUP(C14,'Train Runs'!$A$13:$AE$10150,22,0)</f>
        <v>https://d0f6bd738d7f1b3e5a7ca70fe4ff75f0.us-east-1.aws.found.io/app/kibana#/discover/Steve-Slow-Train-Analysis-(2080s-and-2083s)?_g=(refreshInterval:(display:Off,pause:!f,section:0,value:0),time:(from:'2017-11-16T19:02:48-0700',mode:absolute,to:'2017-11-16T21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4" s="86" t="str">
        <f t="shared" si="1"/>
        <v>"C:\Program Files (x86)\AstroGrep\AstroGrep.exe" /e /r /s /spath="%USERPROFILE%\AppData\Local\Temp\OnboardLogs" /stypes="*4042*201711170*" /stext=" 03:.+((SYSTEM_STATE.+slice.+state.+changed )|(ment ac)|(multiple cpu faults)|(system.+state.+changed )|(\[timeout)|(PRM\|1\|D)|(kpr)|(kdp)|(train st.+moving)|(\|lc)|(penalty))"</v>
      </c>
      <c r="U14" s="9" t="str">
        <f t="shared" si="2"/>
        <v>4042</v>
      </c>
      <c r="V14" s="31">
        <f t="shared" si="3"/>
        <v>43056.138124999998</v>
      </c>
      <c r="W14" s="45" t="str">
        <f t="shared" si="4"/>
        <v>NW</v>
      </c>
      <c r="X14" s="22">
        <f t="shared" si="5"/>
        <v>843</v>
      </c>
      <c r="Y14" s="96" t="str">
        <f t="shared" si="6"/>
        <v>echo {"issue":{"subject":"","project_id":79,"tracker_id":40,"status_id":1,"priority_id":2,"assigned_to_id":338,"start_date":"2017-11-16","description":"","custom_fields":[{"id":1,"name":"Subdivision","value":"NW"},{"id":4,"name":"Milepost","value":"4.781"},{"id":17,"name":"Train ID","value":"843-16"},{"id":16,"name":"Locomotive ID","value":"4042"},{"id":130,"name":"Impact","value":""},{"id":150,"name":"Time of Event (Mountain Time)","value":"20:18:54"},{"id":151,"name":"Denver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47"/>
      <c r="AB14" s="47"/>
      <c r="AC14" s="115" t="str">
        <f t="shared" si="7"/>
        <v>grep -hrE -A400 "Enforcement Action" /c/Users/stu/AppData/Local/Temp/OnboardLogs/RTDC4042 --include="*4042*201711170*"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"%USERPROFILE%\AppData\Local\Temp\OnboardLogs"\RTDC4042\*4042*201711170* &gt;&gt; 2017-11-16-SliceDisagreementCheck.txt</v>
      </c>
      <c r="AE14" s="144" t="str">
        <f t="shared" si="9"/>
        <v>start /low /b %USERPROFILE%\Documents\GitHub\eaglep3\Utilities\DownloadLogsFromS3.py --loco 4042 --day 2017-11-17</v>
      </c>
      <c r="AF14" s="1"/>
    </row>
    <row r="15" spans="1:32" x14ac:dyDescent="0.25">
      <c r="A15" s="31">
        <v>43055.948148148149</v>
      </c>
      <c r="B15" s="30" t="s">
        <v>658</v>
      </c>
      <c r="C15" s="30" t="s">
        <v>672</v>
      </c>
      <c r="D15" s="30" t="s">
        <v>95</v>
      </c>
      <c r="E15" s="30" t="s">
        <v>190</v>
      </c>
      <c r="F15" s="42">
        <v>400</v>
      </c>
      <c r="G15" s="42">
        <v>455</v>
      </c>
      <c r="H15" s="42">
        <v>48274</v>
      </c>
      <c r="I15" s="42">
        <v>46800</v>
      </c>
      <c r="J15" s="30" t="s">
        <v>191</v>
      </c>
      <c r="K15" s="42">
        <v>49775</v>
      </c>
      <c r="L15" s="131" t="s">
        <v>51</v>
      </c>
      <c r="M15" s="132">
        <f t="shared" si="0"/>
        <v>-1570.8</v>
      </c>
      <c r="N15" s="133" t="str">
        <f>VLOOKUP(C15,'Trips&amp;Operators'!$C$1:$G$99911,5,FALSE)</f>
        <v>RESPASS AARON</v>
      </c>
      <c r="O15" s="175" t="s">
        <v>178</v>
      </c>
      <c r="P15" s="134"/>
      <c r="Q15" s="30"/>
      <c r="R15" s="81" t="str">
        <f>VLOOKUP(C15,'Train Runs'!$A$13:$AE$10150,31,0)</f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S15" s="84" t="str">
        <f>VLOOKUP(C15,'Train Runs'!$A$13:$AE$10150,22,0)</f>
        <v>https://d0f6bd738d7f1b3e5a7ca70fe4ff75f0.us-east-1.aws.found.io/app/kibana#/discover/Steve-Slow-Train-Analysis-(2080s-and-2083s)?_g=(refreshInterval:(display:Off,pause:!f,section:0,value:0),time:(from:'2017-11-16T21:25:52-0700',mode:absolute,to:'2017-11-16T23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/stypes="*4041*201711170*" /stext=" 05:.+((SYSTEM_STATE.+slice.+state.+changed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43056.239814814813</v>
      </c>
      <c r="W15" s="45" t="str">
        <f t="shared" si="4"/>
        <v>NW</v>
      </c>
      <c r="X15" s="22">
        <f t="shared" si="5"/>
        <v>846</v>
      </c>
      <c r="Y15" s="96" t="str">
        <f t="shared" si="6"/>
        <v>echo {"issue":{"subject":"","project_id":79,"tracker_id":40,"status_id":1,"priority_id":2,"assigned_to_id":338,"start_date":"2017-11-16","description":"","custom_fields":[{"id":1,"name":"Subdivision","value":"NW"},{"id":4,"name":"Milepost","value":"4.9775"},{"id":17,"name":"Train ID","value":"846-16"},{"id":16,"name":"Locomotive ID","value":"4041"},{"id":130,"name":"Impact","value":""},{"id":150,"name":"Time of Event (Mountain Time)","value":"22:45:20"},{"id":151,"name":"Denver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47"/>
      <c r="AB15" s="47"/>
      <c r="AC15" s="115" t="str">
        <f t="shared" si="7"/>
        <v>grep -hrE -A400 "Enforcement Action" /c/Users/stu/AppData/Local/Temp/OnboardLogs/RTDC4041 --include="*4041*201711170*"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"%USERPROFILE%\AppData\Local\Temp\OnboardLogs"\RTDC4041\*4041*201711170* &gt;&gt; 2017-11-16-SliceDisagreementCheck.txt</v>
      </c>
      <c r="AE15" s="144" t="str">
        <f t="shared" si="9"/>
        <v>start /low /b %USERPROFILE%\Documents\GitHub\eaglep3\Utilities\DownloadLogsFromS3.py --loco 4041 --day 2017-11-17</v>
      </c>
      <c r="AF15" s="1"/>
    </row>
    <row r="16" spans="1:32" x14ac:dyDescent="0.25">
      <c r="A16" s="31">
        <v>43055.673622685186</v>
      </c>
      <c r="B16" s="30" t="s">
        <v>662</v>
      </c>
      <c r="C16" s="30" t="s">
        <v>663</v>
      </c>
      <c r="D16" s="30" t="s">
        <v>95</v>
      </c>
      <c r="E16" s="30" t="s">
        <v>354</v>
      </c>
      <c r="F16" s="42">
        <v>0</v>
      </c>
      <c r="G16" s="42">
        <v>61</v>
      </c>
      <c r="H16" s="42">
        <v>1771</v>
      </c>
      <c r="I16" s="42">
        <v>1844</v>
      </c>
      <c r="J16" s="30" t="s">
        <v>355</v>
      </c>
      <c r="K16" s="42">
        <v>1725</v>
      </c>
      <c r="L16" s="131" t="s">
        <v>50</v>
      </c>
      <c r="M16" s="132">
        <f t="shared" si="0"/>
        <v>-62.832000000000001</v>
      </c>
      <c r="N16" s="133" t="str">
        <f>VLOOKUP(C16,'Trips&amp;Operators'!$C$1:$G$99911,5,FALSE)</f>
        <v>ANDREA WILLIAMS</v>
      </c>
      <c r="O16" s="175" t="s">
        <v>348</v>
      </c>
      <c r="P16" s="134" t="s">
        <v>1101</v>
      </c>
      <c r="Q16" s="30"/>
      <c r="R16" s="81" t="str">
        <f>VLOOKUP(C16,'Train Runs'!$A$13:$AE$10150,31,0)</f>
        <v>aws s3 cp s3://rtdc.mdm.uploadarchive.raw/RTDC4042/ "%USERPROFILE%\AppData\Local\Temp\OnboardLogs"\RTDC4042\2017-11-16 --exclude "*" --recursive --include "*20171116*" &amp; "%USERPROFILE%\Documents\GitHub\mrs-test-scripts\Headless Mode &amp; Sideloading\WalkAndUnGZ.bat" "%USERPROFILE%\AppData\Local\Temp\OnboardLogs"\RTDC4042\2017-11-16 &amp; 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</v>
      </c>
      <c r="S16" s="84" t="str">
        <f>VLOOKUP(C16,'Train Runs'!$A$13:$AE$10150,22,0)</f>
        <v>https://d0f6bd738d7f1b3e5a7ca70fe4ff75f0.us-east-1.aws.found.io/app/kibana#/discover/Steve-Slow-Train-Analysis-(2080s-and-2083s)?_g=(refreshInterval:(display:Off,pause:!f,section:0,value:0),time:(from:'2017-11-16T15:06:20-0700',mode:absolute,to:'2017-11-16T17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6" s="86" t="str">
        <f t="shared" si="1"/>
        <v>"C:\Program Files (x86)\AstroGrep\AstroGrep.exe" /e /r /s /spath="%USERPROFILE%\AppData\Local\Temp\OnboardLogs" /stypes="*4042*201711162*"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4042</v>
      </c>
      <c r="V16" s="31">
        <f t="shared" si="3"/>
        <v>43055.965289351851</v>
      </c>
      <c r="W16" s="45" t="str">
        <f t="shared" si="4"/>
        <v>NW</v>
      </c>
      <c r="X16" s="22">
        <f t="shared" si="5"/>
        <v>829</v>
      </c>
      <c r="Y16" s="96" t="str">
        <f t="shared" si="6"/>
        <v>echo {"issue":{"subject":"Poor GPS at DUS","project_id":79,"tracker_id":40,"status_id":1,"priority_id":2,"assigned_to_id":338,"start_date":"2017-11-16","description":"","custom_fields":[{"id":1,"name":"Subdivision","value":"NW"},{"id":4,"name":"Milepost","value":"0.1725"},{"id":17,"name":"Train ID","value":"829-16"},{"id":16,"name":"Locomotive ID","value":"4042"},{"id":130,"name":"Impact","value":""},{"id":150,"name":"Time of Event (Mountain Time)","value":"16:10:01"},{"id":151,"name":"Denver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47"/>
      <c r="AB16" s="47"/>
      <c r="AC16" s="115" t="str">
        <f t="shared" si="7"/>
        <v>grep -hrE -A400 "Enforcement Action" /c/Users/stu/AppData/Local/Temp/OnboardLogs/RTDC4042 --include="*4042*201711162*"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"%USERPROFILE%\AppData\Local\Temp\OnboardLogs"\RTDC4042\*4042*201711162* &gt;&gt; 2017-11-16-SliceDisagreementCheck.txt</v>
      </c>
      <c r="AE16" s="144" t="str">
        <f t="shared" si="9"/>
        <v>start /low /b %USERPROFILE%\Documents\GitHub\eaglep3\Utilities\DownloadLogsFromS3.py --loco 4042 --day 2017-11-16</v>
      </c>
      <c r="AF16" s="1"/>
    </row>
    <row r="17" spans="1:32" x14ac:dyDescent="0.25">
      <c r="A17" s="31">
        <v>43055.324305555558</v>
      </c>
      <c r="B17" s="30" t="s">
        <v>370</v>
      </c>
      <c r="C17" s="30" t="s">
        <v>655</v>
      </c>
      <c r="D17" s="30" t="s">
        <v>49</v>
      </c>
      <c r="E17" s="30" t="s">
        <v>354</v>
      </c>
      <c r="F17" s="42">
        <v>0</v>
      </c>
      <c r="G17" s="42">
        <v>271</v>
      </c>
      <c r="H17" s="42">
        <v>32941</v>
      </c>
      <c r="I17" s="42">
        <v>33610</v>
      </c>
      <c r="J17" s="30" t="s">
        <v>355</v>
      </c>
      <c r="K17" s="42">
        <v>34583</v>
      </c>
      <c r="L17" s="131" t="s">
        <v>50</v>
      </c>
      <c r="M17" s="132">
        <f t="shared" si="0"/>
        <v>513.74400000000003</v>
      </c>
      <c r="N17" s="133" t="str">
        <f>VLOOKUP(C17,'Trips&amp;Operators'!$C$1:$G$99911,5,FALSE)</f>
        <v>STRICKLAND EVAN</v>
      </c>
      <c r="O17" s="175" t="s">
        <v>178</v>
      </c>
      <c r="P17" s="134" t="s">
        <v>1105</v>
      </c>
      <c r="Q17" s="30"/>
      <c r="R17" s="81" t="str">
        <f>VLOOKUP(C17,'Train Runs'!$A$13:$AE$10150,31,0)</f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S17" s="84" t="str">
        <f>VLOOKUP(C17,'Train Runs'!$A$13:$AE$10150,22,0)</f>
        <v>https://d0f6bd738d7f1b3e5a7ca70fe4ff75f0.us-east-1.aws.found.io/app/kibana#/discover/Steve-Slow-Train-Analysis-(2080s-and-2083s)?_g=(refreshInterval:(display:Off,pause:!f,section:0,value:0),time:(from:'2017-11-16T06:28:41-0700',mode:absolute,to:'2017-11-16T08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86" t="str">
        <f t="shared" si="1"/>
        <v>"C:\Program Files (x86)\AstroGrep\AstroGrep.exe" /e /r /s /spath="%USERPROFILE%\AppData\Local\Temp\OnboardLogs" /stypes="*4012*201711161*"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4012</v>
      </c>
      <c r="V17" s="31">
        <f t="shared" si="3"/>
        <v>43055.615972222222</v>
      </c>
      <c r="W17" s="45" t="str">
        <f t="shared" si="4"/>
        <v>NW</v>
      </c>
      <c r="X17" s="22">
        <f t="shared" si="5"/>
        <v>809</v>
      </c>
      <c r="Y17" s="96" t="str">
        <f t="shared" si="6"/>
        <v>echo {"issue":{"subject":"RESTRICTING aspect","project_id":79,"tracker_id":40,"status_id":1,"priority_id":2,"assigned_to_id":338,"start_date":"2017-11-16","description":"","custom_fields":[{"id":1,"name":"Subdivision","value":"NW"},{"id":4,"name":"Milepost","value":"3.4583"},{"id":17,"name":"Train ID","value":"809-16"},{"id":16,"name":"Locomotive ID","value":"4012"},{"id":130,"name":"Impact","value":""},{"id":150,"name":"Time of Event (Mountain Time)","value":"07:47:00"},{"id":151,"name":"Denver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47"/>
      <c r="AB17" s="47"/>
      <c r="AC17" s="115" t="str">
        <f t="shared" si="7"/>
        <v>grep -hrE -A400 "Enforcement Action" /c/Users/stu/AppData/Local/Temp/OnboardLogs/RTDC4012 --include="*4012*201711161*"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"%USERPROFILE%\AppData\Local\Temp\OnboardLogs"\RTDC4012\*4012*201711161* &gt;&gt; 2017-11-16-SliceDisagreementCheck.txt</v>
      </c>
      <c r="AE17" s="144" t="str">
        <f t="shared" si="9"/>
        <v>start /low /b %USERPROFILE%\Documents\GitHub\eaglep3\Utilities\DownloadLogsFromS3.py --loco 4012 --day 2017-11-16</v>
      </c>
      <c r="AF17" s="1"/>
    </row>
    <row r="18" spans="1:32" x14ac:dyDescent="0.25">
      <c r="A18" s="31">
        <v>43055.688750000001</v>
      </c>
      <c r="B18" s="30" t="s">
        <v>658</v>
      </c>
      <c r="C18" s="30" t="s">
        <v>664</v>
      </c>
      <c r="D18" s="30" t="s">
        <v>95</v>
      </c>
      <c r="E18" s="30" t="s">
        <v>354</v>
      </c>
      <c r="F18" s="42">
        <v>0</v>
      </c>
      <c r="G18" s="42">
        <v>37</v>
      </c>
      <c r="H18" s="42">
        <v>58446</v>
      </c>
      <c r="I18" s="42">
        <v>58437</v>
      </c>
      <c r="J18" s="30" t="s">
        <v>355</v>
      </c>
      <c r="K18" s="42">
        <v>58472</v>
      </c>
      <c r="L18" s="131" t="s">
        <v>51</v>
      </c>
      <c r="M18" s="132">
        <f t="shared" si="0"/>
        <v>-18.48</v>
      </c>
      <c r="N18" s="133" t="str">
        <f>VLOOKUP(C18,'Trips&amp;Operators'!$C$1:$G$99911,5,FALSE)</f>
        <v>ANDREA WILLIAMS</v>
      </c>
      <c r="O18" s="175" t="s">
        <v>178</v>
      </c>
      <c r="P18" s="134" t="s">
        <v>650</v>
      </c>
      <c r="Q18" s="30"/>
      <c r="R18" s="81" t="str">
        <f>VLOOKUP(C18,'Train Runs'!$A$13:$AE$10150,31,0)</f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S18" s="84" t="str">
        <f>VLOOKUP(C18,'Train Runs'!$A$13:$AE$10150,22,0)</f>
        <v>https://d0f6bd738d7f1b3e5a7ca70fe4ff75f0.us-east-1.aws.found.io/app/kibana#/discover/Steve-Slow-Train-Analysis-(2080s-and-2083s)?_g=(refreshInterval:(display:Off,pause:!f,section:0,value:0),time:(from:'2017-11-16T15:29:48-0700',mode:absolute,to:'2017-11-16T17:59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/stypes="*4041*201711162*"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43055.980416666665</v>
      </c>
      <c r="W18" s="45" t="str">
        <f t="shared" si="4"/>
        <v>NW</v>
      </c>
      <c r="X18" s="22">
        <f t="shared" si="5"/>
        <v>830</v>
      </c>
      <c r="Y18" s="96" t="str">
        <f t="shared" si="6"/>
        <v>echo {"issue":{"subject":"Selected wrong track","project_id":79,"tracker_id":40,"status_id":1,"priority_id":2,"assigned_to_id":338,"start_date":"2017-11-16","description":"","custom_fields":[{"id":1,"name":"Subdivision","value":"NW"},{"id":4,"name":"Milepost","value":"5.8472"},{"id":17,"name":"Train ID","value":"830-16"},{"id":16,"name":"Locomotive ID","value":"4041"},{"id":130,"name":"Impact","value":""},{"id":150,"name":"Time of Event (Mountain Time)","value":"16:31:48"},{"id":151,"name":"Denver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47"/>
      <c r="AB18" s="47"/>
      <c r="AC18" s="115" t="str">
        <f t="shared" si="7"/>
        <v>grep -hrE -A400 "Enforcement Action" /c/Users/stu/AppData/Local/Temp/OnboardLogs/RTDC4041 --include="*4041*201711162*"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"%USERPROFILE%\AppData\Local\Temp\OnboardLogs"\RTDC4041\*4041*201711162* &gt;&gt; 2017-11-16-SliceDisagreementCheck.txt</v>
      </c>
      <c r="AE18" s="144" t="str">
        <f t="shared" si="9"/>
        <v>start /low /b %USERPROFILE%\Documents\GitHub\eaglep3\Utilities\DownloadLogsFromS3.py --loco 4041 --day 2017-11-16</v>
      </c>
      <c r="AF18" s="1"/>
    </row>
    <row r="19" spans="1:32" x14ac:dyDescent="0.25">
      <c r="A19" s="31">
        <v>43055.492349537039</v>
      </c>
      <c r="B19" s="30" t="s">
        <v>658</v>
      </c>
      <c r="C19" s="30" t="s">
        <v>659</v>
      </c>
      <c r="D19" s="30" t="s">
        <v>95</v>
      </c>
      <c r="E19" s="30" t="s">
        <v>461</v>
      </c>
      <c r="F19" s="42">
        <v>0</v>
      </c>
      <c r="G19" s="42">
        <v>309</v>
      </c>
      <c r="H19" s="42">
        <v>22593</v>
      </c>
      <c r="I19" s="42">
        <v>21788</v>
      </c>
      <c r="J19" s="30" t="s">
        <v>462</v>
      </c>
      <c r="K19" s="42">
        <v>24193</v>
      </c>
      <c r="L19" s="131" t="s">
        <v>51</v>
      </c>
      <c r="M19" s="132">
        <f t="shared" si="0"/>
        <v>-1269.8399999999999</v>
      </c>
      <c r="N19" s="133" t="str">
        <f>VLOOKUP(C19,'Trips&amp;Operators'!$C$1:$G$99911,5,FALSE)</f>
        <v>FORTUNATO FRANK</v>
      </c>
      <c r="O19" s="175" t="s">
        <v>348</v>
      </c>
      <c r="P19" s="134" t="s">
        <v>538</v>
      </c>
      <c r="Q19" s="30"/>
      <c r="R19" s="81" t="str">
        <f>VLOOKUP(C19,'Train Runs'!$A$13:$AE$10150,31,0)</f>
        <v>aws s3 cp s3://rtdc.mdm.uploadarchive.raw/RTDC4041/ "%USERPROFILE%\AppData\Local\Temp\OnboardLogs"\RTDC4041\2017-11-16 --exclude "*" --recursive --include "*20171116*" &amp; "%USERPROFILE%\Documents\GitHub\mrs-test-scripts\Headless Mode &amp; Sideloading\WalkAndUnGZ.bat" "%USERPROFILE%\AppData\Local\Temp\OnboardLogs"\RTDC4041\2017-11-16 &amp; 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</v>
      </c>
      <c r="S19" s="84" t="str">
        <f>VLOOKUP(C19,'Train Runs'!$A$13:$AE$10150,22,0)</f>
        <v>https://d0f6bd738d7f1b3e5a7ca70fe4ff75f0.us-east-1.aws.found.io/app/kibana#/discover/Steve-Slow-Train-Analysis-(2080s-and-2083s)?_g=(refreshInterval:(display:Off,pause:!f,section:0,value:0),time:(from:'2017-11-16T10:26:46-0700',mode:absolute,to:'2017-11-16T12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6" t="str">
        <f t="shared" si="1"/>
        <v>"C:\Program Files (x86)\AstroGrep\AstroGrep.exe" /e /r /s /spath="%USERPROFILE%\AppData\Local\Temp\OnboardLogs" /stypes="*4041*201711161*"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43055.784016203703</v>
      </c>
      <c r="W19" s="45" t="str">
        <f t="shared" si="4"/>
        <v>NW</v>
      </c>
      <c r="X19" s="22">
        <f t="shared" si="5"/>
        <v>818</v>
      </c>
      <c r="Y19" s="96" t="str">
        <f t="shared" si="6"/>
        <v>echo {"issue":{"subject":"Wi-MAX data drop","project_id":79,"tracker_id":40,"status_id":1,"priority_id":2,"assigned_to_id":338,"start_date":"2017-11-16","description":"","custom_fields":[{"id":1,"name":"Subdivision","value":"NW"},{"id":4,"name":"Milepost","value":"2.4193"},{"id":17,"name":"Train ID","value":"818-16"},{"id":16,"name":"Locomotive ID","value":"4041"},{"id":130,"name":"Impact","value":""},{"id":150,"name":"Time of Event (Mountain Time)","value":"11:48:59"},{"id":151,"name":"Denver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47"/>
      <c r="AB19" s="47"/>
      <c r="AC19" s="115" t="str">
        <f t="shared" si="7"/>
        <v>grep -hrE -A400 "Enforcement Action" /c/Users/stu/AppData/Local/Temp/OnboardLogs/RTDC4041 --include="*4041*201711161*"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"%USERPROFILE%\AppData\Local\Temp\OnboardLogs"\RTDC4041\*4041*201711161* &gt;&gt; 2017-11-16-SliceDisagreementCheck.txt</v>
      </c>
      <c r="AE19" s="144" t="str">
        <f t="shared" si="9"/>
        <v>start /low /b %USERPROFILE%\Documents\GitHub\eaglep3\Utilities\DownloadLogsFromS3.py --loco 4041 --day 2017-11-16</v>
      </c>
      <c r="AF19" s="1"/>
    </row>
    <row r="20" spans="1:32" x14ac:dyDescent="0.25">
      <c r="A20" s="31">
        <v>43055.227986111109</v>
      </c>
      <c r="B20" s="30" t="s">
        <v>371</v>
      </c>
      <c r="C20" s="30" t="s">
        <v>651</v>
      </c>
      <c r="D20" s="30" t="s">
        <v>95</v>
      </c>
      <c r="E20" s="30" t="s">
        <v>652</v>
      </c>
      <c r="F20" s="42">
        <v>100</v>
      </c>
      <c r="G20" s="42">
        <v>155</v>
      </c>
      <c r="H20" s="42">
        <v>3711</v>
      </c>
      <c r="I20" s="42">
        <v>3354</v>
      </c>
      <c r="J20" s="30" t="s">
        <v>184</v>
      </c>
      <c r="K20" s="42">
        <v>4701</v>
      </c>
      <c r="L20" s="131" t="s">
        <v>51</v>
      </c>
      <c r="M20" s="132">
        <f t="shared" si="0"/>
        <v>-711.21599999999989</v>
      </c>
      <c r="N20" s="133" t="str">
        <f>VLOOKUP(C20,'Trips&amp;Operators'!$C$1:$G$99911,5,FALSE)</f>
        <v>STRICKLAND EVAN</v>
      </c>
      <c r="O20" s="175" t="s">
        <v>178</v>
      </c>
      <c r="P20" s="134"/>
      <c r="Q20" s="30"/>
      <c r="R20" s="81" t="str">
        <f>VLOOKUP(C20,'Train Runs'!$A$13:$AE$10150,31,0)</f>
        <v>aws s3 cp s3://rtdc.mdm.uploadarchive.raw/RTDC4011/ "%USERPROFILE%\AppData\Local\Temp\OnboardLogs"\RTDC4011\2017-11-16 --exclude "*" --recursive --include "*20171116*" &amp; "%USERPROFILE%\Documents\GitHub\mrs-test-scripts\Headless Mode &amp; Sideloading\WalkAndUnGZ.bat" "%USERPROFILE%\AppData\Local\Temp\OnboardLogs"\RTDC4011\2017-11-16 &amp; aws s3 cp s3://rtdc.mdm.uploadarchive.raw/RTDC4011/ "%USERPROFILE%\AppData\Local\Temp\OnboardLogs"\RTDC4011\2017-11-17 --exclude "*" --recursive --include "*20171117*" &amp; "%USERPROFILE%\Documents\GitHub\mrs-test-scripts\Headless Mode &amp; Sideloading\WalkAndUnGZ.bat" "%USERPROFILE%\AppData\Local\Temp\OnboardLogs"\RTDC4011\2017-11-17</v>
      </c>
      <c r="S20" s="84" t="str">
        <f>VLOOKUP(C20,'Train Runs'!$A$13:$AE$10150,22,0)</f>
        <v>https://d0f6bd738d7f1b3e5a7ca70fe4ff75f0.us-east-1.aws.found.io/app/kibana#/discover/Steve-Slow-Train-Analysis-(2080s-and-2083s)?_g=(refreshInterval:(display:Off,pause:!f,section:0,value:0),time:(from:'2017-11-16T04:13:07-0700',mode:absolute,to:'2017-11-16T06:29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86" t="str">
        <f t="shared" si="1"/>
        <v>"C:\Program Files (x86)\AstroGrep\AstroGrep.exe" /e /r /s /spath="%USERPROFILE%\AppData\Local\Temp\OnboardLogs" /stypes="*4011*201711161*"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4011</v>
      </c>
      <c r="V20" s="31">
        <f t="shared" si="3"/>
        <v>43055.519652777773</v>
      </c>
      <c r="W20" s="45" t="str">
        <f t="shared" si="4"/>
        <v>NW</v>
      </c>
      <c r="X20" s="22">
        <f t="shared" si="5"/>
        <v>800</v>
      </c>
      <c r="Y20" s="96" t="str">
        <f t="shared" si="6"/>
        <v>echo {"issue":{"subject":"","project_id":79,"tracker_id":40,"status_id":1,"priority_id":2,"assigned_to_id":338,"start_date":"2017-11-16","description":"","custom_fields":[{"id":1,"name":"Subdivision","value":"NW"},{"id":4,"name":"Milepost","value":"0.4701"},{"id":17,"name":"Train ID","value":"800-16"},{"id":16,"name":"Locomotive ID","value":"4011"},{"id":130,"name":"Impact","value":""},{"id":150,"name":"Time of Event (Mountain Time)","value":"05:28:18"},{"id":151,"name":"Denver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47"/>
      <c r="AB20" s="47"/>
      <c r="AC20" s="115" t="str">
        <f t="shared" si="7"/>
        <v>grep -hrE -A400 "Enforcement Action" /c/Users/stu/AppData/Local/Temp/OnboardLogs/RTDC4011 --include="*4011*201711161*"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"%USERPROFILE%\AppData\Local\Temp\OnboardLogs"\RTDC4011\*4011*201711161* &gt;&gt; 2017-11-16-SliceDisagreementCheck.txt</v>
      </c>
      <c r="AE20" s="144" t="str">
        <f t="shared" si="9"/>
        <v>start /low /b %USERPROFILE%\Documents\GitHub\eaglep3\Utilities\DownloadLogsFromS3.py --loco 4011 --day 2017-11-16</v>
      </c>
      <c r="AF20" s="1"/>
    </row>
    <row r="21" spans="1:32" x14ac:dyDescent="0.25">
      <c r="A21" s="31">
        <v>43055.787523148145</v>
      </c>
      <c r="B21" s="30" t="s">
        <v>370</v>
      </c>
      <c r="C21" s="30" t="s">
        <v>669</v>
      </c>
      <c r="D21" s="30" t="s">
        <v>49</v>
      </c>
      <c r="E21" s="30" t="s">
        <v>573</v>
      </c>
      <c r="F21" s="42">
        <v>0</v>
      </c>
      <c r="G21" s="42">
        <v>112</v>
      </c>
      <c r="H21" s="42">
        <v>58585</v>
      </c>
      <c r="I21" s="42">
        <v>58717</v>
      </c>
      <c r="J21" s="30" t="s">
        <v>574</v>
      </c>
      <c r="K21" s="42">
        <v>59058</v>
      </c>
      <c r="L21" s="131" t="s">
        <v>50</v>
      </c>
      <c r="M21" s="132">
        <f t="shared" si="0"/>
        <v>180.048</v>
      </c>
      <c r="N21" s="133" t="str">
        <f>VLOOKUP(C21,'Trips&amp;Operators'!$C$1:$G$99911,5,FALSE)</f>
        <v>RESPASS AARON</v>
      </c>
      <c r="O21" s="175" t="s">
        <v>178</v>
      </c>
      <c r="P21" s="134"/>
      <c r="Q21" s="30"/>
      <c r="R21" s="81" t="str">
        <f>VLOOKUP(C21,'Train Runs'!$A$13:$AE$10150,31,0)</f>
        <v>aws s3 cp s3://rtdc.mdm.uploadarchive.raw/RTDC4012/ "%USERPROFILE%\AppData\Local\Temp\OnboardLogs"\RTDC4012\2017-11-16 --exclude "*" --recursive --include "*20171116*" &amp; "%USERPROFILE%\Documents\GitHub\mrs-test-scripts\Headless Mode &amp; Sideloading\WalkAndUnGZ.bat" "%USERPROFILE%\AppData\Local\Temp\OnboardLogs"\RTDC4012\2017-11-16 &amp; aws s3 cp s3://rtdc.mdm.uploadarchive.raw/RTDC4012/ "%USERPROFILE%\AppData\Local\Temp\OnboardLogs"\RTDC4012\2017-11-17 --exclude "*" --recursive --include "*20171117*" &amp; "%USERPROFILE%\Documents\GitHub\mrs-test-scripts\Headless Mode &amp; Sideloading\WalkAndUnGZ.bat" "%USERPROFILE%\AppData\Local\Temp\OnboardLogs"\RTDC4012\2017-11-17</v>
      </c>
      <c r="S21" s="84" t="str">
        <f>VLOOKUP(C21,'Train Runs'!$A$13:$AE$10150,22,0)</f>
        <v>https://d0f6bd738d7f1b3e5a7ca70fe4ff75f0.us-east-1.aws.found.io/app/kibana#/discover/Steve-Slow-Train-Analysis-(2080s-and-2083s)?_g=(refreshInterval:(display:Off,pause:!f,section:0,value:0),time:(from:'2017-11-16T17:36:26-0700',mode:absolute,to:'2017-11-16T19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6" t="str">
        <f t="shared" si="1"/>
        <v>"C:\Program Files (x86)\AstroGrep\AstroGrep.exe" /e /r /s /spath="%USERPROFILE%\AppData\Local\Temp\OnboardLogs" /stypes="*4012*201711170*"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4012</v>
      </c>
      <c r="V21" s="31">
        <f t="shared" si="3"/>
        <v>43056.079189814809</v>
      </c>
      <c r="W21" s="45" t="str">
        <f t="shared" si="4"/>
        <v>NW</v>
      </c>
      <c r="X21" s="22">
        <f t="shared" si="5"/>
        <v>839</v>
      </c>
      <c r="Y21" s="96" t="str">
        <f t="shared" si="6"/>
        <v>echo {"issue":{"subject":"","project_id":79,"tracker_id":40,"status_id":1,"priority_id":2,"assigned_to_id":338,"start_date":"2017-11-16","description":"","custom_fields":[{"id":1,"name":"Subdivision","value":"NW"},{"id":4,"name":"Milepost","value":"5.9058"},{"id":17,"name":"Train ID","value":"839-16"},{"id":16,"name":"Locomotive ID","value":"4012"},{"id":130,"name":"Impact","value":""},{"id":150,"name":"Time of Event (Mountain Time)","value":"18:54:02"},{"id":151,"name":"Denver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47"/>
      <c r="AB21" s="47"/>
      <c r="AC21" s="115" t="str">
        <f t="shared" si="7"/>
        <v>grep -hrE -A400 "Enforcement Action" /c/Users/stu/AppData/Local/Temp/OnboardLogs/RTDC4012 --include="*4012*201711170*"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"%USERPROFILE%\AppData\Local\Temp\OnboardLogs"\RTDC4012\*4012*201711170* &gt;&gt; 2017-11-16-SliceDisagreementCheck.txt</v>
      </c>
      <c r="AE21" s="144" t="str">
        <f t="shared" si="9"/>
        <v>start /low /b %USERPROFILE%\Documents\GitHub\eaglep3\Utilities\DownloadLogsFromS3.py --loco 4012 --day 2017-11-17</v>
      </c>
      <c r="AF21" s="1"/>
    </row>
  </sheetData>
  <autoFilter ref="A6:AC13">
    <sortState ref="A7:AC21">
      <sortCondition ref="W7:W21"/>
      <sortCondition ref="E7:E21"/>
      <sortCondition ref="K7:K21"/>
      <sortCondition ref="F7:F21"/>
    </sortState>
  </autoFilter>
  <sortState ref="A7:AE12">
    <sortCondition ref="W7:W12"/>
    <sortCondition ref="E7:E12"/>
    <sortCondition ref="K7:K12"/>
    <sortCondition ref="C7:C12"/>
    <sortCondition ref="F7:F12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1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26" t="str">
        <f>"Trips that did not appear in PTC Data "&amp;TEXT(Variables!$A$2,"YYYY-mm-dd")</f>
        <v>Trips that did not appear in PTC Data 2017-11-16</v>
      </c>
      <c r="C1" s="226"/>
      <c r="D1" s="226"/>
      <c r="E1" s="226"/>
      <c r="F1" s="226"/>
      <c r="I1" s="188"/>
    </row>
    <row r="2" spans="1:10" s="23" customFormat="1" ht="45" x14ac:dyDescent="0.25">
      <c r="A2" s="223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-16</v>
      </c>
      <c r="C3" s="135"/>
      <c r="D3" s="224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Runs'!$A$13:$A$100147,1,FALSE)</f>
        <v>#N/A</v>
      </c>
    </row>
    <row r="4" spans="1:10" x14ac:dyDescent="0.25">
      <c r="A4" s="197"/>
      <c r="B4" s="42" t="str">
        <f>A4&amp;"-"&amp;IF(DAY(Variables!$A$2)&lt;10,0,"")&amp;DAY(Variables!$A$2)</f>
        <v>-16</v>
      </c>
      <c r="C4" s="135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Runs'!$A$13:$A$100147,1,FALSE)</f>
        <v>#N/A</v>
      </c>
    </row>
    <row r="5" spans="1:10" x14ac:dyDescent="0.25">
      <c r="A5" s="197"/>
      <c r="B5" s="42" t="str">
        <f>A5&amp;"-"&amp;IF(DAY(Variables!$A$2)&lt;10,0,"")&amp;DAY(Variables!$A$2)</f>
        <v>-16</v>
      </c>
      <c r="C5" s="135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Runs'!$A$13:$A$100147,1,FALSE)</f>
        <v>#N/A</v>
      </c>
    </row>
    <row r="6" spans="1:10" x14ac:dyDescent="0.25">
      <c r="A6" s="197"/>
      <c r="B6" s="42" t="str">
        <f>A6&amp;"-"&amp;IF(DAY(Variables!$A$2)&lt;10,0,"")&amp;DAY(Variables!$A$2)</f>
        <v>-16</v>
      </c>
      <c r="C6" s="135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Runs'!$A$13:$A$100147,1,FALSE)</f>
        <v>#N/A</v>
      </c>
    </row>
    <row r="7" spans="1:10" x14ac:dyDescent="0.25">
      <c r="A7" s="197"/>
      <c r="B7" s="42" t="str">
        <f>A7&amp;"-"&amp;IF(DAY(Variables!$A$2)&lt;10,0,"")&amp;DAY(Variables!$A$2)</f>
        <v>-16</v>
      </c>
      <c r="C7" s="135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Runs'!$A$13:$A$100147,1,FALSE)</f>
        <v>#N/A</v>
      </c>
    </row>
    <row r="8" spans="1:10" x14ac:dyDescent="0.25">
      <c r="A8" s="197"/>
      <c r="B8" s="42" t="str">
        <f>A8&amp;"-"&amp;IF(DAY(Variables!$A$2)&lt;10,0,"")&amp;DAY(Variables!$A$2)</f>
        <v>-16</v>
      </c>
      <c r="C8" s="135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Runs'!$A$13:$A$100147,1,FALSE)</f>
        <v>#N/A</v>
      </c>
    </row>
    <row r="9" spans="1:10" x14ac:dyDescent="0.25">
      <c r="A9" s="197"/>
      <c r="B9" s="42" t="str">
        <f>A9&amp;"-"&amp;IF(DAY(Variables!$A$2)&lt;10,0,"")&amp;DAY(Variables!$A$2)</f>
        <v>-16</v>
      </c>
      <c r="C9" s="135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Runs'!$A$13:$A$100147,1,FALSE)</f>
        <v>#N/A</v>
      </c>
    </row>
    <row r="10" spans="1:10" x14ac:dyDescent="0.25">
      <c r="A10" s="197"/>
      <c r="B10" s="42" t="str">
        <f>A10&amp;"-"&amp;IF(DAY(Variables!$A$2)&lt;10,0,"")&amp;DAY(Variables!$A$2)</f>
        <v>-16</v>
      </c>
      <c r="C10" s="135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Runs'!$A$13:$A$100147,1,FALSE)</f>
        <v>#N/A</v>
      </c>
    </row>
    <row r="11" spans="1:10" x14ac:dyDescent="0.25">
      <c r="A11" s="197"/>
      <c r="B11" s="42" t="str">
        <f>A11&amp;"-"&amp;IF(DAY(Variables!$A$2)&lt;10,0,"")&amp;DAY(Variables!$A$2)</f>
        <v>-16</v>
      </c>
      <c r="C11" s="135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Runs'!$A$13:$A$100147,1,FALSE)</f>
        <v>#N/A</v>
      </c>
    </row>
    <row r="12" spans="1:10" x14ac:dyDescent="0.25">
      <c r="A12" s="197"/>
      <c r="B12" s="42" t="str">
        <f>A12&amp;"-"&amp;IF(DAY(Variables!$A$2)&lt;10,0,"")&amp;DAY(Variables!$A$2)</f>
        <v>-16</v>
      </c>
      <c r="C12" s="135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Runs'!$A$13:$A$100147,1,FALSE)</f>
        <v>#N/A</v>
      </c>
    </row>
    <row r="13" spans="1:10" x14ac:dyDescent="0.25">
      <c r="A13" s="197"/>
      <c r="B13" s="42" t="str">
        <f>A13&amp;"-"&amp;IF(DAY(Variables!$A$2)&lt;10,0,"")&amp;DAY(Variables!$A$2)</f>
        <v>-16</v>
      </c>
      <c r="C13" s="135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Runs'!$A$13:$A$100147,1,FALSE)</f>
        <v>#N/A</v>
      </c>
    </row>
    <row r="14" spans="1:10" x14ac:dyDescent="0.25">
      <c r="A14" s="197"/>
      <c r="B14" s="42" t="str">
        <f>A14&amp;"-"&amp;IF(DAY(Variables!$A$2)&lt;10,0,"")&amp;DAY(Variables!$A$2)</f>
        <v>-16</v>
      </c>
      <c r="C14" s="135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Runs'!$A$13:$A$100147,1,FALSE)</f>
        <v>#N/A</v>
      </c>
    </row>
    <row r="15" spans="1:10" x14ac:dyDescent="0.25">
      <c r="A15" s="197"/>
      <c r="B15" s="42" t="str">
        <f>A15&amp;"-"&amp;IF(DAY(Variables!$A$2)&lt;10,0,"")&amp;DAY(Variables!$A$2)</f>
        <v>-16</v>
      </c>
      <c r="C15" s="135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Runs'!$A$13:$A$100147,1,FALSE)</f>
        <v>#N/A</v>
      </c>
    </row>
    <row r="16" spans="1:10" x14ac:dyDescent="0.25">
      <c r="A16" s="197"/>
      <c r="B16" s="42" t="str">
        <f>A16&amp;"-"&amp;IF(DAY(Variables!$A$2)&lt;10,0,"")&amp;DAY(Variables!$A$2)</f>
        <v>-16</v>
      </c>
      <c r="C16" s="135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Runs'!$A$13:$A$100147,1,FALSE)</f>
        <v>#N/A</v>
      </c>
    </row>
    <row r="17" spans="1:10" x14ac:dyDescent="0.25">
      <c r="A17" s="197"/>
      <c r="B17" s="42" t="str">
        <f>A17&amp;"-"&amp;IF(DAY(Variables!$A$2)&lt;10,0,"")&amp;DAY(Variables!$A$2)</f>
        <v>-16</v>
      </c>
      <c r="C17" s="135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Runs'!$A$13:$A$100147,1,FALSE)</f>
        <v>#N/A</v>
      </c>
    </row>
    <row r="18" spans="1:10" x14ac:dyDescent="0.25">
      <c r="A18" s="197"/>
      <c r="B18" s="42" t="str">
        <f>A18&amp;"-"&amp;IF(DAY(Variables!$A$2)&lt;10,0,"")&amp;DAY(Variables!$A$2)</f>
        <v>-16</v>
      </c>
      <c r="C18" s="135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Runs'!$A$13:$A$100147,1,FALSE)</f>
        <v>#N/A</v>
      </c>
    </row>
    <row r="19" spans="1:10" x14ac:dyDescent="0.25">
      <c r="A19" s="197"/>
      <c r="B19" s="42"/>
      <c r="C19" s="135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5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5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5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5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5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5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5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5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5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5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5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5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5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5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5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5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5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5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5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5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5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5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5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5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5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5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5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5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5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5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5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5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5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5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5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5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5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5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5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5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5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5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5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5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5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5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5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5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5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5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5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5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5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5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5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95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95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43055.037569444445</v>
      </c>
      <c r="B2" s="20" t="s">
        <v>387</v>
      </c>
      <c r="C2" s="20" t="s">
        <v>593</v>
      </c>
      <c r="D2" s="195">
        <v>890000</v>
      </c>
      <c r="E2" s="20" t="s">
        <v>344</v>
      </c>
      <c r="F2" s="20" t="s">
        <v>345</v>
      </c>
      <c r="G2" s="8" t="str">
        <f>E2&amp;" "&amp;F2</f>
        <v>LOZA FIDEL</v>
      </c>
      <c r="H2" t="str">
        <f>MID(B2,13,4)</f>
        <v>4029</v>
      </c>
    </row>
    <row r="3" spans="1:8" x14ac:dyDescent="0.25">
      <c r="A3" s="8">
        <v>43055.046736111108</v>
      </c>
      <c r="B3" s="20" t="s">
        <v>510</v>
      </c>
      <c r="C3" s="20" t="s">
        <v>594</v>
      </c>
      <c r="D3" s="195">
        <v>3220000</v>
      </c>
      <c r="E3" s="20" t="s">
        <v>378</v>
      </c>
      <c r="F3" s="20" t="s">
        <v>379</v>
      </c>
      <c r="G3" s="8" t="str">
        <f t="shared" ref="G3:G66" si="0">E3&amp;" "&amp;F3</f>
        <v>RESPASS AARON</v>
      </c>
      <c r="H3" s="20" t="str">
        <f t="shared" ref="H3:H66" si="1">MID(B3,13,4)</f>
        <v>4040</v>
      </c>
    </row>
    <row r="4" spans="1:8" x14ac:dyDescent="0.25">
      <c r="A4" s="8">
        <v>43055.050555555557</v>
      </c>
      <c r="B4" s="20" t="s">
        <v>519</v>
      </c>
      <c r="C4" s="20" t="s">
        <v>595</v>
      </c>
      <c r="D4" s="195">
        <v>3310000</v>
      </c>
      <c r="E4" s="20" t="s">
        <v>546</v>
      </c>
      <c r="F4" s="20" t="s">
        <v>547</v>
      </c>
      <c r="G4" s="8" t="str">
        <f t="shared" si="0"/>
        <v>ANDERS STEVEN</v>
      </c>
      <c r="H4" s="20" t="str">
        <f t="shared" si="1"/>
        <v>4065</v>
      </c>
    </row>
    <row r="5" spans="1:8" x14ac:dyDescent="0.25">
      <c r="A5" s="8">
        <v>43055.089861111112</v>
      </c>
      <c r="B5" s="20" t="s">
        <v>540</v>
      </c>
      <c r="C5" s="20" t="s">
        <v>596</v>
      </c>
      <c r="D5" s="195">
        <v>3310000</v>
      </c>
      <c r="E5" s="20" t="s">
        <v>546</v>
      </c>
      <c r="F5" s="20" t="s">
        <v>547</v>
      </c>
      <c r="G5" s="8" t="str">
        <f t="shared" si="0"/>
        <v>ANDERS STEVEN</v>
      </c>
      <c r="H5" s="20" t="str">
        <f t="shared" si="1"/>
        <v>4066</v>
      </c>
    </row>
    <row r="6" spans="1:8" x14ac:dyDescent="0.25">
      <c r="A6" s="8">
        <v>43055.090868055559</v>
      </c>
      <c r="B6" s="20" t="s">
        <v>540</v>
      </c>
      <c r="C6" s="20" t="s">
        <v>596</v>
      </c>
      <c r="D6" s="195">
        <v>3310000</v>
      </c>
      <c r="E6" s="20" t="s">
        <v>546</v>
      </c>
      <c r="F6" s="20" t="s">
        <v>547</v>
      </c>
      <c r="G6" s="8" t="str">
        <f t="shared" si="0"/>
        <v>ANDERS STEVEN</v>
      </c>
      <c r="H6" s="20" t="str">
        <f t="shared" si="1"/>
        <v>4066</v>
      </c>
    </row>
    <row r="7" spans="1:8" x14ac:dyDescent="0.25">
      <c r="A7" s="8">
        <v>43055.114317129628</v>
      </c>
      <c r="B7" s="20" t="s">
        <v>539</v>
      </c>
      <c r="C7" s="20" t="s">
        <v>597</v>
      </c>
      <c r="D7" s="195">
        <v>1830000</v>
      </c>
      <c r="E7" s="20" t="s">
        <v>346</v>
      </c>
      <c r="F7" s="20" t="s">
        <v>347</v>
      </c>
      <c r="G7" s="8" t="str">
        <f t="shared" si="0"/>
        <v>YORK EDGAR</v>
      </c>
      <c r="H7" s="20" t="str">
        <f t="shared" si="1"/>
        <v>4003</v>
      </c>
    </row>
    <row r="8" spans="1:8" x14ac:dyDescent="0.25">
      <c r="A8" s="8">
        <v>43055.124988425923</v>
      </c>
      <c r="B8" s="20" t="s">
        <v>673</v>
      </c>
      <c r="C8" s="20" t="s">
        <v>674</v>
      </c>
      <c r="D8" s="195">
        <v>1090000</v>
      </c>
      <c r="E8" s="20" t="s">
        <v>512</v>
      </c>
      <c r="F8" s="20" t="s">
        <v>352</v>
      </c>
      <c r="G8" s="8" t="str">
        <f t="shared" si="0"/>
        <v>SPECTOR MICHAEL</v>
      </c>
      <c r="H8" s="20" t="str">
        <f t="shared" si="1"/>
        <v>4004</v>
      </c>
    </row>
    <row r="9" spans="1:8" ht="15.75" thickBot="1" x14ac:dyDescent="0.3">
      <c r="A9" s="24">
        <v>43055.126759259256</v>
      </c>
      <c r="B9" s="20" t="s">
        <v>675</v>
      </c>
      <c r="C9" s="20" t="s">
        <v>676</v>
      </c>
      <c r="D9" s="195">
        <v>1830000</v>
      </c>
      <c r="E9" s="20" t="s">
        <v>346</v>
      </c>
      <c r="F9" s="20" t="s">
        <v>347</v>
      </c>
      <c r="G9" s="8" t="str">
        <f t="shared" si="0"/>
        <v>YORK EDGAR</v>
      </c>
      <c r="H9" s="20" t="str">
        <f t="shared" si="1"/>
        <v>4002</v>
      </c>
    </row>
    <row r="10" spans="1:8" x14ac:dyDescent="0.25">
      <c r="A10" s="8">
        <v>43055.138715277775</v>
      </c>
      <c r="B10" s="20" t="s">
        <v>361</v>
      </c>
      <c r="C10" s="20" t="s">
        <v>677</v>
      </c>
      <c r="D10" s="195">
        <v>2010000</v>
      </c>
      <c r="E10" s="20" t="s">
        <v>678</v>
      </c>
      <c r="F10" s="20" t="s">
        <v>679</v>
      </c>
      <c r="G10" s="8" t="str">
        <f t="shared" si="0"/>
        <v>MAELZER KURT</v>
      </c>
      <c r="H10" s="20" t="str">
        <f t="shared" si="1"/>
        <v>4007</v>
      </c>
    </row>
    <row r="11" spans="1:8" x14ac:dyDescent="0.25">
      <c r="A11" s="8">
        <v>43055.139664351853</v>
      </c>
      <c r="B11" s="20" t="s">
        <v>539</v>
      </c>
      <c r="C11" s="20" t="s">
        <v>680</v>
      </c>
      <c r="D11" s="195">
        <v>1090000</v>
      </c>
      <c r="E11" s="20" t="s">
        <v>512</v>
      </c>
      <c r="F11" s="20" t="s">
        <v>352</v>
      </c>
      <c r="G11" s="8" t="str">
        <f t="shared" si="0"/>
        <v>SPECTOR MICHAEL</v>
      </c>
      <c r="H11" s="20" t="str">
        <f t="shared" si="1"/>
        <v>4003</v>
      </c>
    </row>
    <row r="12" spans="1:8" x14ac:dyDescent="0.25">
      <c r="A12" s="8">
        <v>43055.152175925927</v>
      </c>
      <c r="B12" s="20" t="s">
        <v>356</v>
      </c>
      <c r="C12" s="20" t="s">
        <v>681</v>
      </c>
      <c r="D12" s="195">
        <v>2010000</v>
      </c>
      <c r="E12" s="20" t="s">
        <v>678</v>
      </c>
      <c r="F12" s="20" t="s">
        <v>679</v>
      </c>
      <c r="G12" s="8" t="str">
        <f t="shared" si="0"/>
        <v>MAELZER KURT</v>
      </c>
      <c r="H12" s="20" t="str">
        <f t="shared" si="1"/>
        <v>4008</v>
      </c>
    </row>
    <row r="13" spans="1:8" x14ac:dyDescent="0.25">
      <c r="A13" s="8">
        <v>43055.161006944443</v>
      </c>
      <c r="B13" s="20" t="s">
        <v>682</v>
      </c>
      <c r="C13" s="20" t="s">
        <v>683</v>
      </c>
      <c r="D13" s="195">
        <v>1830000</v>
      </c>
      <c r="E13" s="20" t="s">
        <v>346</v>
      </c>
      <c r="F13" s="20" t="s">
        <v>347</v>
      </c>
      <c r="G13" s="8" t="str">
        <f t="shared" si="0"/>
        <v>YORK EDGAR</v>
      </c>
      <c r="H13" s="20" t="str">
        <f t="shared" si="1"/>
        <v>4001</v>
      </c>
    </row>
    <row r="14" spans="1:8" x14ac:dyDescent="0.25">
      <c r="A14" s="8">
        <v>43055.16202546296</v>
      </c>
      <c r="B14" s="20" t="s">
        <v>367</v>
      </c>
      <c r="C14" s="20" t="s">
        <v>684</v>
      </c>
      <c r="D14" s="195">
        <v>3700000</v>
      </c>
      <c r="E14" s="20" t="s">
        <v>453</v>
      </c>
      <c r="F14" s="20" t="s">
        <v>369</v>
      </c>
      <c r="G14" s="8" t="str">
        <f t="shared" si="0"/>
        <v>AUSTIN THOMPSON</v>
      </c>
      <c r="H14" s="20" t="str">
        <f t="shared" si="1"/>
        <v>4035</v>
      </c>
    </row>
    <row r="15" spans="1:8" x14ac:dyDescent="0.25">
      <c r="A15" s="8">
        <v>43055.171111111114</v>
      </c>
      <c r="B15" s="20" t="s">
        <v>362</v>
      </c>
      <c r="C15" s="20" t="s">
        <v>685</v>
      </c>
      <c r="D15" s="195">
        <v>1100000</v>
      </c>
      <c r="E15" s="20" t="s">
        <v>583</v>
      </c>
      <c r="F15" s="20" t="s">
        <v>584</v>
      </c>
      <c r="G15" s="8" t="str">
        <f t="shared" si="0"/>
        <v>GEBRETEKLE DAGNEW</v>
      </c>
      <c r="H15" s="20" t="str">
        <f t="shared" si="1"/>
        <v>4017</v>
      </c>
    </row>
    <row r="16" spans="1:8" x14ac:dyDescent="0.25">
      <c r="A16" s="8">
        <v>43055.174525462964</v>
      </c>
      <c r="B16" s="20" t="s">
        <v>366</v>
      </c>
      <c r="C16" s="20" t="s">
        <v>686</v>
      </c>
      <c r="D16" s="195">
        <v>3700000</v>
      </c>
      <c r="E16" s="20" t="s">
        <v>453</v>
      </c>
      <c r="F16" s="20" t="s">
        <v>369</v>
      </c>
      <c r="G16" s="8" t="str">
        <f t="shared" si="0"/>
        <v>AUSTIN THOMPSON</v>
      </c>
      <c r="H16" s="20" t="str">
        <f t="shared" si="1"/>
        <v>4036</v>
      </c>
    </row>
    <row r="17" spans="1:8" x14ac:dyDescent="0.25">
      <c r="A17" s="8">
        <v>43055.176620370374</v>
      </c>
      <c r="B17" s="20" t="s">
        <v>467</v>
      </c>
      <c r="C17" s="20" t="s">
        <v>687</v>
      </c>
      <c r="D17" s="195">
        <v>3040000</v>
      </c>
      <c r="E17" s="20" t="s">
        <v>368</v>
      </c>
      <c r="F17" s="20" t="s">
        <v>688</v>
      </c>
      <c r="G17" s="8" t="str">
        <f t="shared" si="0"/>
        <v>WILLIAMS DONTE</v>
      </c>
      <c r="H17" s="20" t="str">
        <f t="shared" si="1"/>
        <v>4051</v>
      </c>
    </row>
    <row r="18" spans="1:8" x14ac:dyDescent="0.25">
      <c r="A18" s="8">
        <v>43055.183587962965</v>
      </c>
      <c r="B18" s="20" t="s">
        <v>360</v>
      </c>
      <c r="C18" s="20" t="s">
        <v>689</v>
      </c>
      <c r="D18" s="195">
        <v>1100000</v>
      </c>
      <c r="E18" s="20" t="s">
        <v>583</v>
      </c>
      <c r="F18" s="20" t="s">
        <v>584</v>
      </c>
      <c r="G18" s="8" t="str">
        <f t="shared" si="0"/>
        <v>GEBRETEKLE DAGNEW</v>
      </c>
      <c r="H18" s="20" t="str">
        <f t="shared" si="1"/>
        <v>4018</v>
      </c>
    </row>
    <row r="19" spans="1:8" x14ac:dyDescent="0.25">
      <c r="A19" s="8">
        <v>43055.187071759261</v>
      </c>
      <c r="B19" s="20" t="s">
        <v>361</v>
      </c>
      <c r="C19" s="20" t="s">
        <v>690</v>
      </c>
      <c r="D19" s="195">
        <v>2010000</v>
      </c>
      <c r="E19" s="20" t="s">
        <v>678</v>
      </c>
      <c r="F19" s="20" t="s">
        <v>679</v>
      </c>
      <c r="G19" s="8" t="str">
        <f t="shared" si="0"/>
        <v>MAELZER KURT</v>
      </c>
      <c r="H19" s="20" t="str">
        <f t="shared" si="1"/>
        <v>4007</v>
      </c>
    </row>
    <row r="20" spans="1:8" x14ac:dyDescent="0.25">
      <c r="A20" s="8">
        <v>43055.195543981485</v>
      </c>
      <c r="B20" s="20" t="s">
        <v>463</v>
      </c>
      <c r="C20" s="20" t="s">
        <v>691</v>
      </c>
      <c r="D20" s="195">
        <v>3040000</v>
      </c>
      <c r="E20" s="20" t="s">
        <v>368</v>
      </c>
      <c r="F20" s="20" t="s">
        <v>688</v>
      </c>
      <c r="G20" s="8" t="str">
        <f t="shared" si="0"/>
        <v>WILLIAMS DONTE</v>
      </c>
      <c r="H20" s="20" t="str">
        <f t="shared" si="1"/>
        <v>4052</v>
      </c>
    </row>
    <row r="21" spans="1:8" x14ac:dyDescent="0.25">
      <c r="A21" s="8">
        <v>43055.196458333332</v>
      </c>
      <c r="B21" s="20" t="s">
        <v>386</v>
      </c>
      <c r="C21" s="20" t="s">
        <v>692</v>
      </c>
      <c r="D21" s="195">
        <v>1230000</v>
      </c>
      <c r="E21" s="20" t="s">
        <v>514</v>
      </c>
      <c r="F21" s="20" t="s">
        <v>515</v>
      </c>
      <c r="G21" s="8" t="str">
        <f t="shared" si="0"/>
        <v>YANAI IAN</v>
      </c>
      <c r="H21" s="20" t="str">
        <f t="shared" si="1"/>
        <v>4061</v>
      </c>
    </row>
    <row r="22" spans="1:8" x14ac:dyDescent="0.25">
      <c r="A22" s="26">
        <v>43055.201435185183</v>
      </c>
      <c r="B22" s="20" t="s">
        <v>675</v>
      </c>
      <c r="C22" s="20" t="s">
        <v>693</v>
      </c>
      <c r="D22" s="195">
        <v>1830000</v>
      </c>
      <c r="E22" s="20" t="s">
        <v>346</v>
      </c>
      <c r="F22" s="20" t="s">
        <v>347</v>
      </c>
      <c r="G22" s="8" t="str">
        <f t="shared" si="0"/>
        <v>YORK EDGAR</v>
      </c>
      <c r="H22" s="20" t="str">
        <f t="shared" si="1"/>
        <v>4002</v>
      </c>
    </row>
    <row r="23" spans="1:8" x14ac:dyDescent="0.25">
      <c r="A23" s="8">
        <v>43055.202719907407</v>
      </c>
      <c r="B23" s="20" t="s">
        <v>370</v>
      </c>
      <c r="C23" s="20" t="s">
        <v>694</v>
      </c>
      <c r="D23" s="195">
        <v>1760000</v>
      </c>
      <c r="E23" s="20" t="s">
        <v>695</v>
      </c>
      <c r="F23" s="20" t="s">
        <v>696</v>
      </c>
      <c r="G23" s="8" t="str">
        <f t="shared" si="0"/>
        <v>STRICKLAND EVAN</v>
      </c>
      <c r="H23" s="20" t="str">
        <f t="shared" si="1"/>
        <v>4012</v>
      </c>
    </row>
    <row r="24" spans="1:8" x14ac:dyDescent="0.25">
      <c r="A24" s="8">
        <v>43055.205983796295</v>
      </c>
      <c r="B24" s="20" t="s">
        <v>384</v>
      </c>
      <c r="C24" s="20" t="s">
        <v>697</v>
      </c>
      <c r="D24" s="195">
        <v>1230000</v>
      </c>
      <c r="E24" s="20" t="s">
        <v>514</v>
      </c>
      <c r="F24" s="20" t="s">
        <v>515</v>
      </c>
      <c r="G24" s="8" t="str">
        <f t="shared" si="0"/>
        <v>YANAI IAN</v>
      </c>
      <c r="H24" s="20" t="str">
        <f t="shared" si="1"/>
        <v>4062</v>
      </c>
    </row>
    <row r="25" spans="1:8" x14ac:dyDescent="0.25">
      <c r="A25" s="8">
        <v>43055.20894675926</v>
      </c>
      <c r="B25" s="20" t="s">
        <v>367</v>
      </c>
      <c r="C25" s="20" t="s">
        <v>698</v>
      </c>
      <c r="D25" s="195">
        <v>3700000</v>
      </c>
      <c r="E25" s="20" t="s">
        <v>453</v>
      </c>
      <c r="F25" s="20" t="s">
        <v>369</v>
      </c>
      <c r="G25" s="8" t="str">
        <f t="shared" si="0"/>
        <v>AUSTIN THOMPSON</v>
      </c>
      <c r="H25" s="20" t="str">
        <f t="shared" si="1"/>
        <v>4035</v>
      </c>
    </row>
    <row r="26" spans="1:8" x14ac:dyDescent="0.25">
      <c r="A26" s="8">
        <v>43055.213194444441</v>
      </c>
      <c r="B26" s="20" t="s">
        <v>362</v>
      </c>
      <c r="C26" s="20" t="s">
        <v>699</v>
      </c>
      <c r="D26" s="195">
        <v>1100000</v>
      </c>
      <c r="E26" s="20" t="s">
        <v>583</v>
      </c>
      <c r="F26" s="20" t="s">
        <v>584</v>
      </c>
      <c r="G26" s="8" t="str">
        <f t="shared" si="0"/>
        <v>GEBRETEKLE DAGNEW</v>
      </c>
      <c r="H26" s="20" t="str">
        <f t="shared" si="1"/>
        <v>4017</v>
      </c>
    </row>
    <row r="27" spans="1:8" x14ac:dyDescent="0.25">
      <c r="A27" s="8">
        <v>43055.218275462961</v>
      </c>
      <c r="B27" s="20" t="s">
        <v>371</v>
      </c>
      <c r="C27" s="20" t="s">
        <v>651</v>
      </c>
      <c r="D27" s="195">
        <v>1760000</v>
      </c>
      <c r="E27" s="20" t="s">
        <v>695</v>
      </c>
      <c r="F27" s="20" t="s">
        <v>696</v>
      </c>
      <c r="G27" s="8" t="str">
        <f t="shared" si="0"/>
        <v>STRICKLAND EVAN</v>
      </c>
      <c r="H27" s="20" t="str">
        <f t="shared" si="1"/>
        <v>4011</v>
      </c>
    </row>
    <row r="28" spans="1:8" x14ac:dyDescent="0.25">
      <c r="A28" s="8">
        <v>43055.218923611108</v>
      </c>
      <c r="B28" s="20" t="s">
        <v>585</v>
      </c>
      <c r="C28" s="20" t="s">
        <v>700</v>
      </c>
      <c r="D28" s="195">
        <v>2600000</v>
      </c>
      <c r="E28" s="20" t="s">
        <v>513</v>
      </c>
      <c r="F28" s="20" t="s">
        <v>499</v>
      </c>
      <c r="G28" s="8" t="str">
        <f t="shared" si="0"/>
        <v>DAVIDSON DAVID</v>
      </c>
      <c r="H28" s="20" t="str">
        <f t="shared" si="1"/>
        <v>4015</v>
      </c>
    </row>
    <row r="29" spans="1:8" x14ac:dyDescent="0.25">
      <c r="A29" s="8">
        <v>43055.226377314815</v>
      </c>
      <c r="B29" s="20" t="s">
        <v>356</v>
      </c>
      <c r="C29" s="20" t="s">
        <v>701</v>
      </c>
      <c r="D29" s="195">
        <v>2010000</v>
      </c>
      <c r="E29" s="20" t="s">
        <v>678</v>
      </c>
      <c r="F29" s="20" t="s">
        <v>679</v>
      </c>
      <c r="G29" s="8" t="str">
        <f t="shared" si="0"/>
        <v>MAELZER KURT</v>
      </c>
      <c r="H29" s="20" t="str">
        <f t="shared" si="1"/>
        <v>4008</v>
      </c>
    </row>
    <row r="30" spans="1:8" x14ac:dyDescent="0.25">
      <c r="A30" s="8">
        <v>43055.230717592596</v>
      </c>
      <c r="B30" s="20" t="s">
        <v>586</v>
      </c>
      <c r="C30" s="20" t="s">
        <v>702</v>
      </c>
      <c r="D30" s="195">
        <v>2600000</v>
      </c>
      <c r="E30" s="20" t="s">
        <v>513</v>
      </c>
      <c r="F30" s="20" t="s">
        <v>499</v>
      </c>
      <c r="G30" s="8" t="str">
        <f t="shared" si="0"/>
        <v>DAVIDSON DAVID</v>
      </c>
      <c r="H30" s="20" t="str">
        <f t="shared" si="1"/>
        <v>4016</v>
      </c>
    </row>
    <row r="31" spans="1:8" x14ac:dyDescent="0.25">
      <c r="A31" s="8">
        <v>43055.23233796296</v>
      </c>
      <c r="B31" s="20" t="s">
        <v>370</v>
      </c>
      <c r="C31" s="20" t="s">
        <v>703</v>
      </c>
      <c r="D31" s="195">
        <v>1760000</v>
      </c>
      <c r="E31" s="20" t="s">
        <v>695</v>
      </c>
      <c r="F31" s="20" t="s">
        <v>696</v>
      </c>
      <c r="G31" s="8" t="str">
        <f t="shared" si="0"/>
        <v>STRICKLAND EVAN</v>
      </c>
      <c r="H31" s="20" t="str">
        <f t="shared" si="1"/>
        <v>4012</v>
      </c>
    </row>
    <row r="32" spans="1:8" x14ac:dyDescent="0.25">
      <c r="A32" s="8">
        <v>43055.233807870369</v>
      </c>
      <c r="B32" s="20" t="s">
        <v>467</v>
      </c>
      <c r="C32" s="20" t="s">
        <v>704</v>
      </c>
      <c r="D32" s="195">
        <v>3040000</v>
      </c>
      <c r="E32" s="20" t="s">
        <v>368</v>
      </c>
      <c r="F32" s="20" t="s">
        <v>688</v>
      </c>
      <c r="G32" s="8" t="str">
        <f t="shared" si="0"/>
        <v>WILLIAMS DONTE</v>
      </c>
      <c r="H32" s="20" t="str">
        <f t="shared" si="1"/>
        <v>4051</v>
      </c>
    </row>
    <row r="33" spans="1:8" x14ac:dyDescent="0.25">
      <c r="A33" s="8">
        <v>43055.234814814816</v>
      </c>
      <c r="B33" s="20" t="s">
        <v>682</v>
      </c>
      <c r="C33" s="20" t="s">
        <v>705</v>
      </c>
      <c r="D33" s="195">
        <v>1830000</v>
      </c>
      <c r="E33" s="20" t="s">
        <v>346</v>
      </c>
      <c r="F33" s="20" t="s">
        <v>347</v>
      </c>
      <c r="G33" s="8" t="str">
        <f t="shared" si="0"/>
        <v>YORK EDGAR</v>
      </c>
      <c r="H33" s="20" t="str">
        <f t="shared" si="1"/>
        <v>4001</v>
      </c>
    </row>
    <row r="34" spans="1:8" x14ac:dyDescent="0.25">
      <c r="A34" s="8">
        <v>43055.23846064815</v>
      </c>
      <c r="B34" s="20" t="s">
        <v>658</v>
      </c>
      <c r="C34" s="20" t="s">
        <v>706</v>
      </c>
      <c r="D34" s="195">
        <v>3000000</v>
      </c>
      <c r="E34" s="20" t="s">
        <v>541</v>
      </c>
      <c r="F34" s="20" t="s">
        <v>542</v>
      </c>
      <c r="G34" s="8" t="str">
        <f t="shared" si="0"/>
        <v>FORTUNATO FRANK</v>
      </c>
      <c r="H34" s="20" t="str">
        <f t="shared" si="1"/>
        <v>4041</v>
      </c>
    </row>
    <row r="35" spans="1:8" x14ac:dyDescent="0.25">
      <c r="A35" s="8">
        <v>43055.245972222219</v>
      </c>
      <c r="B35" s="20" t="s">
        <v>386</v>
      </c>
      <c r="C35" s="20" t="s">
        <v>707</v>
      </c>
      <c r="D35" s="195">
        <v>1230000</v>
      </c>
      <c r="E35" s="20" t="s">
        <v>514</v>
      </c>
      <c r="F35" s="20" t="s">
        <v>515</v>
      </c>
      <c r="G35" s="8" t="str">
        <f t="shared" si="0"/>
        <v>YANAI IAN</v>
      </c>
      <c r="H35" s="20" t="str">
        <f t="shared" si="1"/>
        <v>4061</v>
      </c>
    </row>
    <row r="36" spans="1:8" x14ac:dyDescent="0.25">
      <c r="A36" s="8">
        <v>43055.246712962966</v>
      </c>
      <c r="B36" s="20" t="s">
        <v>366</v>
      </c>
      <c r="C36" s="20" t="s">
        <v>708</v>
      </c>
      <c r="D36" s="195">
        <v>3700000</v>
      </c>
      <c r="E36" s="20" t="s">
        <v>453</v>
      </c>
      <c r="F36" s="20" t="s">
        <v>369</v>
      </c>
      <c r="G36" s="8" t="str">
        <f t="shared" si="0"/>
        <v>AUSTIN THOMPSON</v>
      </c>
      <c r="H36" s="20" t="str">
        <f t="shared" si="1"/>
        <v>4036</v>
      </c>
    </row>
    <row r="37" spans="1:8" x14ac:dyDescent="0.25">
      <c r="A37" s="8">
        <v>43055.248460648145</v>
      </c>
      <c r="B37" s="20" t="s">
        <v>371</v>
      </c>
      <c r="C37" s="20" t="s">
        <v>709</v>
      </c>
      <c r="D37" s="195">
        <v>1760000</v>
      </c>
      <c r="E37" s="20" t="s">
        <v>695</v>
      </c>
      <c r="F37" s="20" t="s">
        <v>696</v>
      </c>
      <c r="G37" s="8" t="str">
        <f t="shared" si="0"/>
        <v>STRICKLAND EVAN</v>
      </c>
      <c r="H37" s="20" t="str">
        <f t="shared" si="1"/>
        <v>4011</v>
      </c>
    </row>
    <row r="38" spans="1:8" x14ac:dyDescent="0.25">
      <c r="A38" s="8">
        <v>43055.24962962963</v>
      </c>
      <c r="B38" s="20" t="s">
        <v>662</v>
      </c>
      <c r="C38" s="20" t="s">
        <v>710</v>
      </c>
      <c r="D38" s="195">
        <v>3000000</v>
      </c>
      <c r="E38" s="20" t="s">
        <v>541</v>
      </c>
      <c r="F38" s="20" t="s">
        <v>542</v>
      </c>
      <c r="G38" s="8" t="str">
        <f t="shared" si="0"/>
        <v>FORTUNATO FRANK</v>
      </c>
      <c r="H38" s="20" t="str">
        <f t="shared" si="1"/>
        <v>4042</v>
      </c>
    </row>
    <row r="39" spans="1:8" x14ac:dyDescent="0.25">
      <c r="A39" s="8">
        <v>43055.255057870374</v>
      </c>
      <c r="B39" s="20" t="s">
        <v>360</v>
      </c>
      <c r="C39" s="20" t="s">
        <v>711</v>
      </c>
      <c r="D39" s="195">
        <v>1100000</v>
      </c>
      <c r="E39" s="20" t="s">
        <v>583</v>
      </c>
      <c r="F39" s="20" t="s">
        <v>584</v>
      </c>
      <c r="G39" s="8" t="str">
        <f t="shared" si="0"/>
        <v>GEBRETEKLE DAGNEW</v>
      </c>
      <c r="H39" s="20" t="str">
        <f t="shared" si="1"/>
        <v>4018</v>
      </c>
    </row>
    <row r="40" spans="1:8" x14ac:dyDescent="0.25">
      <c r="A40" s="8">
        <v>43055.262187499997</v>
      </c>
      <c r="B40" s="25" t="s">
        <v>361</v>
      </c>
      <c r="C40" s="20" t="s">
        <v>712</v>
      </c>
      <c r="D40" s="195">
        <v>2010000</v>
      </c>
      <c r="E40" s="20" t="s">
        <v>678</v>
      </c>
      <c r="F40" s="20" t="s">
        <v>679</v>
      </c>
      <c r="G40" s="8" t="str">
        <f t="shared" si="0"/>
        <v>MAELZER KURT</v>
      </c>
      <c r="H40" s="20" t="str">
        <f t="shared" si="1"/>
        <v>4007</v>
      </c>
    </row>
    <row r="41" spans="1:8" x14ac:dyDescent="0.25">
      <c r="A41" s="8">
        <v>43055.266296296293</v>
      </c>
      <c r="B41" s="20" t="s">
        <v>463</v>
      </c>
      <c r="C41" s="20" t="s">
        <v>713</v>
      </c>
      <c r="D41" s="195">
        <v>3040000</v>
      </c>
      <c r="E41" s="20" t="s">
        <v>368</v>
      </c>
      <c r="F41" s="20" t="s">
        <v>688</v>
      </c>
      <c r="G41" s="8" t="str">
        <f t="shared" si="0"/>
        <v>WILLIAMS DONTE</v>
      </c>
      <c r="H41" s="20" t="str">
        <f t="shared" si="1"/>
        <v>4052</v>
      </c>
    </row>
    <row r="42" spans="1:8" x14ac:dyDescent="0.25">
      <c r="A42" s="8">
        <v>43055.267800925925</v>
      </c>
      <c r="B42" s="20" t="s">
        <v>585</v>
      </c>
      <c r="C42" s="20" t="s">
        <v>714</v>
      </c>
      <c r="D42" s="195">
        <v>2600000</v>
      </c>
      <c r="E42" s="20" t="s">
        <v>513</v>
      </c>
      <c r="F42" s="20" t="s">
        <v>499</v>
      </c>
      <c r="G42" s="8" t="str">
        <f t="shared" si="0"/>
        <v>DAVIDSON DAVID</v>
      </c>
      <c r="H42" s="20" t="str">
        <f t="shared" si="1"/>
        <v>4015</v>
      </c>
    </row>
    <row r="43" spans="1:8" x14ac:dyDescent="0.25">
      <c r="A43" s="8">
        <v>43055.268807870372</v>
      </c>
      <c r="B43" s="20" t="s">
        <v>658</v>
      </c>
      <c r="C43" s="20" t="s">
        <v>715</v>
      </c>
      <c r="D43" s="195">
        <v>3000000</v>
      </c>
      <c r="E43" s="20" t="s">
        <v>541</v>
      </c>
      <c r="F43" s="20" t="s">
        <v>542</v>
      </c>
      <c r="G43" s="8" t="str">
        <f t="shared" si="0"/>
        <v>FORTUNATO FRANK</v>
      </c>
      <c r="H43" s="20" t="str">
        <f t="shared" si="1"/>
        <v>4041</v>
      </c>
    </row>
    <row r="44" spans="1:8" x14ac:dyDescent="0.25">
      <c r="A44" s="8">
        <v>43055.269907407404</v>
      </c>
      <c r="B44" s="20" t="s">
        <v>370</v>
      </c>
      <c r="C44" s="20" t="s">
        <v>653</v>
      </c>
      <c r="D44" s="195">
        <v>1760000</v>
      </c>
      <c r="E44" s="20" t="s">
        <v>695</v>
      </c>
      <c r="F44" s="20" t="s">
        <v>696</v>
      </c>
      <c r="G44" s="8" t="str">
        <f t="shared" si="0"/>
        <v>STRICKLAND EVAN</v>
      </c>
      <c r="H44" s="20" t="str">
        <f t="shared" si="1"/>
        <v>4012</v>
      </c>
    </row>
    <row r="45" spans="1:8" x14ac:dyDescent="0.25">
      <c r="A45" s="8">
        <v>43055.275347222225</v>
      </c>
      <c r="B45" s="20" t="s">
        <v>675</v>
      </c>
      <c r="C45" s="20" t="s">
        <v>716</v>
      </c>
      <c r="D45" s="195">
        <v>1830000</v>
      </c>
      <c r="E45" s="20" t="s">
        <v>346</v>
      </c>
      <c r="F45" s="20" t="s">
        <v>347</v>
      </c>
      <c r="G45" s="8" t="str">
        <f t="shared" si="0"/>
        <v>YORK EDGAR</v>
      </c>
      <c r="H45" s="20" t="str">
        <f t="shared" si="1"/>
        <v>4002</v>
      </c>
    </row>
    <row r="46" spans="1:8" x14ac:dyDescent="0.25">
      <c r="A46" s="8">
        <v>43055.27721064815</v>
      </c>
      <c r="B46" s="20" t="s">
        <v>367</v>
      </c>
      <c r="C46" s="20" t="s">
        <v>654</v>
      </c>
      <c r="D46" s="195">
        <v>3700000</v>
      </c>
      <c r="E46" s="20" t="s">
        <v>453</v>
      </c>
      <c r="F46" s="20" t="s">
        <v>369</v>
      </c>
      <c r="G46" s="8" t="str">
        <f t="shared" si="0"/>
        <v>AUSTIN THOMPSON</v>
      </c>
      <c r="H46" s="20" t="str">
        <f t="shared" si="1"/>
        <v>4035</v>
      </c>
    </row>
    <row r="47" spans="1:8" x14ac:dyDescent="0.25">
      <c r="A47" s="8">
        <v>43055.286770833336</v>
      </c>
      <c r="B47" s="20" t="s">
        <v>362</v>
      </c>
      <c r="C47" s="20" t="s">
        <v>717</v>
      </c>
      <c r="D47" s="195">
        <v>1100000</v>
      </c>
      <c r="E47" s="20" t="s">
        <v>583</v>
      </c>
      <c r="F47" s="20" t="s">
        <v>584</v>
      </c>
      <c r="G47" s="8" t="str">
        <f t="shared" si="0"/>
        <v>GEBRETEKLE DAGNEW</v>
      </c>
      <c r="H47" s="20" t="str">
        <f t="shared" si="1"/>
        <v>4017</v>
      </c>
    </row>
    <row r="48" spans="1:8" x14ac:dyDescent="0.25">
      <c r="A48" s="8">
        <v>43055.287824074076</v>
      </c>
      <c r="B48" s="20" t="s">
        <v>384</v>
      </c>
      <c r="C48" s="20" t="s">
        <v>718</v>
      </c>
      <c r="D48" s="195">
        <v>3260000</v>
      </c>
      <c r="E48" s="20" t="s">
        <v>578</v>
      </c>
      <c r="F48" s="20" t="s">
        <v>579</v>
      </c>
      <c r="G48" s="8" t="str">
        <f t="shared" si="0"/>
        <v>PAGE MARCUS</v>
      </c>
      <c r="H48" s="20" t="str">
        <f t="shared" si="1"/>
        <v>4062</v>
      </c>
    </row>
    <row r="49" spans="1:8" x14ac:dyDescent="0.25">
      <c r="A49" s="8">
        <v>43055.289942129632</v>
      </c>
      <c r="B49" s="20" t="s">
        <v>371</v>
      </c>
      <c r="C49" s="20" t="s">
        <v>719</v>
      </c>
      <c r="D49" s="195">
        <v>1760000</v>
      </c>
      <c r="E49" s="20" t="s">
        <v>695</v>
      </c>
      <c r="F49" s="20" t="s">
        <v>696</v>
      </c>
      <c r="G49" s="8" t="str">
        <f t="shared" si="0"/>
        <v>STRICKLAND EVAN</v>
      </c>
      <c r="H49" s="20" t="str">
        <f t="shared" si="1"/>
        <v>4011</v>
      </c>
    </row>
    <row r="50" spans="1:8" x14ac:dyDescent="0.25">
      <c r="A50" s="8">
        <v>43055.289965277778</v>
      </c>
      <c r="B50" s="20" t="s">
        <v>662</v>
      </c>
      <c r="C50" s="20" t="s">
        <v>720</v>
      </c>
      <c r="D50" s="195">
        <v>3000000</v>
      </c>
      <c r="E50" s="20" t="s">
        <v>541</v>
      </c>
      <c r="F50" s="20" t="s">
        <v>542</v>
      </c>
      <c r="G50" s="8" t="str">
        <f t="shared" si="0"/>
        <v>FORTUNATO FRANK</v>
      </c>
      <c r="H50" s="20" t="str">
        <f t="shared" si="1"/>
        <v>4042</v>
      </c>
    </row>
    <row r="51" spans="1:8" x14ac:dyDescent="0.25">
      <c r="A51" s="8">
        <v>43055.29959490741</v>
      </c>
      <c r="B51" s="20" t="s">
        <v>356</v>
      </c>
      <c r="C51" s="20" t="s">
        <v>721</v>
      </c>
      <c r="D51" s="195">
        <v>900000</v>
      </c>
      <c r="E51" s="20" t="s">
        <v>576</v>
      </c>
      <c r="F51" s="20" t="s">
        <v>577</v>
      </c>
      <c r="G51" s="8" t="str">
        <f t="shared" si="0"/>
        <v>ROCHA YAOTL</v>
      </c>
      <c r="H51" s="20" t="str">
        <f t="shared" si="1"/>
        <v>4008</v>
      </c>
    </row>
    <row r="52" spans="1:8" x14ac:dyDescent="0.25">
      <c r="A52" s="8">
        <v>43055.306423611109</v>
      </c>
      <c r="B52" s="20" t="s">
        <v>467</v>
      </c>
      <c r="C52" s="20" t="s">
        <v>722</v>
      </c>
      <c r="D52" s="195">
        <v>3040000</v>
      </c>
      <c r="E52" s="20" t="s">
        <v>368</v>
      </c>
      <c r="F52" s="20" t="s">
        <v>688</v>
      </c>
      <c r="G52" s="8" t="str">
        <f t="shared" si="0"/>
        <v>WILLIAMS DONTE</v>
      </c>
      <c r="H52" s="20" t="str">
        <f t="shared" si="1"/>
        <v>4051</v>
      </c>
    </row>
    <row r="53" spans="1:8" x14ac:dyDescent="0.25">
      <c r="A53" s="8">
        <v>43055.306863425925</v>
      </c>
      <c r="B53" s="20" t="s">
        <v>673</v>
      </c>
      <c r="C53" s="20" t="s">
        <v>674</v>
      </c>
      <c r="D53" s="195">
        <v>1090000</v>
      </c>
      <c r="E53" s="20" t="s">
        <v>512</v>
      </c>
      <c r="F53" s="20" t="s">
        <v>352</v>
      </c>
      <c r="G53" s="8" t="str">
        <f t="shared" si="0"/>
        <v>SPECTOR MICHAEL</v>
      </c>
      <c r="H53" s="20" t="str">
        <f t="shared" si="1"/>
        <v>4004</v>
      </c>
    </row>
    <row r="54" spans="1:8" x14ac:dyDescent="0.25">
      <c r="A54" s="8">
        <v>43055.307337962964</v>
      </c>
      <c r="B54" s="20" t="s">
        <v>586</v>
      </c>
      <c r="C54" s="20" t="s">
        <v>723</v>
      </c>
      <c r="D54" s="195">
        <v>2600000</v>
      </c>
      <c r="E54" s="20" t="s">
        <v>513</v>
      </c>
      <c r="F54" s="20" t="s">
        <v>499</v>
      </c>
      <c r="G54" s="8" t="str">
        <f t="shared" si="0"/>
        <v>DAVIDSON DAVID</v>
      </c>
      <c r="H54" s="20" t="str">
        <f t="shared" si="1"/>
        <v>4016</v>
      </c>
    </row>
    <row r="55" spans="1:8" x14ac:dyDescent="0.25">
      <c r="A55" s="8">
        <v>43055.310694444444</v>
      </c>
      <c r="B55" s="20" t="s">
        <v>658</v>
      </c>
      <c r="C55" s="20" t="s">
        <v>724</v>
      </c>
      <c r="D55" s="195">
        <v>3000000</v>
      </c>
      <c r="E55" s="20" t="s">
        <v>541</v>
      </c>
      <c r="F55" s="20" t="s">
        <v>542</v>
      </c>
      <c r="G55" s="8" t="str">
        <f t="shared" si="0"/>
        <v>FORTUNATO FRANK</v>
      </c>
      <c r="H55" s="20" t="str">
        <f t="shared" si="1"/>
        <v>4041</v>
      </c>
    </row>
    <row r="56" spans="1:8" x14ac:dyDescent="0.25">
      <c r="A56" s="8">
        <v>43055.312106481484</v>
      </c>
      <c r="B56" s="20" t="s">
        <v>370</v>
      </c>
      <c r="C56" s="20" t="s">
        <v>655</v>
      </c>
      <c r="D56" s="195">
        <v>1760000</v>
      </c>
      <c r="E56" s="20" t="s">
        <v>695</v>
      </c>
      <c r="F56" s="20" t="s">
        <v>696</v>
      </c>
      <c r="G56" s="8" t="str">
        <f t="shared" si="0"/>
        <v>STRICKLAND EVAN</v>
      </c>
      <c r="H56" s="20" t="str">
        <f t="shared" si="1"/>
        <v>4012</v>
      </c>
    </row>
    <row r="57" spans="1:8" x14ac:dyDescent="0.25">
      <c r="A57" s="8">
        <v>43055.314421296294</v>
      </c>
      <c r="B57" s="20" t="s">
        <v>682</v>
      </c>
      <c r="C57" s="20" t="s">
        <v>725</v>
      </c>
      <c r="D57" s="195">
        <v>1830000</v>
      </c>
      <c r="E57" s="20" t="s">
        <v>346</v>
      </c>
      <c r="F57" s="20" t="s">
        <v>347</v>
      </c>
      <c r="G57" s="8" t="str">
        <f t="shared" si="0"/>
        <v>YORK EDGAR</v>
      </c>
      <c r="H57" s="20" t="str">
        <f t="shared" si="1"/>
        <v>4001</v>
      </c>
    </row>
    <row r="58" spans="1:8" x14ac:dyDescent="0.25">
      <c r="A58" s="8">
        <v>43055.317199074074</v>
      </c>
      <c r="B58" s="20" t="s">
        <v>539</v>
      </c>
      <c r="C58" s="20" t="s">
        <v>674</v>
      </c>
      <c r="D58" s="195">
        <v>1090000</v>
      </c>
      <c r="E58" s="20" t="s">
        <v>512</v>
      </c>
      <c r="F58" s="20" t="s">
        <v>352</v>
      </c>
      <c r="G58" s="8" t="str">
        <f t="shared" si="0"/>
        <v>SPECTOR MICHAEL</v>
      </c>
      <c r="H58" s="20" t="str">
        <f t="shared" si="1"/>
        <v>4003</v>
      </c>
    </row>
    <row r="59" spans="1:8" x14ac:dyDescent="0.25">
      <c r="A59" s="8">
        <v>43055.321226851855</v>
      </c>
      <c r="B59" s="20" t="s">
        <v>673</v>
      </c>
      <c r="C59" s="20" t="s">
        <v>726</v>
      </c>
      <c r="D59" s="195">
        <v>1090000</v>
      </c>
      <c r="E59" s="20" t="s">
        <v>512</v>
      </c>
      <c r="F59" s="20" t="s">
        <v>352</v>
      </c>
      <c r="G59" s="8" t="str">
        <f t="shared" si="0"/>
        <v>SPECTOR MICHAEL</v>
      </c>
      <c r="H59" s="20" t="str">
        <f t="shared" si="1"/>
        <v>4004</v>
      </c>
    </row>
    <row r="60" spans="1:8" x14ac:dyDescent="0.25">
      <c r="A60" s="8">
        <v>43055.327766203707</v>
      </c>
      <c r="B60" s="20" t="s">
        <v>386</v>
      </c>
      <c r="C60" s="20" t="s">
        <v>727</v>
      </c>
      <c r="D60" s="195">
        <v>3260000</v>
      </c>
      <c r="E60" s="20" t="s">
        <v>578</v>
      </c>
      <c r="F60" s="20" t="s">
        <v>579</v>
      </c>
      <c r="G60" s="8" t="str">
        <f t="shared" si="0"/>
        <v>PAGE MARCUS</v>
      </c>
      <c r="H60" s="20" t="str">
        <f t="shared" si="1"/>
        <v>4061</v>
      </c>
    </row>
    <row r="61" spans="1:8" x14ac:dyDescent="0.25">
      <c r="A61" s="8">
        <v>43055.329872685186</v>
      </c>
      <c r="B61" s="20" t="s">
        <v>360</v>
      </c>
      <c r="C61" s="20" t="s">
        <v>728</v>
      </c>
      <c r="D61" s="195">
        <v>1100000</v>
      </c>
      <c r="E61" s="20" t="s">
        <v>583</v>
      </c>
      <c r="F61" s="20" t="s">
        <v>584</v>
      </c>
      <c r="G61" s="8" t="str">
        <f t="shared" si="0"/>
        <v>GEBRETEKLE DAGNEW</v>
      </c>
      <c r="H61" s="20" t="str">
        <f t="shared" si="1"/>
        <v>4018</v>
      </c>
    </row>
    <row r="62" spans="1:8" x14ac:dyDescent="0.25">
      <c r="A62" s="8">
        <v>43055.33153935185</v>
      </c>
      <c r="B62" s="20" t="s">
        <v>662</v>
      </c>
      <c r="C62" s="20" t="s">
        <v>729</v>
      </c>
      <c r="D62" s="195">
        <v>3000000</v>
      </c>
      <c r="E62" s="20" t="s">
        <v>541</v>
      </c>
      <c r="F62" s="20" t="s">
        <v>542</v>
      </c>
      <c r="G62" s="8" t="str">
        <f t="shared" si="0"/>
        <v>FORTUNATO FRANK</v>
      </c>
      <c r="H62" s="20" t="str">
        <f t="shared" si="1"/>
        <v>4042</v>
      </c>
    </row>
    <row r="63" spans="1:8" x14ac:dyDescent="0.25">
      <c r="A63" s="8">
        <v>43055.331990740742</v>
      </c>
      <c r="B63" s="20" t="s">
        <v>371</v>
      </c>
      <c r="C63" s="20" t="s">
        <v>656</v>
      </c>
      <c r="D63" s="195">
        <v>1760000</v>
      </c>
      <c r="E63" s="20" t="s">
        <v>695</v>
      </c>
      <c r="F63" s="20" t="s">
        <v>696</v>
      </c>
      <c r="G63" s="8" t="str">
        <f t="shared" si="0"/>
        <v>STRICKLAND EVAN</v>
      </c>
      <c r="H63" s="20" t="str">
        <f t="shared" si="1"/>
        <v>4011</v>
      </c>
    </row>
    <row r="64" spans="1:8" x14ac:dyDescent="0.25">
      <c r="A64" s="26">
        <v>43055.335775462961</v>
      </c>
      <c r="B64" s="20" t="s">
        <v>361</v>
      </c>
      <c r="C64" s="20" t="s">
        <v>730</v>
      </c>
      <c r="D64" s="195">
        <v>900000</v>
      </c>
      <c r="E64" s="20" t="s">
        <v>576</v>
      </c>
      <c r="F64" s="20" t="s">
        <v>577</v>
      </c>
      <c r="G64" s="8" t="str">
        <f t="shared" si="0"/>
        <v>ROCHA YAOTL</v>
      </c>
      <c r="H64" s="20" t="str">
        <f t="shared" si="1"/>
        <v>4007</v>
      </c>
    </row>
    <row r="65" spans="1:8" x14ac:dyDescent="0.25">
      <c r="A65" s="8">
        <v>43055.340115740742</v>
      </c>
      <c r="B65" s="20" t="s">
        <v>585</v>
      </c>
      <c r="C65" s="20" t="s">
        <v>731</v>
      </c>
      <c r="D65" s="195">
        <v>2600000</v>
      </c>
      <c r="E65" s="20" t="s">
        <v>513</v>
      </c>
      <c r="F65" s="20" t="s">
        <v>499</v>
      </c>
      <c r="G65" s="8" t="str">
        <f t="shared" si="0"/>
        <v>DAVIDSON DAVID</v>
      </c>
      <c r="H65" s="20" t="str">
        <f t="shared" si="1"/>
        <v>4015</v>
      </c>
    </row>
    <row r="66" spans="1:8" x14ac:dyDescent="0.25">
      <c r="A66" s="8">
        <v>43055.340891203705</v>
      </c>
      <c r="B66" s="20" t="s">
        <v>463</v>
      </c>
      <c r="C66" s="20" t="s">
        <v>732</v>
      </c>
      <c r="D66" s="195">
        <v>3040000</v>
      </c>
      <c r="E66" s="20" t="s">
        <v>368</v>
      </c>
      <c r="F66" s="20" t="s">
        <v>688</v>
      </c>
      <c r="G66" s="8" t="str">
        <f t="shared" si="0"/>
        <v>WILLIAMS DONTE</v>
      </c>
      <c r="H66" s="20" t="str">
        <f t="shared" si="1"/>
        <v>4052</v>
      </c>
    </row>
    <row r="67" spans="1:8" x14ac:dyDescent="0.25">
      <c r="A67" s="8">
        <v>43055.348703703705</v>
      </c>
      <c r="B67" s="20" t="s">
        <v>675</v>
      </c>
      <c r="C67" s="20" t="s">
        <v>733</v>
      </c>
      <c r="D67" s="195">
        <v>1830000</v>
      </c>
      <c r="E67" s="20" t="s">
        <v>346</v>
      </c>
      <c r="F67" s="20" t="s">
        <v>347</v>
      </c>
      <c r="G67" s="8" t="str">
        <f t="shared" ref="G67:G130" si="2">E67&amp;" "&amp;F67</f>
        <v>YORK EDGAR</v>
      </c>
      <c r="H67" s="20" t="str">
        <f t="shared" ref="H67:H130" si="3">MID(B67,13,4)</f>
        <v>4002</v>
      </c>
    </row>
    <row r="68" spans="1:8" x14ac:dyDescent="0.25">
      <c r="A68" s="8">
        <v>43055.353576388887</v>
      </c>
      <c r="B68" s="20" t="s">
        <v>370</v>
      </c>
      <c r="C68" s="20" t="s">
        <v>734</v>
      </c>
      <c r="D68" s="195">
        <v>1760000</v>
      </c>
      <c r="E68" s="20" t="s">
        <v>695</v>
      </c>
      <c r="F68" s="20" t="s">
        <v>696</v>
      </c>
      <c r="G68" s="8" t="str">
        <f t="shared" si="2"/>
        <v>STRICKLAND EVAN</v>
      </c>
      <c r="H68" s="20" t="str">
        <f t="shared" si="3"/>
        <v>4012</v>
      </c>
    </row>
    <row r="69" spans="1:8" x14ac:dyDescent="0.25">
      <c r="A69" s="8">
        <v>43055.354409722226</v>
      </c>
      <c r="B69" s="20" t="s">
        <v>658</v>
      </c>
      <c r="C69" s="20" t="s">
        <v>735</v>
      </c>
      <c r="D69" s="195">
        <v>3000000</v>
      </c>
      <c r="E69" s="20" t="s">
        <v>541</v>
      </c>
      <c r="F69" s="20" t="s">
        <v>542</v>
      </c>
      <c r="G69" s="8" t="str">
        <f t="shared" si="2"/>
        <v>FORTUNATO FRANK</v>
      </c>
      <c r="H69" s="20" t="str">
        <f t="shared" si="3"/>
        <v>4041</v>
      </c>
    </row>
    <row r="70" spans="1:8" x14ac:dyDescent="0.25">
      <c r="A70" s="8">
        <v>43055.355520833335</v>
      </c>
      <c r="B70" s="20" t="s">
        <v>539</v>
      </c>
      <c r="C70" s="20" t="s">
        <v>736</v>
      </c>
      <c r="D70" s="195">
        <v>1090000</v>
      </c>
      <c r="E70" s="20" t="s">
        <v>512</v>
      </c>
      <c r="F70" s="20" t="s">
        <v>352</v>
      </c>
      <c r="G70" s="8" t="str">
        <f t="shared" si="2"/>
        <v>SPECTOR MICHAEL</v>
      </c>
      <c r="H70" s="20" t="str">
        <f t="shared" si="3"/>
        <v>4003</v>
      </c>
    </row>
    <row r="71" spans="1:8" x14ac:dyDescent="0.25">
      <c r="A71" s="8">
        <v>43055.356909722221</v>
      </c>
      <c r="B71" s="20" t="s">
        <v>539</v>
      </c>
      <c r="C71" s="20" t="s">
        <v>736</v>
      </c>
      <c r="D71" s="195">
        <v>1090000</v>
      </c>
      <c r="E71" s="20" t="s">
        <v>512</v>
      </c>
      <c r="F71" s="20" t="s">
        <v>352</v>
      </c>
      <c r="G71" s="8" t="str">
        <f t="shared" si="2"/>
        <v>SPECTOR MICHAEL</v>
      </c>
      <c r="H71" s="20" t="str">
        <f t="shared" si="3"/>
        <v>4003</v>
      </c>
    </row>
    <row r="72" spans="1:8" x14ac:dyDescent="0.25">
      <c r="A72" s="8">
        <v>43055.359942129631</v>
      </c>
      <c r="B72" s="20" t="s">
        <v>384</v>
      </c>
      <c r="C72" s="20" t="s">
        <v>737</v>
      </c>
      <c r="D72" s="195">
        <v>1230000</v>
      </c>
      <c r="E72" s="20" t="s">
        <v>514</v>
      </c>
      <c r="F72" s="20" t="s">
        <v>515</v>
      </c>
      <c r="G72" s="8" t="str">
        <f t="shared" si="2"/>
        <v>YANAI IAN</v>
      </c>
      <c r="H72" s="20" t="str">
        <f t="shared" si="3"/>
        <v>4062</v>
      </c>
    </row>
    <row r="73" spans="1:8" x14ac:dyDescent="0.25">
      <c r="A73" s="8">
        <v>43055.361134259256</v>
      </c>
      <c r="B73" s="20" t="s">
        <v>362</v>
      </c>
      <c r="C73" s="20" t="s">
        <v>738</v>
      </c>
      <c r="D73" s="195">
        <v>1100000</v>
      </c>
      <c r="E73" s="20" t="s">
        <v>583</v>
      </c>
      <c r="F73" s="20" t="s">
        <v>584</v>
      </c>
      <c r="G73" s="8" t="str">
        <f t="shared" si="2"/>
        <v>GEBRETEKLE DAGNEW</v>
      </c>
      <c r="H73" s="20" t="str">
        <f t="shared" si="3"/>
        <v>4017</v>
      </c>
    </row>
    <row r="74" spans="1:8" x14ac:dyDescent="0.25">
      <c r="A74" s="8">
        <v>43055.371388888889</v>
      </c>
      <c r="B74" s="20" t="s">
        <v>356</v>
      </c>
      <c r="C74" s="20" t="s">
        <v>739</v>
      </c>
      <c r="D74" s="195">
        <v>2010000</v>
      </c>
      <c r="E74" s="20" t="s">
        <v>678</v>
      </c>
      <c r="F74" s="20" t="s">
        <v>679</v>
      </c>
      <c r="G74" s="8" t="str">
        <f t="shared" si="2"/>
        <v>MAELZER KURT</v>
      </c>
      <c r="H74" s="20" t="str">
        <f t="shared" si="3"/>
        <v>4008</v>
      </c>
    </row>
    <row r="75" spans="1:8" x14ac:dyDescent="0.25">
      <c r="A75" s="8">
        <v>43055.374236111114</v>
      </c>
      <c r="B75" s="20" t="s">
        <v>662</v>
      </c>
      <c r="C75" s="20" t="s">
        <v>740</v>
      </c>
      <c r="D75" s="195">
        <v>3000000</v>
      </c>
      <c r="E75" s="20" t="s">
        <v>541</v>
      </c>
      <c r="F75" s="20" t="s">
        <v>542</v>
      </c>
      <c r="G75" s="8" t="str">
        <f t="shared" si="2"/>
        <v>FORTUNATO FRANK</v>
      </c>
      <c r="H75" s="20" t="str">
        <f t="shared" si="3"/>
        <v>4042</v>
      </c>
    </row>
    <row r="76" spans="1:8" x14ac:dyDescent="0.25">
      <c r="A76" s="8">
        <v>43055.379756944443</v>
      </c>
      <c r="B76" s="20" t="s">
        <v>467</v>
      </c>
      <c r="C76" s="20" t="s">
        <v>741</v>
      </c>
      <c r="D76" s="195">
        <v>3040000</v>
      </c>
      <c r="E76" s="20" t="s">
        <v>368</v>
      </c>
      <c r="F76" s="20" t="s">
        <v>688</v>
      </c>
      <c r="G76" s="8" t="str">
        <f t="shared" si="2"/>
        <v>WILLIAMS DONTE</v>
      </c>
      <c r="H76" s="20" t="str">
        <f t="shared" si="3"/>
        <v>4051</v>
      </c>
    </row>
    <row r="77" spans="1:8" x14ac:dyDescent="0.25">
      <c r="A77" s="8">
        <v>43055.380486111113</v>
      </c>
      <c r="B77" s="20" t="s">
        <v>682</v>
      </c>
      <c r="C77" s="20" t="s">
        <v>742</v>
      </c>
      <c r="D77" s="195">
        <v>1830000</v>
      </c>
      <c r="E77" s="20" t="s">
        <v>346</v>
      </c>
      <c r="F77" s="20" t="s">
        <v>347</v>
      </c>
      <c r="G77" s="8" t="str">
        <f t="shared" si="2"/>
        <v>YORK EDGAR</v>
      </c>
      <c r="H77" s="20" t="str">
        <f t="shared" si="3"/>
        <v>4001</v>
      </c>
    </row>
    <row r="78" spans="1:8" x14ac:dyDescent="0.25">
      <c r="A78" s="8">
        <v>43055.380659722221</v>
      </c>
      <c r="B78" s="20" t="s">
        <v>586</v>
      </c>
      <c r="C78" s="20" t="s">
        <v>743</v>
      </c>
      <c r="D78" s="195">
        <v>2600000</v>
      </c>
      <c r="E78" s="20" t="s">
        <v>513</v>
      </c>
      <c r="F78" s="20" t="s">
        <v>499</v>
      </c>
      <c r="G78" s="8" t="str">
        <f t="shared" si="2"/>
        <v>DAVIDSON DAVID</v>
      </c>
      <c r="H78" s="20" t="str">
        <f t="shared" si="3"/>
        <v>4016</v>
      </c>
    </row>
    <row r="79" spans="1:8" x14ac:dyDescent="0.25">
      <c r="A79" s="8">
        <v>43055.390208333331</v>
      </c>
      <c r="B79" s="20" t="s">
        <v>386</v>
      </c>
      <c r="C79" s="20" t="s">
        <v>657</v>
      </c>
      <c r="D79" s="195">
        <v>1230000</v>
      </c>
      <c r="E79" s="20" t="s">
        <v>514</v>
      </c>
      <c r="F79" s="20" t="s">
        <v>515</v>
      </c>
      <c r="G79" s="8" t="str">
        <f t="shared" si="2"/>
        <v>YANAI IAN</v>
      </c>
      <c r="H79" s="20" t="str">
        <f t="shared" si="3"/>
        <v>4061</v>
      </c>
    </row>
    <row r="80" spans="1:8" x14ac:dyDescent="0.25">
      <c r="A80" s="8">
        <v>43055.392094907409</v>
      </c>
      <c r="B80" s="20" t="s">
        <v>673</v>
      </c>
      <c r="C80" s="20" t="s">
        <v>744</v>
      </c>
      <c r="D80" s="195">
        <v>3700000</v>
      </c>
      <c r="E80" s="20" t="s">
        <v>453</v>
      </c>
      <c r="F80" s="20" t="s">
        <v>369</v>
      </c>
      <c r="G80" s="8" t="str">
        <f t="shared" si="2"/>
        <v>AUSTIN THOMPSON</v>
      </c>
      <c r="H80" s="20" t="str">
        <f t="shared" si="3"/>
        <v>4004</v>
      </c>
    </row>
    <row r="81" spans="1:8" x14ac:dyDescent="0.25">
      <c r="A81" s="8">
        <v>43055.393368055556</v>
      </c>
      <c r="B81" s="20" t="s">
        <v>673</v>
      </c>
      <c r="C81" s="20" t="s">
        <v>744</v>
      </c>
      <c r="D81" s="195">
        <v>3700000</v>
      </c>
      <c r="E81" s="20" t="s">
        <v>453</v>
      </c>
      <c r="F81" s="20" t="s">
        <v>369</v>
      </c>
      <c r="G81" s="8" t="str">
        <f t="shared" si="2"/>
        <v>AUSTIN THOMPSON</v>
      </c>
      <c r="H81" s="20" t="str">
        <f t="shared" si="3"/>
        <v>4004</v>
      </c>
    </row>
    <row r="82" spans="1:8" x14ac:dyDescent="0.25">
      <c r="A82" s="8">
        <v>43055.394247685188</v>
      </c>
      <c r="B82" s="20" t="s">
        <v>658</v>
      </c>
      <c r="C82" s="20" t="s">
        <v>745</v>
      </c>
      <c r="D82" s="195">
        <v>3000000</v>
      </c>
      <c r="E82" s="20" t="s">
        <v>541</v>
      </c>
      <c r="F82" s="20" t="s">
        <v>542</v>
      </c>
      <c r="G82" s="8" t="str">
        <f t="shared" si="2"/>
        <v>FORTUNATO FRANK</v>
      </c>
      <c r="H82" s="20" t="str">
        <f t="shared" si="3"/>
        <v>4041</v>
      </c>
    </row>
    <row r="83" spans="1:8" x14ac:dyDescent="0.25">
      <c r="A83" s="8">
        <v>43055.394259259258</v>
      </c>
      <c r="B83" s="20" t="s">
        <v>673</v>
      </c>
      <c r="C83" s="20" t="s">
        <v>744</v>
      </c>
      <c r="D83" s="195">
        <v>3700000</v>
      </c>
      <c r="E83" s="20" t="s">
        <v>453</v>
      </c>
      <c r="F83" s="20" t="s">
        <v>369</v>
      </c>
      <c r="G83" s="8" t="str">
        <f t="shared" si="2"/>
        <v>AUSTIN THOMPSON</v>
      </c>
      <c r="H83" s="20" t="str">
        <f t="shared" si="3"/>
        <v>4004</v>
      </c>
    </row>
    <row r="84" spans="1:8" x14ac:dyDescent="0.25">
      <c r="A84" s="8">
        <v>43055.395532407405</v>
      </c>
      <c r="B84" s="20" t="s">
        <v>673</v>
      </c>
      <c r="C84" s="20" t="s">
        <v>744</v>
      </c>
      <c r="D84" s="195">
        <v>3700000</v>
      </c>
      <c r="E84" s="20" t="s">
        <v>453</v>
      </c>
      <c r="F84" s="20" t="s">
        <v>369</v>
      </c>
      <c r="G84" s="8" t="str">
        <f t="shared" si="2"/>
        <v>AUSTIN THOMPSON</v>
      </c>
      <c r="H84" s="20" t="str">
        <f t="shared" si="3"/>
        <v>4004</v>
      </c>
    </row>
    <row r="85" spans="1:8" x14ac:dyDescent="0.25">
      <c r="A85" s="8">
        <v>43055.400555555556</v>
      </c>
      <c r="B85" s="20" t="s">
        <v>360</v>
      </c>
      <c r="C85" s="20" t="s">
        <v>746</v>
      </c>
      <c r="D85" s="195">
        <v>1100000</v>
      </c>
      <c r="E85" s="20" t="s">
        <v>583</v>
      </c>
      <c r="F85" s="20" t="s">
        <v>584</v>
      </c>
      <c r="G85" s="8" t="str">
        <f t="shared" si="2"/>
        <v>GEBRETEKLE DAGNEW</v>
      </c>
      <c r="H85" s="20" t="str">
        <f t="shared" si="3"/>
        <v>4018</v>
      </c>
    </row>
    <row r="86" spans="1:8" x14ac:dyDescent="0.25">
      <c r="A86" s="8">
        <v>43055.407233796293</v>
      </c>
      <c r="B86" s="20" t="s">
        <v>361</v>
      </c>
      <c r="C86" s="20" t="s">
        <v>747</v>
      </c>
      <c r="D86" s="195">
        <v>2010000</v>
      </c>
      <c r="E86" s="20" t="s">
        <v>678</v>
      </c>
      <c r="F86" s="20" t="s">
        <v>679</v>
      </c>
      <c r="G86" s="8" t="str">
        <f t="shared" si="2"/>
        <v>MAELZER KURT</v>
      </c>
      <c r="H86" s="20" t="str">
        <f t="shared" si="3"/>
        <v>4007</v>
      </c>
    </row>
    <row r="87" spans="1:8" x14ac:dyDescent="0.25">
      <c r="A87" s="8">
        <v>43055.41300925926</v>
      </c>
      <c r="B87" s="20" t="s">
        <v>585</v>
      </c>
      <c r="C87" s="20" t="s">
        <v>748</v>
      </c>
      <c r="D87" s="195">
        <v>2600000</v>
      </c>
      <c r="E87" s="20" t="s">
        <v>513</v>
      </c>
      <c r="F87" s="20" t="s">
        <v>499</v>
      </c>
      <c r="G87" s="8" t="str">
        <f t="shared" si="2"/>
        <v>DAVIDSON DAVID</v>
      </c>
      <c r="H87" s="20" t="str">
        <f t="shared" si="3"/>
        <v>4015</v>
      </c>
    </row>
    <row r="88" spans="1:8" x14ac:dyDescent="0.25">
      <c r="A88" s="8">
        <v>43055.413101851853</v>
      </c>
      <c r="B88" s="20" t="s">
        <v>463</v>
      </c>
      <c r="C88" s="20" t="s">
        <v>749</v>
      </c>
      <c r="D88" s="195">
        <v>3040000</v>
      </c>
      <c r="E88" s="20" t="s">
        <v>368</v>
      </c>
      <c r="F88" s="20" t="s">
        <v>688</v>
      </c>
      <c r="G88" s="8" t="str">
        <f t="shared" si="2"/>
        <v>WILLIAMS DONTE</v>
      </c>
      <c r="H88" s="20" t="str">
        <f t="shared" si="3"/>
        <v>4052</v>
      </c>
    </row>
    <row r="89" spans="1:8" x14ac:dyDescent="0.25">
      <c r="A89" s="8">
        <v>43055.41846064815</v>
      </c>
      <c r="B89" s="20" t="s">
        <v>662</v>
      </c>
      <c r="C89" s="20" t="s">
        <v>750</v>
      </c>
      <c r="D89" s="195">
        <v>3000000</v>
      </c>
      <c r="E89" s="20" t="s">
        <v>541</v>
      </c>
      <c r="F89" s="20" t="s">
        <v>542</v>
      </c>
      <c r="G89" s="8" t="str">
        <f t="shared" si="2"/>
        <v>FORTUNATO FRANK</v>
      </c>
      <c r="H89" s="20" t="str">
        <f t="shared" si="3"/>
        <v>4042</v>
      </c>
    </row>
    <row r="90" spans="1:8" x14ac:dyDescent="0.25">
      <c r="A90" s="8">
        <v>43055.421851851854</v>
      </c>
      <c r="B90" s="20" t="s">
        <v>675</v>
      </c>
      <c r="C90" s="20" t="s">
        <v>751</v>
      </c>
      <c r="D90" s="195">
        <v>1760000</v>
      </c>
      <c r="E90" s="20" t="s">
        <v>695</v>
      </c>
      <c r="F90" s="20" t="s">
        <v>696</v>
      </c>
      <c r="G90" s="8" t="str">
        <f t="shared" si="2"/>
        <v>STRICKLAND EVAN</v>
      </c>
      <c r="H90" s="20" t="str">
        <f t="shared" si="3"/>
        <v>4002</v>
      </c>
    </row>
    <row r="91" spans="1:8" x14ac:dyDescent="0.25">
      <c r="A91" s="8">
        <v>43055.431967592594</v>
      </c>
      <c r="B91" s="20" t="s">
        <v>362</v>
      </c>
      <c r="C91" s="20" t="s">
        <v>752</v>
      </c>
      <c r="D91" s="195">
        <v>1100000</v>
      </c>
      <c r="E91" s="20" t="s">
        <v>583</v>
      </c>
      <c r="F91" s="20" t="s">
        <v>584</v>
      </c>
      <c r="G91" s="8" t="str">
        <f t="shared" si="2"/>
        <v>GEBRETEKLE DAGNEW</v>
      </c>
      <c r="H91" s="20" t="str">
        <f t="shared" si="3"/>
        <v>4017</v>
      </c>
    </row>
    <row r="92" spans="1:8" x14ac:dyDescent="0.25">
      <c r="A92" s="8">
        <v>43055.432326388887</v>
      </c>
      <c r="B92" s="20" t="s">
        <v>539</v>
      </c>
      <c r="C92" s="20" t="s">
        <v>753</v>
      </c>
      <c r="D92" s="195">
        <v>3700000</v>
      </c>
      <c r="E92" s="20" t="s">
        <v>453</v>
      </c>
      <c r="F92" s="20" t="s">
        <v>369</v>
      </c>
      <c r="G92" s="8" t="str">
        <f t="shared" si="2"/>
        <v>AUSTIN THOMPSON</v>
      </c>
      <c r="H92" s="20" t="str">
        <f t="shared" si="3"/>
        <v>4003</v>
      </c>
    </row>
    <row r="93" spans="1:8" x14ac:dyDescent="0.25">
      <c r="A93" s="8">
        <v>43055.433229166665</v>
      </c>
      <c r="B93" s="20" t="s">
        <v>384</v>
      </c>
      <c r="C93" s="20" t="s">
        <v>754</v>
      </c>
      <c r="D93" s="195">
        <v>1230000</v>
      </c>
      <c r="E93" s="20" t="s">
        <v>514</v>
      </c>
      <c r="F93" s="20" t="s">
        <v>515</v>
      </c>
      <c r="G93" s="8" t="str">
        <f t="shared" si="2"/>
        <v>YANAI IAN</v>
      </c>
      <c r="H93" s="20" t="str">
        <f t="shared" si="3"/>
        <v>4062</v>
      </c>
    </row>
    <row r="94" spans="1:8" x14ac:dyDescent="0.25">
      <c r="A94" s="8">
        <v>43055.434502314813</v>
      </c>
      <c r="B94" s="20" t="s">
        <v>658</v>
      </c>
      <c r="C94" s="20" t="s">
        <v>755</v>
      </c>
      <c r="D94" s="195">
        <v>3000000</v>
      </c>
      <c r="E94" s="20" t="s">
        <v>541</v>
      </c>
      <c r="F94" s="20" t="s">
        <v>542</v>
      </c>
      <c r="G94" s="8" t="str">
        <f t="shared" si="2"/>
        <v>FORTUNATO FRANK</v>
      </c>
      <c r="H94" s="20" t="str">
        <f t="shared" si="3"/>
        <v>4041</v>
      </c>
    </row>
    <row r="95" spans="1:8" x14ac:dyDescent="0.25">
      <c r="A95" s="8">
        <v>43055.44425925926</v>
      </c>
      <c r="B95" s="20" t="s">
        <v>356</v>
      </c>
      <c r="C95" s="20" t="s">
        <v>756</v>
      </c>
      <c r="D95" s="195">
        <v>2550000</v>
      </c>
      <c r="E95" s="20" t="s">
        <v>757</v>
      </c>
      <c r="F95" s="20" t="s">
        <v>758</v>
      </c>
      <c r="G95" s="8" t="str">
        <f t="shared" si="2"/>
        <v>BADERTSCHER DIANE</v>
      </c>
      <c r="H95" s="20" t="str">
        <f t="shared" si="3"/>
        <v>4008</v>
      </c>
    </row>
    <row r="96" spans="1:8" x14ac:dyDescent="0.25">
      <c r="A96" s="8">
        <v>43055.447222222225</v>
      </c>
      <c r="B96" s="20" t="s">
        <v>575</v>
      </c>
      <c r="C96" s="20" t="s">
        <v>759</v>
      </c>
      <c r="D96" s="195">
        <v>2040000</v>
      </c>
      <c r="E96" s="20" t="s">
        <v>397</v>
      </c>
      <c r="F96" s="20" t="s">
        <v>398</v>
      </c>
      <c r="G96" s="8" t="str">
        <f t="shared" si="2"/>
        <v>MOSES BRADLEY</v>
      </c>
      <c r="H96" s="20" t="str">
        <f t="shared" si="3"/>
        <v>4025</v>
      </c>
    </row>
    <row r="97" spans="1:8" x14ac:dyDescent="0.25">
      <c r="A97" s="8">
        <v>43055.451157407406</v>
      </c>
      <c r="B97" s="20" t="s">
        <v>467</v>
      </c>
      <c r="C97" s="20" t="s">
        <v>760</v>
      </c>
      <c r="D97" s="195">
        <v>3040000</v>
      </c>
      <c r="E97" s="20" t="s">
        <v>368</v>
      </c>
      <c r="F97" s="20" t="s">
        <v>688</v>
      </c>
      <c r="G97" s="8" t="str">
        <f t="shared" si="2"/>
        <v>WILLIAMS DONTE</v>
      </c>
      <c r="H97" s="20" t="str">
        <f t="shared" si="3"/>
        <v>4051</v>
      </c>
    </row>
    <row r="98" spans="1:8" x14ac:dyDescent="0.25">
      <c r="A98" s="8">
        <v>43055.453935185185</v>
      </c>
      <c r="B98" s="20" t="s">
        <v>586</v>
      </c>
      <c r="C98" s="20" t="s">
        <v>761</v>
      </c>
      <c r="D98" s="195">
        <v>2600000</v>
      </c>
      <c r="E98" s="20" t="s">
        <v>513</v>
      </c>
      <c r="F98" s="20" t="s">
        <v>499</v>
      </c>
      <c r="G98" s="8" t="str">
        <f t="shared" si="2"/>
        <v>DAVIDSON DAVID</v>
      </c>
      <c r="H98" s="20" t="str">
        <f t="shared" si="3"/>
        <v>4016</v>
      </c>
    </row>
    <row r="99" spans="1:8" x14ac:dyDescent="0.25">
      <c r="A99" s="8">
        <v>43055.454918981479</v>
      </c>
      <c r="B99" s="20" t="s">
        <v>682</v>
      </c>
      <c r="C99" s="20" t="s">
        <v>762</v>
      </c>
      <c r="D99" s="195">
        <v>1760000</v>
      </c>
      <c r="E99" s="20" t="s">
        <v>695</v>
      </c>
      <c r="F99" s="20" t="s">
        <v>696</v>
      </c>
      <c r="G99" s="8" t="str">
        <f t="shared" si="2"/>
        <v>STRICKLAND EVAN</v>
      </c>
      <c r="H99" s="20" t="str">
        <f t="shared" si="3"/>
        <v>4001</v>
      </c>
    </row>
    <row r="100" spans="1:8" x14ac:dyDescent="0.25">
      <c r="A100" s="8">
        <v>43055.457974537036</v>
      </c>
      <c r="B100" s="20" t="s">
        <v>662</v>
      </c>
      <c r="C100" s="20" t="s">
        <v>763</v>
      </c>
      <c r="D100" s="195">
        <v>3000000</v>
      </c>
      <c r="E100" s="20" t="s">
        <v>541</v>
      </c>
      <c r="F100" s="20" t="s">
        <v>542</v>
      </c>
      <c r="G100" s="8" t="str">
        <f t="shared" si="2"/>
        <v>FORTUNATO FRANK</v>
      </c>
      <c r="H100" s="20" t="str">
        <f t="shared" si="3"/>
        <v>4042</v>
      </c>
    </row>
    <row r="101" spans="1:8" x14ac:dyDescent="0.25">
      <c r="A101" s="8">
        <v>43055.462800925925</v>
      </c>
      <c r="B101" s="20" t="s">
        <v>366</v>
      </c>
      <c r="C101" s="20" t="s">
        <v>764</v>
      </c>
      <c r="D101" s="195">
        <v>3330000</v>
      </c>
      <c r="E101" s="20" t="s">
        <v>765</v>
      </c>
      <c r="F101" s="20" t="s">
        <v>766</v>
      </c>
      <c r="G101" s="8" t="str">
        <f t="shared" si="2"/>
        <v>GONZALEZ ARMANDO</v>
      </c>
      <c r="H101" s="20" t="str">
        <f t="shared" si="3"/>
        <v>4036</v>
      </c>
    </row>
    <row r="102" spans="1:8" x14ac:dyDescent="0.25">
      <c r="A102" s="8">
        <v>43055.463784722226</v>
      </c>
      <c r="B102" s="20" t="s">
        <v>386</v>
      </c>
      <c r="C102" s="20" t="s">
        <v>767</v>
      </c>
      <c r="D102" s="195">
        <v>1230000</v>
      </c>
      <c r="E102" s="20" t="s">
        <v>514</v>
      </c>
      <c r="F102" s="20" t="s">
        <v>515</v>
      </c>
      <c r="G102" s="8" t="str">
        <f t="shared" si="2"/>
        <v>YANAI IAN</v>
      </c>
      <c r="H102" s="20" t="str">
        <f t="shared" si="3"/>
        <v>4061</v>
      </c>
    </row>
    <row r="103" spans="1:8" x14ac:dyDescent="0.25">
      <c r="A103" s="8">
        <v>43055.465555555558</v>
      </c>
      <c r="B103" s="20" t="s">
        <v>673</v>
      </c>
      <c r="C103" s="20" t="s">
        <v>768</v>
      </c>
      <c r="D103" s="195">
        <v>1770000</v>
      </c>
      <c r="E103" s="20" t="s">
        <v>543</v>
      </c>
      <c r="F103" s="20" t="s">
        <v>544</v>
      </c>
      <c r="G103" s="8" t="str">
        <f t="shared" si="2"/>
        <v>BRUDER RICHARD</v>
      </c>
      <c r="H103" s="20" t="str">
        <f t="shared" si="3"/>
        <v>4004</v>
      </c>
    </row>
    <row r="104" spans="1:8" x14ac:dyDescent="0.25">
      <c r="A104" s="8">
        <v>43055.474953703706</v>
      </c>
      <c r="B104" s="20" t="s">
        <v>360</v>
      </c>
      <c r="C104" s="20" t="s">
        <v>769</v>
      </c>
      <c r="D104" s="195">
        <v>880000</v>
      </c>
      <c r="E104" s="20" t="s">
        <v>380</v>
      </c>
      <c r="F104" s="20" t="s">
        <v>352</v>
      </c>
      <c r="G104" s="8" t="str">
        <f t="shared" si="2"/>
        <v>STEWART MICHAEL</v>
      </c>
      <c r="H104" s="20" t="str">
        <f t="shared" si="3"/>
        <v>4018</v>
      </c>
    </row>
    <row r="105" spans="1:8" x14ac:dyDescent="0.25">
      <c r="A105" s="8">
        <v>43055.476168981484</v>
      </c>
      <c r="B105" s="20" t="s">
        <v>582</v>
      </c>
      <c r="C105" s="20" t="s">
        <v>770</v>
      </c>
      <c r="D105" s="195">
        <v>940000</v>
      </c>
      <c r="E105" s="20" t="s">
        <v>580</v>
      </c>
      <c r="F105" s="20" t="s">
        <v>581</v>
      </c>
      <c r="G105" s="8" t="str">
        <f t="shared" si="2"/>
        <v>BONDS REYNALDO</v>
      </c>
      <c r="H105" s="20" t="str">
        <f t="shared" si="3"/>
        <v>4026</v>
      </c>
    </row>
    <row r="106" spans="1:8" x14ac:dyDescent="0.25">
      <c r="A106" s="8">
        <v>43055.477164351854</v>
      </c>
      <c r="B106" s="20" t="s">
        <v>582</v>
      </c>
      <c r="C106" s="20" t="s">
        <v>770</v>
      </c>
      <c r="D106" s="195">
        <v>940000</v>
      </c>
      <c r="E106" s="20" t="s">
        <v>580</v>
      </c>
      <c r="F106" s="20" t="s">
        <v>581</v>
      </c>
      <c r="G106" s="8" t="str">
        <f t="shared" si="2"/>
        <v>BONDS REYNALDO</v>
      </c>
      <c r="H106" s="20" t="str">
        <f t="shared" si="3"/>
        <v>4026</v>
      </c>
    </row>
    <row r="107" spans="1:8" x14ac:dyDescent="0.25">
      <c r="A107" s="8">
        <v>43055.477280092593</v>
      </c>
      <c r="B107" s="20" t="s">
        <v>658</v>
      </c>
      <c r="C107" s="20" t="s">
        <v>659</v>
      </c>
      <c r="D107" s="195">
        <v>3000000</v>
      </c>
      <c r="E107" s="20" t="s">
        <v>541</v>
      </c>
      <c r="F107" s="20" t="s">
        <v>542</v>
      </c>
      <c r="G107" s="8" t="str">
        <f t="shared" si="2"/>
        <v>FORTUNATO FRANK</v>
      </c>
      <c r="H107" s="20" t="str">
        <f t="shared" si="3"/>
        <v>4041</v>
      </c>
    </row>
    <row r="108" spans="1:8" x14ac:dyDescent="0.25">
      <c r="A108" s="8">
        <v>43055.481076388889</v>
      </c>
      <c r="B108" s="20" t="s">
        <v>361</v>
      </c>
      <c r="C108" s="20" t="s">
        <v>771</v>
      </c>
      <c r="D108" s="195">
        <v>2550000</v>
      </c>
      <c r="E108" s="20" t="s">
        <v>757</v>
      </c>
      <c r="F108" s="20" t="s">
        <v>758</v>
      </c>
      <c r="G108" s="8" t="str">
        <f t="shared" si="2"/>
        <v>BADERTSCHER DIANE</v>
      </c>
      <c r="H108" s="20" t="str">
        <f t="shared" si="3"/>
        <v>4007</v>
      </c>
    </row>
    <row r="109" spans="1:8" x14ac:dyDescent="0.25">
      <c r="A109" s="8">
        <v>43055.482662037037</v>
      </c>
      <c r="B109" s="20" t="s">
        <v>361</v>
      </c>
      <c r="C109" s="20" t="s">
        <v>771</v>
      </c>
      <c r="D109" s="195">
        <v>2550000</v>
      </c>
      <c r="E109" s="20" t="s">
        <v>757</v>
      </c>
      <c r="F109" s="20" t="s">
        <v>758</v>
      </c>
      <c r="G109" s="8" t="str">
        <f t="shared" si="2"/>
        <v>BADERTSCHER DIANE</v>
      </c>
      <c r="H109" s="20" t="str">
        <f t="shared" si="3"/>
        <v>4007</v>
      </c>
    </row>
    <row r="110" spans="1:8" x14ac:dyDescent="0.25">
      <c r="A110" s="8">
        <v>43055.485694444447</v>
      </c>
      <c r="B110" s="20" t="s">
        <v>463</v>
      </c>
      <c r="C110" s="20" t="s">
        <v>772</v>
      </c>
      <c r="D110" s="195">
        <v>1300000</v>
      </c>
      <c r="E110" s="20" t="s">
        <v>358</v>
      </c>
      <c r="F110" s="20" t="s">
        <v>359</v>
      </c>
      <c r="G110" s="8" t="str">
        <f t="shared" si="2"/>
        <v>LEVIN SCOTT</v>
      </c>
      <c r="H110" s="20" t="str">
        <f t="shared" si="3"/>
        <v>4052</v>
      </c>
    </row>
    <row r="111" spans="1:8" x14ac:dyDescent="0.25">
      <c r="A111" s="8">
        <v>43055.486250000002</v>
      </c>
      <c r="B111" s="20" t="s">
        <v>585</v>
      </c>
      <c r="C111" s="20" t="s">
        <v>773</v>
      </c>
      <c r="D111" s="195">
        <v>2600000</v>
      </c>
      <c r="E111" s="20" t="s">
        <v>513</v>
      </c>
      <c r="F111" s="20" t="s">
        <v>499</v>
      </c>
      <c r="G111" s="8" t="str">
        <f t="shared" si="2"/>
        <v>DAVIDSON DAVID</v>
      </c>
      <c r="H111" s="20" t="str">
        <f t="shared" si="3"/>
        <v>4015</v>
      </c>
    </row>
    <row r="112" spans="1:8" x14ac:dyDescent="0.25">
      <c r="A112" s="8">
        <v>43055.49659722222</v>
      </c>
      <c r="B112" s="20" t="s">
        <v>675</v>
      </c>
      <c r="C112" s="20" t="s">
        <v>774</v>
      </c>
      <c r="D112" s="195">
        <v>2030000</v>
      </c>
      <c r="E112" s="20" t="s">
        <v>591</v>
      </c>
      <c r="F112" s="20" t="s">
        <v>499</v>
      </c>
      <c r="G112" s="8" t="str">
        <f t="shared" si="2"/>
        <v>KILLION DAVID</v>
      </c>
      <c r="H112" s="20" t="str">
        <f t="shared" si="3"/>
        <v>4002</v>
      </c>
    </row>
    <row r="113" spans="1:8" x14ac:dyDescent="0.25">
      <c r="A113" s="8">
        <v>43055.499305555553</v>
      </c>
      <c r="B113" s="20" t="s">
        <v>662</v>
      </c>
      <c r="C113" s="20" t="s">
        <v>775</v>
      </c>
      <c r="D113" s="195">
        <v>3000000</v>
      </c>
      <c r="E113" s="20" t="s">
        <v>541</v>
      </c>
      <c r="F113" s="20" t="s">
        <v>542</v>
      </c>
      <c r="G113" s="8" t="str">
        <f t="shared" si="2"/>
        <v>FORTUNATO FRANK</v>
      </c>
      <c r="H113" s="20" t="str">
        <f t="shared" si="3"/>
        <v>4042</v>
      </c>
    </row>
    <row r="114" spans="1:8" x14ac:dyDescent="0.25">
      <c r="A114" s="8">
        <v>43055.504004629627</v>
      </c>
      <c r="B114" s="20" t="s">
        <v>384</v>
      </c>
      <c r="C114" s="20" t="s">
        <v>660</v>
      </c>
      <c r="D114" s="195">
        <v>2140000</v>
      </c>
      <c r="E114" s="20" t="s">
        <v>776</v>
      </c>
      <c r="F114" s="20" t="s">
        <v>777</v>
      </c>
      <c r="G114" s="8" t="str">
        <f t="shared" si="2"/>
        <v>ROBINSON KADDIBA</v>
      </c>
      <c r="H114" s="20" t="str">
        <f t="shared" si="3"/>
        <v>4062</v>
      </c>
    </row>
    <row r="115" spans="1:8" x14ac:dyDescent="0.25">
      <c r="A115" s="8">
        <v>43055.505972222221</v>
      </c>
      <c r="B115" s="20" t="s">
        <v>539</v>
      </c>
      <c r="C115" s="20" t="s">
        <v>778</v>
      </c>
      <c r="D115" s="195">
        <v>1770000</v>
      </c>
      <c r="E115" s="20" t="s">
        <v>543</v>
      </c>
      <c r="F115" s="20" t="s">
        <v>544</v>
      </c>
      <c r="G115" s="8" t="str">
        <f t="shared" si="2"/>
        <v>BRUDER RICHARD</v>
      </c>
      <c r="H115" s="20" t="str">
        <f t="shared" si="3"/>
        <v>4003</v>
      </c>
    </row>
    <row r="116" spans="1:8" x14ac:dyDescent="0.25">
      <c r="A116" s="8">
        <v>43055.517407407409</v>
      </c>
      <c r="B116" s="20" t="s">
        <v>362</v>
      </c>
      <c r="C116" s="20" t="s">
        <v>779</v>
      </c>
      <c r="D116" s="195">
        <v>880000</v>
      </c>
      <c r="E116" s="20" t="s">
        <v>380</v>
      </c>
      <c r="F116" s="20" t="s">
        <v>352</v>
      </c>
      <c r="G116" s="8" t="str">
        <f t="shared" si="2"/>
        <v>STEWART MICHAEL</v>
      </c>
      <c r="H116" s="20" t="str">
        <f t="shared" si="3"/>
        <v>4017</v>
      </c>
    </row>
    <row r="117" spans="1:8" x14ac:dyDescent="0.25">
      <c r="A117" s="8">
        <v>43055.51771990741</v>
      </c>
      <c r="B117" s="20" t="s">
        <v>356</v>
      </c>
      <c r="C117" s="20" t="s">
        <v>780</v>
      </c>
      <c r="D117" s="195">
        <v>2550000</v>
      </c>
      <c r="E117" s="20" t="s">
        <v>757</v>
      </c>
      <c r="F117" s="20" t="s">
        <v>758</v>
      </c>
      <c r="G117" s="8" t="str">
        <f t="shared" si="2"/>
        <v>BADERTSCHER DIANE</v>
      </c>
      <c r="H117" s="20" t="str">
        <f t="shared" si="3"/>
        <v>4008</v>
      </c>
    </row>
    <row r="118" spans="1:8" x14ac:dyDescent="0.25">
      <c r="A118" s="8">
        <v>43055.51835648148</v>
      </c>
      <c r="B118" s="20" t="s">
        <v>658</v>
      </c>
      <c r="C118" s="20" t="s">
        <v>781</v>
      </c>
      <c r="D118" s="195">
        <v>3000000</v>
      </c>
      <c r="E118" s="20" t="s">
        <v>541</v>
      </c>
      <c r="F118" s="20" t="s">
        <v>542</v>
      </c>
      <c r="G118" s="8" t="str">
        <f t="shared" si="2"/>
        <v>FORTUNATO FRANK</v>
      </c>
      <c r="H118" s="20" t="str">
        <f t="shared" si="3"/>
        <v>4041</v>
      </c>
    </row>
    <row r="119" spans="1:8" x14ac:dyDescent="0.25">
      <c r="A119" s="8">
        <v>43055.521365740744</v>
      </c>
      <c r="B119" s="20" t="s">
        <v>467</v>
      </c>
      <c r="C119" s="20" t="s">
        <v>782</v>
      </c>
      <c r="D119" s="195">
        <v>1300000</v>
      </c>
      <c r="E119" s="20" t="s">
        <v>358</v>
      </c>
      <c r="F119" s="20" t="s">
        <v>359</v>
      </c>
      <c r="G119" s="8" t="str">
        <f t="shared" si="2"/>
        <v>LEVIN SCOTT</v>
      </c>
      <c r="H119" s="20" t="str">
        <f t="shared" si="3"/>
        <v>4051</v>
      </c>
    </row>
    <row r="120" spans="1:8" x14ac:dyDescent="0.25">
      <c r="A120" s="8">
        <v>43055.528090277781</v>
      </c>
      <c r="B120" s="20" t="s">
        <v>586</v>
      </c>
      <c r="C120" s="20" t="s">
        <v>783</v>
      </c>
      <c r="D120" s="195">
        <v>2420000</v>
      </c>
      <c r="E120" s="20" t="s">
        <v>589</v>
      </c>
      <c r="F120" s="20" t="s">
        <v>590</v>
      </c>
      <c r="G120" s="8" t="str">
        <f t="shared" si="2"/>
        <v>HOLCOMB KAMDEN</v>
      </c>
      <c r="H120" s="20" t="str">
        <f t="shared" si="3"/>
        <v>4016</v>
      </c>
    </row>
    <row r="121" spans="1:8" x14ac:dyDescent="0.25">
      <c r="A121" s="8">
        <v>43055.532083333332</v>
      </c>
      <c r="B121" s="20" t="s">
        <v>682</v>
      </c>
      <c r="C121" s="20" t="s">
        <v>784</v>
      </c>
      <c r="D121" s="195">
        <v>2030000</v>
      </c>
      <c r="E121" s="20" t="s">
        <v>591</v>
      </c>
      <c r="F121" s="20" t="s">
        <v>499</v>
      </c>
      <c r="G121" s="8" t="str">
        <f t="shared" si="2"/>
        <v>KILLION DAVID</v>
      </c>
      <c r="H121" s="20" t="str">
        <f t="shared" si="3"/>
        <v>4001</v>
      </c>
    </row>
    <row r="122" spans="1:8" x14ac:dyDescent="0.25">
      <c r="A122" s="8">
        <v>43055.538715277777</v>
      </c>
      <c r="B122" s="25" t="s">
        <v>673</v>
      </c>
      <c r="C122" s="20" t="s">
        <v>785</v>
      </c>
      <c r="D122" s="195">
        <v>1770000</v>
      </c>
      <c r="E122" s="20" t="s">
        <v>543</v>
      </c>
      <c r="F122" s="20" t="s">
        <v>544</v>
      </c>
      <c r="G122" s="8" t="str">
        <f t="shared" si="2"/>
        <v>BRUDER RICHARD</v>
      </c>
      <c r="H122" s="20" t="str">
        <f t="shared" si="3"/>
        <v>4004</v>
      </c>
    </row>
    <row r="123" spans="1:8" x14ac:dyDescent="0.25">
      <c r="A123" s="8">
        <v>43055.540902777779</v>
      </c>
      <c r="B123" s="20" t="s">
        <v>386</v>
      </c>
      <c r="C123" s="20" t="s">
        <v>786</v>
      </c>
      <c r="D123" s="195">
        <v>2140000</v>
      </c>
      <c r="E123" s="20" t="s">
        <v>776</v>
      </c>
      <c r="F123" s="20" t="s">
        <v>777</v>
      </c>
      <c r="G123" s="8" t="str">
        <f t="shared" si="2"/>
        <v>ROBINSON KADDIBA</v>
      </c>
      <c r="H123" s="20" t="str">
        <f t="shared" si="3"/>
        <v>4061</v>
      </c>
    </row>
    <row r="124" spans="1:8" x14ac:dyDescent="0.25">
      <c r="A124" s="8">
        <v>43055.542685185188</v>
      </c>
      <c r="B124" s="20" t="s">
        <v>662</v>
      </c>
      <c r="C124" s="20" t="s">
        <v>787</v>
      </c>
      <c r="D124" s="195">
        <v>3670000</v>
      </c>
      <c r="E124" s="20" t="s">
        <v>383</v>
      </c>
      <c r="F124" s="20" t="s">
        <v>368</v>
      </c>
      <c r="G124" s="8" t="str">
        <f t="shared" si="2"/>
        <v>ANDREA WILLIAMS</v>
      </c>
      <c r="H124" s="20" t="str">
        <f t="shared" si="3"/>
        <v>4042</v>
      </c>
    </row>
    <row r="125" spans="1:8" x14ac:dyDescent="0.25">
      <c r="A125" s="8">
        <v>43055.548090277778</v>
      </c>
      <c r="B125" s="20" t="s">
        <v>360</v>
      </c>
      <c r="C125" s="20" t="s">
        <v>788</v>
      </c>
      <c r="D125" s="195">
        <v>880000</v>
      </c>
      <c r="E125" s="20" t="s">
        <v>380</v>
      </c>
      <c r="F125" s="20" t="s">
        <v>352</v>
      </c>
      <c r="G125" s="8" t="str">
        <f t="shared" si="2"/>
        <v>STEWART MICHAEL</v>
      </c>
      <c r="H125" s="20" t="str">
        <f t="shared" si="3"/>
        <v>4018</v>
      </c>
    </row>
    <row r="126" spans="1:8" x14ac:dyDescent="0.25">
      <c r="A126" s="8">
        <v>43055.554027777776</v>
      </c>
      <c r="B126" s="20" t="s">
        <v>361</v>
      </c>
      <c r="C126" s="20" t="s">
        <v>789</v>
      </c>
      <c r="D126" s="195">
        <v>2550000</v>
      </c>
      <c r="E126" s="20" t="s">
        <v>757</v>
      </c>
      <c r="F126" s="20" t="s">
        <v>758</v>
      </c>
      <c r="G126" s="8" t="str">
        <f t="shared" si="2"/>
        <v>BADERTSCHER DIANE</v>
      </c>
      <c r="H126" s="20" t="str">
        <f t="shared" si="3"/>
        <v>4007</v>
      </c>
    </row>
    <row r="127" spans="1:8" x14ac:dyDescent="0.25">
      <c r="A127" s="8">
        <v>43055.557962962965</v>
      </c>
      <c r="B127" s="20" t="s">
        <v>361</v>
      </c>
      <c r="C127" s="20" t="s">
        <v>789</v>
      </c>
      <c r="D127" s="195">
        <v>2550000</v>
      </c>
      <c r="E127" s="20" t="s">
        <v>757</v>
      </c>
      <c r="F127" s="20" t="s">
        <v>758</v>
      </c>
      <c r="G127" s="8" t="str">
        <f t="shared" si="2"/>
        <v>BADERTSCHER DIANE</v>
      </c>
      <c r="H127" s="20" t="str">
        <f t="shared" si="3"/>
        <v>4007</v>
      </c>
    </row>
    <row r="128" spans="1:8" x14ac:dyDescent="0.25">
      <c r="A128" s="8">
        <v>43055.559664351851</v>
      </c>
      <c r="B128" s="20" t="s">
        <v>463</v>
      </c>
      <c r="C128" s="20" t="s">
        <v>790</v>
      </c>
      <c r="D128" s="195">
        <v>1300000</v>
      </c>
      <c r="E128" s="20" t="s">
        <v>358</v>
      </c>
      <c r="F128" s="20" t="s">
        <v>359</v>
      </c>
      <c r="G128" s="8" t="str">
        <f t="shared" si="2"/>
        <v>LEVIN SCOTT</v>
      </c>
      <c r="H128" s="20" t="str">
        <f t="shared" si="3"/>
        <v>4052</v>
      </c>
    </row>
    <row r="129" spans="1:8" x14ac:dyDescent="0.25">
      <c r="A129" s="8">
        <v>43055.560196759259</v>
      </c>
      <c r="B129" s="20" t="s">
        <v>658</v>
      </c>
      <c r="C129" s="20" t="s">
        <v>791</v>
      </c>
      <c r="D129" s="195">
        <v>3670000</v>
      </c>
      <c r="E129" s="20" t="s">
        <v>383</v>
      </c>
      <c r="F129" s="20" t="s">
        <v>368</v>
      </c>
      <c r="G129" s="8" t="str">
        <f t="shared" si="2"/>
        <v>ANDREA WILLIAMS</v>
      </c>
      <c r="H129" s="20" t="str">
        <f t="shared" si="3"/>
        <v>4041</v>
      </c>
    </row>
    <row r="130" spans="1:8" x14ac:dyDescent="0.25">
      <c r="A130" s="8">
        <v>43055.567175925928</v>
      </c>
      <c r="B130" s="20" t="s">
        <v>585</v>
      </c>
      <c r="C130" s="20" t="s">
        <v>792</v>
      </c>
      <c r="D130" s="195">
        <v>2420000</v>
      </c>
      <c r="E130" s="20" t="s">
        <v>589</v>
      </c>
      <c r="F130" s="20" t="s">
        <v>590</v>
      </c>
      <c r="G130" s="8" t="str">
        <f t="shared" si="2"/>
        <v>HOLCOMB KAMDEN</v>
      </c>
      <c r="H130" s="20" t="str">
        <f t="shared" si="3"/>
        <v>4015</v>
      </c>
    </row>
    <row r="131" spans="1:8" x14ac:dyDescent="0.25">
      <c r="A131" s="8">
        <v>43055.569409722222</v>
      </c>
      <c r="B131" s="20" t="s">
        <v>675</v>
      </c>
      <c r="C131" s="20" t="s">
        <v>793</v>
      </c>
      <c r="D131" s="195">
        <v>2350000</v>
      </c>
      <c r="E131" s="20" t="s">
        <v>587</v>
      </c>
      <c r="F131" s="20" t="s">
        <v>588</v>
      </c>
      <c r="G131" s="8" t="str">
        <f t="shared" ref="G131:G194" si="4">E131&amp;" "&amp;F131</f>
        <v>BERLING GARY</v>
      </c>
      <c r="H131" s="20" t="str">
        <f t="shared" ref="H131:H194" si="5">MID(B131,13,4)</f>
        <v>4002</v>
      </c>
    </row>
    <row r="132" spans="1:8" x14ac:dyDescent="0.25">
      <c r="A132" s="8">
        <v>43055.578888888886</v>
      </c>
      <c r="B132" s="20" t="s">
        <v>539</v>
      </c>
      <c r="C132" s="20" t="s">
        <v>794</v>
      </c>
      <c r="D132" s="195">
        <v>1770000</v>
      </c>
      <c r="E132" s="20" t="s">
        <v>543</v>
      </c>
      <c r="F132" s="20" t="s">
        <v>544</v>
      </c>
      <c r="G132" s="8" t="str">
        <f t="shared" si="4"/>
        <v>BRUDER RICHARD</v>
      </c>
      <c r="H132" s="20" t="str">
        <f t="shared" si="5"/>
        <v>4003</v>
      </c>
    </row>
    <row r="133" spans="1:8" x14ac:dyDescent="0.25">
      <c r="A133" s="8">
        <v>43055.58017361111</v>
      </c>
      <c r="B133" s="20" t="s">
        <v>384</v>
      </c>
      <c r="C133" s="20" t="s">
        <v>795</v>
      </c>
      <c r="D133" s="195">
        <v>1180000</v>
      </c>
      <c r="E133" s="20" t="s">
        <v>517</v>
      </c>
      <c r="F133" s="20" t="s">
        <v>518</v>
      </c>
      <c r="G133" s="8" t="str">
        <f t="shared" si="4"/>
        <v>LEVERE CRAIG</v>
      </c>
      <c r="H133" s="20" t="str">
        <f t="shared" si="5"/>
        <v>4062</v>
      </c>
    </row>
    <row r="134" spans="1:8" x14ac:dyDescent="0.25">
      <c r="A134" s="8">
        <v>43055.581469907411</v>
      </c>
      <c r="B134" s="20" t="s">
        <v>662</v>
      </c>
      <c r="C134" s="20" t="s">
        <v>796</v>
      </c>
      <c r="D134" s="195">
        <v>3670000</v>
      </c>
      <c r="E134" s="20" t="s">
        <v>383</v>
      </c>
      <c r="F134" s="20" t="s">
        <v>368</v>
      </c>
      <c r="G134" s="8" t="str">
        <f t="shared" si="4"/>
        <v>ANDREA WILLIAMS</v>
      </c>
      <c r="H134" s="20" t="str">
        <f t="shared" si="5"/>
        <v>4042</v>
      </c>
    </row>
    <row r="135" spans="1:8" x14ac:dyDescent="0.25">
      <c r="A135" s="8">
        <v>43055.587905092594</v>
      </c>
      <c r="B135" s="20" t="s">
        <v>362</v>
      </c>
      <c r="C135" s="20" t="s">
        <v>797</v>
      </c>
      <c r="D135" s="195">
        <v>880000</v>
      </c>
      <c r="E135" s="20" t="s">
        <v>380</v>
      </c>
      <c r="F135" s="20" t="s">
        <v>352</v>
      </c>
      <c r="G135" s="8" t="str">
        <f t="shared" si="4"/>
        <v>STEWART MICHAEL</v>
      </c>
      <c r="H135" s="20" t="str">
        <f t="shared" si="5"/>
        <v>4017</v>
      </c>
    </row>
    <row r="136" spans="1:8" x14ac:dyDescent="0.25">
      <c r="A136" s="8">
        <v>43055.590324074074</v>
      </c>
      <c r="B136" s="20" t="s">
        <v>511</v>
      </c>
      <c r="C136" s="20" t="s">
        <v>798</v>
      </c>
      <c r="D136" s="195">
        <v>3130000</v>
      </c>
      <c r="E136" s="20" t="s">
        <v>799</v>
      </c>
      <c r="F136" s="20" t="s">
        <v>800</v>
      </c>
      <c r="G136" s="8" t="str">
        <f t="shared" si="4"/>
        <v>ZEWDU DEREJE</v>
      </c>
      <c r="H136" s="20" t="str">
        <f t="shared" si="5"/>
        <v>4013</v>
      </c>
    </row>
    <row r="137" spans="1:8" x14ac:dyDescent="0.25">
      <c r="A137" s="8">
        <v>43055.590555555558</v>
      </c>
      <c r="B137" s="20" t="s">
        <v>356</v>
      </c>
      <c r="C137" s="20" t="s">
        <v>801</v>
      </c>
      <c r="D137" s="195">
        <v>2040000</v>
      </c>
      <c r="E137" s="20" t="s">
        <v>397</v>
      </c>
      <c r="F137" s="20" t="s">
        <v>398</v>
      </c>
      <c r="G137" s="8" t="str">
        <f t="shared" si="4"/>
        <v>MOSES BRADLEY</v>
      </c>
      <c r="H137" s="20" t="str">
        <f t="shared" si="5"/>
        <v>4008</v>
      </c>
    </row>
    <row r="138" spans="1:8" x14ac:dyDescent="0.25">
      <c r="A138" s="8">
        <v>43055.591886574075</v>
      </c>
      <c r="B138" s="20" t="s">
        <v>467</v>
      </c>
      <c r="C138" s="20" t="s">
        <v>802</v>
      </c>
      <c r="D138" s="195">
        <v>1300000</v>
      </c>
      <c r="E138" s="20" t="s">
        <v>358</v>
      </c>
      <c r="F138" s="20" t="s">
        <v>359</v>
      </c>
      <c r="G138" s="8" t="str">
        <f t="shared" si="4"/>
        <v>LEVIN SCOTT</v>
      </c>
      <c r="H138" s="20" t="str">
        <f t="shared" si="5"/>
        <v>4051</v>
      </c>
    </row>
    <row r="139" spans="1:8" x14ac:dyDescent="0.25">
      <c r="A139" s="8">
        <v>43055.600115740737</v>
      </c>
      <c r="B139" s="20" t="s">
        <v>586</v>
      </c>
      <c r="C139" s="20" t="s">
        <v>803</v>
      </c>
      <c r="D139" s="195">
        <v>2420000</v>
      </c>
      <c r="E139" s="20" t="s">
        <v>589</v>
      </c>
      <c r="F139" s="20" t="s">
        <v>590</v>
      </c>
      <c r="G139" s="8" t="str">
        <f t="shared" si="4"/>
        <v>HOLCOMB KAMDEN</v>
      </c>
      <c r="H139" s="20" t="str">
        <f t="shared" si="5"/>
        <v>4016</v>
      </c>
    </row>
    <row r="140" spans="1:8" x14ac:dyDescent="0.25">
      <c r="A140" s="8">
        <v>43055.601215277777</v>
      </c>
      <c r="B140" s="20" t="s">
        <v>658</v>
      </c>
      <c r="C140" s="20" t="s">
        <v>804</v>
      </c>
      <c r="D140" s="195">
        <v>3670000</v>
      </c>
      <c r="E140" s="20" t="s">
        <v>383</v>
      </c>
      <c r="F140" s="20" t="s">
        <v>368</v>
      </c>
      <c r="G140" s="8" t="str">
        <f t="shared" si="4"/>
        <v>ANDREA WILLIAMS</v>
      </c>
      <c r="H140" s="20" t="str">
        <f t="shared" si="5"/>
        <v>4041</v>
      </c>
    </row>
    <row r="141" spans="1:8" x14ac:dyDescent="0.25">
      <c r="A141" s="8">
        <v>43055.608726851853</v>
      </c>
      <c r="B141" s="20" t="s">
        <v>682</v>
      </c>
      <c r="C141" s="20" t="s">
        <v>805</v>
      </c>
      <c r="D141" s="195">
        <v>2350000</v>
      </c>
      <c r="E141" s="20" t="s">
        <v>587</v>
      </c>
      <c r="F141" s="20" t="s">
        <v>588</v>
      </c>
      <c r="G141" s="8" t="str">
        <f t="shared" si="4"/>
        <v>BERLING GARY</v>
      </c>
      <c r="H141" s="20" t="str">
        <f t="shared" si="5"/>
        <v>4001</v>
      </c>
    </row>
    <row r="142" spans="1:8" x14ac:dyDescent="0.25">
      <c r="A142" s="8">
        <v>43055.610486111109</v>
      </c>
      <c r="B142" s="20" t="s">
        <v>673</v>
      </c>
      <c r="C142" s="20" t="s">
        <v>806</v>
      </c>
      <c r="D142" s="195">
        <v>2030000</v>
      </c>
      <c r="E142" s="20" t="s">
        <v>591</v>
      </c>
      <c r="F142" s="20" t="s">
        <v>499</v>
      </c>
      <c r="G142" s="8" t="str">
        <f t="shared" si="4"/>
        <v>KILLION DAVID</v>
      </c>
      <c r="H142" s="20" t="str">
        <f t="shared" si="5"/>
        <v>4004</v>
      </c>
    </row>
    <row r="143" spans="1:8" x14ac:dyDescent="0.25">
      <c r="A143" s="8">
        <v>43055.617106481484</v>
      </c>
      <c r="B143" s="20" t="s">
        <v>386</v>
      </c>
      <c r="C143" s="20" t="s">
        <v>807</v>
      </c>
      <c r="D143" s="195">
        <v>1180000</v>
      </c>
      <c r="E143" s="20" t="s">
        <v>517</v>
      </c>
      <c r="F143" s="20" t="s">
        <v>518</v>
      </c>
      <c r="G143" s="8" t="str">
        <f t="shared" si="4"/>
        <v>LEVERE CRAIG</v>
      </c>
      <c r="H143" s="20" t="str">
        <f t="shared" si="5"/>
        <v>4061</v>
      </c>
    </row>
    <row r="144" spans="1:8" x14ac:dyDescent="0.25">
      <c r="A144" s="8">
        <v>43055.620567129627</v>
      </c>
      <c r="B144" s="20" t="s">
        <v>360</v>
      </c>
      <c r="C144" s="20" t="s">
        <v>808</v>
      </c>
      <c r="D144" s="195">
        <v>880000</v>
      </c>
      <c r="E144" s="20" t="s">
        <v>380</v>
      </c>
      <c r="F144" s="20" t="s">
        <v>352</v>
      </c>
      <c r="G144" s="8" t="str">
        <f t="shared" si="4"/>
        <v>STEWART MICHAEL</v>
      </c>
      <c r="H144" s="20" t="str">
        <f t="shared" si="5"/>
        <v>4018</v>
      </c>
    </row>
    <row r="145" spans="1:8" x14ac:dyDescent="0.25">
      <c r="A145" s="8">
        <v>43055.624374999999</v>
      </c>
      <c r="B145" s="20" t="s">
        <v>662</v>
      </c>
      <c r="C145" s="20" t="s">
        <v>809</v>
      </c>
      <c r="D145" s="195">
        <v>3670000</v>
      </c>
      <c r="E145" s="20" t="s">
        <v>383</v>
      </c>
      <c r="F145" s="20" t="s">
        <v>368</v>
      </c>
      <c r="G145" s="8" t="str">
        <f t="shared" si="4"/>
        <v>ANDREA WILLIAMS</v>
      </c>
      <c r="H145" s="20" t="str">
        <f t="shared" si="5"/>
        <v>4042</v>
      </c>
    </row>
    <row r="146" spans="1:8" x14ac:dyDescent="0.25">
      <c r="A146" s="8">
        <v>43055.631018518521</v>
      </c>
      <c r="B146" s="20" t="s">
        <v>361</v>
      </c>
      <c r="C146" s="20" t="s">
        <v>810</v>
      </c>
      <c r="D146" s="195">
        <v>2040000</v>
      </c>
      <c r="E146" s="20" t="s">
        <v>397</v>
      </c>
      <c r="F146" s="20" t="s">
        <v>398</v>
      </c>
      <c r="G146" s="8" t="str">
        <f t="shared" si="4"/>
        <v>MOSES BRADLEY</v>
      </c>
      <c r="H146" s="20" t="str">
        <f t="shared" si="5"/>
        <v>4007</v>
      </c>
    </row>
    <row r="147" spans="1:8" x14ac:dyDescent="0.25">
      <c r="A147" s="8">
        <v>43055.632662037038</v>
      </c>
      <c r="B147" s="20" t="s">
        <v>463</v>
      </c>
      <c r="C147" s="20" t="s">
        <v>811</v>
      </c>
      <c r="D147" s="195">
        <v>1300000</v>
      </c>
      <c r="E147" s="20" t="s">
        <v>358</v>
      </c>
      <c r="F147" s="20" t="s">
        <v>359</v>
      </c>
      <c r="G147" s="8" t="str">
        <f t="shared" si="4"/>
        <v>LEVIN SCOTT</v>
      </c>
      <c r="H147" s="20" t="str">
        <f t="shared" si="5"/>
        <v>4052</v>
      </c>
    </row>
    <row r="148" spans="1:8" x14ac:dyDescent="0.25">
      <c r="A148" s="8">
        <v>43055.636342592596</v>
      </c>
      <c r="B148" s="20" t="s">
        <v>371</v>
      </c>
      <c r="C148" s="20" t="s">
        <v>812</v>
      </c>
      <c r="D148" s="195">
        <v>3220000</v>
      </c>
      <c r="E148" s="20" t="s">
        <v>378</v>
      </c>
      <c r="F148" s="20" t="s">
        <v>379</v>
      </c>
      <c r="G148" s="8" t="str">
        <f t="shared" si="4"/>
        <v>RESPASS AARON</v>
      </c>
      <c r="H148" s="20" t="str">
        <f t="shared" si="5"/>
        <v>4011</v>
      </c>
    </row>
    <row r="149" spans="1:8" x14ac:dyDescent="0.25">
      <c r="A149" s="8">
        <v>43055.640949074077</v>
      </c>
      <c r="B149" s="20" t="s">
        <v>585</v>
      </c>
      <c r="C149" s="20" t="s">
        <v>813</v>
      </c>
      <c r="D149" s="195">
        <v>2420000</v>
      </c>
      <c r="E149" s="20" t="s">
        <v>589</v>
      </c>
      <c r="F149" s="20" t="s">
        <v>590</v>
      </c>
      <c r="G149" s="8" t="str">
        <f t="shared" si="4"/>
        <v>HOLCOMB KAMDEN</v>
      </c>
      <c r="H149" s="20" t="str">
        <f t="shared" si="5"/>
        <v>4015</v>
      </c>
    </row>
    <row r="150" spans="1:8" x14ac:dyDescent="0.25">
      <c r="A150" s="8">
        <v>43055.642071759263</v>
      </c>
      <c r="B150" s="20" t="s">
        <v>675</v>
      </c>
      <c r="C150" s="20" t="s">
        <v>814</v>
      </c>
      <c r="D150" s="195">
        <v>2350000</v>
      </c>
      <c r="E150" s="20" t="s">
        <v>587</v>
      </c>
      <c r="F150" s="20" t="s">
        <v>588</v>
      </c>
      <c r="G150" s="8" t="str">
        <f t="shared" si="4"/>
        <v>BERLING GARY</v>
      </c>
      <c r="H150" s="20" t="str">
        <f t="shared" si="5"/>
        <v>4002</v>
      </c>
    </row>
    <row r="151" spans="1:8" x14ac:dyDescent="0.25">
      <c r="A151" s="8">
        <v>43055.643333333333</v>
      </c>
      <c r="B151" s="20" t="s">
        <v>658</v>
      </c>
      <c r="C151" s="20" t="s">
        <v>661</v>
      </c>
      <c r="D151" s="195">
        <v>3670000</v>
      </c>
      <c r="E151" s="20" t="s">
        <v>383</v>
      </c>
      <c r="F151" s="20" t="s">
        <v>368</v>
      </c>
      <c r="G151" s="8" t="str">
        <f t="shared" si="4"/>
        <v>ANDREA WILLIAMS</v>
      </c>
      <c r="H151" s="20" t="str">
        <f t="shared" si="5"/>
        <v>4041</v>
      </c>
    </row>
    <row r="152" spans="1:8" x14ac:dyDescent="0.25">
      <c r="A152" s="8">
        <v>43055.645254629628</v>
      </c>
      <c r="B152" s="20" t="s">
        <v>370</v>
      </c>
      <c r="C152" s="20" t="s">
        <v>815</v>
      </c>
      <c r="D152" s="195">
        <v>3220000</v>
      </c>
      <c r="E152" s="20" t="s">
        <v>378</v>
      </c>
      <c r="F152" s="20" t="s">
        <v>379</v>
      </c>
      <c r="G152" s="8" t="str">
        <f t="shared" si="4"/>
        <v>RESPASS AARON</v>
      </c>
      <c r="H152" s="20" t="str">
        <f t="shared" si="5"/>
        <v>4012</v>
      </c>
    </row>
    <row r="153" spans="1:8" x14ac:dyDescent="0.25">
      <c r="A153" s="8">
        <v>43055.648009259261</v>
      </c>
      <c r="B153" s="20" t="s">
        <v>539</v>
      </c>
      <c r="C153" s="20" t="s">
        <v>816</v>
      </c>
      <c r="D153" s="195">
        <v>2030000</v>
      </c>
      <c r="E153" s="20" t="s">
        <v>591</v>
      </c>
      <c r="F153" s="20" t="s">
        <v>499</v>
      </c>
      <c r="G153" s="8" t="str">
        <f t="shared" si="4"/>
        <v>KILLION DAVID</v>
      </c>
      <c r="H153" s="20" t="str">
        <f t="shared" si="5"/>
        <v>4003</v>
      </c>
    </row>
    <row r="154" spans="1:8" x14ac:dyDescent="0.25">
      <c r="A154" s="8">
        <v>43055.652013888888</v>
      </c>
      <c r="B154" s="20" t="s">
        <v>384</v>
      </c>
      <c r="C154" s="20" t="s">
        <v>817</v>
      </c>
      <c r="D154" s="195">
        <v>1180000</v>
      </c>
      <c r="E154" s="20" t="s">
        <v>517</v>
      </c>
      <c r="F154" s="20" t="s">
        <v>518</v>
      </c>
      <c r="G154" s="8" t="str">
        <f t="shared" si="4"/>
        <v>LEVERE CRAIG</v>
      </c>
      <c r="H154" s="20" t="str">
        <f t="shared" si="5"/>
        <v>4062</v>
      </c>
    </row>
    <row r="155" spans="1:8" x14ac:dyDescent="0.25">
      <c r="A155" s="8">
        <v>43055.661909722221</v>
      </c>
      <c r="B155" s="20" t="s">
        <v>356</v>
      </c>
      <c r="C155" s="20" t="s">
        <v>818</v>
      </c>
      <c r="D155" s="195">
        <v>2550000</v>
      </c>
      <c r="E155" s="20" t="s">
        <v>757</v>
      </c>
      <c r="F155" s="20" t="s">
        <v>758</v>
      </c>
      <c r="G155" s="8" t="str">
        <f t="shared" si="4"/>
        <v>BADERTSCHER DIANE</v>
      </c>
      <c r="H155" s="20" t="str">
        <f t="shared" si="5"/>
        <v>4008</v>
      </c>
    </row>
    <row r="156" spans="1:8" x14ac:dyDescent="0.25">
      <c r="A156" s="8">
        <v>43055.662199074075</v>
      </c>
      <c r="B156" s="20" t="s">
        <v>362</v>
      </c>
      <c r="C156" s="20" t="s">
        <v>819</v>
      </c>
      <c r="D156" s="195">
        <v>880000</v>
      </c>
      <c r="E156" s="20" t="s">
        <v>380</v>
      </c>
      <c r="F156" s="20" t="s">
        <v>352</v>
      </c>
      <c r="G156" s="8" t="str">
        <f t="shared" si="4"/>
        <v>STEWART MICHAEL</v>
      </c>
      <c r="H156" s="20" t="str">
        <f t="shared" si="5"/>
        <v>4017</v>
      </c>
    </row>
    <row r="157" spans="1:8" x14ac:dyDescent="0.25">
      <c r="A157" s="8">
        <v>43055.66474537037</v>
      </c>
      <c r="B157" s="20" t="s">
        <v>371</v>
      </c>
      <c r="C157" s="20" t="s">
        <v>820</v>
      </c>
      <c r="D157" s="195">
        <v>3220000</v>
      </c>
      <c r="E157" s="20" t="s">
        <v>378</v>
      </c>
      <c r="F157" s="20" t="s">
        <v>379</v>
      </c>
      <c r="G157" s="8" t="str">
        <f t="shared" si="4"/>
        <v>RESPASS AARON</v>
      </c>
      <c r="H157" s="20" t="str">
        <f t="shared" si="5"/>
        <v>4011</v>
      </c>
    </row>
    <row r="158" spans="1:8" x14ac:dyDescent="0.25">
      <c r="A158" s="8">
        <v>43055.670104166667</v>
      </c>
      <c r="B158" s="20" t="s">
        <v>467</v>
      </c>
      <c r="C158" s="20" t="s">
        <v>821</v>
      </c>
      <c r="D158" s="195">
        <v>1300000</v>
      </c>
      <c r="E158" s="20" t="s">
        <v>358</v>
      </c>
      <c r="F158" s="20" t="s">
        <v>359</v>
      </c>
      <c r="G158" s="8" t="str">
        <f t="shared" si="4"/>
        <v>LEVIN SCOTT</v>
      </c>
      <c r="H158" s="20" t="str">
        <f t="shared" si="5"/>
        <v>4051</v>
      </c>
    </row>
    <row r="159" spans="1:8" x14ac:dyDescent="0.25">
      <c r="A159" s="8">
        <v>43055.671585648146</v>
      </c>
      <c r="B159" s="20" t="s">
        <v>662</v>
      </c>
      <c r="C159" s="20" t="s">
        <v>663</v>
      </c>
      <c r="D159" s="195">
        <v>3670000</v>
      </c>
      <c r="E159" s="20" t="s">
        <v>383</v>
      </c>
      <c r="F159" s="20" t="s">
        <v>368</v>
      </c>
      <c r="G159" s="8" t="str">
        <f t="shared" si="4"/>
        <v>ANDREA WILLIAMS</v>
      </c>
      <c r="H159" s="20" t="str">
        <f t="shared" si="5"/>
        <v>4042</v>
      </c>
    </row>
    <row r="160" spans="1:8" x14ac:dyDescent="0.25">
      <c r="A160" s="8">
        <v>43055.673715277779</v>
      </c>
      <c r="B160" s="20" t="s">
        <v>586</v>
      </c>
      <c r="C160" s="20" t="s">
        <v>822</v>
      </c>
      <c r="D160" s="195">
        <v>2420000</v>
      </c>
      <c r="E160" s="20" t="s">
        <v>589</v>
      </c>
      <c r="F160" s="20" t="s">
        <v>590</v>
      </c>
      <c r="G160" s="8" t="str">
        <f t="shared" si="4"/>
        <v>HOLCOMB KAMDEN</v>
      </c>
      <c r="H160" s="20" t="str">
        <f t="shared" si="5"/>
        <v>4016</v>
      </c>
    </row>
    <row r="161" spans="1:8" x14ac:dyDescent="0.25">
      <c r="A161" s="8">
        <v>43055.674189814818</v>
      </c>
      <c r="B161" s="20" t="s">
        <v>662</v>
      </c>
      <c r="C161" s="20" t="s">
        <v>663</v>
      </c>
      <c r="D161" s="195">
        <v>3670000</v>
      </c>
      <c r="E161" s="20" t="s">
        <v>383</v>
      </c>
      <c r="F161" s="20" t="s">
        <v>368</v>
      </c>
      <c r="G161" s="8" t="str">
        <f t="shared" si="4"/>
        <v>ANDREA WILLIAMS</v>
      </c>
      <c r="H161" s="20" t="str">
        <f t="shared" si="5"/>
        <v>4042</v>
      </c>
    </row>
    <row r="162" spans="1:8" x14ac:dyDescent="0.25">
      <c r="A162" s="8">
        <v>43055.681967592594</v>
      </c>
      <c r="B162" s="20" t="s">
        <v>682</v>
      </c>
      <c r="C162" s="20" t="s">
        <v>823</v>
      </c>
      <c r="D162" s="195">
        <v>2350000</v>
      </c>
      <c r="E162" s="20" t="s">
        <v>587</v>
      </c>
      <c r="F162" s="20" t="s">
        <v>588</v>
      </c>
      <c r="G162" s="8" t="str">
        <f t="shared" si="4"/>
        <v>BERLING GARY</v>
      </c>
      <c r="H162" s="20" t="str">
        <f t="shared" si="5"/>
        <v>4001</v>
      </c>
    </row>
    <row r="163" spans="1:8" x14ac:dyDescent="0.25">
      <c r="A163" s="8">
        <v>43055.684803240743</v>
      </c>
      <c r="B163" s="20" t="s">
        <v>673</v>
      </c>
      <c r="C163" s="20" t="s">
        <v>824</v>
      </c>
      <c r="D163" s="195">
        <v>1770000</v>
      </c>
      <c r="E163" s="20" t="s">
        <v>543</v>
      </c>
      <c r="F163" s="20" t="s">
        <v>544</v>
      </c>
      <c r="G163" s="8" t="str">
        <f t="shared" si="4"/>
        <v>BRUDER RICHARD</v>
      </c>
      <c r="H163" s="20" t="str">
        <f t="shared" si="5"/>
        <v>4004</v>
      </c>
    </row>
    <row r="164" spans="1:8" x14ac:dyDescent="0.25">
      <c r="A164" s="8">
        <v>43055.685219907406</v>
      </c>
      <c r="B164" s="20" t="s">
        <v>370</v>
      </c>
      <c r="C164" s="20" t="s">
        <v>825</v>
      </c>
      <c r="D164" s="195">
        <v>3220000</v>
      </c>
      <c r="E164" s="20" t="s">
        <v>378</v>
      </c>
      <c r="F164" s="20" t="s">
        <v>379</v>
      </c>
      <c r="G164" s="8" t="str">
        <f t="shared" si="4"/>
        <v>RESPASS AARON</v>
      </c>
      <c r="H164" s="20" t="str">
        <f t="shared" si="5"/>
        <v>4012</v>
      </c>
    </row>
    <row r="165" spans="1:8" x14ac:dyDescent="0.25">
      <c r="A165" s="8">
        <v>43055.687731481485</v>
      </c>
      <c r="B165" s="20" t="s">
        <v>658</v>
      </c>
      <c r="C165" s="20" t="s">
        <v>664</v>
      </c>
      <c r="D165" s="195">
        <v>3670000</v>
      </c>
      <c r="E165" s="20" t="s">
        <v>383</v>
      </c>
      <c r="F165" s="20" t="s">
        <v>368</v>
      </c>
      <c r="G165" s="8" t="str">
        <f t="shared" si="4"/>
        <v>ANDREA WILLIAMS</v>
      </c>
      <c r="H165" s="20" t="str">
        <f t="shared" si="5"/>
        <v>4041</v>
      </c>
    </row>
    <row r="166" spans="1:8" x14ac:dyDescent="0.25">
      <c r="A166" s="8">
        <v>43055.688391203701</v>
      </c>
      <c r="B166" s="20" t="s">
        <v>393</v>
      </c>
      <c r="C166" s="20" t="s">
        <v>826</v>
      </c>
      <c r="D166" s="195">
        <v>1810000</v>
      </c>
      <c r="E166" s="20" t="s">
        <v>545</v>
      </c>
      <c r="F166" s="20" t="s">
        <v>396</v>
      </c>
      <c r="G166" s="8" t="str">
        <f t="shared" si="4"/>
        <v>NEWELL JAMES</v>
      </c>
      <c r="H166" s="20" t="str">
        <f t="shared" si="5"/>
        <v>4030</v>
      </c>
    </row>
    <row r="167" spans="1:8" x14ac:dyDescent="0.25">
      <c r="A167" s="8">
        <v>43055.691990740743</v>
      </c>
      <c r="B167" s="20" t="s">
        <v>386</v>
      </c>
      <c r="C167" s="20" t="s">
        <v>827</v>
      </c>
      <c r="D167" s="195">
        <v>1180000</v>
      </c>
      <c r="E167" s="20" t="s">
        <v>517</v>
      </c>
      <c r="F167" s="20" t="s">
        <v>518</v>
      </c>
      <c r="G167" s="8" t="str">
        <f t="shared" si="4"/>
        <v>LEVERE CRAIG</v>
      </c>
      <c r="H167" s="20" t="str">
        <f t="shared" si="5"/>
        <v>4061</v>
      </c>
    </row>
    <row r="168" spans="1:8" x14ac:dyDescent="0.25">
      <c r="A168" s="8">
        <v>43055.694849537038</v>
      </c>
      <c r="B168" s="20" t="s">
        <v>360</v>
      </c>
      <c r="C168" s="20" t="s">
        <v>828</v>
      </c>
      <c r="D168" s="195">
        <v>880000</v>
      </c>
      <c r="E168" s="20" t="s">
        <v>380</v>
      </c>
      <c r="F168" s="20" t="s">
        <v>352</v>
      </c>
      <c r="G168" s="8" t="str">
        <f t="shared" si="4"/>
        <v>STEWART MICHAEL</v>
      </c>
      <c r="H168" s="20" t="str">
        <f t="shared" si="5"/>
        <v>4018</v>
      </c>
    </row>
    <row r="169" spans="1:8" x14ac:dyDescent="0.25">
      <c r="A169" s="8">
        <v>43055.701678240737</v>
      </c>
      <c r="B169" s="20" t="s">
        <v>361</v>
      </c>
      <c r="C169" s="20" t="s">
        <v>829</v>
      </c>
      <c r="D169" s="195">
        <v>2550000</v>
      </c>
      <c r="E169" s="20" t="s">
        <v>757</v>
      </c>
      <c r="F169" s="20" t="s">
        <v>758</v>
      </c>
      <c r="G169" s="8" t="str">
        <f t="shared" si="4"/>
        <v>BADERTSCHER DIANE</v>
      </c>
      <c r="H169" s="20" t="str">
        <f t="shared" si="5"/>
        <v>4007</v>
      </c>
    </row>
    <row r="170" spans="1:8" x14ac:dyDescent="0.25">
      <c r="A170" s="8">
        <v>43055.704212962963</v>
      </c>
      <c r="B170" s="20" t="s">
        <v>463</v>
      </c>
      <c r="C170" s="20" t="s">
        <v>830</v>
      </c>
      <c r="D170" s="195">
        <v>1300000</v>
      </c>
      <c r="E170" s="20" t="s">
        <v>358</v>
      </c>
      <c r="F170" s="20" t="s">
        <v>359</v>
      </c>
      <c r="G170" s="8" t="str">
        <f t="shared" si="4"/>
        <v>LEVIN SCOTT</v>
      </c>
      <c r="H170" s="20" t="str">
        <f t="shared" si="5"/>
        <v>4052</v>
      </c>
    </row>
    <row r="171" spans="1:8" x14ac:dyDescent="0.25">
      <c r="A171" s="8">
        <v>43055.706886574073</v>
      </c>
      <c r="B171" s="20" t="s">
        <v>371</v>
      </c>
      <c r="C171" s="20" t="s">
        <v>831</v>
      </c>
      <c r="D171" s="195">
        <v>3220000</v>
      </c>
      <c r="E171" s="20" t="s">
        <v>378</v>
      </c>
      <c r="F171" s="20" t="s">
        <v>379</v>
      </c>
      <c r="G171" s="8" t="str">
        <f t="shared" si="4"/>
        <v>RESPASS AARON</v>
      </c>
      <c r="H171" s="20" t="str">
        <f t="shared" si="5"/>
        <v>4011</v>
      </c>
    </row>
    <row r="172" spans="1:8" x14ac:dyDescent="0.25">
      <c r="A172" s="8">
        <v>43055.711319444446</v>
      </c>
      <c r="B172" s="20" t="s">
        <v>662</v>
      </c>
      <c r="C172" s="20" t="s">
        <v>665</v>
      </c>
      <c r="D172" s="195">
        <v>3670000</v>
      </c>
      <c r="E172" s="20" t="s">
        <v>383</v>
      </c>
      <c r="F172" s="20" t="s">
        <v>368</v>
      </c>
      <c r="G172" s="8" t="str">
        <f t="shared" si="4"/>
        <v>ANDREA WILLIAMS</v>
      </c>
      <c r="H172" s="20" t="str">
        <f t="shared" si="5"/>
        <v>4042</v>
      </c>
    </row>
    <row r="173" spans="1:8" x14ac:dyDescent="0.25">
      <c r="A173" s="8">
        <v>43055.71297453704</v>
      </c>
      <c r="B173" s="20" t="s">
        <v>585</v>
      </c>
      <c r="C173" s="20" t="s">
        <v>832</v>
      </c>
      <c r="D173" s="195">
        <v>2420000</v>
      </c>
      <c r="E173" s="20" t="s">
        <v>589</v>
      </c>
      <c r="F173" s="20" t="s">
        <v>590</v>
      </c>
      <c r="G173" s="8" t="str">
        <f t="shared" si="4"/>
        <v>HOLCOMB KAMDEN</v>
      </c>
      <c r="H173" s="20" t="str">
        <f t="shared" si="5"/>
        <v>4015</v>
      </c>
    </row>
    <row r="174" spans="1:8" x14ac:dyDescent="0.25">
      <c r="A174" s="8">
        <v>43055.715949074074</v>
      </c>
      <c r="B174" s="20" t="s">
        <v>675</v>
      </c>
      <c r="C174" s="20" t="s">
        <v>833</v>
      </c>
      <c r="D174" s="195">
        <v>2350000</v>
      </c>
      <c r="E174" s="20" t="s">
        <v>587</v>
      </c>
      <c r="F174" s="20" t="s">
        <v>588</v>
      </c>
      <c r="G174" s="8" t="str">
        <f t="shared" si="4"/>
        <v>BERLING GARY</v>
      </c>
      <c r="H174" s="20" t="str">
        <f t="shared" si="5"/>
        <v>4002</v>
      </c>
    </row>
    <row r="175" spans="1:8" x14ac:dyDescent="0.25">
      <c r="A175" s="8">
        <v>43055.724328703705</v>
      </c>
      <c r="B175" s="20" t="s">
        <v>539</v>
      </c>
      <c r="C175" s="20" t="s">
        <v>834</v>
      </c>
      <c r="D175" s="195">
        <v>1770000</v>
      </c>
      <c r="E175" s="20" t="s">
        <v>543</v>
      </c>
      <c r="F175" s="20" t="s">
        <v>544</v>
      </c>
      <c r="G175" s="8" t="str">
        <f t="shared" si="4"/>
        <v>BRUDER RICHARD</v>
      </c>
      <c r="H175" s="20" t="str">
        <f t="shared" si="5"/>
        <v>4003</v>
      </c>
    </row>
    <row r="176" spans="1:8" x14ac:dyDescent="0.25">
      <c r="A176" s="8">
        <v>43055.724664351852</v>
      </c>
      <c r="B176" s="20" t="s">
        <v>384</v>
      </c>
      <c r="C176" s="20" t="s">
        <v>835</v>
      </c>
      <c r="D176" s="195">
        <v>1180000</v>
      </c>
      <c r="E176" s="20" t="s">
        <v>517</v>
      </c>
      <c r="F176" s="20" t="s">
        <v>518</v>
      </c>
      <c r="G176" s="8" t="str">
        <f t="shared" si="4"/>
        <v>LEVERE CRAIG</v>
      </c>
      <c r="H176" s="20" t="str">
        <f t="shared" si="5"/>
        <v>4062</v>
      </c>
    </row>
    <row r="177" spans="1:8" x14ac:dyDescent="0.25">
      <c r="A177" s="8">
        <v>43055.727152777778</v>
      </c>
      <c r="B177" s="20" t="s">
        <v>658</v>
      </c>
      <c r="C177" s="20" t="s">
        <v>836</v>
      </c>
      <c r="D177" s="195">
        <v>3670000</v>
      </c>
      <c r="E177" s="20" t="s">
        <v>383</v>
      </c>
      <c r="F177" s="20" t="s">
        <v>368</v>
      </c>
      <c r="G177" s="8" t="str">
        <f t="shared" si="4"/>
        <v>ANDREA WILLIAMS</v>
      </c>
      <c r="H177" s="20" t="str">
        <f t="shared" si="5"/>
        <v>4041</v>
      </c>
    </row>
    <row r="178" spans="1:8" x14ac:dyDescent="0.25">
      <c r="A178" s="8">
        <v>43055.732812499999</v>
      </c>
      <c r="B178" s="20" t="s">
        <v>370</v>
      </c>
      <c r="C178" s="20" t="s">
        <v>666</v>
      </c>
      <c r="D178" s="195">
        <v>3220000</v>
      </c>
      <c r="E178" s="20" t="s">
        <v>378</v>
      </c>
      <c r="F178" s="20" t="s">
        <v>379</v>
      </c>
      <c r="G178" s="8" t="str">
        <f t="shared" si="4"/>
        <v>RESPASS AARON</v>
      </c>
      <c r="H178" s="20" t="str">
        <f t="shared" si="5"/>
        <v>4012</v>
      </c>
    </row>
    <row r="179" spans="1:8" x14ac:dyDescent="0.25">
      <c r="A179" s="8">
        <v>43055.734583333331</v>
      </c>
      <c r="B179" s="20" t="s">
        <v>362</v>
      </c>
      <c r="C179" s="20" t="s">
        <v>837</v>
      </c>
      <c r="D179" s="195">
        <v>880000</v>
      </c>
      <c r="E179" s="20" t="s">
        <v>380</v>
      </c>
      <c r="F179" s="20" t="s">
        <v>352</v>
      </c>
      <c r="G179" s="8" t="str">
        <f t="shared" si="4"/>
        <v>STEWART MICHAEL</v>
      </c>
      <c r="H179" s="20" t="str">
        <f t="shared" si="5"/>
        <v>4017</v>
      </c>
    </row>
    <row r="180" spans="1:8" x14ac:dyDescent="0.25">
      <c r="A180" s="8">
        <v>43055.736122685186</v>
      </c>
      <c r="B180" s="20" t="s">
        <v>658</v>
      </c>
      <c r="C180" s="20" t="s">
        <v>836</v>
      </c>
      <c r="D180" s="195">
        <v>3670000</v>
      </c>
      <c r="E180" s="20" t="s">
        <v>383</v>
      </c>
      <c r="F180" s="20" t="s">
        <v>368</v>
      </c>
      <c r="G180" s="8" t="str">
        <f t="shared" si="4"/>
        <v>ANDREA WILLIAMS</v>
      </c>
      <c r="H180" s="20" t="str">
        <f t="shared" si="5"/>
        <v>4041</v>
      </c>
    </row>
    <row r="181" spans="1:8" x14ac:dyDescent="0.25">
      <c r="A181" s="8">
        <v>43055.738379629627</v>
      </c>
      <c r="B181" s="20" t="s">
        <v>467</v>
      </c>
      <c r="C181" s="20" t="s">
        <v>668</v>
      </c>
      <c r="D181" s="195">
        <v>1300000</v>
      </c>
      <c r="E181" s="20" t="s">
        <v>358</v>
      </c>
      <c r="F181" s="20" t="s">
        <v>359</v>
      </c>
      <c r="G181" s="8" t="str">
        <f t="shared" si="4"/>
        <v>LEVIN SCOTT</v>
      </c>
      <c r="H181" s="20" t="str">
        <f t="shared" si="5"/>
        <v>4051</v>
      </c>
    </row>
    <row r="182" spans="1:8" x14ac:dyDescent="0.25">
      <c r="A182" s="8">
        <v>43055.738449074073</v>
      </c>
      <c r="B182" s="20" t="s">
        <v>356</v>
      </c>
      <c r="C182" s="20" t="s">
        <v>838</v>
      </c>
      <c r="D182" s="195">
        <v>890000</v>
      </c>
      <c r="E182" s="20" t="s">
        <v>344</v>
      </c>
      <c r="F182" s="20" t="s">
        <v>345</v>
      </c>
      <c r="G182" s="8" t="str">
        <f t="shared" si="4"/>
        <v>LOZA FIDEL</v>
      </c>
      <c r="H182" s="20" t="str">
        <f t="shared" si="5"/>
        <v>4008</v>
      </c>
    </row>
    <row r="183" spans="1:8" x14ac:dyDescent="0.25">
      <c r="A183" s="8">
        <v>43055.746122685188</v>
      </c>
      <c r="B183" s="20" t="s">
        <v>586</v>
      </c>
      <c r="C183" s="20" t="s">
        <v>667</v>
      </c>
      <c r="D183" s="195">
        <v>2420000</v>
      </c>
      <c r="E183" s="20" t="s">
        <v>589</v>
      </c>
      <c r="F183" s="20" t="s">
        <v>590</v>
      </c>
      <c r="G183" s="8" t="str">
        <f t="shared" si="4"/>
        <v>HOLCOMB KAMDEN</v>
      </c>
      <c r="H183" s="20" t="str">
        <f t="shared" si="5"/>
        <v>4016</v>
      </c>
    </row>
    <row r="184" spans="1:8" x14ac:dyDescent="0.25">
      <c r="A184" s="8">
        <v>43055.750277777777</v>
      </c>
      <c r="B184" s="20" t="s">
        <v>371</v>
      </c>
      <c r="C184" s="20" t="s">
        <v>839</v>
      </c>
      <c r="D184" s="195">
        <v>3220000</v>
      </c>
      <c r="E184" s="20" t="s">
        <v>378</v>
      </c>
      <c r="F184" s="20" t="s">
        <v>379</v>
      </c>
      <c r="G184" s="8" t="str">
        <f t="shared" si="4"/>
        <v>RESPASS AARON</v>
      </c>
      <c r="H184" s="20" t="str">
        <f t="shared" si="5"/>
        <v>4011</v>
      </c>
    </row>
    <row r="185" spans="1:8" x14ac:dyDescent="0.25">
      <c r="A185" s="8">
        <v>43055.752395833333</v>
      </c>
      <c r="B185" s="20" t="s">
        <v>682</v>
      </c>
      <c r="C185" s="20" t="s">
        <v>840</v>
      </c>
      <c r="D185" s="195">
        <v>2350000</v>
      </c>
      <c r="E185" s="20" t="s">
        <v>587</v>
      </c>
      <c r="F185" s="20" t="s">
        <v>588</v>
      </c>
      <c r="G185" s="8" t="str">
        <f t="shared" si="4"/>
        <v>BERLING GARY</v>
      </c>
      <c r="H185" s="20" t="str">
        <f t="shared" si="5"/>
        <v>4001</v>
      </c>
    </row>
    <row r="186" spans="1:8" x14ac:dyDescent="0.25">
      <c r="A186" s="8">
        <v>43055.754467592589</v>
      </c>
      <c r="B186" s="20" t="s">
        <v>662</v>
      </c>
      <c r="C186" s="20" t="s">
        <v>841</v>
      </c>
      <c r="D186" s="195">
        <v>3670000</v>
      </c>
      <c r="E186" s="20" t="s">
        <v>383</v>
      </c>
      <c r="F186" s="20" t="s">
        <v>368</v>
      </c>
      <c r="G186" s="8" t="str">
        <f t="shared" si="4"/>
        <v>ANDREA WILLIAMS</v>
      </c>
      <c r="H186" s="20" t="str">
        <f t="shared" si="5"/>
        <v>4042</v>
      </c>
    </row>
    <row r="187" spans="1:8" x14ac:dyDescent="0.25">
      <c r="A187" s="8">
        <v>43055.755636574075</v>
      </c>
      <c r="B187" s="20" t="s">
        <v>673</v>
      </c>
      <c r="C187" s="20" t="s">
        <v>842</v>
      </c>
      <c r="D187" s="195">
        <v>3340000</v>
      </c>
      <c r="E187" s="20" t="s">
        <v>843</v>
      </c>
      <c r="F187" s="20" t="s">
        <v>844</v>
      </c>
      <c r="G187" s="8" t="str">
        <f t="shared" si="4"/>
        <v>ELBAUM MIKE</v>
      </c>
      <c r="H187" s="20" t="str">
        <f t="shared" si="5"/>
        <v>4004</v>
      </c>
    </row>
    <row r="188" spans="1:8" x14ac:dyDescent="0.25">
      <c r="A188" s="8">
        <v>43055.761388888888</v>
      </c>
      <c r="B188" s="20" t="s">
        <v>386</v>
      </c>
      <c r="C188" s="20" t="s">
        <v>845</v>
      </c>
      <c r="D188" s="195">
        <v>1180000</v>
      </c>
      <c r="E188" s="20" t="s">
        <v>517</v>
      </c>
      <c r="F188" s="20" t="s">
        <v>518</v>
      </c>
      <c r="G188" s="8" t="str">
        <f t="shared" si="4"/>
        <v>LEVERE CRAIG</v>
      </c>
      <c r="H188" s="20" t="str">
        <f t="shared" si="5"/>
        <v>4061</v>
      </c>
    </row>
    <row r="189" spans="1:8" x14ac:dyDescent="0.25">
      <c r="A189" s="8">
        <v>43055.761886574073</v>
      </c>
      <c r="B189" s="20" t="s">
        <v>516</v>
      </c>
      <c r="C189" s="20" t="s">
        <v>846</v>
      </c>
      <c r="D189" s="195">
        <v>2540000</v>
      </c>
      <c r="E189" s="20" t="s">
        <v>474</v>
      </c>
      <c r="F189" s="20" t="s">
        <v>475</v>
      </c>
      <c r="G189" s="8" t="str">
        <f t="shared" si="4"/>
        <v>MCREYNOLDS KYLE</v>
      </c>
      <c r="H189" s="20" t="str">
        <f t="shared" si="5"/>
        <v>4014</v>
      </c>
    </row>
    <row r="190" spans="1:8" x14ac:dyDescent="0.25">
      <c r="A190" s="8">
        <v>43055.767731481479</v>
      </c>
      <c r="B190" s="20" t="s">
        <v>658</v>
      </c>
      <c r="C190" s="20" t="s">
        <v>847</v>
      </c>
      <c r="D190" s="195">
        <v>3670000</v>
      </c>
      <c r="E190" s="20" t="s">
        <v>383</v>
      </c>
      <c r="F190" s="20" t="s">
        <v>368</v>
      </c>
      <c r="G190" s="8" t="str">
        <f t="shared" si="4"/>
        <v>ANDREA WILLIAMS</v>
      </c>
      <c r="H190" s="20" t="str">
        <f t="shared" si="5"/>
        <v>4041</v>
      </c>
    </row>
    <row r="191" spans="1:8" x14ac:dyDescent="0.25">
      <c r="A191" s="8">
        <v>43055.767974537041</v>
      </c>
      <c r="B191" s="20" t="s">
        <v>360</v>
      </c>
      <c r="C191" s="20" t="s">
        <v>848</v>
      </c>
      <c r="D191" s="195">
        <v>3320000</v>
      </c>
      <c r="E191" s="20" t="s">
        <v>363</v>
      </c>
      <c r="F191" s="20" t="s">
        <v>364</v>
      </c>
      <c r="G191" s="8" t="str">
        <f t="shared" si="4"/>
        <v>NICHOLSON WESLEY</v>
      </c>
      <c r="H191" s="20" t="str">
        <f t="shared" si="5"/>
        <v>4018</v>
      </c>
    </row>
    <row r="192" spans="1:8" x14ac:dyDescent="0.25">
      <c r="A192" s="8">
        <v>43055.770879629628</v>
      </c>
      <c r="B192" s="20" t="s">
        <v>511</v>
      </c>
      <c r="C192" s="20" t="s">
        <v>846</v>
      </c>
      <c r="D192" s="195">
        <v>2540000</v>
      </c>
      <c r="E192" s="20" t="s">
        <v>474</v>
      </c>
      <c r="F192" s="20" t="s">
        <v>475</v>
      </c>
      <c r="G192" s="8" t="str">
        <f t="shared" si="4"/>
        <v>MCREYNOLDS KYLE</v>
      </c>
      <c r="H192" s="20" t="str">
        <f t="shared" si="5"/>
        <v>4013</v>
      </c>
    </row>
    <row r="193" spans="1:8" x14ac:dyDescent="0.25">
      <c r="A193" s="8">
        <v>43055.775648148148</v>
      </c>
      <c r="B193" s="20" t="s">
        <v>370</v>
      </c>
      <c r="C193" s="20" t="s">
        <v>669</v>
      </c>
      <c r="D193" s="195">
        <v>3220000</v>
      </c>
      <c r="E193" s="20" t="s">
        <v>378</v>
      </c>
      <c r="F193" s="20" t="s">
        <v>379</v>
      </c>
      <c r="G193" s="8" t="str">
        <f t="shared" si="4"/>
        <v>RESPASS AARON</v>
      </c>
      <c r="H193" s="20" t="str">
        <f t="shared" si="5"/>
        <v>4012</v>
      </c>
    </row>
    <row r="194" spans="1:8" x14ac:dyDescent="0.25">
      <c r="A194" s="8">
        <v>43055.776064814818</v>
      </c>
      <c r="B194" s="20" t="s">
        <v>361</v>
      </c>
      <c r="C194" s="20" t="s">
        <v>849</v>
      </c>
      <c r="D194" s="195">
        <v>890000</v>
      </c>
      <c r="E194" s="20" t="s">
        <v>344</v>
      </c>
      <c r="F194" s="20" t="s">
        <v>345</v>
      </c>
      <c r="G194" s="8" t="str">
        <f t="shared" si="4"/>
        <v>LOZA FIDEL</v>
      </c>
      <c r="H194" s="20" t="str">
        <f t="shared" si="5"/>
        <v>4007</v>
      </c>
    </row>
    <row r="195" spans="1:8" x14ac:dyDescent="0.25">
      <c r="A195" s="8">
        <v>43055.777453703704</v>
      </c>
      <c r="B195" s="20" t="s">
        <v>463</v>
      </c>
      <c r="C195" s="20" t="s">
        <v>850</v>
      </c>
      <c r="D195" s="195">
        <v>1300000</v>
      </c>
      <c r="E195" s="20" t="s">
        <v>358</v>
      </c>
      <c r="F195" s="20" t="s">
        <v>359</v>
      </c>
      <c r="G195" s="8" t="str">
        <f t="shared" ref="G195:G258" si="6">E195&amp;" "&amp;F195</f>
        <v>LEVIN SCOTT</v>
      </c>
      <c r="H195" s="20" t="str">
        <f t="shared" ref="H195:H258" si="7">MID(B195,13,4)</f>
        <v>4052</v>
      </c>
    </row>
    <row r="196" spans="1:8" x14ac:dyDescent="0.25">
      <c r="A196" s="8">
        <v>43055.786851851852</v>
      </c>
      <c r="B196" s="20" t="s">
        <v>539</v>
      </c>
      <c r="C196" s="20" t="s">
        <v>851</v>
      </c>
      <c r="D196" s="195">
        <v>3340000</v>
      </c>
      <c r="E196" s="20" t="s">
        <v>843</v>
      </c>
      <c r="F196" s="20" t="s">
        <v>844</v>
      </c>
      <c r="G196" s="8" t="str">
        <f t="shared" si="6"/>
        <v>ELBAUM MIKE</v>
      </c>
      <c r="H196" s="20" t="str">
        <f t="shared" si="7"/>
        <v>4003</v>
      </c>
    </row>
    <row r="197" spans="1:8" x14ac:dyDescent="0.25">
      <c r="A197" s="8">
        <v>43055.787187499998</v>
      </c>
      <c r="B197" s="20" t="s">
        <v>585</v>
      </c>
      <c r="C197" s="20" t="s">
        <v>852</v>
      </c>
      <c r="D197" s="195">
        <v>2420000</v>
      </c>
      <c r="E197" s="20" t="s">
        <v>589</v>
      </c>
      <c r="F197" s="20" t="s">
        <v>590</v>
      </c>
      <c r="G197" s="8" t="str">
        <f t="shared" si="6"/>
        <v>HOLCOMB KAMDEN</v>
      </c>
      <c r="H197" s="20" t="str">
        <f t="shared" si="7"/>
        <v>4015</v>
      </c>
    </row>
    <row r="198" spans="1:8" x14ac:dyDescent="0.25">
      <c r="A198" s="8">
        <v>43055.788622685184</v>
      </c>
      <c r="B198" s="20" t="s">
        <v>675</v>
      </c>
      <c r="C198" s="20" t="s">
        <v>853</v>
      </c>
      <c r="D198" s="195">
        <v>3310000</v>
      </c>
      <c r="E198" s="20" t="s">
        <v>546</v>
      </c>
      <c r="F198" s="20" t="s">
        <v>547</v>
      </c>
      <c r="G198" s="8" t="str">
        <f t="shared" si="6"/>
        <v>ANDERS STEVEN</v>
      </c>
      <c r="H198" s="20" t="str">
        <f t="shared" si="7"/>
        <v>4002</v>
      </c>
    </row>
    <row r="199" spans="1:8" x14ac:dyDescent="0.25">
      <c r="A199" s="8">
        <v>43055.790335648147</v>
      </c>
      <c r="B199" s="20" t="s">
        <v>371</v>
      </c>
      <c r="C199" s="20" t="s">
        <v>854</v>
      </c>
      <c r="D199" s="195">
        <v>3220000</v>
      </c>
      <c r="E199" s="20" t="s">
        <v>378</v>
      </c>
      <c r="F199" s="20" t="s">
        <v>379</v>
      </c>
      <c r="G199" s="8" t="str">
        <f t="shared" si="6"/>
        <v>RESPASS AARON</v>
      </c>
      <c r="H199" s="20" t="str">
        <f t="shared" si="7"/>
        <v>4011</v>
      </c>
    </row>
    <row r="200" spans="1:8" x14ac:dyDescent="0.25">
      <c r="A200" s="8">
        <v>43055.79184027778</v>
      </c>
      <c r="B200" s="20" t="s">
        <v>662</v>
      </c>
      <c r="C200" s="20" t="s">
        <v>855</v>
      </c>
      <c r="D200" s="195">
        <v>3670000</v>
      </c>
      <c r="E200" s="20" t="s">
        <v>383</v>
      </c>
      <c r="F200" s="20" t="s">
        <v>368</v>
      </c>
      <c r="G200" s="8" t="str">
        <f t="shared" si="6"/>
        <v>ANDREA WILLIAMS</v>
      </c>
      <c r="H200" s="20" t="str">
        <f t="shared" si="7"/>
        <v>4042</v>
      </c>
    </row>
    <row r="201" spans="1:8" x14ac:dyDescent="0.25">
      <c r="A201" s="8">
        <v>43055.798784722225</v>
      </c>
      <c r="B201" s="20" t="s">
        <v>384</v>
      </c>
      <c r="C201" s="20" t="s">
        <v>856</v>
      </c>
      <c r="D201" s="195">
        <v>1180000</v>
      </c>
      <c r="E201" s="20" t="s">
        <v>517</v>
      </c>
      <c r="F201" s="20" t="s">
        <v>518</v>
      </c>
      <c r="G201" s="8" t="str">
        <f t="shared" si="6"/>
        <v>LEVERE CRAIG</v>
      </c>
      <c r="H201" s="20" t="str">
        <f t="shared" si="7"/>
        <v>4062</v>
      </c>
    </row>
    <row r="202" spans="1:8" x14ac:dyDescent="0.25">
      <c r="A202" s="26">
        <v>43055.806504629632</v>
      </c>
      <c r="B202" s="20" t="s">
        <v>362</v>
      </c>
      <c r="C202" s="20" t="s">
        <v>857</v>
      </c>
      <c r="D202" s="195">
        <v>3320000</v>
      </c>
      <c r="E202" s="20" t="s">
        <v>363</v>
      </c>
      <c r="F202" s="20" t="s">
        <v>364</v>
      </c>
      <c r="G202" s="8" t="str">
        <f t="shared" si="6"/>
        <v>NICHOLSON WESLEY</v>
      </c>
      <c r="H202" s="20" t="str">
        <f t="shared" si="7"/>
        <v>4017</v>
      </c>
    </row>
    <row r="203" spans="1:8" x14ac:dyDescent="0.25">
      <c r="A203" s="8">
        <v>43055.81009259259</v>
      </c>
      <c r="B203" s="20" t="s">
        <v>658</v>
      </c>
      <c r="C203" s="20" t="s">
        <v>858</v>
      </c>
      <c r="D203" s="195">
        <v>3670000</v>
      </c>
      <c r="E203" s="20" t="s">
        <v>383</v>
      </c>
      <c r="F203" s="20" t="s">
        <v>368</v>
      </c>
      <c r="G203" s="8" t="str">
        <f t="shared" si="6"/>
        <v>ANDREA WILLIAMS</v>
      </c>
      <c r="H203" s="20" t="str">
        <f t="shared" si="7"/>
        <v>4041</v>
      </c>
    </row>
    <row r="204" spans="1:8" x14ac:dyDescent="0.25">
      <c r="A204" s="8">
        <v>43055.810254629629</v>
      </c>
      <c r="B204" s="20" t="s">
        <v>356</v>
      </c>
      <c r="C204" s="20" t="s">
        <v>859</v>
      </c>
      <c r="D204" s="195">
        <v>890000</v>
      </c>
      <c r="E204" s="20" t="s">
        <v>344</v>
      </c>
      <c r="F204" s="20" t="s">
        <v>345</v>
      </c>
      <c r="G204" s="8" t="str">
        <f t="shared" si="6"/>
        <v>LOZA FIDEL</v>
      </c>
      <c r="H204" s="20" t="str">
        <f t="shared" si="7"/>
        <v>4008</v>
      </c>
    </row>
    <row r="205" spans="1:8" x14ac:dyDescent="0.25">
      <c r="A205" s="8">
        <v>43055.818483796298</v>
      </c>
      <c r="B205" s="20" t="s">
        <v>586</v>
      </c>
      <c r="C205" s="20" t="s">
        <v>860</v>
      </c>
      <c r="D205" s="195">
        <v>2420000</v>
      </c>
      <c r="E205" s="20" t="s">
        <v>589</v>
      </c>
      <c r="F205" s="20" t="s">
        <v>590</v>
      </c>
      <c r="G205" s="8" t="str">
        <f t="shared" si="6"/>
        <v>HOLCOMB KAMDEN</v>
      </c>
      <c r="H205" s="20" t="str">
        <f t="shared" si="7"/>
        <v>4016</v>
      </c>
    </row>
    <row r="206" spans="1:8" x14ac:dyDescent="0.25">
      <c r="A206" s="8">
        <v>43055.826828703706</v>
      </c>
      <c r="B206" s="20" t="s">
        <v>673</v>
      </c>
      <c r="C206" s="20" t="s">
        <v>861</v>
      </c>
      <c r="D206" s="195">
        <v>3340000</v>
      </c>
      <c r="E206" s="20" t="s">
        <v>843</v>
      </c>
      <c r="F206" s="20" t="s">
        <v>844</v>
      </c>
      <c r="G206" s="8" t="str">
        <f t="shared" si="6"/>
        <v>ELBAUM MIKE</v>
      </c>
      <c r="H206" s="20" t="str">
        <f t="shared" si="7"/>
        <v>4004</v>
      </c>
    </row>
    <row r="207" spans="1:8" x14ac:dyDescent="0.25">
      <c r="A207" s="8">
        <v>43055.829062500001</v>
      </c>
      <c r="B207" s="20" t="s">
        <v>682</v>
      </c>
      <c r="C207" s="20" t="s">
        <v>862</v>
      </c>
      <c r="D207" s="195">
        <v>3310000</v>
      </c>
      <c r="E207" s="20" t="s">
        <v>546</v>
      </c>
      <c r="F207" s="20" t="s">
        <v>547</v>
      </c>
      <c r="G207" s="8" t="str">
        <f t="shared" si="6"/>
        <v>ANDERS STEVEN</v>
      </c>
      <c r="H207" s="20" t="str">
        <f t="shared" si="7"/>
        <v>4001</v>
      </c>
    </row>
    <row r="208" spans="1:8" x14ac:dyDescent="0.25">
      <c r="A208" s="8">
        <v>43055.836643518516</v>
      </c>
      <c r="B208" s="20" t="s">
        <v>662</v>
      </c>
      <c r="C208" s="20" t="s">
        <v>670</v>
      </c>
      <c r="D208" s="195">
        <v>3670000</v>
      </c>
      <c r="E208" s="20" t="s">
        <v>383</v>
      </c>
      <c r="F208" s="20" t="s">
        <v>368</v>
      </c>
      <c r="G208" s="8" t="str">
        <f t="shared" si="6"/>
        <v>ANDREA WILLIAMS</v>
      </c>
      <c r="H208" s="20" t="str">
        <f t="shared" si="7"/>
        <v>4042</v>
      </c>
    </row>
    <row r="209" spans="1:8" x14ac:dyDescent="0.25">
      <c r="A209" s="8">
        <v>43055.84275462963</v>
      </c>
      <c r="B209" s="20" t="s">
        <v>360</v>
      </c>
      <c r="C209" s="20" t="s">
        <v>863</v>
      </c>
      <c r="D209" s="195">
        <v>3320000</v>
      </c>
      <c r="E209" s="20" t="s">
        <v>363</v>
      </c>
      <c r="F209" s="20" t="s">
        <v>364</v>
      </c>
      <c r="G209" s="8" t="str">
        <f t="shared" si="6"/>
        <v>NICHOLSON WESLEY</v>
      </c>
      <c r="H209" s="20" t="str">
        <f t="shared" si="7"/>
        <v>4018</v>
      </c>
    </row>
    <row r="210" spans="1:8" x14ac:dyDescent="0.25">
      <c r="A210" s="8">
        <v>43055.850370370368</v>
      </c>
      <c r="B210" s="20" t="s">
        <v>361</v>
      </c>
      <c r="C210" s="20" t="s">
        <v>864</v>
      </c>
      <c r="D210" s="195">
        <v>890000</v>
      </c>
      <c r="E210" s="20" t="s">
        <v>344</v>
      </c>
      <c r="F210" s="20" t="s">
        <v>345</v>
      </c>
      <c r="G210" s="8" t="str">
        <f t="shared" si="6"/>
        <v>LOZA FIDEL</v>
      </c>
      <c r="H210" s="20" t="str">
        <f t="shared" si="7"/>
        <v>4007</v>
      </c>
    </row>
    <row r="211" spans="1:8" x14ac:dyDescent="0.25">
      <c r="A211" s="8">
        <v>43055.851319444446</v>
      </c>
      <c r="B211" s="20" t="s">
        <v>658</v>
      </c>
      <c r="C211" s="20" t="s">
        <v>865</v>
      </c>
      <c r="D211" s="195">
        <v>3670000</v>
      </c>
      <c r="E211" s="20" t="s">
        <v>383</v>
      </c>
      <c r="F211" s="20" t="s">
        <v>368</v>
      </c>
      <c r="G211" s="8" t="str">
        <f t="shared" si="6"/>
        <v>ANDREA WILLIAMS</v>
      </c>
      <c r="H211" s="20" t="str">
        <f t="shared" si="7"/>
        <v>4041</v>
      </c>
    </row>
    <row r="212" spans="1:8" x14ac:dyDescent="0.25">
      <c r="A212" s="8">
        <v>43055.860127314816</v>
      </c>
      <c r="B212" s="20" t="s">
        <v>539</v>
      </c>
      <c r="C212" s="20" t="s">
        <v>866</v>
      </c>
      <c r="D212" s="195">
        <v>3340000</v>
      </c>
      <c r="E212" s="20" t="s">
        <v>843</v>
      </c>
      <c r="F212" s="20" t="s">
        <v>844</v>
      </c>
      <c r="G212" s="8" t="str">
        <f t="shared" si="6"/>
        <v>ELBAUM MIKE</v>
      </c>
      <c r="H212" s="20" t="str">
        <f t="shared" si="7"/>
        <v>4003</v>
      </c>
    </row>
    <row r="213" spans="1:8" x14ac:dyDescent="0.25">
      <c r="A213" s="8">
        <v>43055.871261574073</v>
      </c>
      <c r="B213" s="20" t="s">
        <v>675</v>
      </c>
      <c r="C213" s="20" t="s">
        <v>867</v>
      </c>
      <c r="D213" s="195">
        <v>3310000</v>
      </c>
      <c r="E213" s="20" t="s">
        <v>546</v>
      </c>
      <c r="F213" s="20" t="s">
        <v>547</v>
      </c>
      <c r="G213" s="8" t="str">
        <f t="shared" si="6"/>
        <v>ANDERS STEVEN</v>
      </c>
      <c r="H213" s="20" t="str">
        <f t="shared" si="7"/>
        <v>4002</v>
      </c>
    </row>
    <row r="214" spans="1:8" x14ac:dyDescent="0.25">
      <c r="A214" s="8">
        <v>43055.875497685185</v>
      </c>
      <c r="B214" s="20" t="s">
        <v>662</v>
      </c>
      <c r="C214" s="20" t="s">
        <v>671</v>
      </c>
      <c r="D214" s="195">
        <v>3220000</v>
      </c>
      <c r="E214" s="20" t="s">
        <v>378</v>
      </c>
      <c r="F214" s="20" t="s">
        <v>379</v>
      </c>
      <c r="G214" s="8" t="str">
        <f t="shared" si="6"/>
        <v>RESPASS AARON</v>
      </c>
      <c r="H214" s="20" t="str">
        <f t="shared" si="7"/>
        <v>4042</v>
      </c>
    </row>
    <row r="215" spans="1:8" x14ac:dyDescent="0.25">
      <c r="A215" s="8">
        <v>43055.884097222224</v>
      </c>
      <c r="B215" s="20" t="s">
        <v>356</v>
      </c>
      <c r="C215" s="20" t="s">
        <v>868</v>
      </c>
      <c r="D215" s="195">
        <v>890000</v>
      </c>
      <c r="E215" s="20" t="s">
        <v>344</v>
      </c>
      <c r="F215" s="20" t="s">
        <v>345</v>
      </c>
      <c r="G215" s="8" t="str">
        <f t="shared" si="6"/>
        <v>LOZA FIDEL</v>
      </c>
      <c r="H215" s="20" t="str">
        <f t="shared" si="7"/>
        <v>4008</v>
      </c>
    </row>
    <row r="216" spans="1:8" x14ac:dyDescent="0.25">
      <c r="A216" s="8">
        <v>43055.889537037037</v>
      </c>
      <c r="B216" s="20" t="s">
        <v>362</v>
      </c>
      <c r="C216" s="20" t="s">
        <v>869</v>
      </c>
      <c r="D216" s="195">
        <v>3320000</v>
      </c>
      <c r="E216" s="20" t="s">
        <v>363</v>
      </c>
      <c r="F216" s="20" t="s">
        <v>364</v>
      </c>
      <c r="G216" s="8" t="str">
        <f t="shared" si="6"/>
        <v>NICHOLSON WESLEY</v>
      </c>
      <c r="H216" s="20" t="str">
        <f t="shared" si="7"/>
        <v>4017</v>
      </c>
    </row>
    <row r="217" spans="1:8" x14ac:dyDescent="0.25">
      <c r="A217" s="8">
        <v>43055.894699074073</v>
      </c>
      <c r="B217" s="20" t="s">
        <v>658</v>
      </c>
      <c r="C217" s="20" t="s">
        <v>870</v>
      </c>
      <c r="D217" s="195">
        <v>3220000</v>
      </c>
      <c r="E217" s="20" t="s">
        <v>378</v>
      </c>
      <c r="F217" s="20" t="s">
        <v>379</v>
      </c>
      <c r="G217" s="8" t="str">
        <f t="shared" si="6"/>
        <v>RESPASS AARON</v>
      </c>
      <c r="H217" s="20" t="str">
        <f t="shared" si="7"/>
        <v>4041</v>
      </c>
    </row>
    <row r="218" spans="1:8" x14ac:dyDescent="0.25">
      <c r="A218" s="8">
        <v>43055.901898148149</v>
      </c>
      <c r="B218" s="20" t="s">
        <v>673</v>
      </c>
      <c r="C218" s="20" t="s">
        <v>871</v>
      </c>
      <c r="D218" s="195">
        <v>3340000</v>
      </c>
      <c r="E218" s="20" t="s">
        <v>843</v>
      </c>
      <c r="F218" s="20" t="s">
        <v>844</v>
      </c>
      <c r="G218" s="8" t="str">
        <f t="shared" si="6"/>
        <v>ELBAUM MIKE</v>
      </c>
      <c r="H218" s="20" t="str">
        <f t="shared" si="7"/>
        <v>4004</v>
      </c>
    </row>
    <row r="219" spans="1:8" x14ac:dyDescent="0.25">
      <c r="A219" s="8">
        <v>43055.911643518521</v>
      </c>
      <c r="B219" s="20" t="s">
        <v>682</v>
      </c>
      <c r="C219" s="20" t="s">
        <v>872</v>
      </c>
      <c r="D219" s="195">
        <v>3310000</v>
      </c>
      <c r="E219" s="20" t="s">
        <v>546</v>
      </c>
      <c r="F219" s="20" t="s">
        <v>547</v>
      </c>
      <c r="G219" s="8" t="str">
        <f t="shared" si="6"/>
        <v>ANDERS STEVEN</v>
      </c>
      <c r="H219" s="20" t="str">
        <f t="shared" si="7"/>
        <v>4001</v>
      </c>
    </row>
    <row r="220" spans="1:8" x14ac:dyDescent="0.25">
      <c r="A220" s="8">
        <v>43055.919907407406</v>
      </c>
      <c r="B220" s="20" t="s">
        <v>662</v>
      </c>
      <c r="C220" s="20" t="s">
        <v>873</v>
      </c>
      <c r="D220" s="195">
        <v>3220000</v>
      </c>
      <c r="E220" s="20" t="s">
        <v>378</v>
      </c>
      <c r="F220" s="20" t="s">
        <v>379</v>
      </c>
      <c r="G220" s="8" t="str">
        <f t="shared" si="6"/>
        <v>RESPASS AARON</v>
      </c>
      <c r="H220" s="20" t="str">
        <f t="shared" si="7"/>
        <v>4042</v>
      </c>
    </row>
    <row r="221" spans="1:8" x14ac:dyDescent="0.25">
      <c r="A221" s="8">
        <v>43055.922129629631</v>
      </c>
      <c r="B221" s="20" t="s">
        <v>662</v>
      </c>
      <c r="C221" s="20" t="s">
        <v>873</v>
      </c>
      <c r="D221" s="195">
        <v>3220000</v>
      </c>
      <c r="E221" s="20" t="s">
        <v>378</v>
      </c>
      <c r="F221" s="20" t="s">
        <v>379</v>
      </c>
      <c r="G221" s="8" t="str">
        <f t="shared" si="6"/>
        <v>RESPASS AARON</v>
      </c>
      <c r="H221" s="20" t="str">
        <f t="shared" si="7"/>
        <v>4042</v>
      </c>
    </row>
    <row r="222" spans="1:8" x14ac:dyDescent="0.25">
      <c r="A222" s="8">
        <v>43055.931793981479</v>
      </c>
      <c r="B222" s="20" t="s">
        <v>360</v>
      </c>
      <c r="C222" s="20" t="s">
        <v>874</v>
      </c>
      <c r="D222" s="195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4018</v>
      </c>
    </row>
    <row r="223" spans="1:8" x14ac:dyDescent="0.25">
      <c r="A223" s="8">
        <v>43055.93309027778</v>
      </c>
      <c r="B223" s="20" t="s">
        <v>361</v>
      </c>
      <c r="C223" s="20" t="s">
        <v>875</v>
      </c>
      <c r="D223" s="195">
        <v>890000</v>
      </c>
      <c r="E223" s="20" t="s">
        <v>344</v>
      </c>
      <c r="F223" s="20" t="s">
        <v>345</v>
      </c>
      <c r="G223" s="8" t="str">
        <f t="shared" si="6"/>
        <v>LOZA FIDEL</v>
      </c>
      <c r="H223" s="20" t="str">
        <f t="shared" si="7"/>
        <v>4007</v>
      </c>
    </row>
    <row r="224" spans="1:8" x14ac:dyDescent="0.25">
      <c r="A224" s="8">
        <v>43055.935254629629</v>
      </c>
      <c r="B224" t="s">
        <v>658</v>
      </c>
      <c r="C224" t="s">
        <v>672</v>
      </c>
      <c r="D224" s="195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4041</v>
      </c>
    </row>
    <row r="225" spans="1:8" x14ac:dyDescent="0.25">
      <c r="A225" s="8">
        <v>43055.942662037036</v>
      </c>
      <c r="B225" t="s">
        <v>539</v>
      </c>
      <c r="C225" t="s">
        <v>876</v>
      </c>
      <c r="D225" s="195">
        <v>3340000</v>
      </c>
      <c r="E225" t="s">
        <v>843</v>
      </c>
      <c r="F225" s="20" t="s">
        <v>844</v>
      </c>
      <c r="G225" s="8" t="str">
        <f t="shared" si="6"/>
        <v>ELBAUM MIKE</v>
      </c>
      <c r="H225" s="20" t="str">
        <f t="shared" si="7"/>
        <v>4003</v>
      </c>
    </row>
    <row r="226" spans="1:8" x14ac:dyDescent="0.25">
      <c r="A226" s="8">
        <v>43055.947094907409</v>
      </c>
      <c r="B226" t="s">
        <v>675</v>
      </c>
      <c r="C226" t="s">
        <v>877</v>
      </c>
      <c r="D226" s="195">
        <v>3310000</v>
      </c>
      <c r="E226" t="s">
        <v>546</v>
      </c>
      <c r="F226" s="20" t="s">
        <v>547</v>
      </c>
      <c r="G226" s="8" t="str">
        <f t="shared" si="6"/>
        <v>ANDERS STEVEN</v>
      </c>
      <c r="H226" s="20" t="str">
        <f t="shared" si="7"/>
        <v>4002</v>
      </c>
    </row>
    <row r="227" spans="1:8" x14ac:dyDescent="0.25">
      <c r="A227" s="8">
        <v>43055.961400462962</v>
      </c>
      <c r="B227" t="s">
        <v>662</v>
      </c>
      <c r="C227" t="s">
        <v>878</v>
      </c>
      <c r="D227" s="195">
        <v>3220000</v>
      </c>
      <c r="E227" t="s">
        <v>378</v>
      </c>
      <c r="F227" s="20" t="s">
        <v>379</v>
      </c>
      <c r="G227" s="8" t="str">
        <f t="shared" si="6"/>
        <v>RESPASS AARON</v>
      </c>
      <c r="H227" s="20" t="str">
        <f t="shared" si="7"/>
        <v>4042</v>
      </c>
    </row>
    <row r="228" spans="1:8" x14ac:dyDescent="0.25">
      <c r="A228" s="8">
        <v>43055.963067129633</v>
      </c>
      <c r="B228" t="s">
        <v>356</v>
      </c>
      <c r="C228" t="s">
        <v>879</v>
      </c>
      <c r="D228" s="195">
        <v>890000</v>
      </c>
      <c r="E228" t="s">
        <v>344</v>
      </c>
      <c r="F228" s="20" t="s">
        <v>345</v>
      </c>
      <c r="G228" s="8" t="str">
        <f t="shared" si="6"/>
        <v>LOZA FIDEL</v>
      </c>
      <c r="H228" s="20" t="str">
        <f t="shared" si="7"/>
        <v>4008</v>
      </c>
    </row>
    <row r="229" spans="1:8" x14ac:dyDescent="0.25">
      <c r="A229" s="8">
        <v>43055.967511574076</v>
      </c>
      <c r="B229" t="s">
        <v>362</v>
      </c>
      <c r="C229" t="s">
        <v>880</v>
      </c>
      <c r="D229" s="195">
        <v>3320000</v>
      </c>
      <c r="E229" t="s">
        <v>363</v>
      </c>
      <c r="F229" s="20" t="s">
        <v>364</v>
      </c>
      <c r="G229" s="8" t="str">
        <f t="shared" si="6"/>
        <v>NICHOLSON WESLEY</v>
      </c>
      <c r="H229" s="20" t="str">
        <f t="shared" si="7"/>
        <v>4017</v>
      </c>
    </row>
    <row r="230" spans="1:8" x14ac:dyDescent="0.25">
      <c r="A230" s="8">
        <v>43055.976134259261</v>
      </c>
      <c r="B230" t="s">
        <v>658</v>
      </c>
      <c r="C230" t="s">
        <v>881</v>
      </c>
      <c r="D230" s="195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4041</v>
      </c>
    </row>
    <row r="231" spans="1:8" x14ac:dyDescent="0.25">
      <c r="A231" s="8">
        <v>43055.984780092593</v>
      </c>
      <c r="B231" t="s">
        <v>673</v>
      </c>
      <c r="C231" t="s">
        <v>882</v>
      </c>
      <c r="D231" s="195">
        <v>3340000</v>
      </c>
      <c r="E231" t="s">
        <v>843</v>
      </c>
      <c r="F231" s="20" t="s">
        <v>844</v>
      </c>
      <c r="G231" s="8" t="str">
        <f t="shared" si="6"/>
        <v>ELBAUM MIKE</v>
      </c>
      <c r="H231" s="20" t="str">
        <f t="shared" si="7"/>
        <v>4004</v>
      </c>
    </row>
    <row r="232" spans="1:8" x14ac:dyDescent="0.25">
      <c r="A232" s="8">
        <v>43055.995671296296</v>
      </c>
      <c r="B232" t="s">
        <v>682</v>
      </c>
      <c r="C232" t="s">
        <v>883</v>
      </c>
      <c r="D232" s="195">
        <v>3310000</v>
      </c>
      <c r="E232" t="s">
        <v>546</v>
      </c>
      <c r="F232" s="20" t="s">
        <v>547</v>
      </c>
      <c r="G232" s="8" t="str">
        <f t="shared" si="6"/>
        <v>ANDERS STEVEN</v>
      </c>
      <c r="H232" s="20" t="str">
        <f t="shared" si="7"/>
        <v>4001</v>
      </c>
    </row>
    <row r="233" spans="1:8" x14ac:dyDescent="0.25">
      <c r="A233" s="8">
        <v>43056.009398148148</v>
      </c>
      <c r="B233" t="s">
        <v>360</v>
      </c>
      <c r="C233" t="s">
        <v>884</v>
      </c>
      <c r="D233" s="195">
        <v>3320000</v>
      </c>
      <c r="E233" t="s">
        <v>363</v>
      </c>
      <c r="F233" s="20" t="s">
        <v>364</v>
      </c>
      <c r="G233" s="8" t="str">
        <f t="shared" si="6"/>
        <v>NICHOLSON WESLEY</v>
      </c>
      <c r="H233" s="20" t="str">
        <f t="shared" si="7"/>
        <v>4018</v>
      </c>
    </row>
    <row r="234" spans="1:8" x14ac:dyDescent="0.25">
      <c r="A234" s="8">
        <v>43056.016655092593</v>
      </c>
      <c r="B234" t="s">
        <v>361</v>
      </c>
      <c r="C234" t="s">
        <v>885</v>
      </c>
      <c r="D234" s="195">
        <v>890000</v>
      </c>
      <c r="E234" t="s">
        <v>344</v>
      </c>
      <c r="F234" s="20" t="s">
        <v>345</v>
      </c>
      <c r="G234" s="8" t="str">
        <f t="shared" si="6"/>
        <v>LOZA FIDEL</v>
      </c>
      <c r="H234" s="20" t="str">
        <f t="shared" si="7"/>
        <v>4007</v>
      </c>
    </row>
    <row r="235" spans="1:8" x14ac:dyDescent="0.25">
      <c r="A235" s="8">
        <v>43056.025925925926</v>
      </c>
      <c r="B235" t="s">
        <v>539</v>
      </c>
      <c r="C235" t="s">
        <v>886</v>
      </c>
      <c r="D235" s="195">
        <v>3340000</v>
      </c>
      <c r="E235" t="s">
        <v>843</v>
      </c>
      <c r="F235" s="20" t="s">
        <v>844</v>
      </c>
      <c r="G235" s="8" t="str">
        <f t="shared" si="6"/>
        <v>ELBAUM MIKE</v>
      </c>
      <c r="H235" s="20" t="str">
        <f t="shared" si="7"/>
        <v>4003</v>
      </c>
    </row>
    <row r="236" spans="1:8" x14ac:dyDescent="0.25">
      <c r="A236" s="8">
        <v>43056.027453703704</v>
      </c>
      <c r="B236" t="s">
        <v>675</v>
      </c>
      <c r="C236" t="s">
        <v>887</v>
      </c>
      <c r="D236" s="195">
        <v>3310000</v>
      </c>
      <c r="E236" t="s">
        <v>546</v>
      </c>
      <c r="F236" s="20" t="s">
        <v>547</v>
      </c>
      <c r="G236" s="8" t="str">
        <f t="shared" si="6"/>
        <v>ANDERS STEVEN</v>
      </c>
      <c r="H236" s="20" t="str">
        <f t="shared" si="7"/>
        <v>4002</v>
      </c>
    </row>
    <row r="237" spans="1:8" x14ac:dyDescent="0.25">
      <c r="A237" s="8">
        <v>43056.04855324074</v>
      </c>
      <c r="B237" t="s">
        <v>356</v>
      </c>
      <c r="C237" t="s">
        <v>888</v>
      </c>
      <c r="D237" s="195">
        <v>890000</v>
      </c>
      <c r="E237" t="s">
        <v>344</v>
      </c>
      <c r="F237" s="20" t="s">
        <v>345</v>
      </c>
      <c r="G237" s="8" t="str">
        <f t="shared" si="6"/>
        <v>LOZA FIDEL</v>
      </c>
      <c r="H237" s="20" t="str">
        <f t="shared" si="7"/>
        <v>4008</v>
      </c>
    </row>
    <row r="238" spans="1:8" x14ac:dyDescent="0.25">
      <c r="A238" s="8">
        <v>43056.053668981483</v>
      </c>
      <c r="B238" t="s">
        <v>362</v>
      </c>
      <c r="C238" t="s">
        <v>889</v>
      </c>
      <c r="D238" s="195">
        <v>3320000</v>
      </c>
      <c r="E238" t="s">
        <v>363</v>
      </c>
      <c r="F238" s="20" t="s">
        <v>364</v>
      </c>
      <c r="G238" s="8" t="str">
        <f t="shared" si="6"/>
        <v>NICHOLSON WESLEY</v>
      </c>
      <c r="H238" s="20" t="str">
        <f t="shared" si="7"/>
        <v>4017</v>
      </c>
    </row>
    <row r="239" spans="1:8" x14ac:dyDescent="0.25">
      <c r="A239" s="8">
        <v>43056.066157407404</v>
      </c>
      <c r="B239" t="s">
        <v>673</v>
      </c>
      <c r="C239" t="s">
        <v>890</v>
      </c>
      <c r="D239" s="195">
        <v>3340000</v>
      </c>
      <c r="E239" t="s">
        <v>843</v>
      </c>
      <c r="F239" s="20" t="s">
        <v>844</v>
      </c>
      <c r="G239" s="8" t="str">
        <f t="shared" si="6"/>
        <v>ELBAUM MIKE</v>
      </c>
      <c r="H239" s="20" t="str">
        <f t="shared" si="7"/>
        <v>4004</v>
      </c>
    </row>
    <row r="240" spans="1:8" x14ac:dyDescent="0.25">
      <c r="A240" s="8">
        <v>43056.091493055559</v>
      </c>
      <c r="B240" t="s">
        <v>360</v>
      </c>
      <c r="C240" t="s">
        <v>891</v>
      </c>
      <c r="D240" s="195">
        <v>3320000</v>
      </c>
      <c r="E240" t="s">
        <v>363</v>
      </c>
      <c r="F240" s="20" t="s">
        <v>364</v>
      </c>
      <c r="G240" s="8" t="str">
        <f t="shared" si="6"/>
        <v>NICHOLSON WESLEY</v>
      </c>
      <c r="H240" s="20" t="str">
        <f t="shared" si="7"/>
        <v>4018</v>
      </c>
    </row>
    <row r="241" spans="1:8" x14ac:dyDescent="0.25">
      <c r="A241" s="8">
        <v>43056.112928240742</v>
      </c>
      <c r="B241" t="s">
        <v>447</v>
      </c>
      <c r="C241" t="s">
        <v>892</v>
      </c>
      <c r="D241" s="195">
        <v>1830000</v>
      </c>
      <c r="E241" t="s">
        <v>346</v>
      </c>
      <c r="F241" s="20" t="s">
        <v>347</v>
      </c>
      <c r="G241" s="8" t="str">
        <f t="shared" si="6"/>
        <v>YORK EDGAR</v>
      </c>
      <c r="H241" s="20" t="str">
        <f t="shared" si="7"/>
        <v>4009</v>
      </c>
    </row>
    <row r="242" spans="1:8" x14ac:dyDescent="0.25">
      <c r="A242" s="8">
        <v>43055.029606481483</v>
      </c>
      <c r="B242" t="s">
        <v>516</v>
      </c>
      <c r="C242" t="s">
        <v>592</v>
      </c>
      <c r="D242" s="195">
        <v>3320000</v>
      </c>
      <c r="E242" t="s">
        <v>363</v>
      </c>
      <c r="F242" s="20" t="s">
        <v>364</v>
      </c>
      <c r="G242" s="8" t="str">
        <f t="shared" si="6"/>
        <v>NICHOLSON WESLEY</v>
      </c>
      <c r="H242" s="20" t="str">
        <f t="shared" si="7"/>
        <v>4014</v>
      </c>
    </row>
    <row r="243" spans="1:8" x14ac:dyDescent="0.25">
      <c r="A243" s="8">
        <v>43055.037569444445</v>
      </c>
      <c r="B243" t="s">
        <v>387</v>
      </c>
      <c r="C243" t="s">
        <v>593</v>
      </c>
      <c r="D243" s="195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4029</v>
      </c>
    </row>
    <row r="244" spans="1:8" x14ac:dyDescent="0.25">
      <c r="A244" s="8">
        <v>43055.046736111108</v>
      </c>
      <c r="B244" t="s">
        <v>510</v>
      </c>
      <c r="C244" t="s">
        <v>594</v>
      </c>
      <c r="D244" s="195">
        <v>3220000</v>
      </c>
      <c r="E244" t="s">
        <v>378</v>
      </c>
      <c r="F244" s="20" t="s">
        <v>379</v>
      </c>
      <c r="G244" s="8" t="str">
        <f t="shared" si="6"/>
        <v>RESPASS AARON</v>
      </c>
      <c r="H244" s="20" t="str">
        <f t="shared" si="7"/>
        <v>4040</v>
      </c>
    </row>
    <row r="245" spans="1:8" x14ac:dyDescent="0.25">
      <c r="A245" s="8">
        <v>43055.050555555557</v>
      </c>
      <c r="B245" t="s">
        <v>519</v>
      </c>
      <c r="C245" t="s">
        <v>595</v>
      </c>
      <c r="D245" s="195">
        <v>3310000</v>
      </c>
      <c r="E245" t="s">
        <v>546</v>
      </c>
      <c r="F245" s="20" t="s">
        <v>547</v>
      </c>
      <c r="G245" s="8" t="str">
        <f t="shared" si="6"/>
        <v>ANDERS STEVEN</v>
      </c>
      <c r="H245" s="20" t="str">
        <f t="shared" si="7"/>
        <v>4065</v>
      </c>
    </row>
    <row r="246" spans="1:8" x14ac:dyDescent="0.25">
      <c r="A246" s="8">
        <v>43055.089861111112</v>
      </c>
      <c r="B246" t="s">
        <v>540</v>
      </c>
      <c r="C246" t="s">
        <v>596</v>
      </c>
      <c r="D246" s="195">
        <v>3310000</v>
      </c>
      <c r="E246" t="s">
        <v>546</v>
      </c>
      <c r="F246" s="20" t="s">
        <v>547</v>
      </c>
      <c r="G246" s="8" t="str">
        <f t="shared" si="6"/>
        <v>ANDERS STEVEN</v>
      </c>
      <c r="H246" s="20" t="str">
        <f t="shared" si="7"/>
        <v>4066</v>
      </c>
    </row>
    <row r="247" spans="1:8" x14ac:dyDescent="0.25">
      <c r="A247" s="8">
        <v>43055.090868055559</v>
      </c>
      <c r="B247" t="s">
        <v>540</v>
      </c>
      <c r="C247" t="s">
        <v>596</v>
      </c>
      <c r="D247" s="195">
        <v>3310000</v>
      </c>
      <c r="E247" t="s">
        <v>546</v>
      </c>
      <c r="F247" s="20" t="s">
        <v>547</v>
      </c>
      <c r="G247" s="8" t="str">
        <f t="shared" si="6"/>
        <v>ANDERS STEVEN</v>
      </c>
      <c r="H247" s="20" t="str">
        <f t="shared" si="7"/>
        <v>4066</v>
      </c>
    </row>
    <row r="248" spans="1:8" x14ac:dyDescent="0.25">
      <c r="A248" s="8">
        <v>43055.114317129628</v>
      </c>
      <c r="B248" t="s">
        <v>539</v>
      </c>
      <c r="C248" t="s">
        <v>597</v>
      </c>
      <c r="D248" s="195">
        <v>1830000</v>
      </c>
      <c r="E248" t="s">
        <v>346</v>
      </c>
      <c r="F248" s="20" t="s">
        <v>347</v>
      </c>
      <c r="G248" s="8" t="str">
        <f t="shared" si="6"/>
        <v>YORK EDGAR</v>
      </c>
      <c r="H248" s="20" t="str">
        <f t="shared" si="7"/>
        <v>4003</v>
      </c>
    </row>
    <row r="249" spans="1:8" x14ac:dyDescent="0.25">
      <c r="A249" s="8">
        <v>43047.950833333336</v>
      </c>
      <c r="B249" t="s">
        <v>448</v>
      </c>
      <c r="C249" t="s">
        <v>470</v>
      </c>
      <c r="D249" s="195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43047.952499999999</v>
      </c>
      <c r="B250" t="s">
        <v>467</v>
      </c>
      <c r="C250" t="s">
        <v>471</v>
      </c>
      <c r="D250" s="195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4051</v>
      </c>
    </row>
    <row r="251" spans="1:8" x14ac:dyDescent="0.25">
      <c r="A251" s="8">
        <v>43047.962326388886</v>
      </c>
      <c r="B251" t="s">
        <v>464</v>
      </c>
      <c r="C251" t="s">
        <v>472</v>
      </c>
      <c r="D251" s="195">
        <v>2000000</v>
      </c>
      <c r="E251" t="s">
        <v>395</v>
      </c>
      <c r="F251" s="20" t="s">
        <v>396</v>
      </c>
      <c r="G251" s="8" t="str">
        <f t="shared" si="6"/>
        <v>STAMBAUGH JAMES</v>
      </c>
      <c r="H251" s="20" t="str">
        <f t="shared" si="7"/>
        <v>4024</v>
      </c>
    </row>
    <row r="252" spans="1:8" x14ac:dyDescent="0.25">
      <c r="A252" s="8">
        <v>43047.972604166665</v>
      </c>
      <c r="B252" t="s">
        <v>452</v>
      </c>
      <c r="C252" t="s">
        <v>473</v>
      </c>
      <c r="D252" s="195">
        <v>2540000</v>
      </c>
      <c r="E252" t="s">
        <v>474</v>
      </c>
      <c r="F252" s="20" t="s">
        <v>475</v>
      </c>
      <c r="G252" s="8" t="str">
        <f t="shared" si="6"/>
        <v>MCREYNOLDS KYLE</v>
      </c>
      <c r="H252" s="20" t="str">
        <f t="shared" si="7"/>
        <v>4050</v>
      </c>
    </row>
    <row r="253" spans="1:8" x14ac:dyDescent="0.25">
      <c r="A253" s="8">
        <v>43047.974976851852</v>
      </c>
      <c r="B253" t="s">
        <v>391</v>
      </c>
      <c r="C253" t="s">
        <v>476</v>
      </c>
      <c r="D253" s="195">
        <v>3700000</v>
      </c>
      <c r="E253" t="s">
        <v>453</v>
      </c>
      <c r="F253" s="20" t="s">
        <v>369</v>
      </c>
      <c r="G253" s="8" t="str">
        <f t="shared" si="6"/>
        <v>AUSTIN THOMPSON</v>
      </c>
      <c r="H253" s="20" t="str">
        <f t="shared" si="7"/>
        <v>4059</v>
      </c>
    </row>
    <row r="254" spans="1:8" x14ac:dyDescent="0.25">
      <c r="A254" s="8">
        <v>43047.975590277776</v>
      </c>
      <c r="B254" t="s">
        <v>465</v>
      </c>
      <c r="C254" t="s">
        <v>477</v>
      </c>
      <c r="D254" s="195">
        <v>2000000</v>
      </c>
      <c r="E254" t="s">
        <v>395</v>
      </c>
      <c r="F254" s="20" t="s">
        <v>396</v>
      </c>
      <c r="G254" s="8" t="str">
        <f t="shared" si="6"/>
        <v>STAMBAUGH JAMES</v>
      </c>
      <c r="H254" s="20" t="str">
        <f t="shared" si="7"/>
        <v>4023</v>
      </c>
    </row>
    <row r="255" spans="1:8" x14ac:dyDescent="0.25">
      <c r="A255" s="8">
        <v>43047.989583333336</v>
      </c>
      <c r="B255" t="s">
        <v>463</v>
      </c>
      <c r="C255" t="s">
        <v>478</v>
      </c>
      <c r="D255" s="195">
        <v>890000</v>
      </c>
      <c r="E255" t="s">
        <v>344</v>
      </c>
      <c r="F255" s="20" t="s">
        <v>345</v>
      </c>
      <c r="G255" s="8" t="str">
        <f t="shared" si="6"/>
        <v>LOZA FIDEL</v>
      </c>
      <c r="H255" s="20" t="str">
        <f t="shared" si="7"/>
        <v>4052</v>
      </c>
    </row>
    <row r="256" spans="1:8" x14ac:dyDescent="0.25">
      <c r="A256" s="8">
        <v>43047.994467592594</v>
      </c>
      <c r="B256" t="s">
        <v>447</v>
      </c>
      <c r="C256" t="s">
        <v>479</v>
      </c>
      <c r="D256" s="195">
        <v>3320000</v>
      </c>
      <c r="E256" t="s">
        <v>363</v>
      </c>
      <c r="F256" s="20" t="s">
        <v>364</v>
      </c>
      <c r="G256" s="8" t="str">
        <f t="shared" si="6"/>
        <v>NICHOLSON WESLEY</v>
      </c>
      <c r="H256" s="20" t="str">
        <f t="shared" si="7"/>
        <v>4009</v>
      </c>
    </row>
    <row r="257" spans="1:8" x14ac:dyDescent="0.25">
      <c r="A257" s="8">
        <v>43048.013437499998</v>
      </c>
      <c r="B257" t="s">
        <v>451</v>
      </c>
      <c r="C257" t="s">
        <v>480</v>
      </c>
      <c r="D257" s="195">
        <v>2540000</v>
      </c>
      <c r="E257" t="s">
        <v>474</v>
      </c>
      <c r="F257" s="20" t="s">
        <v>475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466</v>
      </c>
      <c r="D258" s="195">
        <v>3700000</v>
      </c>
      <c r="E258" t="s">
        <v>453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448</v>
      </c>
      <c r="C259" t="s">
        <v>481</v>
      </c>
      <c r="D259" s="195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467</v>
      </c>
      <c r="C260" t="s">
        <v>482</v>
      </c>
      <c r="D260" s="195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452</v>
      </c>
      <c r="C261" t="s">
        <v>483</v>
      </c>
      <c r="D261" s="195">
        <v>2440000</v>
      </c>
      <c r="E261" t="s">
        <v>468</v>
      </c>
      <c r="F261" s="20" t="s">
        <v>469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484</v>
      </c>
      <c r="D262" s="195">
        <v>3700000</v>
      </c>
      <c r="E262" t="s">
        <v>453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463</v>
      </c>
      <c r="C263" t="s">
        <v>485</v>
      </c>
      <c r="D263" s="195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486</v>
      </c>
      <c r="D264" s="195">
        <v>3700000</v>
      </c>
      <c r="E264" t="s">
        <v>453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95">
        <v>3670000</v>
      </c>
      <c r="E265" t="s">
        <v>383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400</v>
      </c>
      <c r="D266" s="195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95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95">
        <v>2230000</v>
      </c>
      <c r="E268" t="s">
        <v>394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403</v>
      </c>
      <c r="D269" s="195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404</v>
      </c>
      <c r="D270" s="195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405</v>
      </c>
      <c r="D271" s="195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95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95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95">
        <v>3670000</v>
      </c>
      <c r="E274" t="s">
        <v>383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409</v>
      </c>
      <c r="D275" s="195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95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411</v>
      </c>
      <c r="D277" s="195">
        <v>2230000</v>
      </c>
      <c r="E277" t="s">
        <v>394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412</v>
      </c>
      <c r="D278" s="195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95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414</v>
      </c>
      <c r="D280" s="195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95">
        <v>3670000</v>
      </c>
      <c r="E281" t="s">
        <v>383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95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416</v>
      </c>
      <c r="D283" s="195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417</v>
      </c>
      <c r="D284" s="195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418</v>
      </c>
      <c r="D285" s="195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95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95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95">
        <v>3670000</v>
      </c>
      <c r="E288" t="s">
        <v>383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421</v>
      </c>
      <c r="D289" s="195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95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423</v>
      </c>
      <c r="D291" s="195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424</v>
      </c>
      <c r="D292" s="195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95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95">
        <v>3670000</v>
      </c>
      <c r="E294" t="s">
        <v>383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426</v>
      </c>
      <c r="D295" s="195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95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428</v>
      </c>
      <c r="D297" s="195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429</v>
      </c>
      <c r="D298" s="195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95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95">
        <v>3670000</v>
      </c>
      <c r="E300" t="s">
        <v>383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432</v>
      </c>
      <c r="D301" s="195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95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390</v>
      </c>
      <c r="D303" s="195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434</v>
      </c>
      <c r="D304" s="195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95">
        <v>3670000</v>
      </c>
      <c r="E305" t="s">
        <v>383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436</v>
      </c>
      <c r="D306" s="195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437</v>
      </c>
      <c r="D307" s="195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438</v>
      </c>
      <c r="D308" s="195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95">
        <v>3670000</v>
      </c>
      <c r="E309" t="s">
        <v>383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440</v>
      </c>
      <c r="D310" s="195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441</v>
      </c>
      <c r="D311" s="195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442</v>
      </c>
      <c r="D312" s="195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95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6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449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33.119999999999997</v>
      </c>
      <c r="B2" s="195">
        <v>0.02</v>
      </c>
      <c r="C2" s="195">
        <v>22.72</v>
      </c>
      <c r="D2" s="8">
        <v>43055</v>
      </c>
      <c r="E2" s="195">
        <v>0.65</v>
      </c>
      <c r="F2" s="195" t="s">
        <v>489</v>
      </c>
      <c r="G2" s="195">
        <v>253.3</v>
      </c>
      <c r="H2" s="195">
        <v>0</v>
      </c>
      <c r="I2" s="195">
        <v>0</v>
      </c>
      <c r="J2" s="195"/>
      <c r="K2" s="195">
        <v>1014.96</v>
      </c>
      <c r="L2" s="195" t="s">
        <v>488</v>
      </c>
      <c r="M2" s="195">
        <v>33.119999999999997</v>
      </c>
      <c r="N2" s="195">
        <v>1510815600</v>
      </c>
      <c r="O2" s="195">
        <v>0</v>
      </c>
      <c r="P2" s="195">
        <v>6.27</v>
      </c>
      <c r="Q2" s="195">
        <v>198</v>
      </c>
      <c r="R2" s="195">
        <v>2.48</v>
      </c>
      <c r="S2" s="195">
        <v>0.88</v>
      </c>
      <c r="T2"/>
    </row>
    <row r="3" spans="1:20" x14ac:dyDescent="0.25">
      <c r="A3" s="195">
        <v>32.619999999999997</v>
      </c>
      <c r="B3" s="195">
        <v>0.01</v>
      </c>
      <c r="C3" s="195">
        <v>22.31</v>
      </c>
      <c r="D3" s="8">
        <v>43055.041666666664</v>
      </c>
      <c r="E3" s="195">
        <v>0.65</v>
      </c>
      <c r="F3" s="195" t="s">
        <v>489</v>
      </c>
      <c r="G3" s="195">
        <v>252.51</v>
      </c>
      <c r="H3" s="195">
        <v>0</v>
      </c>
      <c r="I3" s="195">
        <v>0</v>
      </c>
      <c r="J3" s="195"/>
      <c r="K3" s="195">
        <v>1013.31</v>
      </c>
      <c r="L3" s="195" t="s">
        <v>488</v>
      </c>
      <c r="M3" s="195">
        <v>32.619999999999997</v>
      </c>
      <c r="N3" s="195">
        <v>1510819200</v>
      </c>
      <c r="O3" s="195">
        <v>0</v>
      </c>
      <c r="P3" s="195">
        <v>5.64</v>
      </c>
      <c r="Q3" s="195">
        <v>181</v>
      </c>
      <c r="R3" s="195">
        <v>3</v>
      </c>
      <c r="S3" s="195">
        <v>0.81</v>
      </c>
      <c r="T3"/>
    </row>
    <row r="4" spans="1:20" x14ac:dyDescent="0.25">
      <c r="A4" s="195">
        <v>33.049999999999997</v>
      </c>
      <c r="B4" s="195">
        <v>0.01</v>
      </c>
      <c r="C4" s="195">
        <v>21.73</v>
      </c>
      <c r="D4" s="8">
        <v>43055.083333333336</v>
      </c>
      <c r="E4" s="195">
        <v>0.63</v>
      </c>
      <c r="F4" s="195" t="s">
        <v>489</v>
      </c>
      <c r="G4" s="195">
        <v>251.58</v>
      </c>
      <c r="H4" s="195">
        <v>0</v>
      </c>
      <c r="I4" s="195">
        <v>0</v>
      </c>
      <c r="J4" s="195"/>
      <c r="K4" s="195">
        <v>1012.9</v>
      </c>
      <c r="L4" s="195" t="s">
        <v>488</v>
      </c>
      <c r="M4" s="195">
        <v>33.049999999999997</v>
      </c>
      <c r="N4" s="195">
        <v>1510822800</v>
      </c>
      <c r="O4" s="195">
        <v>0</v>
      </c>
      <c r="P4" s="195">
        <v>5.56</v>
      </c>
      <c r="Q4" s="195">
        <v>182</v>
      </c>
      <c r="R4" s="195">
        <v>2.54</v>
      </c>
      <c r="S4" s="195">
        <v>0.7</v>
      </c>
      <c r="T4"/>
    </row>
    <row r="5" spans="1:20" x14ac:dyDescent="0.25">
      <c r="A5" s="195">
        <v>34.770000000000003</v>
      </c>
      <c r="B5" s="195">
        <v>0.01</v>
      </c>
      <c r="C5" s="195">
        <v>20.72</v>
      </c>
      <c r="D5" s="8">
        <v>43055.125</v>
      </c>
      <c r="E5" s="195">
        <v>0.56000000000000005</v>
      </c>
      <c r="F5" s="195" t="s">
        <v>489</v>
      </c>
      <c r="G5" s="195">
        <v>250.11</v>
      </c>
      <c r="H5" s="195">
        <v>0</v>
      </c>
      <c r="I5" s="195">
        <v>0</v>
      </c>
      <c r="J5" s="195"/>
      <c r="K5" s="195">
        <v>1012.43</v>
      </c>
      <c r="L5" s="195" t="s">
        <v>488</v>
      </c>
      <c r="M5" s="195">
        <v>34.770000000000003</v>
      </c>
      <c r="N5" s="195">
        <v>1510826400</v>
      </c>
      <c r="O5" s="195">
        <v>0</v>
      </c>
      <c r="P5" s="195">
        <v>9.67</v>
      </c>
      <c r="Q5" s="195">
        <v>193</v>
      </c>
      <c r="R5" s="195">
        <v>2.42</v>
      </c>
      <c r="S5" s="195">
        <v>0.85</v>
      </c>
      <c r="T5"/>
    </row>
    <row r="6" spans="1:20" x14ac:dyDescent="0.25">
      <c r="A6" s="195">
        <v>35.71</v>
      </c>
      <c r="B6" s="195">
        <v>0.02</v>
      </c>
      <c r="C6" s="195">
        <v>20.23</v>
      </c>
      <c r="D6" s="8">
        <v>43055.166666666664</v>
      </c>
      <c r="E6" s="195">
        <v>0.53</v>
      </c>
      <c r="F6" s="195" t="s">
        <v>489</v>
      </c>
      <c r="G6" s="195">
        <v>248.5</v>
      </c>
      <c r="H6" s="195">
        <v>0</v>
      </c>
      <c r="I6" s="195">
        <v>0</v>
      </c>
      <c r="J6" s="195"/>
      <c r="K6" s="195">
        <v>1011.06</v>
      </c>
      <c r="L6" s="195" t="s">
        <v>488</v>
      </c>
      <c r="M6" s="195">
        <v>35.71</v>
      </c>
      <c r="N6" s="195">
        <v>1510830000</v>
      </c>
      <c r="O6" s="195">
        <v>0</v>
      </c>
      <c r="P6" s="195">
        <v>9.68</v>
      </c>
      <c r="Q6" s="195">
        <v>215</v>
      </c>
      <c r="R6" s="195">
        <v>2.59</v>
      </c>
      <c r="S6" s="195">
        <v>1.69</v>
      </c>
      <c r="T6"/>
    </row>
    <row r="7" spans="1:20" x14ac:dyDescent="0.25">
      <c r="A7" s="195">
        <v>35.49</v>
      </c>
      <c r="B7" s="195">
        <v>0.02</v>
      </c>
      <c r="C7" s="195">
        <v>19.75</v>
      </c>
      <c r="D7" s="8">
        <v>43055.208333333336</v>
      </c>
      <c r="E7" s="195">
        <v>0.52</v>
      </c>
      <c r="F7" s="195" t="s">
        <v>489</v>
      </c>
      <c r="G7" s="195">
        <v>246.07</v>
      </c>
      <c r="H7" s="195">
        <v>0</v>
      </c>
      <c r="I7" s="195">
        <v>0</v>
      </c>
      <c r="J7" s="195"/>
      <c r="K7" s="195">
        <v>1011.31</v>
      </c>
      <c r="L7" s="195" t="s">
        <v>488</v>
      </c>
      <c r="M7" s="195">
        <v>35.49</v>
      </c>
      <c r="N7" s="195">
        <v>1510833600</v>
      </c>
      <c r="O7" s="195">
        <v>0</v>
      </c>
      <c r="P7" s="195">
        <v>6.21</v>
      </c>
      <c r="Q7" s="195">
        <v>194</v>
      </c>
      <c r="R7" s="195">
        <v>3.15</v>
      </c>
      <c r="S7" s="195">
        <v>0.82</v>
      </c>
      <c r="T7"/>
    </row>
    <row r="8" spans="1:20" x14ac:dyDescent="0.25">
      <c r="A8" s="195">
        <v>35.630000000000003</v>
      </c>
      <c r="B8" s="195">
        <v>0.02</v>
      </c>
      <c r="C8" s="195">
        <v>20.22</v>
      </c>
      <c r="D8" s="8">
        <v>43055.25</v>
      </c>
      <c r="E8" s="195">
        <v>0.53</v>
      </c>
      <c r="F8" s="195" t="s">
        <v>489</v>
      </c>
      <c r="G8" s="195">
        <v>245.79</v>
      </c>
      <c r="H8" s="195">
        <v>0</v>
      </c>
      <c r="I8" s="195">
        <v>0</v>
      </c>
      <c r="J8" s="195"/>
      <c r="K8" s="195">
        <v>1010.91</v>
      </c>
      <c r="L8" s="195" t="s">
        <v>488</v>
      </c>
      <c r="M8" s="195">
        <v>35.630000000000003</v>
      </c>
      <c r="N8" s="195">
        <v>1510837200</v>
      </c>
      <c r="O8" s="195">
        <v>0</v>
      </c>
      <c r="P8" s="195">
        <v>9.67</v>
      </c>
      <c r="Q8" s="195">
        <v>211</v>
      </c>
      <c r="R8" s="195">
        <v>2.77</v>
      </c>
      <c r="S8" s="195">
        <v>1.1000000000000001</v>
      </c>
      <c r="T8"/>
    </row>
    <row r="9" spans="1:20" x14ac:dyDescent="0.25">
      <c r="A9" s="195">
        <v>37.31</v>
      </c>
      <c r="B9" s="195">
        <v>7.0000000000000007E-2</v>
      </c>
      <c r="C9" s="195">
        <v>20.34</v>
      </c>
      <c r="D9" s="8">
        <v>43055.291666666664</v>
      </c>
      <c r="E9" s="195">
        <v>0.5</v>
      </c>
      <c r="F9" s="195" t="s">
        <v>598</v>
      </c>
      <c r="G9" s="195">
        <v>246.07</v>
      </c>
      <c r="H9" s="195">
        <v>0</v>
      </c>
      <c r="I9" s="195">
        <v>0</v>
      </c>
      <c r="J9" s="195"/>
      <c r="K9" s="195">
        <v>1011.33</v>
      </c>
      <c r="L9" s="195" t="s">
        <v>488</v>
      </c>
      <c r="M9" s="195">
        <v>37.31</v>
      </c>
      <c r="N9" s="195">
        <v>1510840800</v>
      </c>
      <c r="O9" s="195">
        <v>0</v>
      </c>
      <c r="P9" s="195">
        <v>3.44</v>
      </c>
      <c r="Q9" s="195">
        <v>202</v>
      </c>
      <c r="R9" s="195">
        <v>3.6</v>
      </c>
      <c r="S9" s="195">
        <v>1.0900000000000001</v>
      </c>
      <c r="T9"/>
    </row>
    <row r="10" spans="1:20" x14ac:dyDescent="0.25">
      <c r="A10" s="195">
        <v>43.03</v>
      </c>
      <c r="B10" s="195">
        <v>0.06</v>
      </c>
      <c r="C10" s="195">
        <v>21.24</v>
      </c>
      <c r="D10" s="8">
        <v>43055.333333333336</v>
      </c>
      <c r="E10" s="195">
        <v>0.42</v>
      </c>
      <c r="F10" s="195" t="s">
        <v>598</v>
      </c>
      <c r="G10" s="195">
        <v>246.2</v>
      </c>
      <c r="H10" s="195">
        <v>0</v>
      </c>
      <c r="I10" s="195">
        <v>0</v>
      </c>
      <c r="J10" s="195"/>
      <c r="K10" s="195">
        <v>1011.83</v>
      </c>
      <c r="L10" s="195" t="s">
        <v>488</v>
      </c>
      <c r="M10" s="195">
        <v>43.03</v>
      </c>
      <c r="N10" s="195">
        <v>1510844400</v>
      </c>
      <c r="O10" s="195">
        <v>1</v>
      </c>
      <c r="P10" s="195">
        <v>3.2</v>
      </c>
      <c r="Q10" s="195">
        <v>185</v>
      </c>
      <c r="R10" s="195">
        <v>3.81</v>
      </c>
      <c r="S10" s="195">
        <v>1.6</v>
      </c>
      <c r="T10"/>
    </row>
    <row r="11" spans="1:20" x14ac:dyDescent="0.25">
      <c r="A11" s="195">
        <v>49.69</v>
      </c>
      <c r="B11" s="195">
        <v>0.1</v>
      </c>
      <c r="C11" s="195">
        <v>22.6</v>
      </c>
      <c r="D11" s="8">
        <v>43055.375</v>
      </c>
      <c r="E11" s="195">
        <v>0.34</v>
      </c>
      <c r="F11" s="195" t="s">
        <v>598</v>
      </c>
      <c r="G11" s="195">
        <v>246.06</v>
      </c>
      <c r="H11" s="195">
        <v>0</v>
      </c>
      <c r="I11" s="195">
        <v>0</v>
      </c>
      <c r="J11" s="195"/>
      <c r="K11" s="195">
        <v>1009.23</v>
      </c>
      <c r="L11" s="195" t="s">
        <v>488</v>
      </c>
      <c r="M11" s="195">
        <v>49.69</v>
      </c>
      <c r="N11" s="195">
        <v>1510848000</v>
      </c>
      <c r="O11" s="195">
        <v>1</v>
      </c>
      <c r="P11" s="195">
        <v>3.52</v>
      </c>
      <c r="Q11" s="195">
        <v>199</v>
      </c>
      <c r="R11" s="195">
        <v>4.76</v>
      </c>
      <c r="S11" s="195">
        <v>2.7</v>
      </c>
      <c r="T11"/>
    </row>
    <row r="12" spans="1:20" x14ac:dyDescent="0.25">
      <c r="A12" s="195">
        <v>60.04</v>
      </c>
      <c r="B12" s="195">
        <v>0.19</v>
      </c>
      <c r="C12" s="195">
        <v>23.05</v>
      </c>
      <c r="D12" s="8">
        <v>43055.416666666664</v>
      </c>
      <c r="E12" s="195">
        <v>0.24</v>
      </c>
      <c r="F12" s="195" t="s">
        <v>598</v>
      </c>
      <c r="G12" s="195">
        <v>245.66</v>
      </c>
      <c r="H12" s="195">
        <v>0</v>
      </c>
      <c r="I12" s="195">
        <v>0</v>
      </c>
      <c r="J12" s="195"/>
      <c r="K12" s="195">
        <v>1008.23</v>
      </c>
      <c r="L12" s="195" t="s">
        <v>488</v>
      </c>
      <c r="M12" s="195">
        <v>60.04</v>
      </c>
      <c r="N12" s="195">
        <v>1510851600</v>
      </c>
      <c r="O12" s="195">
        <v>2</v>
      </c>
      <c r="P12" s="195">
        <v>3.67</v>
      </c>
      <c r="Q12" s="195">
        <v>196</v>
      </c>
      <c r="R12" s="195">
        <v>6.82</v>
      </c>
      <c r="S12" s="195">
        <v>3.38</v>
      </c>
      <c r="T12"/>
    </row>
    <row r="13" spans="1:20" x14ac:dyDescent="0.25">
      <c r="A13" s="195">
        <v>64.77</v>
      </c>
      <c r="B13" s="195">
        <v>0.11</v>
      </c>
      <c r="C13" s="195">
        <v>23.89</v>
      </c>
      <c r="D13" s="8">
        <v>43055.458333333336</v>
      </c>
      <c r="E13" s="195">
        <v>0.21</v>
      </c>
      <c r="F13" s="195" t="s">
        <v>598</v>
      </c>
      <c r="G13" s="195">
        <v>243.74</v>
      </c>
      <c r="H13" s="195">
        <v>1.1999999999999999E-3</v>
      </c>
      <c r="I13" s="195">
        <v>0.01</v>
      </c>
      <c r="J13" s="195" t="s">
        <v>450</v>
      </c>
      <c r="K13" s="195">
        <v>1007.27</v>
      </c>
      <c r="L13" s="195" t="s">
        <v>488</v>
      </c>
      <c r="M13" s="195">
        <v>64.77</v>
      </c>
      <c r="N13" s="195">
        <v>1510855200</v>
      </c>
      <c r="O13" s="195">
        <v>3</v>
      </c>
      <c r="P13" s="195">
        <v>5.53</v>
      </c>
      <c r="Q13" s="195">
        <v>188</v>
      </c>
      <c r="R13" s="195">
        <v>9.9</v>
      </c>
      <c r="S13" s="195">
        <v>3.54</v>
      </c>
      <c r="T13"/>
    </row>
    <row r="14" spans="1:20" x14ac:dyDescent="0.25">
      <c r="A14" s="195">
        <v>65.73</v>
      </c>
      <c r="B14" s="195">
        <v>0.42</v>
      </c>
      <c r="C14" s="195">
        <v>21.71</v>
      </c>
      <c r="D14" s="8">
        <v>43055.5</v>
      </c>
      <c r="E14" s="195">
        <v>0.18</v>
      </c>
      <c r="F14" s="195" t="s">
        <v>548</v>
      </c>
      <c r="G14" s="195">
        <v>243.19</v>
      </c>
      <c r="H14" s="195">
        <v>1E-4</v>
      </c>
      <c r="I14" s="195">
        <v>0.01</v>
      </c>
      <c r="J14" s="195" t="s">
        <v>450</v>
      </c>
      <c r="K14" s="195">
        <v>1004.76</v>
      </c>
      <c r="L14" s="195" t="s">
        <v>487</v>
      </c>
      <c r="M14" s="195">
        <v>65.73</v>
      </c>
      <c r="N14" s="195">
        <v>1510858800</v>
      </c>
      <c r="O14" s="195">
        <v>2</v>
      </c>
      <c r="P14" s="195">
        <v>10</v>
      </c>
      <c r="Q14" s="195">
        <v>189</v>
      </c>
      <c r="R14" s="195">
        <v>10.62</v>
      </c>
      <c r="S14" s="195">
        <v>5.62</v>
      </c>
      <c r="T14"/>
    </row>
    <row r="15" spans="1:20" x14ac:dyDescent="0.25">
      <c r="A15" s="195">
        <v>71.05</v>
      </c>
      <c r="B15" s="195">
        <v>0.08</v>
      </c>
      <c r="C15" s="195">
        <v>23.25</v>
      </c>
      <c r="D15" s="8">
        <v>43055.541666666664</v>
      </c>
      <c r="E15" s="195">
        <v>0.16</v>
      </c>
      <c r="F15" s="195" t="s">
        <v>598</v>
      </c>
      <c r="G15" s="195">
        <v>242.78</v>
      </c>
      <c r="H15" s="195">
        <v>0</v>
      </c>
      <c r="I15" s="195">
        <v>0</v>
      </c>
      <c r="J15" s="195"/>
      <c r="K15" s="195">
        <v>1004.04</v>
      </c>
      <c r="L15" s="195" t="s">
        <v>488</v>
      </c>
      <c r="M15" s="195">
        <v>71.05</v>
      </c>
      <c r="N15" s="195">
        <v>1510862400</v>
      </c>
      <c r="O15" s="195">
        <v>3</v>
      </c>
      <c r="P15" s="195">
        <v>3.17</v>
      </c>
      <c r="Q15" s="195">
        <v>225</v>
      </c>
      <c r="R15" s="195">
        <v>8.06</v>
      </c>
      <c r="S15" s="195">
        <v>0.59</v>
      </c>
      <c r="T15"/>
    </row>
    <row r="16" spans="1:20" x14ac:dyDescent="0.25">
      <c r="A16" s="195">
        <v>70.540000000000006</v>
      </c>
      <c r="B16" s="195">
        <v>0.13</v>
      </c>
      <c r="C16" s="195">
        <v>22.59</v>
      </c>
      <c r="D16" s="8">
        <v>43055.583333333336</v>
      </c>
      <c r="E16" s="195">
        <v>0.16</v>
      </c>
      <c r="F16" s="195" t="s">
        <v>598</v>
      </c>
      <c r="G16" s="195">
        <v>242.78</v>
      </c>
      <c r="H16" s="195">
        <v>0</v>
      </c>
      <c r="I16" s="195">
        <v>0</v>
      </c>
      <c r="J16" s="195"/>
      <c r="K16" s="195">
        <v>1003.19</v>
      </c>
      <c r="L16" s="195" t="s">
        <v>488</v>
      </c>
      <c r="M16" s="195">
        <v>70.540000000000006</v>
      </c>
      <c r="N16" s="195">
        <v>1510866000</v>
      </c>
      <c r="O16" s="195">
        <v>2</v>
      </c>
      <c r="P16" s="195">
        <v>4.79</v>
      </c>
      <c r="Q16" s="195">
        <v>247</v>
      </c>
      <c r="R16" s="195">
        <v>11.93</v>
      </c>
      <c r="S16" s="195">
        <v>3.17</v>
      </c>
      <c r="T16"/>
    </row>
    <row r="17" spans="1:20" x14ac:dyDescent="0.25">
      <c r="A17" s="195">
        <v>71.48</v>
      </c>
      <c r="B17" s="195">
        <v>0.17</v>
      </c>
      <c r="C17" s="195">
        <v>22.37</v>
      </c>
      <c r="D17" s="8">
        <v>43055.625</v>
      </c>
      <c r="E17" s="195">
        <v>0.16</v>
      </c>
      <c r="F17" s="195" t="s">
        <v>598</v>
      </c>
      <c r="G17" s="195">
        <v>242.92</v>
      </c>
      <c r="H17" s="195">
        <v>0</v>
      </c>
      <c r="I17" s="195">
        <v>0</v>
      </c>
      <c r="J17" s="195"/>
      <c r="K17" s="195">
        <v>1003.18</v>
      </c>
      <c r="L17" s="195" t="s">
        <v>488</v>
      </c>
      <c r="M17" s="195">
        <v>71.48</v>
      </c>
      <c r="N17" s="195">
        <v>1510869600</v>
      </c>
      <c r="O17" s="195">
        <v>1</v>
      </c>
      <c r="P17" s="195">
        <v>4.43</v>
      </c>
      <c r="Q17" s="195">
        <v>254</v>
      </c>
      <c r="R17" s="195">
        <v>14.47</v>
      </c>
      <c r="S17" s="195">
        <v>5.25</v>
      </c>
      <c r="T17"/>
    </row>
    <row r="18" spans="1:20" x14ac:dyDescent="0.25">
      <c r="A18" s="195">
        <v>70.209999999999994</v>
      </c>
      <c r="B18" s="195">
        <v>0.11</v>
      </c>
      <c r="C18" s="195">
        <v>21.67</v>
      </c>
      <c r="D18" s="8">
        <v>43055.666666666664</v>
      </c>
      <c r="E18" s="195">
        <v>0.16</v>
      </c>
      <c r="F18" s="195" t="s">
        <v>598</v>
      </c>
      <c r="G18" s="195">
        <v>243.33</v>
      </c>
      <c r="H18" s="195">
        <v>0</v>
      </c>
      <c r="I18" s="195">
        <v>0</v>
      </c>
      <c r="J18" s="195"/>
      <c r="K18" s="195">
        <v>1003.51</v>
      </c>
      <c r="L18" s="195" t="s">
        <v>488</v>
      </c>
      <c r="M18" s="195">
        <v>70.209999999999994</v>
      </c>
      <c r="N18" s="195">
        <v>1510873200</v>
      </c>
      <c r="O18" s="195">
        <v>1</v>
      </c>
      <c r="P18" s="195">
        <v>3.83</v>
      </c>
      <c r="Q18" s="195">
        <v>256</v>
      </c>
      <c r="R18" s="195">
        <v>12.9</v>
      </c>
      <c r="S18" s="195">
        <v>4.9800000000000004</v>
      </c>
      <c r="T18"/>
    </row>
    <row r="19" spans="1:20" x14ac:dyDescent="0.25">
      <c r="A19" s="195">
        <v>66.84</v>
      </c>
      <c r="B19" s="195">
        <v>7.0000000000000007E-2</v>
      </c>
      <c r="C19" s="195">
        <v>20.74</v>
      </c>
      <c r="D19" s="8">
        <v>43055.708333333336</v>
      </c>
      <c r="E19" s="195">
        <v>0.17</v>
      </c>
      <c r="F19" s="195" t="s">
        <v>489</v>
      </c>
      <c r="G19" s="195">
        <v>242.64</v>
      </c>
      <c r="H19" s="195">
        <v>0</v>
      </c>
      <c r="I19" s="195">
        <v>0</v>
      </c>
      <c r="J19" s="195"/>
      <c r="K19" s="195">
        <v>1003.99</v>
      </c>
      <c r="L19" s="195" t="s">
        <v>488</v>
      </c>
      <c r="M19" s="195">
        <v>66.84</v>
      </c>
      <c r="N19" s="195">
        <v>1510876800</v>
      </c>
      <c r="O19" s="195">
        <v>0</v>
      </c>
      <c r="P19" s="195">
        <v>4.16</v>
      </c>
      <c r="Q19" s="195">
        <v>253</v>
      </c>
      <c r="R19" s="195">
        <v>12.3</v>
      </c>
      <c r="S19" s="195">
        <v>5.03</v>
      </c>
      <c r="T19"/>
    </row>
    <row r="20" spans="1:20" x14ac:dyDescent="0.25">
      <c r="A20" s="195">
        <v>64.09</v>
      </c>
      <c r="B20" s="195">
        <v>0.1</v>
      </c>
      <c r="C20" s="195">
        <v>22.22</v>
      </c>
      <c r="D20" s="8">
        <v>43055.75</v>
      </c>
      <c r="E20" s="195">
        <v>0.2</v>
      </c>
      <c r="F20" s="195" t="s">
        <v>489</v>
      </c>
      <c r="G20" s="195">
        <v>243.33</v>
      </c>
      <c r="H20" s="195">
        <v>0</v>
      </c>
      <c r="I20" s="195">
        <v>0</v>
      </c>
      <c r="J20" s="195"/>
      <c r="K20" s="195">
        <v>1004.75</v>
      </c>
      <c r="L20" s="195" t="s">
        <v>488</v>
      </c>
      <c r="M20" s="195">
        <v>64.09</v>
      </c>
      <c r="N20" s="195">
        <v>1510880400</v>
      </c>
      <c r="O20" s="195">
        <v>0</v>
      </c>
      <c r="P20" s="195">
        <v>3.83</v>
      </c>
      <c r="Q20" s="195">
        <v>229</v>
      </c>
      <c r="R20" s="195">
        <v>10.31</v>
      </c>
      <c r="S20" s="195">
        <v>3.8</v>
      </c>
      <c r="T20"/>
    </row>
    <row r="21" spans="1:20" x14ac:dyDescent="0.25">
      <c r="A21" s="195">
        <v>61.41</v>
      </c>
      <c r="B21" s="195">
        <v>7.0000000000000007E-2</v>
      </c>
      <c r="C21" s="195">
        <v>23.11</v>
      </c>
      <c r="D21" s="8">
        <v>43055.791666666664</v>
      </c>
      <c r="E21" s="195">
        <v>0.23</v>
      </c>
      <c r="F21" s="195" t="s">
        <v>489</v>
      </c>
      <c r="G21" s="195">
        <v>244.29</v>
      </c>
      <c r="H21" s="195">
        <v>0</v>
      </c>
      <c r="I21" s="195">
        <v>0</v>
      </c>
      <c r="J21" s="195"/>
      <c r="K21" s="195">
        <v>1004.44</v>
      </c>
      <c r="L21" s="195" t="s">
        <v>488</v>
      </c>
      <c r="M21" s="195">
        <v>61.41</v>
      </c>
      <c r="N21" s="195">
        <v>1510884000</v>
      </c>
      <c r="O21" s="195">
        <v>0</v>
      </c>
      <c r="P21" s="195">
        <v>3.97</v>
      </c>
      <c r="Q21" s="195">
        <v>227</v>
      </c>
      <c r="R21" s="195">
        <v>9.2899999999999991</v>
      </c>
      <c r="S21" s="195">
        <v>3.55</v>
      </c>
      <c r="T21"/>
    </row>
    <row r="22" spans="1:20" x14ac:dyDescent="0.25">
      <c r="A22" s="195">
        <v>61.27</v>
      </c>
      <c r="B22" s="195">
        <v>7.0000000000000007E-2</v>
      </c>
      <c r="C22" s="195">
        <v>24.8</v>
      </c>
      <c r="D22" s="8">
        <v>43055.833333333336</v>
      </c>
      <c r="E22" s="195">
        <v>0.25</v>
      </c>
      <c r="F22" s="195" t="s">
        <v>489</v>
      </c>
      <c r="G22" s="195">
        <v>244.69</v>
      </c>
      <c r="H22" s="195">
        <v>0</v>
      </c>
      <c r="I22" s="195">
        <v>0</v>
      </c>
      <c r="J22" s="195"/>
      <c r="K22" s="195">
        <v>1004.12</v>
      </c>
      <c r="L22" s="195" t="s">
        <v>488</v>
      </c>
      <c r="M22" s="195">
        <v>61.27</v>
      </c>
      <c r="N22" s="195">
        <v>1510887600</v>
      </c>
      <c r="O22" s="195">
        <v>0</v>
      </c>
      <c r="P22" s="195">
        <v>3.36</v>
      </c>
      <c r="Q22" s="195">
        <v>220</v>
      </c>
      <c r="R22" s="195">
        <v>12.43</v>
      </c>
      <c r="S22" s="195">
        <v>4.41</v>
      </c>
      <c r="T22"/>
    </row>
    <row r="23" spans="1:20" x14ac:dyDescent="0.25">
      <c r="A23" s="195">
        <v>60.37</v>
      </c>
      <c r="B23" s="195">
        <v>7.0000000000000007E-2</v>
      </c>
      <c r="C23" s="195">
        <v>26.7</v>
      </c>
      <c r="D23" s="8">
        <v>43055.875</v>
      </c>
      <c r="E23" s="195">
        <v>0.28000000000000003</v>
      </c>
      <c r="F23" s="195" t="s">
        <v>489</v>
      </c>
      <c r="G23" s="195">
        <v>244.27</v>
      </c>
      <c r="H23" s="195">
        <v>0</v>
      </c>
      <c r="I23" s="195">
        <v>0</v>
      </c>
      <c r="J23" s="195"/>
      <c r="K23" s="195">
        <v>1003.75</v>
      </c>
      <c r="L23" s="195" t="s">
        <v>488</v>
      </c>
      <c r="M23" s="195">
        <v>60.37</v>
      </c>
      <c r="N23" s="195">
        <v>1510891200</v>
      </c>
      <c r="O23" s="195">
        <v>0</v>
      </c>
      <c r="P23" s="195">
        <v>3.85</v>
      </c>
      <c r="Q23" s="195">
        <v>222</v>
      </c>
      <c r="R23" s="195">
        <v>12.22</v>
      </c>
      <c r="S23" s="195">
        <v>4.7300000000000004</v>
      </c>
      <c r="T23"/>
    </row>
    <row r="24" spans="1:20" x14ac:dyDescent="0.25">
      <c r="A24" s="195">
        <v>58.5</v>
      </c>
      <c r="B24" s="195">
        <v>7.0000000000000007E-2</v>
      </c>
      <c r="C24" s="195">
        <v>28.12</v>
      </c>
      <c r="D24" s="8">
        <v>43055.916666666664</v>
      </c>
      <c r="E24" s="195">
        <v>0.31</v>
      </c>
      <c r="F24" s="195" t="s">
        <v>489</v>
      </c>
      <c r="G24" s="195">
        <v>243.43</v>
      </c>
      <c r="H24" s="195">
        <v>0</v>
      </c>
      <c r="I24" s="195">
        <v>0</v>
      </c>
      <c r="J24" s="195"/>
      <c r="K24" s="195">
        <v>1003.04</v>
      </c>
      <c r="L24" s="195" t="s">
        <v>488</v>
      </c>
      <c r="M24" s="195">
        <v>58.5</v>
      </c>
      <c r="N24" s="195">
        <v>1510894800</v>
      </c>
      <c r="O24" s="195">
        <v>0</v>
      </c>
      <c r="P24" s="195">
        <v>3.09</v>
      </c>
      <c r="Q24" s="195">
        <v>211</v>
      </c>
      <c r="R24" s="195">
        <v>11.03</v>
      </c>
      <c r="S24" s="195">
        <v>4.3</v>
      </c>
      <c r="T24"/>
    </row>
    <row r="25" spans="1:20" x14ac:dyDescent="0.25">
      <c r="A25" s="195">
        <v>56.94</v>
      </c>
      <c r="B25" s="195">
        <v>0.04</v>
      </c>
      <c r="C25" s="195">
        <v>28.68</v>
      </c>
      <c r="D25" s="8">
        <v>43055.958333333336</v>
      </c>
      <c r="E25" s="195">
        <v>0.34</v>
      </c>
      <c r="F25" s="195" t="s">
        <v>489</v>
      </c>
      <c r="G25" s="195">
        <v>242.04</v>
      </c>
      <c r="H25" s="195">
        <v>0</v>
      </c>
      <c r="I25" s="195">
        <v>0</v>
      </c>
      <c r="J25" s="195"/>
      <c r="K25" s="195">
        <v>1002.47</v>
      </c>
      <c r="L25" s="195" t="s">
        <v>488</v>
      </c>
      <c r="M25" s="195">
        <v>56.94</v>
      </c>
      <c r="N25" s="195">
        <v>1510898400</v>
      </c>
      <c r="O25" s="195">
        <v>0</v>
      </c>
      <c r="P25" s="195">
        <v>3.16</v>
      </c>
      <c r="Q25" s="195">
        <v>210</v>
      </c>
      <c r="R25" s="195">
        <v>12.17</v>
      </c>
      <c r="S25" s="195">
        <v>5.0599999999999996</v>
      </c>
      <c r="T25"/>
    </row>
    <row r="26" spans="1:20" x14ac:dyDescent="0.25">
      <c r="A26" s="195">
        <v>56.13</v>
      </c>
      <c r="B26" s="195">
        <v>0.06</v>
      </c>
      <c r="C26" s="195">
        <v>29.17</v>
      </c>
      <c r="D26" s="8">
        <v>43056</v>
      </c>
      <c r="E26" s="195">
        <v>0.35</v>
      </c>
      <c r="F26" s="195" t="s">
        <v>489</v>
      </c>
      <c r="G26" s="195">
        <v>240.09</v>
      </c>
      <c r="H26" s="195">
        <v>0</v>
      </c>
      <c r="I26" s="195">
        <v>0</v>
      </c>
      <c r="J26" s="195"/>
      <c r="K26" s="195">
        <v>1001.26</v>
      </c>
      <c r="L26" s="195" t="s">
        <v>488</v>
      </c>
      <c r="M26" s="195">
        <v>56.13</v>
      </c>
      <c r="N26" s="195">
        <v>1510902000</v>
      </c>
      <c r="O26" s="195">
        <v>0</v>
      </c>
      <c r="P26" s="195">
        <v>2.75</v>
      </c>
      <c r="Q26" s="195">
        <v>209</v>
      </c>
      <c r="R26" s="195">
        <v>9.42</v>
      </c>
      <c r="S26" s="195">
        <v>3.3</v>
      </c>
      <c r="T26"/>
    </row>
    <row r="27" spans="1:20" x14ac:dyDescent="0.25">
      <c r="A27" s="195">
        <v>55.41</v>
      </c>
      <c r="B27" s="195">
        <v>0.04</v>
      </c>
      <c r="C27" s="195">
        <v>29.09</v>
      </c>
      <c r="D27" s="8">
        <v>43056.041666666664</v>
      </c>
      <c r="E27" s="195">
        <v>0.36</v>
      </c>
      <c r="F27" s="195" t="s">
        <v>489</v>
      </c>
      <c r="G27" s="195">
        <v>237.85</v>
      </c>
      <c r="H27" s="195">
        <v>0</v>
      </c>
      <c r="I27" s="195">
        <v>0</v>
      </c>
      <c r="J27" s="195"/>
      <c r="K27" s="195">
        <v>1000.6</v>
      </c>
      <c r="L27" s="195" t="s">
        <v>488</v>
      </c>
      <c r="M27" s="195">
        <v>55.41</v>
      </c>
      <c r="N27" s="195">
        <v>1510905600</v>
      </c>
      <c r="O27" s="195">
        <v>0</v>
      </c>
      <c r="P27" s="195">
        <v>3.2</v>
      </c>
      <c r="Q27" s="195">
        <v>221</v>
      </c>
      <c r="R27" s="195">
        <v>7.98</v>
      </c>
      <c r="S27" s="195">
        <v>3.34</v>
      </c>
      <c r="T27"/>
    </row>
    <row r="28" spans="1:20" x14ac:dyDescent="0.25">
      <c r="A28" s="195">
        <v>56.14</v>
      </c>
      <c r="B28" s="195">
        <v>0.04</v>
      </c>
      <c r="C28" s="195">
        <v>28.42</v>
      </c>
      <c r="D28" s="8">
        <v>43056.083333333336</v>
      </c>
      <c r="E28" s="195">
        <v>0.34</v>
      </c>
      <c r="F28" s="195" t="s">
        <v>489</v>
      </c>
      <c r="G28" s="195">
        <v>235.31</v>
      </c>
      <c r="H28" s="195">
        <v>0</v>
      </c>
      <c r="I28" s="195">
        <v>0</v>
      </c>
      <c r="J28" s="195"/>
      <c r="K28" s="195">
        <v>1000.38</v>
      </c>
      <c r="L28" s="195" t="s">
        <v>488</v>
      </c>
      <c r="M28" s="195">
        <v>56.14</v>
      </c>
      <c r="N28" s="195">
        <v>1510909200</v>
      </c>
      <c r="O28" s="195">
        <v>0</v>
      </c>
      <c r="P28" s="195">
        <v>4.04</v>
      </c>
      <c r="Q28" s="195">
        <v>213</v>
      </c>
      <c r="R28" s="195">
        <v>9.27</v>
      </c>
      <c r="S28" s="195">
        <v>4.16</v>
      </c>
      <c r="T28"/>
    </row>
    <row r="29" spans="1:20" x14ac:dyDescent="0.25">
      <c r="A29" s="195">
        <v>54.44</v>
      </c>
      <c r="B29" s="195">
        <v>0.03</v>
      </c>
      <c r="C29" s="195">
        <v>28.58</v>
      </c>
      <c r="D29" s="8">
        <v>43056.125</v>
      </c>
      <c r="E29" s="195">
        <v>0.37</v>
      </c>
      <c r="F29" s="195" t="s">
        <v>489</v>
      </c>
      <c r="G29" s="195">
        <v>232.31</v>
      </c>
      <c r="H29" s="195">
        <v>0</v>
      </c>
      <c r="I29" s="195">
        <v>0</v>
      </c>
      <c r="J29" s="195"/>
      <c r="K29" s="195">
        <v>1000.66</v>
      </c>
      <c r="L29" s="195" t="s">
        <v>488</v>
      </c>
      <c r="M29" s="195">
        <v>54.44</v>
      </c>
      <c r="N29" s="195">
        <v>1510912800</v>
      </c>
      <c r="O29" s="195">
        <v>0</v>
      </c>
      <c r="P29" s="195">
        <v>5.77</v>
      </c>
      <c r="Q29" s="195">
        <v>215</v>
      </c>
      <c r="R29" s="195">
        <v>11.91</v>
      </c>
      <c r="S29" s="195">
        <v>5.27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43055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7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1090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1091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1092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1093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1094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1095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1096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1097</v>
      </c>
      <c r="J25" s="139" t="s">
        <v>144</v>
      </c>
      <c r="M25" s="153" t="b">
        <v>1</v>
      </c>
    </row>
    <row r="26" spans="3:24" x14ac:dyDescent="0.25">
      <c r="C26" t="s">
        <v>1098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%USERPROFILE%\Documents\GitHub\eaglep3-reporting\EC\2017-11-16-refined-times.txt</v>
      </c>
    </row>
    <row r="27" spans="3:24" x14ac:dyDescent="0.25">
      <c r="C27" t="s">
        <v>1099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%USERPROFILE%\Documents\GitHub\eaglep3-reporting\EC\2017-11-16-Enforcements.txt</v>
      </c>
    </row>
    <row r="28" spans="3:24" x14ac:dyDescent="0.25">
      <c r="C28" t="s">
        <v>1100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%USERPROFILE%\Documents\GitHub\eaglep3-reporting\EC\2017-11-16-Runs-refined.txt</v>
      </c>
    </row>
    <row r="29" spans="3:24" x14ac:dyDescent="0.25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%USERPROFILE%\Documents\GitHub\eaglep3-reporting\EC\2017-11-16-Trips.txt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%USERPROFILE%\Documents\GitHub\eaglep3-reporting\EC\2017-11-16-Weather.txt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2017-11-17T16:33:37Z</dcterms:modified>
</cp:coreProperties>
</file>