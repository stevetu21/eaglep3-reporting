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Enforcements!$A$6:$V$31</definedName>
    <definedName name="_xlnm._FilterDatabase" localSheetId="2" hidden="1">'Missing Trips'!$A$2:$H$2</definedName>
    <definedName name="_xlnm._FilterDatabase" localSheetId="0" hidden="1">'Train Runs'!$A$12:$AG$111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Runs'!$A$12:$J$43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8" i="1" l="1"/>
  <c r="P17" i="1"/>
  <c r="K14" i="1"/>
  <c r="L14" i="1"/>
  <c r="M14" i="1"/>
  <c r="V14" i="1"/>
  <c r="Y14" i="1"/>
  <c r="Z14" i="1"/>
  <c r="AA14" i="1" s="1"/>
  <c r="AB14" i="1"/>
  <c r="AC14" i="1"/>
  <c r="AD14" i="1"/>
  <c r="AG14" i="1" s="1"/>
  <c r="AE14" i="1"/>
  <c r="AF14" i="1"/>
  <c r="AH14" i="1"/>
  <c r="K15" i="1"/>
  <c r="L15" i="1"/>
  <c r="M15" i="1"/>
  <c r="P15" i="1" s="1"/>
  <c r="V15" i="1"/>
  <c r="Q15" i="3" s="1"/>
  <c r="Y15" i="1"/>
  <c r="Z15" i="1"/>
  <c r="AB15" i="1"/>
  <c r="AC15" i="1"/>
  <c r="AD15" i="1"/>
  <c r="AG15" i="1" s="1"/>
  <c r="AE15" i="1"/>
  <c r="AF15" i="1"/>
  <c r="AH15" i="1"/>
  <c r="K16" i="1"/>
  <c r="L16" i="1"/>
  <c r="M16" i="1"/>
  <c r="V16" i="1"/>
  <c r="Y16" i="1"/>
  <c r="Z16" i="1"/>
  <c r="AA16" i="1" s="1"/>
  <c r="W16" i="1" s="1"/>
  <c r="AB16" i="1"/>
  <c r="AC16" i="1"/>
  <c r="AD16" i="1"/>
  <c r="AG16" i="1" s="1"/>
  <c r="AE16" i="1"/>
  <c r="AF16" i="1"/>
  <c r="AH16" i="1"/>
  <c r="K17" i="1"/>
  <c r="L17" i="1"/>
  <c r="M17" i="1"/>
  <c r="T17" i="1"/>
  <c r="V17" i="1"/>
  <c r="Y17" i="1"/>
  <c r="AA17" i="1" s="1"/>
  <c r="Z17" i="1"/>
  <c r="AB17" i="1"/>
  <c r="AC17" i="1"/>
  <c r="AD17" i="1"/>
  <c r="AG17" i="1" s="1"/>
  <c r="AE17" i="1"/>
  <c r="P14" i="3" s="1"/>
  <c r="AF17" i="1"/>
  <c r="AH17" i="1"/>
  <c r="K18" i="1"/>
  <c r="L18" i="1"/>
  <c r="M18" i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P20" i="1" s="1"/>
  <c r="V20" i="1"/>
  <c r="Y20" i="1"/>
  <c r="Z20" i="1"/>
  <c r="AA20" i="1"/>
  <c r="W20" i="1" s="1"/>
  <c r="AB20" i="1"/>
  <c r="AC20" i="1"/>
  <c r="AD20" i="1"/>
  <c r="AG20" i="1" s="1"/>
  <c r="AE20" i="1"/>
  <c r="AF20" i="1"/>
  <c r="AH20" i="1"/>
  <c r="K21" i="1"/>
  <c r="L21" i="1"/>
  <c r="M21" i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P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P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P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P25" i="1" s="1"/>
  <c r="V25" i="1"/>
  <c r="Y25" i="1"/>
  <c r="Z25" i="1"/>
  <c r="AA25" i="1" s="1"/>
  <c r="W25" i="1" s="1"/>
  <c r="AB25" i="1"/>
  <c r="AC25" i="1"/>
  <c r="AD25" i="1"/>
  <c r="AG25" i="1" s="1"/>
  <c r="AE25" i="1"/>
  <c r="AF25" i="1"/>
  <c r="AH25" i="1"/>
  <c r="K26" i="1"/>
  <c r="L26" i="1"/>
  <c r="M26" i="1"/>
  <c r="P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P27" i="1" s="1"/>
  <c r="T27" i="1"/>
  <c r="V27" i="1"/>
  <c r="Y27" i="1"/>
  <c r="AA27" i="1" s="1"/>
  <c r="W27" i="1" s="1"/>
  <c r="Z27" i="1"/>
  <c r="AB27" i="1"/>
  <c r="AC27" i="1"/>
  <c r="AD27" i="1"/>
  <c r="AG27" i="1" s="1"/>
  <c r="AE27" i="1"/>
  <c r="AF27" i="1"/>
  <c r="AH27" i="1"/>
  <c r="K28" i="1"/>
  <c r="L28" i="1"/>
  <c r="M28" i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P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P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P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P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P33" i="1" s="1"/>
  <c r="V33" i="1"/>
  <c r="Y33" i="1"/>
  <c r="Z33" i="1"/>
  <c r="AA33" i="1" s="1"/>
  <c r="W33" i="1" s="1"/>
  <c r="AB33" i="1"/>
  <c r="AC33" i="1"/>
  <c r="AD33" i="1"/>
  <c r="AG33" i="1" s="1"/>
  <c r="AE33" i="1"/>
  <c r="AF33" i="1"/>
  <c r="AH33" i="1"/>
  <c r="K34" i="1"/>
  <c r="L34" i="1"/>
  <c r="M34" i="1"/>
  <c r="P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P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P36" i="1" s="1"/>
  <c r="V36" i="1"/>
  <c r="Y36" i="1"/>
  <c r="AA36" i="1" s="1"/>
  <c r="Z36" i="1"/>
  <c r="AB36" i="1"/>
  <c r="AC36" i="1"/>
  <c r="AD36" i="1"/>
  <c r="AG36" i="1" s="1"/>
  <c r="AE36" i="1"/>
  <c r="AF36" i="1"/>
  <c r="AH36" i="1"/>
  <c r="K37" i="1"/>
  <c r="L37" i="1"/>
  <c r="M37" i="1"/>
  <c r="P37" i="1" s="1"/>
  <c r="T37" i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P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P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P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T41" i="1"/>
  <c r="V41" i="1"/>
  <c r="Y41" i="1"/>
  <c r="Z41" i="1"/>
  <c r="AA41" i="1"/>
  <c r="W41" i="1" s="1"/>
  <c r="AB41" i="1"/>
  <c r="AC41" i="1"/>
  <c r="AD41" i="1"/>
  <c r="AG41" i="1" s="1"/>
  <c r="AE41" i="1"/>
  <c r="P17" i="3" s="1"/>
  <c r="AF41" i="1"/>
  <c r="AH41" i="1"/>
  <c r="K42" i="1"/>
  <c r="L42" i="1"/>
  <c r="M42" i="1"/>
  <c r="P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P44" i="1" s="1"/>
  <c r="V44" i="1"/>
  <c r="X44" i="1"/>
  <c r="Y44" i="1"/>
  <c r="Z44" i="1"/>
  <c r="AA44" i="1" s="1"/>
  <c r="W44" i="1" s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P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A47" i="1" s="1"/>
  <c r="W47" i="1" s="1"/>
  <c r="AB47" i="1"/>
  <c r="AC47" i="1"/>
  <c r="AD47" i="1"/>
  <c r="AG47" i="1" s="1"/>
  <c r="AE47" i="1"/>
  <c r="AF47" i="1"/>
  <c r="AH47" i="1"/>
  <c r="K48" i="1"/>
  <c r="L48" i="1"/>
  <c r="M48" i="1"/>
  <c r="N48" i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A49" i="1" s="1"/>
  <c r="W49" i="1" s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X52" i="1"/>
  <c r="Y52" i="1"/>
  <c r="Z52" i="1"/>
  <c r="AA52" i="1" s="1"/>
  <c r="W52" i="1" s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Q18" i="3" s="1"/>
  <c r="Y53" i="1"/>
  <c r="Z53" i="1"/>
  <c r="AB53" i="1"/>
  <c r="AC53" i="1"/>
  <c r="AD53" i="1"/>
  <c r="AG53" i="1" s="1"/>
  <c r="AE53" i="1"/>
  <c r="P18" i="3" s="1"/>
  <c r="AF53" i="1"/>
  <c r="AH53" i="1"/>
  <c r="K54" i="1"/>
  <c r="L54" i="1"/>
  <c r="M54" i="1"/>
  <c r="N54" i="1"/>
  <c r="V54" i="1"/>
  <c r="Y54" i="1"/>
  <c r="AA54" i="1" s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P19" i="3" s="1"/>
  <c r="AF55" i="1"/>
  <c r="AH55" i="1"/>
  <c r="K56" i="1"/>
  <c r="L56" i="1"/>
  <c r="M56" i="1"/>
  <c r="N56" i="1" s="1"/>
  <c r="T56" i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Q20" i="3" s="1"/>
  <c r="Y57" i="1"/>
  <c r="Z57" i="1"/>
  <c r="AB57" i="1"/>
  <c r="AC57" i="1"/>
  <c r="AD57" i="1"/>
  <c r="T57" i="1" s="1"/>
  <c r="AE57" i="1"/>
  <c r="P9" i="3" s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Q11" i="3" s="1"/>
  <c r="Y61" i="1"/>
  <c r="Z61" i="1"/>
  <c r="AB61" i="1"/>
  <c r="AC61" i="1"/>
  <c r="AD61" i="1"/>
  <c r="T61" i="1" s="1"/>
  <c r="AE61" i="1"/>
  <c r="P11" i="3" s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G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P16" i="3" s="1"/>
  <c r="AF69" i="1"/>
  <c r="AH69" i="1"/>
  <c r="K70" i="1"/>
  <c r="L70" i="1"/>
  <c r="M70" i="1"/>
  <c r="N70" i="1" s="1"/>
  <c r="V70" i="1"/>
  <c r="Y70" i="1"/>
  <c r="AA70" i="1" s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P10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A77" i="1" s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Q8" i="3" s="1"/>
  <c r="Y78" i="1"/>
  <c r="Z78" i="1"/>
  <c r="AB78" i="1"/>
  <c r="AC78" i="1"/>
  <c r="AD78" i="1"/>
  <c r="AG78" i="1" s="1"/>
  <c r="AE78" i="1"/>
  <c r="P8" i="3" s="1"/>
  <c r="AF78" i="1"/>
  <c r="AH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A83" i="1" s="1"/>
  <c r="AB83" i="1"/>
  <c r="AC83" i="1"/>
  <c r="AD83" i="1"/>
  <c r="AG83" i="1" s="1"/>
  <c r="AE83" i="1"/>
  <c r="AF83" i="1"/>
  <c r="AH83" i="1"/>
  <c r="K84" i="1"/>
  <c r="L84" i="1"/>
  <c r="M84" i="1"/>
  <c r="N84" i="1"/>
  <c r="V84" i="1"/>
  <c r="Y84" i="1"/>
  <c r="Z84" i="1"/>
  <c r="AB84" i="1"/>
  <c r="AC84" i="1"/>
  <c r="AD84" i="1"/>
  <c r="AG84" i="1" s="1"/>
  <c r="AE84" i="1"/>
  <c r="AF84" i="1"/>
  <c r="AH84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85" i="1"/>
  <c r="L85" i="1"/>
  <c r="M85" i="1"/>
  <c r="P85" i="1" s="1"/>
  <c r="V85" i="1"/>
  <c r="Q24" i="3" s="1"/>
  <c r="Y85" i="1"/>
  <c r="AA85" i="1" s="1"/>
  <c r="Z85" i="1"/>
  <c r="AB85" i="1"/>
  <c r="AC85" i="1"/>
  <c r="AD85" i="1"/>
  <c r="AG85" i="1" s="1"/>
  <c r="AE85" i="1"/>
  <c r="AF85" i="1"/>
  <c r="AH85" i="1"/>
  <c r="K86" i="1"/>
  <c r="L86" i="1"/>
  <c r="M86" i="1"/>
  <c r="P86" i="1" s="1"/>
  <c r="V86" i="1"/>
  <c r="Y86" i="1"/>
  <c r="Z86" i="1"/>
  <c r="AA86" i="1"/>
  <c r="AB86" i="1"/>
  <c r="AC86" i="1"/>
  <c r="AD86" i="1"/>
  <c r="AE86" i="1"/>
  <c r="AF86" i="1"/>
  <c r="AH86" i="1"/>
  <c r="K87" i="1"/>
  <c r="L87" i="1"/>
  <c r="M87" i="1"/>
  <c r="P87" i="1" s="1"/>
  <c r="V87" i="1"/>
  <c r="Q21" i="3" s="1"/>
  <c r="Y87" i="1"/>
  <c r="Z87" i="1"/>
  <c r="AB87" i="1"/>
  <c r="AC87" i="1"/>
  <c r="AD87" i="1"/>
  <c r="AG87" i="1" s="1"/>
  <c r="AE87" i="1"/>
  <c r="P21" i="3" s="1"/>
  <c r="AF87" i="1"/>
  <c r="AH87" i="1"/>
  <c r="K88" i="1"/>
  <c r="L88" i="1"/>
  <c r="M88" i="1"/>
  <c r="P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P89" i="1" s="1"/>
  <c r="V89" i="1"/>
  <c r="Q27" i="3" s="1"/>
  <c r="Y89" i="1"/>
  <c r="Z89" i="1"/>
  <c r="AB89" i="1"/>
  <c r="AC89" i="1"/>
  <c r="AD89" i="1"/>
  <c r="AG89" i="1" s="1"/>
  <c r="AE89" i="1"/>
  <c r="P27" i="3" s="1"/>
  <c r="AF89" i="1"/>
  <c r="AH89" i="1"/>
  <c r="K90" i="1"/>
  <c r="L90" i="1"/>
  <c r="M90" i="1"/>
  <c r="P90" i="1" s="1"/>
  <c r="V90" i="1"/>
  <c r="Y90" i="1"/>
  <c r="Z90" i="1"/>
  <c r="AA90" i="1" s="1"/>
  <c r="AB90" i="1"/>
  <c r="AC90" i="1"/>
  <c r="AD90" i="1"/>
  <c r="AE90" i="1"/>
  <c r="AF90" i="1"/>
  <c r="AH90" i="1"/>
  <c r="K91" i="1"/>
  <c r="L91" i="1"/>
  <c r="M91" i="1"/>
  <c r="P91" i="1" s="1"/>
  <c r="V91" i="1"/>
  <c r="Q28" i="3" s="1"/>
  <c r="Y91" i="1"/>
  <c r="Z91" i="1"/>
  <c r="AB91" i="1"/>
  <c r="AC91" i="1"/>
  <c r="AD91" i="1"/>
  <c r="AE91" i="1"/>
  <c r="P28" i="3" s="1"/>
  <c r="AF91" i="1"/>
  <c r="AG91" i="1"/>
  <c r="AH91" i="1"/>
  <c r="K92" i="1"/>
  <c r="L92" i="1"/>
  <c r="M92" i="1"/>
  <c r="P92" i="1" s="1"/>
  <c r="V92" i="1"/>
  <c r="Y92" i="1"/>
  <c r="AA92" i="1" s="1"/>
  <c r="Z92" i="1"/>
  <c r="AB92" i="1"/>
  <c r="AC92" i="1"/>
  <c r="AD92" i="1"/>
  <c r="AE92" i="1"/>
  <c r="P22" i="3" s="1"/>
  <c r="AF92" i="1"/>
  <c r="AH92" i="1"/>
  <c r="K93" i="1"/>
  <c r="L93" i="1"/>
  <c r="M93" i="1"/>
  <c r="P93" i="1" s="1"/>
  <c r="V93" i="1"/>
  <c r="Q29" i="3" s="1"/>
  <c r="Y93" i="1"/>
  <c r="Z93" i="1"/>
  <c r="AB93" i="1"/>
  <c r="AC93" i="1"/>
  <c r="AD93" i="1"/>
  <c r="AG93" i="1" s="1"/>
  <c r="AE93" i="1"/>
  <c r="P29" i="3" s="1"/>
  <c r="AF93" i="1"/>
  <c r="AH93" i="1"/>
  <c r="K94" i="1"/>
  <c r="L94" i="1"/>
  <c r="M94" i="1"/>
  <c r="P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P95" i="1" s="1"/>
  <c r="V95" i="1"/>
  <c r="Q30" i="3" s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P96" i="1" s="1"/>
  <c r="V96" i="1"/>
  <c r="Y96" i="1"/>
  <c r="AA96" i="1" s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P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Q31" i="3" s="1"/>
  <c r="Y100" i="1"/>
  <c r="Z100" i="1"/>
  <c r="AA100" i="1" s="1"/>
  <c r="W100" i="1" s="1"/>
  <c r="AB100" i="1"/>
  <c r="AC100" i="1"/>
  <c r="AD100" i="1"/>
  <c r="AG100" i="1" s="1"/>
  <c r="AE100" i="1"/>
  <c r="P31" i="3" s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A102" i="1" s="1"/>
  <c r="W102" i="1" s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K107" i="1"/>
  <c r="L107" i="1"/>
  <c r="M107" i="1"/>
  <c r="N107" i="1"/>
  <c r="V107" i="1"/>
  <c r="Y107" i="1"/>
  <c r="Z107" i="1"/>
  <c r="AB107" i="1"/>
  <c r="AC107" i="1"/>
  <c r="AD107" i="1"/>
  <c r="AG107" i="1" s="1"/>
  <c r="AE107" i="1"/>
  <c r="AF107" i="1"/>
  <c r="AH107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P15" i="3"/>
  <c r="Q14" i="3"/>
  <c r="Q19" i="3"/>
  <c r="Q16" i="3"/>
  <c r="P23" i="3"/>
  <c r="L8" i="3"/>
  <c r="S8" i="3"/>
  <c r="R8" i="3" s="1"/>
  <c r="T8" i="3"/>
  <c r="U8" i="3"/>
  <c r="V8" i="3"/>
  <c r="L9" i="3"/>
  <c r="S9" i="3"/>
  <c r="R9" i="3" s="1"/>
  <c r="T9" i="3"/>
  <c r="U9" i="3"/>
  <c r="V9" i="3"/>
  <c r="L10" i="3"/>
  <c r="Q10" i="3"/>
  <c r="S10" i="3"/>
  <c r="R10" i="3" s="1"/>
  <c r="T10" i="3"/>
  <c r="U10" i="3"/>
  <c r="V10" i="3"/>
  <c r="L11" i="3"/>
  <c r="S11" i="3"/>
  <c r="R11" i="3" s="1"/>
  <c r="T11" i="3"/>
  <c r="U11" i="3"/>
  <c r="V11" i="3"/>
  <c r="L12" i="3"/>
  <c r="S12" i="3"/>
  <c r="R12" i="3" s="1"/>
  <c r="T12" i="3"/>
  <c r="U12" i="3"/>
  <c r="V12" i="3"/>
  <c r="L13" i="3"/>
  <c r="S13" i="3"/>
  <c r="R13" i="3" s="1"/>
  <c r="T13" i="3"/>
  <c r="U13" i="3"/>
  <c r="V13" i="3"/>
  <c r="L14" i="3"/>
  <c r="S14" i="3"/>
  <c r="R14" i="3" s="1"/>
  <c r="T14" i="3"/>
  <c r="U14" i="3"/>
  <c r="V14" i="3"/>
  <c r="L15" i="3"/>
  <c r="S15" i="3"/>
  <c r="R15" i="3" s="1"/>
  <c r="T15" i="3"/>
  <c r="U15" i="3"/>
  <c r="V15" i="3"/>
  <c r="L16" i="3"/>
  <c r="S16" i="3"/>
  <c r="R16" i="3" s="1"/>
  <c r="T16" i="3"/>
  <c r="U16" i="3"/>
  <c r="V16" i="3"/>
  <c r="L17" i="3"/>
  <c r="Q17" i="3"/>
  <c r="S17" i="3"/>
  <c r="R17" i="3" s="1"/>
  <c r="T17" i="3"/>
  <c r="U17" i="3"/>
  <c r="V17" i="3"/>
  <c r="L18" i="3"/>
  <c r="S18" i="3"/>
  <c r="R18" i="3" s="1"/>
  <c r="T18" i="3"/>
  <c r="U18" i="3"/>
  <c r="V18" i="3"/>
  <c r="L19" i="3"/>
  <c r="S19" i="3"/>
  <c r="R19" i="3" s="1"/>
  <c r="T19" i="3"/>
  <c r="U19" i="3"/>
  <c r="V19" i="3"/>
  <c r="L20" i="3"/>
  <c r="S20" i="3"/>
  <c r="R20" i="3" s="1"/>
  <c r="T20" i="3"/>
  <c r="U20" i="3"/>
  <c r="V20" i="3"/>
  <c r="L21" i="3"/>
  <c r="S21" i="3"/>
  <c r="R21" i="3" s="1"/>
  <c r="T21" i="3"/>
  <c r="U21" i="3"/>
  <c r="V21" i="3"/>
  <c r="L22" i="3"/>
  <c r="Q22" i="3"/>
  <c r="S22" i="3"/>
  <c r="R22" i="3" s="1"/>
  <c r="T22" i="3"/>
  <c r="U22" i="3"/>
  <c r="V22" i="3"/>
  <c r="L23" i="3"/>
  <c r="S23" i="3"/>
  <c r="R23" i="3" s="1"/>
  <c r="T23" i="3"/>
  <c r="U23" i="3"/>
  <c r="V23" i="3"/>
  <c r="L24" i="3"/>
  <c r="P24" i="3"/>
  <c r="S24" i="3"/>
  <c r="R24" i="3" s="1"/>
  <c r="T24" i="3"/>
  <c r="U24" i="3"/>
  <c r="V24" i="3"/>
  <c r="L25" i="3"/>
  <c r="P25" i="3"/>
  <c r="S25" i="3"/>
  <c r="R25" i="3" s="1"/>
  <c r="T25" i="3"/>
  <c r="U25" i="3"/>
  <c r="V25" i="3"/>
  <c r="L26" i="3"/>
  <c r="S26" i="3"/>
  <c r="R26" i="3" s="1"/>
  <c r="T26" i="3"/>
  <c r="U26" i="3"/>
  <c r="V26" i="3"/>
  <c r="L27" i="3"/>
  <c r="S27" i="3"/>
  <c r="R27" i="3" s="1"/>
  <c r="T27" i="3"/>
  <c r="U27" i="3"/>
  <c r="V27" i="3"/>
  <c r="L28" i="3"/>
  <c r="S28" i="3"/>
  <c r="R28" i="3" s="1"/>
  <c r="T28" i="3"/>
  <c r="U28" i="3"/>
  <c r="V28" i="3"/>
  <c r="L29" i="3"/>
  <c r="S29" i="3"/>
  <c r="R29" i="3" s="1"/>
  <c r="T29" i="3"/>
  <c r="U29" i="3"/>
  <c r="V29" i="3"/>
  <c r="L30" i="3"/>
  <c r="P30" i="3"/>
  <c r="S30" i="3"/>
  <c r="R30" i="3" s="1"/>
  <c r="T30" i="3"/>
  <c r="U30" i="3"/>
  <c r="V30" i="3"/>
  <c r="L31" i="3"/>
  <c r="S31" i="3"/>
  <c r="R31" i="3" s="1"/>
  <c r="T31" i="3"/>
  <c r="U31" i="3"/>
  <c r="V31" i="3"/>
  <c r="AA104" i="1" l="1"/>
  <c r="AA98" i="1"/>
  <c r="AA94" i="1"/>
  <c r="W94" i="1" s="1"/>
  <c r="AA81" i="1"/>
  <c r="AG60" i="1"/>
  <c r="U60" i="1" s="1"/>
  <c r="S60" i="1" s="1"/>
  <c r="AA55" i="1"/>
  <c r="W55" i="1" s="1"/>
  <c r="AA50" i="1"/>
  <c r="W50" i="1" s="1"/>
  <c r="T49" i="1"/>
  <c r="U49" i="1" s="1"/>
  <c r="S49" i="1" s="1"/>
  <c r="AA46" i="1"/>
  <c r="AA43" i="1"/>
  <c r="W43" i="1" s="1"/>
  <c r="AA38" i="1"/>
  <c r="AA37" i="1"/>
  <c r="W37" i="1" s="1"/>
  <c r="AA35" i="1"/>
  <c r="W35" i="1" s="1"/>
  <c r="AA34" i="1"/>
  <c r="W34" i="1" s="1"/>
  <c r="T33" i="1"/>
  <c r="X30" i="1"/>
  <c r="AA28" i="1"/>
  <c r="W28" i="1" s="1"/>
  <c r="AA26" i="1"/>
  <c r="W26" i="1" s="1"/>
  <c r="AA22" i="1"/>
  <c r="AA21" i="1"/>
  <c r="W21" i="1" s="1"/>
  <c r="AA19" i="1"/>
  <c r="W19" i="1" s="1"/>
  <c r="AA18" i="1"/>
  <c r="W18" i="1" s="1"/>
  <c r="W36" i="1"/>
  <c r="W17" i="1"/>
  <c r="AA111" i="1"/>
  <c r="AA109" i="1"/>
  <c r="AA108" i="1"/>
  <c r="AA62" i="1"/>
  <c r="AA51" i="1"/>
  <c r="W51" i="1" s="1"/>
  <c r="AA42" i="1"/>
  <c r="W42" i="1" s="1"/>
  <c r="AA32" i="1"/>
  <c r="W32" i="1" s="1"/>
  <c r="AA31" i="1"/>
  <c r="W31" i="1" s="1"/>
  <c r="T30" i="1"/>
  <c r="X28" i="1"/>
  <c r="AA101" i="1"/>
  <c r="W101" i="1" s="1"/>
  <c r="AA88" i="1"/>
  <c r="W88" i="1" s="1"/>
  <c r="AA76" i="1"/>
  <c r="AG71" i="1"/>
  <c r="U71" i="1" s="1"/>
  <c r="S71" i="1" s="1"/>
  <c r="AA65" i="1"/>
  <c r="W65" i="1" s="1"/>
  <c r="T54" i="1"/>
  <c r="AA53" i="1"/>
  <c r="W53" i="1" s="1"/>
  <c r="T46" i="1"/>
  <c r="AA45" i="1"/>
  <c r="W45" i="1" s="1"/>
  <c r="X38" i="1"/>
  <c r="X36" i="1"/>
  <c r="T35" i="1"/>
  <c r="AA29" i="1"/>
  <c r="W29" i="1" s="1"/>
  <c r="AA24" i="1"/>
  <c r="W24" i="1" s="1"/>
  <c r="AA23" i="1"/>
  <c r="W23" i="1" s="1"/>
  <c r="T22" i="1"/>
  <c r="T20" i="1"/>
  <c r="U20" i="1" s="1"/>
  <c r="S20" i="1" s="1"/>
  <c r="W38" i="1"/>
  <c r="W54" i="1"/>
  <c r="W46" i="1"/>
  <c r="W22" i="1"/>
  <c r="T21" i="1"/>
  <c r="U68" i="1"/>
  <c r="S68" i="1" s="1"/>
  <c r="T28" i="1"/>
  <c r="U28" i="1" s="1"/>
  <c r="S28" i="1" s="1"/>
  <c r="AA110" i="1"/>
  <c r="AA93" i="1"/>
  <c r="W93" i="1" s="1"/>
  <c r="AA78" i="1"/>
  <c r="AA73" i="1"/>
  <c r="AG63" i="1"/>
  <c r="U63" i="1" s="1"/>
  <c r="S63" i="1" s="1"/>
  <c r="AA57" i="1"/>
  <c r="X56" i="1"/>
  <c r="X54" i="1"/>
  <c r="T53" i="1"/>
  <c r="T51" i="1"/>
  <c r="U51" i="1" s="1"/>
  <c r="S51" i="1" s="1"/>
  <c r="AA48" i="1"/>
  <c r="W48" i="1" s="1"/>
  <c r="X46" i="1"/>
  <c r="T45" i="1"/>
  <c r="T43" i="1"/>
  <c r="U43" i="1" s="1"/>
  <c r="S43" i="1" s="1"/>
  <c r="AA40" i="1"/>
  <c r="W40" i="1" s="1"/>
  <c r="AA39" i="1"/>
  <c r="W39" i="1" s="1"/>
  <c r="T38" i="1"/>
  <c r="T36" i="1"/>
  <c r="U36" i="1" s="1"/>
  <c r="S36" i="1" s="1"/>
  <c r="AA30" i="1"/>
  <c r="W30" i="1" s="1"/>
  <c r="T29" i="1"/>
  <c r="U29" i="1" s="1"/>
  <c r="S29" i="1" s="1"/>
  <c r="T25" i="1"/>
  <c r="X22" i="1"/>
  <c r="X20" i="1"/>
  <c r="T19" i="1"/>
  <c r="U19" i="1" s="1"/>
  <c r="S19" i="1" s="1"/>
  <c r="W85" i="1"/>
  <c r="AA95" i="1"/>
  <c r="W95" i="1" s="1"/>
  <c r="AA72" i="1"/>
  <c r="AG70" i="1"/>
  <c r="U70" i="1" s="1"/>
  <c r="S70" i="1" s="1"/>
  <c r="AG65" i="1"/>
  <c r="U65" i="1" s="1"/>
  <c r="S65" i="1" s="1"/>
  <c r="AA64" i="1"/>
  <c r="AG62" i="1"/>
  <c r="U62" i="1" s="1"/>
  <c r="S62" i="1" s="1"/>
  <c r="AA56" i="1"/>
  <c r="T18" i="1"/>
  <c r="Q9" i="3"/>
  <c r="AA105" i="1"/>
  <c r="W105" i="1" s="1"/>
  <c r="AA97" i="1"/>
  <c r="W97" i="1" s="1"/>
  <c r="AA74" i="1"/>
  <c r="AG72" i="1"/>
  <c r="U72" i="1" s="1"/>
  <c r="S72" i="1" s="1"/>
  <c r="AA66" i="1"/>
  <c r="AG64" i="1"/>
  <c r="U64" i="1" s="1"/>
  <c r="S64" i="1" s="1"/>
  <c r="AG59" i="1"/>
  <c r="U59" i="1" s="1"/>
  <c r="S59" i="1" s="1"/>
  <c r="T44" i="1"/>
  <c r="U44" i="1" s="1"/>
  <c r="S44" i="1" s="1"/>
  <c r="X40" i="1"/>
  <c r="X32" i="1"/>
  <c r="X24" i="1"/>
  <c r="X16" i="1"/>
  <c r="T15" i="1"/>
  <c r="U15" i="1" s="1"/>
  <c r="S15" i="1" s="1"/>
  <c r="W110" i="1"/>
  <c r="W78" i="1"/>
  <c r="W73" i="1"/>
  <c r="T48" i="1"/>
  <c r="T40" i="1"/>
  <c r="T32" i="1"/>
  <c r="U32" i="1" s="1"/>
  <c r="S32" i="1" s="1"/>
  <c r="T24" i="1"/>
  <c r="U24" i="1" s="1"/>
  <c r="S24" i="1" s="1"/>
  <c r="T16" i="1"/>
  <c r="AA103" i="1"/>
  <c r="W103" i="1" s="1"/>
  <c r="AA87" i="1"/>
  <c r="W87" i="1" s="1"/>
  <c r="AA80" i="1"/>
  <c r="W80" i="1" s="1"/>
  <c r="AG73" i="1"/>
  <c r="U73" i="1" s="1"/>
  <c r="S73" i="1" s="1"/>
  <c r="AA67" i="1"/>
  <c r="AA59" i="1"/>
  <c r="W59" i="1" s="1"/>
  <c r="AG57" i="1"/>
  <c r="U57" i="1" s="1"/>
  <c r="S57" i="1" s="1"/>
  <c r="T50" i="1"/>
  <c r="T42" i="1"/>
  <c r="T34" i="1"/>
  <c r="T26" i="1"/>
  <c r="U26" i="1" s="1"/>
  <c r="S26" i="1" s="1"/>
  <c r="AA89" i="1"/>
  <c r="W89" i="1" s="1"/>
  <c r="AA82" i="1"/>
  <c r="W82" i="1" s="1"/>
  <c r="AG75" i="1"/>
  <c r="U75" i="1" s="1"/>
  <c r="S75" i="1" s="1"/>
  <c r="AA69" i="1"/>
  <c r="AG67" i="1"/>
  <c r="U67" i="1" s="1"/>
  <c r="S67" i="1" s="1"/>
  <c r="AA61" i="1"/>
  <c r="AA58" i="1"/>
  <c r="AG56" i="1"/>
  <c r="U56" i="1" s="1"/>
  <c r="S56" i="1" s="1"/>
  <c r="T52" i="1"/>
  <c r="X48" i="1"/>
  <c r="AA107" i="1"/>
  <c r="W107" i="1" s="1"/>
  <c r="AA99" i="1"/>
  <c r="W99" i="1" s="1"/>
  <c r="AA91" i="1"/>
  <c r="W91" i="1" s="1"/>
  <c r="AA84" i="1"/>
  <c r="W84" i="1" s="1"/>
  <c r="AG74" i="1"/>
  <c r="U74" i="1" s="1"/>
  <c r="S74" i="1" s="1"/>
  <c r="AA71" i="1"/>
  <c r="W71" i="1" s="1"/>
  <c r="AG69" i="1"/>
  <c r="U69" i="1" s="1"/>
  <c r="S69" i="1" s="1"/>
  <c r="AA68" i="1"/>
  <c r="W68" i="1" s="1"/>
  <c r="AG66" i="1"/>
  <c r="U66" i="1" s="1"/>
  <c r="S66" i="1" s="1"/>
  <c r="AA63" i="1"/>
  <c r="W63" i="1" s="1"/>
  <c r="AG61" i="1"/>
  <c r="U61" i="1" s="1"/>
  <c r="S61" i="1" s="1"/>
  <c r="AA60" i="1"/>
  <c r="W60" i="1" s="1"/>
  <c r="AG58" i="1"/>
  <c r="U58" i="1" s="1"/>
  <c r="S58" i="1" s="1"/>
  <c r="T55" i="1"/>
  <c r="U55" i="1" s="1"/>
  <c r="S55" i="1" s="1"/>
  <c r="X50" i="1"/>
  <c r="T47" i="1"/>
  <c r="X42" i="1"/>
  <c r="T39" i="1"/>
  <c r="U39" i="1" s="1"/>
  <c r="S39" i="1" s="1"/>
  <c r="X34" i="1"/>
  <c r="T31" i="1"/>
  <c r="X26" i="1"/>
  <c r="T23" i="1"/>
  <c r="U23" i="1" s="1"/>
  <c r="S23" i="1" s="1"/>
  <c r="X18" i="1"/>
  <c r="AA15" i="1"/>
  <c r="W15" i="1" s="1"/>
  <c r="W83" i="1"/>
  <c r="T111" i="1"/>
  <c r="X111" i="1"/>
  <c r="T98" i="1"/>
  <c r="X98" i="1"/>
  <c r="T96" i="1"/>
  <c r="X96" i="1"/>
  <c r="T92" i="1"/>
  <c r="X92" i="1"/>
  <c r="T90" i="1"/>
  <c r="X90" i="1"/>
  <c r="T86" i="1"/>
  <c r="X86" i="1"/>
  <c r="T108" i="1"/>
  <c r="X108" i="1"/>
  <c r="T81" i="1"/>
  <c r="X81" i="1"/>
  <c r="T79" i="1"/>
  <c r="X79" i="1"/>
  <c r="T76" i="1"/>
  <c r="X76" i="1"/>
  <c r="AG98" i="1"/>
  <c r="AG96" i="1"/>
  <c r="AG92" i="1"/>
  <c r="U92" i="1" s="1"/>
  <c r="S92" i="1" s="1"/>
  <c r="AG90" i="1"/>
  <c r="AG86" i="1"/>
  <c r="AG108" i="1"/>
  <c r="AG81" i="1"/>
  <c r="U81" i="1" s="1"/>
  <c r="S81" i="1" s="1"/>
  <c r="AG79" i="1"/>
  <c r="AG76" i="1"/>
  <c r="T109" i="1"/>
  <c r="X109" i="1"/>
  <c r="T106" i="1"/>
  <c r="X106" i="1"/>
  <c r="T104" i="1"/>
  <c r="X104" i="1"/>
  <c r="T102" i="1"/>
  <c r="U102" i="1" s="1"/>
  <c r="S102" i="1" s="1"/>
  <c r="X102" i="1"/>
  <c r="T100" i="1"/>
  <c r="U100" i="1" s="1"/>
  <c r="S100" i="1" s="1"/>
  <c r="X100" i="1"/>
  <c r="T94" i="1"/>
  <c r="U94" i="1" s="1"/>
  <c r="S94" i="1" s="1"/>
  <c r="X94" i="1"/>
  <c r="T88" i="1"/>
  <c r="U88" i="1" s="1"/>
  <c r="S88" i="1" s="1"/>
  <c r="X88" i="1"/>
  <c r="T83" i="1"/>
  <c r="U83" i="1" s="1"/>
  <c r="S83" i="1" s="1"/>
  <c r="X83" i="1"/>
  <c r="T77" i="1"/>
  <c r="U77" i="1" s="1"/>
  <c r="S77" i="1" s="1"/>
  <c r="X77" i="1"/>
  <c r="AG111" i="1"/>
  <c r="AG109" i="1"/>
  <c r="U109" i="1" s="1"/>
  <c r="S109" i="1" s="1"/>
  <c r="AG106" i="1"/>
  <c r="W106" i="1" s="1"/>
  <c r="AG104" i="1"/>
  <c r="U104" i="1" s="1"/>
  <c r="S104" i="1" s="1"/>
  <c r="T110" i="1"/>
  <c r="U110" i="1" s="1"/>
  <c r="S110" i="1" s="1"/>
  <c r="X110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AA75" i="1"/>
  <c r="W77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U53" i="1"/>
  <c r="S53" i="1" s="1"/>
  <c r="U47" i="1"/>
  <c r="S47" i="1" s="1"/>
  <c r="U45" i="1"/>
  <c r="S45" i="1" s="1"/>
  <c r="U41" i="1"/>
  <c r="S41" i="1" s="1"/>
  <c r="U37" i="1"/>
  <c r="S37" i="1" s="1"/>
  <c r="U35" i="1"/>
  <c r="S35" i="1" s="1"/>
  <c r="U33" i="1"/>
  <c r="S33" i="1" s="1"/>
  <c r="U31" i="1"/>
  <c r="S31" i="1" s="1"/>
  <c r="U27" i="1"/>
  <c r="S27" i="1" s="1"/>
  <c r="U25" i="1"/>
  <c r="S25" i="1" s="1"/>
  <c r="U21" i="1"/>
  <c r="S21" i="1" s="1"/>
  <c r="U17" i="1"/>
  <c r="S17" i="1" s="1"/>
  <c r="X15" i="1"/>
  <c r="X55" i="1"/>
  <c r="U54" i="1"/>
  <c r="S54" i="1" s="1"/>
  <c r="X53" i="1"/>
  <c r="U52" i="1"/>
  <c r="S52" i="1" s="1"/>
  <c r="X51" i="1"/>
  <c r="U50" i="1"/>
  <c r="S50" i="1" s="1"/>
  <c r="X49" i="1"/>
  <c r="U48" i="1"/>
  <c r="S48" i="1" s="1"/>
  <c r="X47" i="1"/>
  <c r="U46" i="1"/>
  <c r="S46" i="1" s="1"/>
  <c r="X45" i="1"/>
  <c r="X43" i="1"/>
  <c r="U42" i="1"/>
  <c r="S42" i="1" s="1"/>
  <c r="X41" i="1"/>
  <c r="U40" i="1"/>
  <c r="S40" i="1" s="1"/>
  <c r="X39" i="1"/>
  <c r="U38" i="1"/>
  <c r="S38" i="1" s="1"/>
  <c r="X37" i="1"/>
  <c r="X35" i="1"/>
  <c r="U34" i="1"/>
  <c r="S34" i="1" s="1"/>
  <c r="X33" i="1"/>
  <c r="X31" i="1"/>
  <c r="U30" i="1"/>
  <c r="S30" i="1" s="1"/>
  <c r="X29" i="1"/>
  <c r="X27" i="1"/>
  <c r="X25" i="1"/>
  <c r="X23" i="1"/>
  <c r="U22" i="1"/>
  <c r="S22" i="1" s="1"/>
  <c r="X21" i="1"/>
  <c r="X19" i="1"/>
  <c r="U18" i="1"/>
  <c r="S18" i="1" s="1"/>
  <c r="X17" i="1"/>
  <c r="U16" i="1"/>
  <c r="S16" i="1" s="1"/>
  <c r="W14" i="1"/>
  <c r="T14" i="1"/>
  <c r="U14" i="1" s="1"/>
  <c r="S14" i="1" s="1"/>
  <c r="Q25" i="3"/>
  <c r="Q26" i="3"/>
  <c r="Q23" i="3"/>
  <c r="P26" i="3"/>
  <c r="P20" i="3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W76" i="1" l="1"/>
  <c r="W72" i="1"/>
  <c r="W58" i="1"/>
  <c r="U108" i="1"/>
  <c r="S108" i="1" s="1"/>
  <c r="U96" i="1"/>
  <c r="S96" i="1" s="1"/>
  <c r="W61" i="1"/>
  <c r="W67" i="1"/>
  <c r="W64" i="1"/>
  <c r="W70" i="1"/>
  <c r="U76" i="1"/>
  <c r="S76" i="1" s="1"/>
  <c r="U86" i="1"/>
  <c r="S86" i="1" s="1"/>
  <c r="U98" i="1"/>
  <c r="S98" i="1" s="1"/>
  <c r="W74" i="1"/>
  <c r="W66" i="1"/>
  <c r="W75" i="1"/>
  <c r="U111" i="1"/>
  <c r="S111" i="1" s="1"/>
  <c r="U79" i="1"/>
  <c r="S79" i="1" s="1"/>
  <c r="U90" i="1"/>
  <c r="S90" i="1" s="1"/>
  <c r="W69" i="1"/>
  <c r="W62" i="1"/>
  <c r="W56" i="1"/>
  <c r="W57" i="1"/>
  <c r="W86" i="1"/>
  <c r="W111" i="1"/>
  <c r="W96" i="1"/>
  <c r="U106" i="1"/>
  <c r="S106" i="1" s="1"/>
  <c r="W98" i="1"/>
  <c r="W81" i="1"/>
  <c r="W90" i="1"/>
  <c r="W79" i="1"/>
  <c r="W108" i="1"/>
  <c r="W109" i="1"/>
  <c r="W104" i="1"/>
  <c r="W92" i="1"/>
  <c r="L7" i="3"/>
  <c r="S7" i="3"/>
  <c r="R7" i="3" s="1"/>
  <c r="T7" i="3"/>
  <c r="U7" i="3"/>
  <c r="V7" i="3"/>
  <c r="AH13" i="1" l="1"/>
  <c r="Q7" i="3" l="1"/>
  <c r="P7" i="3"/>
  <c r="X6" i="1" l="1"/>
  <c r="W6" i="1"/>
  <c r="V6" i="1"/>
  <c r="S6" i="1"/>
  <c r="R2" i="1"/>
  <c r="I2" i="1"/>
  <c r="O6" i="1"/>
  <c r="N6" i="1"/>
  <c r="M6" i="1"/>
  <c r="J6" i="1"/>
  <c r="P3" i="5" l="1"/>
  <c r="V13" i="1" l="1"/>
  <c r="Q12" i="3" l="1"/>
  <c r="Q13" i="3"/>
  <c r="AF13" i="1" l="1"/>
  <c r="AE13" i="1" l="1"/>
  <c r="P12" i="3" l="1"/>
  <c r="P13" i="3"/>
  <c r="M18" i="5"/>
  <c r="AD13" i="1" l="1"/>
  <c r="X14" i="1" s="1"/>
  <c r="AG13" i="1" l="1"/>
  <c r="T13" i="1"/>
  <c r="X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K13" i="1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P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J9" i="1"/>
  <c r="AA13" i="1"/>
  <c r="W13" i="1" s="1"/>
  <c r="S13" i="1" l="1"/>
  <c r="S11" i="1" s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<sst xmlns="http://schemas.openxmlformats.org/spreadsheetml/2006/main" count="2026" uniqueCount="791">
  <si>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</si>
  <si>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</si>
  <si>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</si>
  <si>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</si>
  <si>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</si>
  <si>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</si>
  <si>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</si>
  <si>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</si>
  <si>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</si>
  <si>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</si>
  <si>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</si>
  <si>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</si>
  <si>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</si>
  <si>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</si>
  <si>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</si>
  <si>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</si>
  <si>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</si>
  <si>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</si>
  <si>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</si>
  <si>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</si>
  <si>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</si>
  <si>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</si>
  <si>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</si>
  <si>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</si>
  <si>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</si>
  <si>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</si>
  <si>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</si>
  <si>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</si>
  <si>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</si>
  <si>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</si>
  <si>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</si>
  <si>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</si>
  <si>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</si>
  <si>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</si>
  <si>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</si>
  <si>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</si>
  <si>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</si>
  <si>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</si>
  <si>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</si>
  <si>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</si>
  <si>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</si>
  <si>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</si>
  <si>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</si>
  <si>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</si>
  <si>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</si>
  <si>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</si>
  <si>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</si>
  <si>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</si>
  <si>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</si>
  <si>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</si>
  <si>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</si>
  <si>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</si>
  <si>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</si>
  <si>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</si>
  <si>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</si>
  <si>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</si>
  <si>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</si>
  <si>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</si>
  <si>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</si>
  <si>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baselines: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</si>
  <si>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</si>
  <si>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</si>
  <si>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</si>
  <si>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</si>
  <si>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</si>
  <si>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</si>
  <si>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rtdc.l.rtdc.4019:itc</t>
  </si>
  <si>
    <t>rtdc.l.rtdc.4020:itc</t>
  </si>
  <si>
    <t>rtdc.l.rtdc.4018:itc</t>
  </si>
  <si>
    <t>rtdc.l.rtdc.4017:itc</t>
  </si>
  <si>
    <t>Possible Explanation</t>
  </si>
  <si>
    <t>Recorded Operator</t>
  </si>
  <si>
    <t>Trip ID</t>
  </si>
  <si>
    <t># Of Times Offered</t>
  </si>
  <si>
    <t>Loco</t>
  </si>
  <si>
    <t>rtdc.l.rtdc.4042:itc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</si>
  <si>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</si>
  <si>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</si>
  <si>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</si>
  <si>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</si>
  <si>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</si>
  <si>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</si>
  <si>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</si>
  <si>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</si>
  <si>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</si>
  <si>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</si>
  <si>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</si>
  <si>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</si>
  <si>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</si>
  <si>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</si>
  <si>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</si>
  <si>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</si>
  <si>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</si>
  <si>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</si>
  <si>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</si>
  <si>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</si>
  <si>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</si>
  <si>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</si>
  <si>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</si>
  <si>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</si>
  <si>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rtdc.l.rtdc.4038:itc</t>
  </si>
  <si>
    <t>STURGEON</t>
  </si>
  <si>
    <t>rtdc.l.rtdc.4026:itc</t>
  </si>
  <si>
    <t>rtdc.l.rtdc.4013:itc</t>
  </si>
  <si>
    <t>rtdc.l.rtdc.4025:itc</t>
  </si>
  <si>
    <t>rtdc.l.rtdc.4028:itc</t>
  </si>
  <si>
    <t>rtdc.l.rtdc.4029:itc</t>
  </si>
  <si>
    <t>rtdc.l.rtdc.4030:itc</t>
  </si>
  <si>
    <t>rtdc.l.rtdc.4027:itc</t>
  </si>
  <si>
    <t>204:156</t>
  </si>
  <si>
    <t>SPECTOR</t>
  </si>
  <si>
    <t>rtdc.l.rtdc.4008:itc</t>
  </si>
  <si>
    <t>GRASTON</t>
  </si>
  <si>
    <t>rtdc.l.rtdc.4007:itc</t>
  </si>
  <si>
    <t>Trip Number Sortable</t>
  </si>
  <si>
    <t>204:458</t>
  </si>
  <si>
    <t>STARKS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</si>
  <si>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</si>
  <si>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</si>
  <si>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</si>
  <si>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</si>
  <si>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</si>
  <si>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</si>
  <si>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</si>
  <si>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</si>
  <si>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</si>
  <si>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</si>
  <si>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</si>
  <si>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</si>
  <si>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</si>
  <si>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</si>
  <si>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</si>
  <si>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</si>
  <si>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</si>
  <si>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</si>
  <si>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204:150</t>
  </si>
  <si>
    <t>204:464</t>
  </si>
  <si>
    <t>204:139</t>
  </si>
  <si>
    <t>204:462</t>
  </si>
  <si>
    <t>Omit due to TWC &lt; 1</t>
  </si>
  <si>
    <t>Reactive Enforcement (3)</t>
  </si>
  <si>
    <t>rtdc.l.rtdc.4009:itc</t>
  </si>
  <si>
    <t>rtdc.l.rtdc.4010:itc</t>
  </si>
  <si>
    <t>BRANNON</t>
  </si>
  <si>
    <t>rtdc.l.rtdc.4041:itc</t>
  </si>
  <si>
    <t>LEVIN</t>
  </si>
  <si>
    <t>204:233293</t>
  </si>
  <si>
    <t>204:467</t>
  </si>
  <si>
    <t>COOLAHAN</t>
  </si>
  <si>
    <t>rtdc.l.rtdc.4011:itc</t>
  </si>
  <si>
    <t>YANAI</t>
  </si>
  <si>
    <t>rtdc.l.rtdc.4012:itc</t>
  </si>
  <si>
    <t>204:233295</t>
  </si>
  <si>
    <t>204:233308</t>
  </si>
  <si>
    <t>GEBRETEKLE</t>
  </si>
  <si>
    <t>rtdc.l.rtdc.4014:itc</t>
  </si>
  <si>
    <t>DE.1.0.7.0</t>
  </si>
  <si>
    <t>1828-24</t>
  </si>
  <si>
    <t>224-24</t>
  </si>
  <si>
    <t>243-24</t>
  </si>
  <si>
    <t>244-24</t>
  </si>
  <si>
    <t>rtdc.l.rtdc.4031:itc</t>
  </si>
  <si>
    <t>rtdc.l.rtdc.4032:itc</t>
  </si>
  <si>
    <t>MAYBERRY</t>
  </si>
  <si>
    <t>YOUNG</t>
  </si>
  <si>
    <t>BRUDER</t>
  </si>
  <si>
    <t>NEWELL</t>
  </si>
  <si>
    <t>STEWART</t>
  </si>
  <si>
    <t>CHANDLER</t>
  </si>
  <si>
    <t>BARTLETT</t>
  </si>
  <si>
    <t>ACKERMAN</t>
  </si>
  <si>
    <t>REBOLETTI</t>
  </si>
  <si>
    <t>HELVIE</t>
  </si>
  <si>
    <t>111-25</t>
  </si>
  <si>
    <t>102-25</t>
  </si>
  <si>
    <t>105-25</t>
  </si>
  <si>
    <t>101-25</t>
  </si>
  <si>
    <t>143-25</t>
  </si>
  <si>
    <t>176-25</t>
  </si>
  <si>
    <t>224-25</t>
  </si>
  <si>
    <t>204:442</t>
  </si>
  <si>
    <t>230-25</t>
  </si>
  <si>
    <t>234-25</t>
  </si>
  <si>
    <t>237-25</t>
  </si>
  <si>
    <t>241-25</t>
  </si>
  <si>
    <t>242-25</t>
  </si>
  <si>
    <t>243-25</t>
  </si>
  <si>
    <t>864-25</t>
  </si>
  <si>
    <t>rtdc.l.rtdc.4037:itc</t>
  </si>
  <si>
    <t>ROCHA</t>
  </si>
  <si>
    <t>LOCKLEAR</t>
  </si>
  <si>
    <t>LEVERE</t>
  </si>
  <si>
    <t>DAVIS</t>
  </si>
  <si>
    <t>108-26</t>
  </si>
  <si>
    <t>BONDS</t>
  </si>
  <si>
    <t>133-26</t>
  </si>
  <si>
    <t>804-26</t>
  </si>
  <si>
    <t>105-26</t>
  </si>
  <si>
    <t>107-26</t>
  </si>
  <si>
    <t>106-26</t>
  </si>
  <si>
    <t>113-26</t>
  </si>
  <si>
    <t>125-26</t>
  </si>
  <si>
    <t>127-26</t>
  </si>
  <si>
    <t>126-26</t>
  </si>
  <si>
    <t>132-26</t>
  </si>
  <si>
    <t>812-26</t>
  </si>
  <si>
    <t>134-26</t>
  </si>
  <si>
    <t>149-26</t>
  </si>
  <si>
    <t>151-26</t>
  </si>
  <si>
    <t>816-26</t>
  </si>
  <si>
    <t>158-26</t>
  </si>
  <si>
    <t>160-26</t>
  </si>
  <si>
    <t>162-26</t>
  </si>
  <si>
    <t>170-26</t>
  </si>
  <si>
    <t>821-26</t>
  </si>
  <si>
    <t>179-26</t>
  </si>
  <si>
    <t>822-26</t>
  </si>
  <si>
    <t>178-26</t>
  </si>
  <si>
    <t>180-26</t>
  </si>
  <si>
    <t>203-26</t>
  </si>
  <si>
    <t>124-26</t>
  </si>
  <si>
    <t>137-26</t>
  </si>
  <si>
    <t>140-26</t>
  </si>
  <si>
    <t>141-26</t>
  </si>
  <si>
    <t>144-26</t>
  </si>
  <si>
    <t>204:232993</t>
  </si>
  <si>
    <t>152-26</t>
  </si>
  <si>
    <t>157-26</t>
  </si>
  <si>
    <t>159-26</t>
  </si>
  <si>
    <t>163-26</t>
  </si>
  <si>
    <t>171-26</t>
  </si>
  <si>
    <t>173-26</t>
  </si>
  <si>
    <t>175-26</t>
  </si>
  <si>
    <t>176-26</t>
  </si>
  <si>
    <t>177-26</t>
  </si>
  <si>
    <t>181-26</t>
  </si>
  <si>
    <t>183-26</t>
  </si>
  <si>
    <t>187-26</t>
  </si>
  <si>
    <t>188-26</t>
  </si>
  <si>
    <t>195-26</t>
  </si>
  <si>
    <t>197-26</t>
  </si>
  <si>
    <t>198-26</t>
  </si>
  <si>
    <t>199-26</t>
  </si>
  <si>
    <t>207-26</t>
  </si>
  <si>
    <t>209-26</t>
  </si>
  <si>
    <t>217-26</t>
  </si>
  <si>
    <t>230-26</t>
  </si>
  <si>
    <t>238-26</t>
  </si>
  <si>
    <t>241-26</t>
  </si>
  <si>
    <t>307-26</t>
  </si>
  <si>
    <t>315-26</t>
  </si>
  <si>
    <t>807-26</t>
  </si>
  <si>
    <t>809-26</t>
  </si>
  <si>
    <t>813-26</t>
  </si>
  <si>
    <t>814-26</t>
  </si>
  <si>
    <t>815-26</t>
  </si>
  <si>
    <t>819-26</t>
  </si>
  <si>
    <t>827-26</t>
  </si>
  <si>
    <t>830-26</t>
  </si>
  <si>
    <t>831-26</t>
  </si>
  <si>
    <t>833-26</t>
  </si>
  <si>
    <t>835-26</t>
  </si>
  <si>
    <t>840-26</t>
  </si>
  <si>
    <t>842-26</t>
  </si>
  <si>
    <t>843-26</t>
  </si>
  <si>
    <t>844-26</t>
  </si>
  <si>
    <t>845-26</t>
  </si>
  <si>
    <t>906-26</t>
  </si>
  <si>
    <t>908-26</t>
  </si>
  <si>
    <t>WEBSTER</t>
  </si>
  <si>
    <t>807-27</t>
  </si>
  <si>
    <t>119-27</t>
  </si>
  <si>
    <t>SANTIZO</t>
  </si>
  <si>
    <t>302-27</t>
  </si>
  <si>
    <t>MAELZER</t>
  </si>
  <si>
    <t>129-27</t>
  </si>
  <si>
    <t>DE LA ROSA</t>
  </si>
  <si>
    <t>102-27</t>
  </si>
  <si>
    <t>804-27</t>
  </si>
  <si>
    <t>126-27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</si>
  <si>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</si>
  <si>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</si>
  <si>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</si>
  <si>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</si>
  <si>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</si>
  <si>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</si>
  <si>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</si>
  <si>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</si>
  <si>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</si>
  <si>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156-27</t>
  </si>
  <si>
    <t>204:451</t>
  </si>
  <si>
    <t>SWANSON</t>
  </si>
  <si>
    <t>YORK</t>
  </si>
  <si>
    <t>rtdc.l.rtdc.4043:itc</t>
  </si>
  <si>
    <t>302-28</t>
  </si>
  <si>
    <t>101-28</t>
  </si>
  <si>
    <t>102-28</t>
  </si>
  <si>
    <t>802-28</t>
  </si>
  <si>
    <t>806-28</t>
  </si>
  <si>
    <t>204:447</t>
  </si>
  <si>
    <t>204:232975</t>
  </si>
  <si>
    <t>204:457</t>
  </si>
  <si>
    <t>TEMPORARY SPEED RESTRICTION</t>
  </si>
  <si>
    <t>204:232998</t>
  </si>
  <si>
    <t>204:233004</t>
  </si>
  <si>
    <t>STAMBAUGH</t>
  </si>
  <si>
    <t>204:437</t>
  </si>
  <si>
    <t>204:233297</t>
  </si>
  <si>
    <t>204:446</t>
  </si>
  <si>
    <t>204:455</t>
  </si>
  <si>
    <t>204:232980</t>
  </si>
  <si>
    <t>204:444</t>
  </si>
  <si>
    <t>300:23304</t>
  </si>
  <si>
    <t>HAITHCOX</t>
  </si>
  <si>
    <t>ISHMAEL</t>
  </si>
  <si>
    <t>rtdc.l.rtdc.4044:itc</t>
  </si>
  <si>
    <t>OUN</t>
  </si>
  <si>
    <t>rtdc.l.rtdc.4039:itc</t>
  </si>
  <si>
    <t>ROBINSON</t>
  </si>
  <si>
    <t>:.+((SYSTEM_STATE.+slice.+state.+changed )|(ment ac)|(system.+state.+changed )|(\|lc)|(penalty)|(\[timeout)|(PRM\|1\|D)|(kpr)|(kdp))</t>
  </si>
  <si>
    <t>RefineRTDCRunTimes</t>
  </si>
  <si>
    <t>RefineTime</t>
  </si>
  <si>
    <t>204:233324</t>
  </si>
  <si>
    <t>204:232978</t>
  </si>
  <si>
    <t>204:232986</t>
  </si>
  <si>
    <t>STRICKLAND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</si>
  <si>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</si>
  <si>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</si>
  <si>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</si>
  <si>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842-03</t>
  </si>
  <si>
    <t>234-03</t>
  </si>
  <si>
    <t>204:233312</t>
  </si>
  <si>
    <t>204:233000</t>
  </si>
  <si>
    <t>204:158</t>
  </si>
  <si>
    <t>204:163</t>
  </si>
  <si>
    <t>204:233278</t>
  </si>
  <si>
    <t>226-03</t>
  </si>
  <si>
    <t>228-03</t>
  </si>
  <si>
    <t>229-03</t>
  </si>
  <si>
    <t>230-03</t>
  </si>
  <si>
    <t>231-03</t>
  </si>
  <si>
    <t>232-03</t>
  </si>
  <si>
    <t>233-03</t>
  </si>
  <si>
    <t>235-03</t>
  </si>
  <si>
    <t>236-03</t>
  </si>
  <si>
    <t>237-03</t>
  </si>
  <si>
    <t>238-03</t>
  </si>
  <si>
    <t>204:232955</t>
  </si>
  <si>
    <t>239-03</t>
  </si>
  <si>
    <t>240-03</t>
  </si>
  <si>
    <t>241-03</t>
  </si>
  <si>
    <t>242-03</t>
  </si>
  <si>
    <t>243-03</t>
  </si>
  <si>
    <t>244-03</t>
  </si>
  <si>
    <t>309-03</t>
  </si>
  <si>
    <t>311-03</t>
  </si>
  <si>
    <t>315-03</t>
  </si>
  <si>
    <t>204:1021</t>
  </si>
  <si>
    <t>844-03</t>
  </si>
  <si>
    <t>845-03</t>
  </si>
  <si>
    <t>847-03</t>
  </si>
  <si>
    <t>908-03</t>
  </si>
  <si>
    <t>MOSES</t>
  </si>
  <si>
    <t>rtdc.l.rtdc.4040:itc</t>
  </si>
  <si>
    <t>308-04</t>
  </si>
  <si>
    <t>KILLION</t>
  </si>
  <si>
    <t>113-04</t>
  </si>
  <si>
    <t>803-04</t>
  </si>
  <si>
    <t>123-04</t>
  </si>
  <si>
    <t>118-04</t>
  </si>
  <si>
    <t>120-04</t>
  </si>
  <si>
    <t>MALAVE</t>
  </si>
  <si>
    <t>129-04</t>
  </si>
  <si>
    <t>CLARK</t>
  </si>
  <si>
    <t>804-04</t>
  </si>
  <si>
    <t>800-04</t>
  </si>
  <si>
    <t>104-04</t>
  </si>
  <si>
    <t>313-03</t>
  </si>
  <si>
    <t>115-04</t>
  </si>
  <si>
    <t>119-04</t>
  </si>
  <si>
    <t>802-04</t>
  </si>
  <si>
    <t>122-04</t>
  </si>
  <si>
    <t>806-04</t>
  </si>
  <si>
    <t>106-04</t>
  </si>
  <si>
    <t>101-04</t>
  </si>
  <si>
    <t>302-04</t>
  </si>
  <si>
    <t>102-04</t>
  </si>
  <si>
    <t>107-04</t>
  </si>
  <si>
    <t>109-04</t>
  </si>
  <si>
    <t>111-04</t>
  </si>
  <si>
    <t>108-04</t>
  </si>
  <si>
    <t>110-04</t>
  </si>
  <si>
    <t>801-04</t>
  </si>
  <si>
    <t>117-04</t>
  </si>
  <si>
    <t>112-04</t>
  </si>
  <si>
    <t>114-04</t>
  </si>
  <si>
    <t>121-04</t>
  </si>
  <si>
    <t>805-04</t>
  </si>
  <si>
    <t>116-04</t>
  </si>
  <si>
    <t>125-04</t>
  </si>
  <si>
    <t>127-04</t>
  </si>
  <si>
    <t>807-04</t>
  </si>
  <si>
    <t>124-04</t>
  </si>
  <si>
    <t>126-04</t>
  </si>
  <si>
    <t>812-04</t>
  </si>
  <si>
    <t>139-04</t>
  </si>
  <si>
    <t>134-04</t>
  </si>
  <si>
    <t>141-04</t>
  </si>
  <si>
    <t>136-04</t>
  </si>
  <si>
    <t>813-04</t>
  </si>
  <si>
    <t>140-04</t>
  </si>
  <si>
    <t>149-04</t>
  </si>
  <si>
    <t>815-04</t>
  </si>
  <si>
    <t>150-04</t>
  </si>
  <si>
    <t>148-04</t>
  </si>
  <si>
    <t>159-04</t>
  </si>
  <si>
    <t>158-04</t>
  </si>
  <si>
    <t>170-04</t>
  </si>
  <si>
    <t>822-04</t>
  </si>
  <si>
    <t>176-04</t>
  </si>
  <si>
    <t>180-04</t>
  </si>
  <si>
    <t>824-04</t>
  </si>
  <si>
    <t>825-04</t>
  </si>
  <si>
    <t>827-04</t>
  </si>
  <si>
    <t>828-04</t>
  </si>
  <si>
    <t>205-04</t>
  </si>
  <si>
    <t>833-04</t>
  </si>
  <si>
    <t>834-04</t>
  </si>
  <si>
    <t>210-04</t>
  </si>
  <si>
    <t>838-04</t>
  </si>
  <si>
    <t>214-04</t>
  </si>
  <si>
    <t>216-04</t>
  </si>
  <si>
    <t>840-04</t>
  </si>
  <si>
    <t>842-04</t>
  </si>
  <si>
    <t>844-04</t>
  </si>
  <si>
    <t>204:233307</t>
  </si>
  <si>
    <t>204:19128</t>
  </si>
  <si>
    <t>128-04</t>
  </si>
  <si>
    <t>204:232992</t>
  </si>
  <si>
    <t>130-04</t>
  </si>
  <si>
    <t>131-04</t>
  </si>
  <si>
    <t>132-04</t>
  </si>
  <si>
    <t>204:233013</t>
  </si>
  <si>
    <t>133-04</t>
  </si>
  <si>
    <t>135-04</t>
  </si>
  <si>
    <t>137-04</t>
  </si>
  <si>
    <t>138-04</t>
  </si>
  <si>
    <t>142-04</t>
  </si>
  <si>
    <t>143-04</t>
  </si>
  <si>
    <t>144-04</t>
  </si>
  <si>
    <t>145-04</t>
  </si>
  <si>
    <t>204:233315</t>
  </si>
  <si>
    <t>146-04</t>
  </si>
  <si>
    <t>147-04</t>
  </si>
  <si>
    <t>151-04</t>
  </si>
  <si>
    <t>152-04</t>
  </si>
  <si>
    <t>153-04</t>
  </si>
  <si>
    <t>204:233287</t>
  </si>
  <si>
    <t>154-04</t>
  </si>
  <si>
    <t>155-04</t>
  </si>
  <si>
    <t>204:469</t>
  </si>
  <si>
    <t>156-04</t>
  </si>
  <si>
    <t>157-04</t>
  </si>
  <si>
    <t>160-04</t>
  </si>
  <si>
    <t>161-04</t>
  </si>
  <si>
    <t>162-04</t>
  </si>
  <si>
    <t>163-04</t>
  </si>
  <si>
    <t>164-04</t>
  </si>
  <si>
    <t>165-04</t>
  </si>
  <si>
    <t>166-04</t>
  </si>
  <si>
    <t>204:233011</t>
  </si>
  <si>
    <t>167-04</t>
  </si>
  <si>
    <t>204:233318</t>
  </si>
  <si>
    <t>168-04</t>
  </si>
  <si>
    <t>169-04</t>
  </si>
  <si>
    <t>171-04</t>
  </si>
  <si>
    <t>172-04</t>
  </si>
  <si>
    <t>173-04</t>
  </si>
  <si>
    <t>174-04</t>
  </si>
  <si>
    <t>175-04</t>
  </si>
  <si>
    <t>177-04</t>
  </si>
  <si>
    <t>178-04</t>
  </si>
  <si>
    <t>179-04</t>
  </si>
  <si>
    <t>181-04</t>
  </si>
  <si>
    <t>182-04</t>
  </si>
  <si>
    <t>183-04</t>
  </si>
  <si>
    <t>184-04</t>
  </si>
  <si>
    <t>185-04</t>
  </si>
  <si>
    <t>186-04</t>
  </si>
  <si>
    <t>187-04</t>
  </si>
  <si>
    <t>188-04</t>
  </si>
  <si>
    <t>189-04</t>
  </si>
  <si>
    <t>190-04</t>
  </si>
  <si>
    <t>191-04</t>
  </si>
  <si>
    <t>192-04</t>
  </si>
  <si>
    <t>193-04</t>
  </si>
  <si>
    <t>194-04</t>
  </si>
  <si>
    <t>195-04</t>
  </si>
  <si>
    <t>196-04</t>
  </si>
  <si>
    <t>197-04</t>
  </si>
  <si>
    <t>198-04</t>
  </si>
  <si>
    <t>199-04</t>
  </si>
  <si>
    <t>200-04</t>
  </si>
  <si>
    <t>201-04</t>
  </si>
  <si>
    <t>204:233317</t>
  </si>
  <si>
    <t>202-04</t>
  </si>
  <si>
    <t>203-04</t>
  </si>
  <si>
    <t>204-04</t>
  </si>
  <si>
    <t>206-04</t>
  </si>
  <si>
    <t>207-04</t>
  </si>
  <si>
    <t>208-04</t>
  </si>
  <si>
    <t>209-04</t>
  </si>
  <si>
    <t>211-04</t>
  </si>
  <si>
    <t>212-04</t>
  </si>
  <si>
    <t>213-04</t>
  </si>
  <si>
    <t>215-04</t>
  </si>
  <si>
    <t>217-04</t>
  </si>
  <si>
    <t>218-04</t>
  </si>
  <si>
    <t>219-04</t>
  </si>
  <si>
    <t>220-04</t>
  </si>
  <si>
    <t>221-04</t>
  </si>
  <si>
    <t>222-04</t>
  </si>
  <si>
    <t>223-04</t>
  </si>
  <si>
    <t>224-04</t>
  </si>
  <si>
    <t>225-04</t>
  </si>
  <si>
    <t>226-04</t>
  </si>
  <si>
    <t>227-04</t>
  </si>
  <si>
    <t>228-04</t>
  </si>
  <si>
    <t>229-04</t>
  </si>
  <si>
    <t>230-04</t>
  </si>
  <si>
    <t>231-04</t>
  </si>
  <si>
    <t>232-04</t>
  </si>
  <si>
    <t>233-04</t>
  </si>
  <si>
    <t>234-04</t>
  </si>
  <si>
    <t>235-04</t>
  </si>
  <si>
    <t>236-04</t>
  </si>
  <si>
    <t>237-04</t>
  </si>
  <si>
    <t>238-04</t>
  </si>
  <si>
    <t>239-04</t>
  </si>
  <si>
    <t>240-04</t>
  </si>
  <si>
    <t>241-04</t>
  </si>
  <si>
    <t>242-04</t>
  </si>
  <si>
    <t>243-04</t>
  </si>
  <si>
    <t>244-04</t>
  </si>
  <si>
    <t>303-04</t>
  </si>
  <si>
    <t>204:19130</t>
  </si>
  <si>
    <t>305-04</t>
  </si>
  <si>
    <t>307-04</t>
  </si>
  <si>
    <t>309-04</t>
  </si>
  <si>
    <t>313-04</t>
  </si>
  <si>
    <t>315-04</t>
  </si>
  <si>
    <t>204:471</t>
  </si>
  <si>
    <t>808-04</t>
  </si>
  <si>
    <t>809-04</t>
  </si>
  <si>
    <t>204:1072</t>
  </si>
  <si>
    <t>810-04</t>
  </si>
  <si>
    <t>811-04</t>
  </si>
  <si>
    <t>814-04</t>
  </si>
  <si>
    <t>816-04</t>
  </si>
  <si>
    <t>817-04</t>
  </si>
  <si>
    <t>818-04</t>
  </si>
  <si>
    <t>819-04</t>
  </si>
  <si>
    <t>820-04</t>
  </si>
  <si>
    <t>821-04</t>
  </si>
  <si>
    <t>823-04</t>
  </si>
  <si>
    <t>826-04</t>
  </si>
  <si>
    <t>829-04</t>
  </si>
  <si>
    <t>830-04</t>
  </si>
  <si>
    <t>831-04</t>
  </si>
  <si>
    <t>832-04</t>
  </si>
  <si>
    <t>300:58289</t>
  </si>
  <si>
    <t>835-04</t>
  </si>
  <si>
    <t>836-04</t>
  </si>
  <si>
    <t>837-04</t>
  </si>
  <si>
    <t>839-04</t>
  </si>
  <si>
    <t>841-04</t>
  </si>
  <si>
    <t>843-04</t>
  </si>
  <si>
    <t>845-04</t>
  </si>
  <si>
    <t>847-04</t>
  </si>
  <si>
    <t>906-04</t>
  </si>
  <si>
    <t>908-04</t>
  </si>
  <si>
    <t>311-04</t>
  </si>
  <si>
    <t>SHOOK</t>
  </si>
  <si>
    <t>101-05</t>
  </si>
  <si>
    <t>803-05</t>
  </si>
  <si>
    <t>125-05</t>
  </si>
  <si>
    <t>114-05</t>
  </si>
  <si>
    <t>109-05</t>
  </si>
  <si>
    <t>106-05</t>
  </si>
  <si>
    <t>127-05</t>
  </si>
  <si>
    <t>132-05</t>
  </si>
  <si>
    <t>117-05</t>
  </si>
  <si>
    <t>103-05</t>
  </si>
  <si>
    <t>801-05</t>
  </si>
  <si>
    <t>120-05</t>
  </si>
  <si>
    <t>807-05</t>
  </si>
  <si>
    <t>811-05</t>
  </si>
  <si>
    <t>SUR</t>
  </si>
  <si>
    <t>124-05</t>
  </si>
  <si>
    <t>131-05</t>
  </si>
  <si>
    <t>137-05</t>
  </si>
  <si>
    <t>800-05</t>
  </si>
  <si>
    <t>121-05</t>
  </si>
  <si>
    <t>901-05</t>
  </si>
  <si>
    <t>111-05</t>
  </si>
  <si>
    <t>128-05</t>
  </si>
  <si>
    <t>133-05</t>
  </si>
  <si>
    <t>rtdc.l.rtdc.4006:itc</t>
  </si>
  <si>
    <t>GOLIGHTLY-04</t>
  </si>
  <si>
    <t>GOLIGHTLY</t>
  </si>
  <si>
    <t>110-05</t>
  </si>
  <si>
    <t>102-05</t>
  </si>
  <si>
    <t>104-05</t>
  </si>
  <si>
    <t>808-05</t>
  </si>
  <si>
    <t>107-05</t>
  </si>
  <si>
    <t>119-05</t>
  </si>
  <si>
    <t>805-05</t>
  </si>
  <si>
    <t>115-05</t>
  </si>
  <si>
    <t>130-05</t>
  </si>
  <si>
    <t>129-05</t>
  </si>
  <si>
    <t>116-05</t>
  </si>
  <si>
    <t>809-05</t>
  </si>
  <si>
    <t>810-05</t>
  </si>
  <si>
    <t>802-05</t>
  </si>
  <si>
    <t>122-05</t>
  </si>
  <si>
    <t>113-05</t>
  </si>
  <si>
    <t>126-05</t>
  </si>
  <si>
    <t>806-05</t>
  </si>
  <si>
    <t>112-05</t>
  </si>
  <si>
    <t>804-05</t>
  </si>
  <si>
    <t>108-05</t>
  </si>
  <si>
    <t>135-05</t>
  </si>
  <si>
    <t>123-05</t>
  </si>
  <si>
    <t>118-05</t>
  </si>
  <si>
    <t>302-05</t>
  </si>
  <si>
    <t>105-05</t>
  </si>
  <si>
    <t>139-05</t>
  </si>
  <si>
    <t>846-04</t>
  </si>
  <si>
    <t>not found in data</t>
  </si>
  <si>
    <t>813-05</t>
  </si>
  <si>
    <t>138-05</t>
  </si>
  <si>
    <t>140-05</t>
  </si>
  <si>
    <t>146-05</t>
  </si>
  <si>
    <t>142-05</t>
  </si>
  <si>
    <t>159-05</t>
  </si>
  <si>
    <t>161-05</t>
  </si>
  <si>
    <t>154-05</t>
  </si>
  <si>
    <t>163-05</t>
  </si>
  <si>
    <t>204:37261</t>
  </si>
  <si>
    <t>204:43527</t>
  </si>
  <si>
    <t>204:734</t>
  </si>
  <si>
    <t>204:20575</t>
  </si>
  <si>
    <t>204:127793</t>
  </si>
  <si>
    <t>204:127530</t>
  </si>
  <si>
    <t>204:232690</t>
  </si>
  <si>
    <t>204:219972</t>
  </si>
  <si>
    <t>204:64787</t>
  </si>
  <si>
    <t>204:101568</t>
  </si>
  <si>
    <t>204:761</t>
  </si>
  <si>
    <t>204:19318</t>
  </si>
  <si>
    <t>204:232656</t>
  </si>
  <si>
    <t>204:222703</t>
  </si>
  <si>
    <t>204:69808</t>
  </si>
  <si>
    <t>204:710</t>
  </si>
  <si>
    <t>204:19204</t>
  </si>
  <si>
    <t>204:232641</t>
  </si>
  <si>
    <t>204:225004</t>
  </si>
  <si>
    <t>204:19133</t>
  </si>
  <si>
    <t>204:231608</t>
  </si>
  <si>
    <t>204:19122</t>
  </si>
  <si>
    <t>204:826</t>
  </si>
  <si>
    <t>204:19894</t>
  </si>
  <si>
    <t>204:233030</t>
  </si>
  <si>
    <t>204:220159</t>
  </si>
  <si>
    <t>204:484</t>
  </si>
  <si>
    <t>204:225122</t>
  </si>
  <si>
    <t>204:717</t>
  </si>
  <si>
    <t>204:224036</t>
  </si>
  <si>
    <t>204:19137</t>
  </si>
  <si>
    <t>204:232989</t>
  </si>
  <si>
    <t>204:224347</t>
  </si>
  <si>
    <t>204:781</t>
  </si>
  <si>
    <t>204:226763</t>
  </si>
  <si>
    <t>204:429</t>
  </si>
  <si>
    <t>204:228926</t>
  </si>
  <si>
    <t>204:19136</t>
  </si>
  <si>
    <t>204:224513</t>
  </si>
  <si>
    <t>204:19958</t>
  </si>
  <si>
    <t>204:233093</t>
  </si>
  <si>
    <t>204:147</t>
  </si>
  <si>
    <t>204:19138</t>
  </si>
  <si>
    <t>204:233025</t>
  </si>
  <si>
    <t>204:19160</t>
  </si>
  <si>
    <t>204:19129</t>
  </si>
  <si>
    <t>204:180</t>
  </si>
  <si>
    <t>204:233274</t>
  </si>
  <si>
    <t>134-05</t>
  </si>
  <si>
    <t>204:232957</t>
  </si>
  <si>
    <t>204:233311</t>
  </si>
  <si>
    <t>136-05</t>
  </si>
  <si>
    <t>204:232979</t>
  </si>
  <si>
    <t>204:125</t>
  </si>
  <si>
    <t>204:233001</t>
  </si>
  <si>
    <t>141-05</t>
  </si>
  <si>
    <t>204:233329</t>
  </si>
  <si>
    <t>143-05</t>
  </si>
  <si>
    <t>144-05</t>
  </si>
  <si>
    <t>145-05</t>
  </si>
  <si>
    <t>147-05</t>
  </si>
  <si>
    <t>204:233284</t>
  </si>
  <si>
    <t>148-05</t>
  </si>
  <si>
    <t>204:232965</t>
  </si>
  <si>
    <t>149-05</t>
  </si>
  <si>
    <t>150-05</t>
  </si>
  <si>
    <t>151-05</t>
  </si>
  <si>
    <t>204:431</t>
  </si>
  <si>
    <t>152-05</t>
  </si>
  <si>
    <t>204:232971</t>
  </si>
  <si>
    <t>153-05</t>
  </si>
  <si>
    <t>155-05</t>
  </si>
  <si>
    <t>204:233253</t>
  </si>
  <si>
    <t>156-05</t>
  </si>
  <si>
    <t>204:232959</t>
  </si>
  <si>
    <t>157-05</t>
  </si>
  <si>
    <t>158-05</t>
  </si>
  <si>
    <t>204:233276</t>
  </si>
  <si>
    <t>160-05</t>
  </si>
  <si>
    <t>162-05</t>
  </si>
  <si>
    <t>204:232966</t>
  </si>
  <si>
    <t>164-05</t>
  </si>
  <si>
    <t>165-05</t>
  </si>
  <si>
    <t>166-05</t>
  </si>
  <si>
    <t>204:233015</t>
  </si>
  <si>
    <t>167-05</t>
  </si>
  <si>
    <t>169-05</t>
  </si>
  <si>
    <t>204:233331</t>
  </si>
  <si>
    <t>171-05</t>
  </si>
  <si>
    <t>300:57346</t>
  </si>
  <si>
    <t>300:34835</t>
  </si>
  <si>
    <t>300:58653</t>
  </si>
  <si>
    <t>300:58366</t>
  </si>
  <si>
    <t>300:16244</t>
  </si>
  <si>
    <t>204:1034</t>
  </si>
  <si>
    <t>300:58655</t>
  </si>
  <si>
    <t>204:869</t>
  </si>
  <si>
    <t>204:2964</t>
  </si>
  <si>
    <t>300:58236</t>
  </si>
  <si>
    <t>204:1035</t>
  </si>
  <si>
    <t>300:16020</t>
  </si>
  <si>
    <t>300:58681</t>
  </si>
  <si>
    <t>300:58326</t>
  </si>
  <si>
    <t>204:1069</t>
  </si>
  <si>
    <t>300:58666</t>
  </si>
  <si>
    <t>300:58364</t>
  </si>
  <si>
    <t>204:999</t>
  </si>
  <si>
    <t>204:1209</t>
  </si>
  <si>
    <t>300:58638</t>
  </si>
  <si>
    <t>204:776</t>
  </si>
  <si>
    <t>204:1168</t>
  </si>
  <si>
    <t>204:2802</t>
  </si>
  <si>
    <t>812-05</t>
  </si>
  <si>
    <t>300:58640</t>
  </si>
  <si>
    <t>204:822</t>
  </si>
  <si>
    <t>204:1119</t>
  </si>
  <si>
    <t>300:58941</t>
  </si>
  <si>
    <t>814-05</t>
  </si>
  <si>
    <t>300:58626</t>
  </si>
  <si>
    <t>204:855</t>
  </si>
  <si>
    <t>815-05</t>
  </si>
  <si>
    <t>204:1147</t>
  </si>
  <si>
    <t>300:58948</t>
  </si>
  <si>
    <t>816-05</t>
  </si>
  <si>
    <t>300:58634</t>
  </si>
  <si>
    <t>204:867</t>
  </si>
  <si>
    <t>817-05</t>
  </si>
  <si>
    <t>204:1165</t>
  </si>
  <si>
    <t>300:58946</t>
  </si>
  <si>
    <t>818-05</t>
  </si>
  <si>
    <t>819-05</t>
  </si>
  <si>
    <t>204:1149</t>
  </si>
  <si>
    <t>300:58956</t>
  </si>
  <si>
    <t>820-05</t>
  </si>
  <si>
    <t>204:797</t>
  </si>
  <si>
    <t>300:27252</t>
  </si>
  <si>
    <t>300:28188</t>
  </si>
  <si>
    <t>300:39479</t>
  </si>
  <si>
    <t>300:57743</t>
  </si>
  <si>
    <t>903-05</t>
  </si>
  <si>
    <t>204:1063</t>
  </si>
  <si>
    <t>300:24229</t>
  </si>
  <si>
    <t>Wayside messaging virtual machine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</si>
</sst>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4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" fontId="5" fillId="0" borderId="0" xfId="0" applyNumberFormat="1" applyFont="1"/>
    <xf numFmtId="1" fontId="10" fillId="0" borderId="0" xfId="0" applyNumberFormat="1" applyFont="1" applyBorder="1" applyAlignment="1">
      <alignment horizontal="center" vertical="center" wrapText="1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0" fontId="0" fillId="2" borderId="13" xfId="0" applyNumberFormat="1" applyFill="1" applyBorder="1"/>
    <xf numFmtId="0" fontId="0" fillId="0" borderId="16" xfId="0" applyNumberFormat="1" applyBorder="1"/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1" fillId="0" borderId="0" xfId="0" applyNumberFormat="1" applyFont="1" applyBorder="1" applyAlignment="1">
      <alignment horizontal="center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0" xfId="0" applyNumberFormat="1" applyFont="1" applyBorder="1" applyAlignment="1">
      <alignment horizontal="left" wrapText="1"/>
    </xf>
    <xf numFmtId="0" fontId="0" fillId="0" borderId="0" xfId="0" applyNumberFormat="1" applyAlignment="1">
      <alignment horizontal="left"/>
    </xf>
    <xf numFmtId="0" fontId="1" fillId="0" borderId="5" xfId="0" applyNumberFormat="1" applyFont="1" applyFill="1" applyBorder="1" applyAlignment="1">
      <alignment horizontal="center" wrapText="1"/>
    </xf>
    <xf numFmtId="0" fontId="1" fillId="0" borderId="5" xfId="0" applyNumberFormat="1" applyFont="1" applyBorder="1" applyAlignment="1">
      <alignment horizontal="center" vertical="center" wrapText="1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/>
    </xf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0" fontId="10" fillId="0" borderId="0" xfId="0" applyNumberFormat="1" applyFont="1" applyFill="1" applyBorder="1"/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0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111"/>
  <sheetViews>
    <sheetView workbookViewId="0">
      <selection activeCell="R20" sqref="R20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4.7109375" style="75" customWidth="1"/>
    <col min="22" max="22" width="5.7109375" style="125" customWidth="1"/>
    <col min="23" max="23" width="3.85546875" style="23" customWidth="1"/>
    <col min="24" max="24" width="4.140625" style="73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18" customWidth="1"/>
    <col min="32" max="32" width="6.28515625" style="115" customWidth="1"/>
    <col min="33" max="33" width="5.42578125" customWidth="1"/>
    <col min="34" max="34" width="5" style="121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286</v>
      </c>
      <c r="J1" s="46"/>
      <c r="K1" s="31"/>
      <c r="L1" s="31"/>
      <c r="M1" s="45"/>
      <c r="N1" s="46"/>
      <c r="O1" s="2"/>
      <c r="P1" s="2"/>
      <c r="R1" s="43" t="s">
        <v>287</v>
      </c>
      <c r="S1" s="46"/>
      <c r="T1" s="31"/>
      <c r="U1" s="31"/>
      <c r="V1" s="45"/>
      <c r="W1" s="46"/>
      <c r="X1" s="2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97">
        <f>Variables!$A$2</f>
        <v>42587</v>
      </c>
      <c r="J2" s="98"/>
      <c r="K2" s="99"/>
      <c r="L2" s="99"/>
      <c r="M2" s="100" t="s">
        <v>8</v>
      </c>
      <c r="N2" s="101"/>
      <c r="O2" s="102"/>
      <c r="P2" s="2"/>
      <c r="R2" s="97">
        <f>Variables!$A$2</f>
        <v>42587</v>
      </c>
      <c r="S2" s="98"/>
      <c r="T2" s="99"/>
      <c r="U2" s="99"/>
      <c r="V2" s="123" t="s">
        <v>8</v>
      </c>
      <c r="W2" s="101"/>
      <c r="X2" s="102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103" t="s">
        <v>10</v>
      </c>
      <c r="J3" s="104"/>
      <c r="K3" s="105"/>
      <c r="L3" s="105"/>
      <c r="M3" s="47" t="s">
        <v>11</v>
      </c>
      <c r="N3" s="48" t="s">
        <v>12</v>
      </c>
      <c r="O3" s="3" t="s">
        <v>13</v>
      </c>
      <c r="P3" s="2"/>
      <c r="R3" s="103" t="s">
        <v>10</v>
      </c>
      <c r="S3" s="104"/>
      <c r="T3" s="105"/>
      <c r="U3" s="105"/>
      <c r="V3" s="47" t="s">
        <v>11</v>
      </c>
      <c r="W3" s="48" t="s">
        <v>12</v>
      </c>
      <c r="X3" s="3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106" t="s">
        <v>14</v>
      </c>
      <c r="J4" s="60">
        <f>SUM(J5:J7)</f>
        <v>68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106" t="s">
        <v>14</v>
      </c>
      <c r="S4" s="60">
        <f>SUM(S5:S7)</f>
        <v>23</v>
      </c>
      <c r="T4" s="49"/>
      <c r="U4" s="49"/>
      <c r="V4" s="50" t="s">
        <v>15</v>
      </c>
      <c r="W4" s="48" t="s">
        <v>15</v>
      </c>
      <c r="X4" s="3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106" t="s">
        <v>17</v>
      </c>
      <c r="J5" s="60">
        <f>COUNTIFS($N$13:$N$9721,"&gt;0",$AG$13:$AG$9721,I1)</f>
        <v>41</v>
      </c>
      <c r="K5" s="49"/>
      <c r="L5" s="49"/>
      <c r="M5" s="50">
        <f>AVERAGEIFS($N$13:$N$9721,$AG$13:$AG$9721,I1)</f>
        <v>45.391056911775664</v>
      </c>
      <c r="N5" s="48">
        <f t="array" ref="N5">MIN(IF($AG$13:$AG$9721=I1,IF(ISNUMBER($N$13:$N$9721),IF($N$13:$N$9721&gt;0,$N$13:$N$9721))))</f>
        <v>38.916666669538245</v>
      </c>
      <c r="O5" s="3">
        <f t="array" ref="O5">MAX(IF($AG$13:$AG$9721=I1,IF(ISNUMBER($N$13:$N$9721),IF($N$13:$N$9721&gt;0,$N$13:$N$9721))))</f>
        <v>60.233333342475817</v>
      </c>
      <c r="P5" s="2"/>
      <c r="R5" s="106" t="s">
        <v>17</v>
      </c>
      <c r="S5" s="60">
        <f>COUNTIFS($N$13:$N$9721,"&gt;0",$AG$13:$AG$9721,R1)</f>
        <v>10</v>
      </c>
      <c r="T5" s="49"/>
      <c r="U5" s="49"/>
      <c r="V5" s="50">
        <f>AVERAGEIFS($N$13:$N$9721,$AG$13:$AG$9721,R1)</f>
        <v>20.99166666821111</v>
      </c>
      <c r="W5" s="48">
        <f t="array" ref="W5">MIN(IF($AG$13:$AG$9721=R1,IF(ISNUMBER($N$13:$N$9721),IF($N$13:$N$9721&gt;0,$N$13:$N$9721))))</f>
        <v>14.13333332631737</v>
      </c>
      <c r="X5" s="3">
        <f t="array" ref="X5">MAX(IF($AG$13:$AG$9721=R1,IF(ISNUMBER($N$13:$N$9721),IF($N$13:$N$9721&gt;0,$N$13:$N$9721))))</f>
        <v>38.083333340473473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107" t="s">
        <v>43</v>
      </c>
      <c r="J6" s="60">
        <f>COUNT($O$13:$O$421)</f>
        <v>0</v>
      </c>
      <c r="K6" s="49"/>
      <c r="L6" s="49"/>
      <c r="M6" s="50">
        <f>IFERROR(AVERAGE($O$13:$O$421),0)</f>
        <v>0</v>
      </c>
      <c r="N6" s="48">
        <f>MIN($O$13:$O$421)</f>
        <v>0</v>
      </c>
      <c r="O6" s="3">
        <f>MAX($O$13:$O$421)</f>
        <v>0</v>
      </c>
      <c r="P6" s="2"/>
      <c r="R6" s="107" t="s">
        <v>43</v>
      </c>
      <c r="S6" s="60">
        <f>COUNT($O$13:$O$421)</f>
        <v>0</v>
      </c>
      <c r="T6" s="49"/>
      <c r="U6" s="49"/>
      <c r="V6" s="50">
        <f>IFERROR(AVERAGE($O$13:$O$421),0)</f>
        <v>0</v>
      </c>
      <c r="W6" s="48">
        <f>MIN($O$13:$O$421)</f>
        <v>0</v>
      </c>
      <c r="X6" s="3">
        <f>MAX($O$13:$O$421)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108" t="s">
        <v>9</v>
      </c>
      <c r="J7" s="60">
        <f>COUNTIFS($P$13:$P$9721,"&gt;0",$AG$13:$AG$9721,I1)</f>
        <v>27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108" t="s">
        <v>9</v>
      </c>
      <c r="S7" s="60">
        <f>COUNTIFS($P$13:$P$9721,"&gt;0",$AG$13:$AG$9721,R1)</f>
        <v>13</v>
      </c>
      <c r="T7" s="49"/>
      <c r="U7" s="49"/>
      <c r="V7" s="50" t="s">
        <v>15</v>
      </c>
      <c r="W7" s="48" t="s">
        <v>15</v>
      </c>
      <c r="X7" s="3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106" t="s">
        <v>16</v>
      </c>
      <c r="J8" s="60">
        <f>J5</f>
        <v>41</v>
      </c>
      <c r="K8" s="49"/>
      <c r="L8" s="49"/>
      <c r="M8" s="50">
        <f>M5</f>
        <v>45.391056911775664</v>
      </c>
      <c r="N8" s="48">
        <f>N5</f>
        <v>38.916666669538245</v>
      </c>
      <c r="O8" s="3">
        <f>O5</f>
        <v>60.233333342475817</v>
      </c>
      <c r="P8" s="2"/>
      <c r="R8" s="106" t="s">
        <v>16</v>
      </c>
      <c r="S8" s="60">
        <f>S5</f>
        <v>10</v>
      </c>
      <c r="T8" s="49"/>
      <c r="U8" s="49"/>
      <c r="V8" s="50">
        <f>V5</f>
        <v>20.99166666821111</v>
      </c>
      <c r="W8" s="48">
        <f>W5</f>
        <v>14.13333332631737</v>
      </c>
      <c r="X8" s="3">
        <f>X5</f>
        <v>38.083333340473473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106" t="s">
        <v>19</v>
      </c>
      <c r="J9" s="78">
        <f>J8/J4</f>
        <v>0.6029411764705882</v>
      </c>
      <c r="K9" s="51"/>
      <c r="L9" s="51"/>
      <c r="M9" s="109"/>
      <c r="N9" s="46"/>
      <c r="O9" s="110"/>
      <c r="P9" s="2"/>
      <c r="R9" s="106" t="s">
        <v>19</v>
      </c>
      <c r="S9" s="78">
        <f>S8/S4</f>
        <v>0.43478260869565216</v>
      </c>
      <c r="T9" s="51"/>
      <c r="U9" s="51"/>
      <c r="V9" s="109"/>
      <c r="W9" s="46"/>
      <c r="X9" s="110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75"/>
      <c r="V10" s="124"/>
      <c r="W10" s="23"/>
      <c r="X10" s="73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39" t="str">
        <f>"Eagle P3 System Performance - "&amp;TEXT(Variables!A2,"yyyy-mm-dd")</f>
        <v>Eagle P3 System Performance - 2016-08-05</v>
      </c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S11" s="86">
        <f>AVERAGE(S13:S111)</f>
        <v>0.56734006734006737</v>
      </c>
      <c r="V11" s="124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13" t="s">
        <v>62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78</v>
      </c>
      <c r="T12" s="59" t="s">
        <v>79</v>
      </c>
      <c r="U12" s="76" t="s">
        <v>80</v>
      </c>
      <c r="V12" s="126" t="s">
        <v>45</v>
      </c>
      <c r="W12" s="56" t="s">
        <v>23</v>
      </c>
      <c r="X12" s="74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114</v>
      </c>
      <c r="AE12" s="119" t="s">
        <v>123</v>
      </c>
      <c r="AF12" s="116" t="s">
        <v>128</v>
      </c>
      <c r="AG12" s="4" t="s">
        <v>288</v>
      </c>
      <c r="AH12" s="122" t="s">
        <v>321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583</v>
      </c>
      <c r="B13" s="7">
        <v>4044</v>
      </c>
      <c r="C13" s="25" t="s">
        <v>156</v>
      </c>
      <c r="D13" s="25" t="s">
        <v>648</v>
      </c>
      <c r="E13" s="16">
        <v>42587.143831018519</v>
      </c>
      <c r="F13" s="16">
        <v>42587.144780092596</v>
      </c>
      <c r="G13" s="7">
        <v>1</v>
      </c>
      <c r="H13" s="16" t="s">
        <v>649</v>
      </c>
      <c r="I13" s="16">
        <v>42587.146458333336</v>
      </c>
      <c r="J13" s="7">
        <v>1</v>
      </c>
      <c r="K13" s="111" t="str">
        <f t="shared" ref="K13" si="0">IF(ISEVEN(B13),(B13-1)&amp;"/"&amp;B13,B13&amp;"/"&amp;(B13+1))</f>
        <v>4043/4044</v>
      </c>
      <c r="L13" s="25" t="str">
        <f>VLOOKUP(A13,'Trips&amp;Operators'!$C$1:$E$10000,3,FALSE)</f>
        <v>MAELZER</v>
      </c>
      <c r="M13" s="6">
        <f t="shared" ref="M13" si="1">I13-F13</f>
        <v>1.6782407401478849E-3</v>
      </c>
      <c r="N13" s="7"/>
      <c r="O13" s="7"/>
      <c r="P13" s="7">
        <f>24*60*SUM($M13:$M13)</f>
        <v>2.4166666658129543</v>
      </c>
      <c r="Q13" s="26"/>
      <c r="R13" s="26" t="s">
        <v>790</v>
      </c>
      <c r="S13" s="38">
        <f t="shared" ref="S13" si="2">SUM(U13:U13)/IF(AG13="EC",12,1)</f>
        <v>8.3333333333333329E-2</v>
      </c>
      <c r="T13" s="55" t="str">
        <f>IF(ISEVEN(LEFT(AD13,4)),"Southbound","NorthBound")</f>
        <v>NorthBound</v>
      </c>
      <c r="U13" s="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</v>
      </c>
      <c r="V13" s="127" t="str">
        <f t="shared" ref="V13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3" s="57" t="str">
        <f t="shared" ref="W13" si="4">IF(AA13&lt;IF(AG13="EC",23,5.65),"Y","N")</f>
        <v>Y</v>
      </c>
      <c r="X13" s="114" t="e">
        <f>VALUE(LEFT(AD13,4))-VALUE(LEFT(AD12,4))</f>
        <v>#VALUE!</v>
      </c>
      <c r="Y13" s="72">
        <f t="shared" ref="Y13" si="5">RIGHT(D13,LEN(D13)-4)/10000</f>
        <v>3.7261000000000002</v>
      </c>
      <c r="Z13" s="72">
        <f t="shared" ref="Z13" si="6">RIGHT(H13,LEN(H13)-4)/10000</f>
        <v>4.3526999999999996</v>
      </c>
      <c r="AA13" s="72">
        <f t="shared" ref="AA13" si="7">ABS(Z13-Y13)</f>
        <v>0.62659999999999938</v>
      </c>
      <c r="AB13" s="69">
        <f>VLOOKUP(A13,Enforcements!$C$7:$J$24,8,0)</f>
        <v>20617</v>
      </c>
      <c r="AC13" s="65" t="str">
        <f>VLOOKUP(A13,Enforcements!$C$7:$E$24,3,0)</f>
        <v>SIGNAL</v>
      </c>
      <c r="AD13" s="66" t="str">
        <f t="shared" ref="AD13" si="8">IF(LEN(A13)=6,"0"&amp;A13,A13)</f>
        <v>0101-05</v>
      </c>
      <c r="AE13" s="120" t="str">
        <f t="shared" ref="AE13" si="9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13" s="117" t="str">
        <f t="shared" ref="AF13" si="10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/stypes="*4044*20160805*" /stext=" 09:.+((SYSTEM_STATE.+slice.+state.+changed )|(ment ac)|(system.+state.+changed )|(\|lc)|(penalty)|(\[timeout)|(PRM\|1\|D)|(kpr)|(kdp))" /e /r /s</v>
      </c>
      <c r="AG13" s="1" t="str">
        <f>IF(VALUE(LEFT(AD13,2))&lt;=2,"EC",IF(OR(VALUE(LEFT(AD13,2))=8,VALUE(LEFT(AD13,2))=18),"NW","GL"))</f>
        <v>EC</v>
      </c>
      <c r="AH13" s="121" t="str">
        <f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"&amp;J13&amp;" &gt;&gt; "&amp;TEXT(Variables!$A$2,"yyyy-mm-dd")&amp;"-refined-runtimes.txt"</f>
        <v>"%USERPROFILE%\Documents\GitHub\eaglep3\Utilities\RefineRTDCRunTimes.py" --tripid 101-05 --locoid 4044 --swversion DE.1.0.7.0 --startMP 204:37261 --initTime 2016-08-05T03:27:07 --startdatetime 2016-08-05T03:28:29 --delay 1 --endMP 204:43527 --enddatetime 2016-08-05T03:30:54 --enforcementcount 1 &gt;&gt; 2016-08-05-refined-runtimes.txt</v>
      </c>
    </row>
    <row r="14" spans="1:91" s="1" customFormat="1" x14ac:dyDescent="0.25">
      <c r="A14" s="42" t="s">
        <v>583</v>
      </c>
      <c r="B14" s="7">
        <v>4044</v>
      </c>
      <c r="C14" s="25" t="s">
        <v>156</v>
      </c>
      <c r="D14" s="25" t="s">
        <v>650</v>
      </c>
      <c r="E14" s="16">
        <v>42587.132430555554</v>
      </c>
      <c r="F14" s="16">
        <v>42587.133379629631</v>
      </c>
      <c r="G14" s="7">
        <v>1</v>
      </c>
      <c r="H14" s="16" t="s">
        <v>651</v>
      </c>
      <c r="I14" s="16">
        <v>42587.141041666669</v>
      </c>
      <c r="J14" s="7">
        <v>1</v>
      </c>
      <c r="K14" s="111" t="str">
        <f t="shared" ref="K14:K77" si="11">IF(ISEVEN(B14),(B14-1)&amp;"/"&amp;B14,B14&amp;"/"&amp;(B14+1))</f>
        <v>4043/4044</v>
      </c>
      <c r="L14" s="25" t="str">
        <f>VLOOKUP(A14,'Trips&amp;Operators'!$C$1:$E$10000,3,FALSE)</f>
        <v>MAELZER</v>
      </c>
      <c r="M14" s="6">
        <f t="shared" ref="M14:M77" si="12">I14-F14</f>
        <v>7.662037038244307E-3</v>
      </c>
      <c r="N14" s="7"/>
      <c r="O14" s="7"/>
      <c r="P14" s="7"/>
      <c r="Q14" s="26"/>
      <c r="R14" s="26"/>
      <c r="S14" s="38">
        <f t="shared" ref="S14:S77" si="13">SUM(U14:U14)/IF(AG14="EC",12,1)</f>
        <v>0</v>
      </c>
      <c r="T14" s="55" t="str">
        <f t="shared" ref="T14:T77" si="14">IF(ISEVEN(LEFT(AD14,4)),"Southbound","NorthBound")</f>
        <v>NorthBound</v>
      </c>
      <c r="U14" s="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27" t="str">
        <f t="shared" ref="V14:V77" si="15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https://search-rtdc-monitor-bjffxe2xuh6vdkpspy63sjmuny.us-east-1.es.amazonaws.com/_plugin/kibana/#/discover/Steve-Slow-Train-Analysis-(2080s-and-2083s)?_g=(refreshInterval:(display:Off,section:0,value:0),time:(from:'2016-08-05 02:10:42-0600',mode:absolute,to:'2016-08-05 04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4" s="57" t="str">
        <f t="shared" ref="W14:W77" si="16">IF(AA14&lt;IF(AG14="EC",23,5.65),"Y","N")</f>
        <v>Y</v>
      </c>
      <c r="X14" s="114">
        <f t="shared" ref="X14:X77" si="17">VALUE(LEFT(AD14,4))-VALUE(LEFT(AD13,4))</f>
        <v>0</v>
      </c>
      <c r="Y14" s="72">
        <f t="shared" ref="Y14:Y77" si="18">RIGHT(D14,LEN(D14)-4)/10000</f>
        <v>7.3400000000000007E-2</v>
      </c>
      <c r="Z14" s="72">
        <f t="shared" ref="Z14:Z77" si="19">RIGHT(H14,LEN(H14)-4)/10000</f>
        <v>2.0575000000000001</v>
      </c>
      <c r="AA14" s="72">
        <f t="shared" ref="AA14:AA77" si="20">ABS(Z14-Y14)</f>
        <v>1.9841000000000002</v>
      </c>
      <c r="AB14" s="69">
        <f>VLOOKUP(A14,Enforcements!$C$7:$J$24,8,0)</f>
        <v>20617</v>
      </c>
      <c r="AC14" s="65" t="str">
        <f>VLOOKUP(A14,Enforcements!$C$7:$E$24,3,0)</f>
        <v>SIGNAL</v>
      </c>
      <c r="AD14" s="66" t="str">
        <f t="shared" ref="AD14:AD77" si="21">IF(LEN(A14)=6,"0"&amp;A14,A14)</f>
        <v>0101-05</v>
      </c>
      <c r="AE14" s="120" t="str">
        <f t="shared" ref="AE14:AE77" si="22"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14" s="117" t="str">
        <f t="shared" ref="AF14:AF77" si="23">astrogrep_path&amp;" /spath="&amp;search_path&amp;" /stypes=""*"&amp;B14&amp;"*"&amp;TEXT(I14-utc_offset/24,"YYYYMMDD")&amp;"*"" /stext="" "&amp;TEXT(I14-utc_offset/24,"HH")&amp;search_regexp&amp;""" /e /r /s"</f>
        <v>"C:\Program Files (x86)\AstroGrep\AstroGrep.exe" /spath="%USERPROFILE%\AppData\Local\Temp\OnboardLogs" /stypes="*4044*20160805*" /stext=" 09:.+((SYSTEM_STATE.+slice.+state.+changed )|(ment ac)|(system.+state.+changed )|(\|lc)|(penalty)|(\[timeout)|(PRM\|1\|D)|(kpr)|(kdp))" /e /r /s</v>
      </c>
      <c r="AG14" s="1" t="str">
        <f t="shared" ref="AG14:AG77" si="24">IF(VALUE(LEFT(AD14,2))&lt;=2,"EC",IF(OR(VALUE(LEFT(AD14,2))=8,VALUE(LEFT(AD14,2))=18),"NW","GL"))</f>
        <v>EC</v>
      </c>
      <c r="AH14" s="121" t="str">
        <f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"&amp;J14&amp;" &gt;&gt; "&amp;TEXT(Variables!$A$2,"yyyy-mm-dd")&amp;"-refined-runtimes.txt"</f>
        <v>"%USERPROFILE%\Documents\GitHub\eaglep3\Utilities\RefineRTDCRunTimes.py" --tripid 101-05 --locoid 4044 --swversion DE.1.0.7.0 --startMP 204:734 --initTime 2016-08-05T03:10:42 --startdatetime 2016-08-05T03:12:04 --delay 1 --endMP 204:20575 --enddatetime 2016-08-05T03:23:06 --enforcementcount 1 &gt;&gt; 2016-08-05-refined-runtimes.txt</v>
      </c>
    </row>
    <row r="15" spans="1:91" s="1" customFormat="1" x14ac:dyDescent="0.25">
      <c r="A15" s="42" t="s">
        <v>611</v>
      </c>
      <c r="B15" s="7">
        <v>4026</v>
      </c>
      <c r="C15" s="25" t="s">
        <v>156</v>
      </c>
      <c r="D15" s="25" t="s">
        <v>652</v>
      </c>
      <c r="E15" s="16">
        <v>42587.18681712963</v>
      </c>
      <c r="F15" s="16">
        <v>42587.187824074077</v>
      </c>
      <c r="G15" s="7">
        <v>1</v>
      </c>
      <c r="H15" s="16" t="s">
        <v>653</v>
      </c>
      <c r="I15" s="16">
        <v>42587.188703703701</v>
      </c>
      <c r="J15" s="7">
        <v>1</v>
      </c>
      <c r="K15" s="111" t="str">
        <f t="shared" si="11"/>
        <v>4025/4026</v>
      </c>
      <c r="L15" s="25" t="str">
        <f>VLOOKUP(A15,'Trips&amp;Operators'!$C$1:$E$10000,3,FALSE)</f>
        <v>MAELZER</v>
      </c>
      <c r="M15" s="6">
        <f t="shared" si="12"/>
        <v>8.7962962425081059E-4</v>
      </c>
      <c r="N15" s="7"/>
      <c r="O15" s="7"/>
      <c r="P15" s="7">
        <f t="shared" ref="N15:P77" si="25">24*60*SUM($M15:$M15)</f>
        <v>1.2666666589211673</v>
      </c>
      <c r="Q15" s="26"/>
      <c r="R15" s="26" t="s">
        <v>790</v>
      </c>
      <c r="S15" s="38">
        <f t="shared" si="13"/>
        <v>0</v>
      </c>
      <c r="T15" s="55" t="str">
        <f t="shared" si="14"/>
        <v>Southbound</v>
      </c>
      <c r="U15" s="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03:29:01-0600',mode:absolute,to:'2016-08-05 05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5" s="57" t="str">
        <f t="shared" si="16"/>
        <v>Y</v>
      </c>
      <c r="X15" s="114">
        <f t="shared" si="17"/>
        <v>1</v>
      </c>
      <c r="Y15" s="72">
        <f t="shared" si="18"/>
        <v>12.779299999999999</v>
      </c>
      <c r="Z15" s="72">
        <f t="shared" si="19"/>
        <v>12.753</v>
      </c>
      <c r="AA15" s="72">
        <f t="shared" si="20"/>
        <v>2.6299999999999102E-2</v>
      </c>
      <c r="AB15" s="69">
        <f>VLOOKUP(A15,Enforcements!$C$7:$J$24,8,0)</f>
        <v>127587</v>
      </c>
      <c r="AC15" s="65" t="str">
        <f>VLOOKUP(A15,Enforcements!$C$7:$E$24,3,0)</f>
        <v>SIGNAL</v>
      </c>
      <c r="AD15" s="66" t="str">
        <f t="shared" si="21"/>
        <v>0102-05</v>
      </c>
      <c r="AE15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15" s="117" t="str">
        <f t="shared" si="23"/>
        <v>"C:\Program Files (x86)\AstroGrep\AstroGrep.exe" /spath="%USERPROFILE%\AppData\Local\Temp\OnboardLogs" /stypes="*4026*20160805*" /stext=" 10:.+((SYSTEM_STATE.+slice.+state.+changed )|(ment ac)|(system.+state.+changed )|(\|lc)|(penalty)|(\[timeout)|(PRM\|1\|D)|(kpr)|(kdp))" /e /r /s</v>
      </c>
      <c r="AG15" s="1" t="str">
        <f t="shared" si="24"/>
        <v>EC</v>
      </c>
      <c r="AH15" s="121" t="str">
        <f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"&amp;J15&amp;" &gt;&gt; "&amp;TEXT(Variables!$A$2,"yyyy-mm-dd")&amp;"-refined-runtimes.txt"</f>
        <v>"%USERPROFILE%\Documents\GitHub\eaglep3\Utilities\RefineRTDCRunTimes.py" --tripid 102-05 --locoid 4026 --swversion DE.1.0.7.0 --startMP 204:127793 --initTime 2016-08-05T04:29:01 --startdatetime 2016-08-05T04:30:28 --delay 1 --endMP 204:127530 --enddatetime 2016-08-05T04:31:44 --enforcementcount 1 &gt;&gt; 2016-08-05-refined-runtimes.txt</v>
      </c>
    </row>
    <row r="16" spans="1:91" s="1" customFormat="1" x14ac:dyDescent="0.25">
      <c r="A16" s="42" t="s">
        <v>611</v>
      </c>
      <c r="B16" s="7">
        <v>4026</v>
      </c>
      <c r="C16" s="25" t="s">
        <v>156</v>
      </c>
      <c r="D16" s="25" t="s">
        <v>654</v>
      </c>
      <c r="E16" s="16">
        <v>42587.171226851853</v>
      </c>
      <c r="F16" s="16">
        <v>42587.172152777777</v>
      </c>
      <c r="G16" s="7">
        <v>1</v>
      </c>
      <c r="H16" s="16" t="s">
        <v>655</v>
      </c>
      <c r="I16" s="16">
        <v>42587.178680555553</v>
      </c>
      <c r="J16" s="7">
        <v>0</v>
      </c>
      <c r="K16" s="111" t="str">
        <f t="shared" si="11"/>
        <v>4025/4026</v>
      </c>
      <c r="L16" s="25" t="str">
        <f>VLOOKUP(A16,'Trips&amp;Operators'!$C$1:$E$10000,3,FALSE)</f>
        <v>MAELZER</v>
      </c>
      <c r="M16" s="6">
        <f t="shared" si="12"/>
        <v>6.5277777757728472E-3</v>
      </c>
      <c r="N16" s="7"/>
      <c r="O16" s="7"/>
      <c r="P16" s="7"/>
      <c r="Q16" s="26"/>
      <c r="R16" s="26"/>
      <c r="S16" s="38">
        <f t="shared" si="13"/>
        <v>0</v>
      </c>
      <c r="T16" s="55" t="str">
        <f t="shared" si="14"/>
        <v>Southbound</v>
      </c>
      <c r="U16" s="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03:06:34-0600',mode:absolute,to:'2016-08-05 05:17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6" s="57" t="str">
        <f t="shared" si="16"/>
        <v>Y</v>
      </c>
      <c r="X16" s="114">
        <f t="shared" si="17"/>
        <v>0</v>
      </c>
      <c r="Y16" s="72">
        <f t="shared" si="18"/>
        <v>23.268999999999998</v>
      </c>
      <c r="Z16" s="72">
        <f t="shared" si="19"/>
        <v>21.997199999999999</v>
      </c>
      <c r="AA16" s="72">
        <f t="shared" si="20"/>
        <v>1.2717999999999989</v>
      </c>
      <c r="AB16" s="69">
        <f>VLOOKUP(A16,Enforcements!$C$7:$J$24,8,0)</f>
        <v>127587</v>
      </c>
      <c r="AC16" s="65" t="str">
        <f>VLOOKUP(A16,Enforcements!$C$7:$E$24,3,0)</f>
        <v>SIGNAL</v>
      </c>
      <c r="AD16" s="66" t="str">
        <f t="shared" si="21"/>
        <v>0102-05</v>
      </c>
      <c r="AE16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16" s="117" t="str">
        <f t="shared" si="23"/>
        <v>"C:\Program Files (x86)\AstroGrep\AstroGrep.exe" /spath="%USERPROFILE%\AppData\Local\Temp\OnboardLogs" /stypes="*4026*20160805*" /stext=" 10:.+((SYSTEM_STATE.+slice.+state.+changed )|(ment ac)|(system.+state.+changed )|(\|lc)|(penalty)|(\[timeout)|(PRM\|1\|D)|(kpr)|(kdp))" /e /r /s</v>
      </c>
      <c r="AG16" s="1" t="str">
        <f t="shared" si="24"/>
        <v>EC</v>
      </c>
      <c r="AH16" s="121" t="str">
        <f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"&amp;J16&amp;" &gt;&gt; "&amp;TEXT(Variables!$A$2,"yyyy-mm-dd")&amp;"-refined-runtimes.txt"</f>
        <v>"%USERPROFILE%\Documents\GitHub\eaglep3\Utilities\RefineRTDCRunTimes.py" --tripid 102-05 --locoid 4026 --swversion DE.1.0.7.0 --startMP 204:232690 --initTime 2016-08-05T04:06:34 --startdatetime 2016-08-05T04:07:54 --delay 1 --endMP 204:219972 --enddatetime 2016-08-05T04:17:18 --enforcementcount 0 &gt;&gt; 2016-08-05-refined-runtimes.txt</v>
      </c>
    </row>
    <row r="17" spans="1:34" s="1" customFormat="1" x14ac:dyDescent="0.25">
      <c r="A17" s="42" t="s">
        <v>592</v>
      </c>
      <c r="B17" s="7">
        <v>4009</v>
      </c>
      <c r="C17" s="25" t="s">
        <v>156</v>
      </c>
      <c r="D17" s="25" t="s">
        <v>656</v>
      </c>
      <c r="E17" s="16">
        <v>42587.169571759259</v>
      </c>
      <c r="F17" s="16">
        <v>42587.170393518521</v>
      </c>
      <c r="G17" s="7">
        <v>1</v>
      </c>
      <c r="H17" s="16" t="s">
        <v>657</v>
      </c>
      <c r="I17" s="16">
        <v>42587.178854166668</v>
      </c>
      <c r="J17" s="7">
        <v>1</v>
      </c>
      <c r="K17" s="111" t="str">
        <f t="shared" si="11"/>
        <v>4009/4010</v>
      </c>
      <c r="L17" s="25" t="str">
        <f>VLOOKUP(A17,'Trips&amp;Operators'!$C$1:$E$10000,3,FALSE)</f>
        <v>DAVIS</v>
      </c>
      <c r="M17" s="6">
        <f t="shared" si="12"/>
        <v>8.4606481468654238E-3</v>
      </c>
      <c r="N17" s="7"/>
      <c r="O17" s="7"/>
      <c r="P17" s="7">
        <f t="shared" si="25"/>
        <v>12.18333333148621</v>
      </c>
      <c r="Q17" s="26"/>
      <c r="R17" s="26" t="s">
        <v>790</v>
      </c>
      <c r="S17" s="38">
        <f t="shared" si="13"/>
        <v>8.3333333333333329E-2</v>
      </c>
      <c r="T17" s="55" t="str">
        <f t="shared" si="14"/>
        <v>NorthBound</v>
      </c>
      <c r="U17" s="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</v>
      </c>
      <c r="V1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03:04:11-0600',mode:absolute,to:'2016-08-05 05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7" s="57" t="str">
        <f t="shared" si="16"/>
        <v>Y</v>
      </c>
      <c r="X17" s="114">
        <f t="shared" si="17"/>
        <v>1</v>
      </c>
      <c r="Y17" s="72">
        <f t="shared" si="18"/>
        <v>6.4786999999999999</v>
      </c>
      <c r="Z17" s="72">
        <f t="shared" si="19"/>
        <v>10.1568</v>
      </c>
      <c r="AA17" s="72">
        <f t="shared" si="20"/>
        <v>3.6781000000000006</v>
      </c>
      <c r="AB17" s="69">
        <f>VLOOKUP(A17,Enforcements!$C$7:$J$24,8,0)</f>
        <v>63995</v>
      </c>
      <c r="AC17" s="65" t="str">
        <f>VLOOKUP(A17,Enforcements!$C$7:$E$24,3,0)</f>
        <v>SIGNAL</v>
      </c>
      <c r="AD17" s="66" t="str">
        <f t="shared" si="21"/>
        <v>0103-05</v>
      </c>
      <c r="AE17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7" s="117" t="str">
        <f t="shared" si="23"/>
        <v>"C:\Program Files (x86)\AstroGrep\AstroGrep.exe" /spath="%USERPROFILE%\AppData\Local\Temp\OnboardLogs" /stypes="*4009*20160805*" /stext=" 10:.+((SYSTEM_STATE.+slice.+state.+changed )|(ment ac)|(system.+state.+changed )|(\|lc)|(penalty)|(\[timeout)|(PRM\|1\|D)|(kpr)|(kdp))" /e /r /s</v>
      </c>
      <c r="AG17" s="1" t="str">
        <f t="shared" si="24"/>
        <v>EC</v>
      </c>
      <c r="AH17" s="121" t="str">
        <f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"&amp;J17&amp;" &gt;&gt; "&amp;TEXT(Variables!$A$2,"yyyy-mm-dd")&amp;"-refined-runtimes.txt"</f>
        <v>"%USERPROFILE%\Documents\GitHub\eaglep3\Utilities\RefineRTDCRunTimes.py" --tripid 103-05 --locoid 4009 --swversion DE.1.0.7.0 --startMP 204:64787 --initTime 2016-08-05T04:04:11 --startdatetime 2016-08-05T04:05:22 --delay 1 --endMP 204:101568 --enddatetime 2016-08-05T04:17:33 --enforcementcount 1 &gt;&gt; 2016-08-05-refined-runtimes.txt</v>
      </c>
    </row>
    <row r="18" spans="1:34" s="1" customFormat="1" x14ac:dyDescent="0.25">
      <c r="A18" s="42" t="s">
        <v>592</v>
      </c>
      <c r="B18" s="7">
        <v>4009</v>
      </c>
      <c r="C18" s="25" t="s">
        <v>156</v>
      </c>
      <c r="D18" s="25" t="s">
        <v>658</v>
      </c>
      <c r="E18" s="16">
        <v>42587.157222222224</v>
      </c>
      <c r="F18" s="16">
        <v>42587.158275462964</v>
      </c>
      <c r="G18" s="7">
        <v>1</v>
      </c>
      <c r="H18" s="16" t="s">
        <v>659</v>
      </c>
      <c r="I18" s="16">
        <v>42587.163483796299</v>
      </c>
      <c r="J18" s="7">
        <v>0</v>
      </c>
      <c r="K18" s="111" t="str">
        <f t="shared" si="11"/>
        <v>4009/4010</v>
      </c>
      <c r="L18" s="25" t="str">
        <f>VLOOKUP(A18,'Trips&amp;Operators'!$C$1:$E$10000,3,FALSE)</f>
        <v>DAVIS</v>
      </c>
      <c r="M18" s="6">
        <f t="shared" si="12"/>
        <v>5.2083333357586525E-3</v>
      </c>
      <c r="N18" s="7"/>
      <c r="O18" s="7"/>
      <c r="P18" s="7"/>
      <c r="Q18" s="26"/>
      <c r="R18" s="26"/>
      <c r="S18" s="38">
        <f t="shared" si="13"/>
        <v>0</v>
      </c>
      <c r="T18" s="55" t="str">
        <f t="shared" si="14"/>
        <v>NorthBound</v>
      </c>
      <c r="U18" s="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02:46:24-0600',mode:absolute,to:'2016-08-05 04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8" s="57" t="str">
        <f t="shared" si="16"/>
        <v>Y</v>
      </c>
      <c r="X18" s="114">
        <f t="shared" si="17"/>
        <v>0</v>
      </c>
      <c r="Y18" s="72">
        <f t="shared" si="18"/>
        <v>7.6100000000000001E-2</v>
      </c>
      <c r="Z18" s="72">
        <f t="shared" si="19"/>
        <v>1.9318</v>
      </c>
      <c r="AA18" s="72">
        <f t="shared" si="20"/>
        <v>1.8556999999999999</v>
      </c>
      <c r="AB18" s="69">
        <f>VLOOKUP(A18,Enforcements!$C$7:$J$24,8,0)</f>
        <v>63995</v>
      </c>
      <c r="AC18" s="65" t="str">
        <f>VLOOKUP(A18,Enforcements!$C$7:$E$24,3,0)</f>
        <v>SIGNAL</v>
      </c>
      <c r="AD18" s="66" t="str">
        <f t="shared" si="21"/>
        <v>0103-05</v>
      </c>
      <c r="AE18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8" s="117" t="str">
        <f t="shared" si="23"/>
        <v>"C:\Program Files (x86)\AstroGrep\AstroGrep.exe" /spath="%USERPROFILE%\AppData\Local\Temp\OnboardLogs" /stypes="*4009*20160805*" /stext=" 09:.+((SYSTEM_STATE.+slice.+state.+changed )|(ment ac)|(system.+state.+changed )|(\|lc)|(penalty)|(\[timeout)|(PRM\|1\|D)|(kpr)|(kdp))" /e /r /s</v>
      </c>
      <c r="AG18" s="1" t="str">
        <f t="shared" si="24"/>
        <v>EC</v>
      </c>
      <c r="AH18" s="121" t="str">
        <f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"&amp;J18&amp;" &gt;&gt; "&amp;TEXT(Variables!$A$2,"yyyy-mm-dd")&amp;"-refined-runtimes.txt"</f>
        <v>"%USERPROFILE%\Documents\GitHub\eaglep3\Utilities\RefineRTDCRunTimes.py" --tripid 103-05 --locoid 4009 --swversion DE.1.0.7.0 --startMP 204:761 --initTime 2016-08-05T03:46:24 --startdatetime 2016-08-05T03:47:55 --delay 1 --endMP 204:19318 --enddatetime 2016-08-05T03:55:25 --enforcementcount 0 &gt;&gt; 2016-08-05-refined-runtimes.txt</v>
      </c>
    </row>
    <row r="19" spans="1:34" s="1" customFormat="1" x14ac:dyDescent="0.25">
      <c r="A19" s="42" t="s">
        <v>612</v>
      </c>
      <c r="B19" s="7">
        <v>4030</v>
      </c>
      <c r="C19" s="25" t="s">
        <v>156</v>
      </c>
      <c r="D19" s="25" t="s">
        <v>660</v>
      </c>
      <c r="E19" s="16">
        <v>42587.195844907408</v>
      </c>
      <c r="F19" s="16">
        <v>42587.196666666663</v>
      </c>
      <c r="G19" s="7">
        <v>1</v>
      </c>
      <c r="H19" s="16" t="s">
        <v>661</v>
      </c>
      <c r="I19" s="16">
        <v>42587.199861111112</v>
      </c>
      <c r="J19" s="7">
        <v>0</v>
      </c>
      <c r="K19" s="111" t="str">
        <f t="shared" si="11"/>
        <v>4029/4030</v>
      </c>
      <c r="L19" s="25" t="str">
        <f>VLOOKUP(A19,'Trips&amp;Operators'!$C$1:$E$10000,3,FALSE)</f>
        <v>DAVIS</v>
      </c>
      <c r="M19" s="6">
        <f t="shared" si="12"/>
        <v>3.1944444490363821E-3</v>
      </c>
      <c r="N19" s="7"/>
      <c r="O19" s="7"/>
      <c r="P19" s="7">
        <f t="shared" si="25"/>
        <v>4.6000000066123903</v>
      </c>
      <c r="Q19" s="26"/>
      <c r="R19" s="26" t="s">
        <v>790</v>
      </c>
      <c r="S19" s="38">
        <f t="shared" si="13"/>
        <v>0</v>
      </c>
      <c r="T19" s="55" t="str">
        <f t="shared" si="14"/>
        <v>Southbound</v>
      </c>
      <c r="U19" s="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03:42:01-0600',mode:absolute,to:'2016-08-05 05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9" s="57" t="str">
        <f t="shared" si="16"/>
        <v>Y</v>
      </c>
      <c r="X19" s="114">
        <f t="shared" si="17"/>
        <v>1</v>
      </c>
      <c r="Y19" s="72">
        <f t="shared" si="18"/>
        <v>23.265599999999999</v>
      </c>
      <c r="Z19" s="72">
        <f t="shared" si="19"/>
        <v>22.270299999999999</v>
      </c>
      <c r="AA19" s="72">
        <f t="shared" si="20"/>
        <v>0.9953000000000003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21"/>
        <v>0104-05</v>
      </c>
      <c r="AE19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19" s="117" t="str">
        <f t="shared" si="23"/>
        <v>"C:\Program Files (x86)\AstroGrep\AstroGrep.exe" /spath="%USERPROFILE%\AppData\Local\Temp\OnboardLogs" /stypes="*4030*20160805*" /stext=" 10:.+((SYSTEM_STATE.+slice.+state.+changed )|(ment ac)|(system.+state.+changed )|(\|lc)|(penalty)|(\[timeout)|(PRM\|1\|D)|(kpr)|(kdp))" /e /r /s</v>
      </c>
      <c r="AG19" s="1" t="str">
        <f t="shared" si="24"/>
        <v>EC</v>
      </c>
      <c r="AH19" s="121" t="str">
        <f>refinertdcruntimes&amp;" --tripid "&amp;A19&amp;" --locoid "&amp;B19&amp;" --swversion "&amp;C19&amp;" --startMP "&amp;D19&amp;" --initTime "&amp;TEXT(E19,"yyyy-mm-ddTHH:MM:SS")&amp;" --startdatetime "&amp;TEXT(F19,"yyyy-mm-ddTHH:MM:SS")&amp;" --delay "&amp;G19&amp;" --endMP "&amp;H19&amp;" --enddatetime "&amp;TEXT(I19,"yyyy-mm-ddTHH:MM:SS")&amp;" --enforcementcount "&amp;J19&amp;" &gt;&gt; "&amp;TEXT(Variables!$A$2,"yyyy-mm-dd")&amp;"-refined-runtimes.txt"</f>
        <v>"%USERPROFILE%\Documents\GitHub\eaglep3\Utilities\RefineRTDCRunTimes.py" --tripid 104-05 --locoid 4030 --swversion DE.1.0.7.0 --startMP 204:232656 --initTime 2016-08-05T04:42:01 --startdatetime 2016-08-05T04:43:12 --delay 1 --endMP 204:222703 --enddatetime 2016-08-05T04:47:48 --enforcementcount 0 &gt;&gt; 2016-08-05-refined-runtimes.txt</v>
      </c>
    </row>
    <row r="20" spans="1:34" s="1" customFormat="1" ht="16.5" customHeight="1" x14ac:dyDescent="0.25">
      <c r="A20" s="42" t="s">
        <v>635</v>
      </c>
      <c r="B20" s="7">
        <v>4020</v>
      </c>
      <c r="C20" s="25" t="s">
        <v>156</v>
      </c>
      <c r="D20" s="25" t="s">
        <v>656</v>
      </c>
      <c r="E20" s="16">
        <v>42587.186805555553</v>
      </c>
      <c r="F20" s="16">
        <v>42587.1874537037</v>
      </c>
      <c r="G20" s="7">
        <v>0</v>
      </c>
      <c r="H20" s="16" t="s">
        <v>662</v>
      </c>
      <c r="I20" s="16">
        <v>42587.189143518517</v>
      </c>
      <c r="J20" s="7">
        <v>0</v>
      </c>
      <c r="K20" s="111" t="str">
        <f t="shared" si="11"/>
        <v>4019/4020</v>
      </c>
      <c r="L20" s="25" t="str">
        <f>VLOOKUP(A20,'Trips&amp;Operators'!$C$1:$E$10000,3,FALSE)</f>
        <v>MALAVE</v>
      </c>
      <c r="M20" s="6">
        <f t="shared" si="12"/>
        <v>1.6898148169275373E-3</v>
      </c>
      <c r="N20" s="7"/>
      <c r="O20" s="7"/>
      <c r="P20" s="7">
        <f t="shared" si="25"/>
        <v>2.4333333363756537</v>
      </c>
      <c r="Q20" s="26"/>
      <c r="R20" s="26" t="s">
        <v>790</v>
      </c>
      <c r="S20" s="38">
        <f t="shared" si="13"/>
        <v>0</v>
      </c>
      <c r="T20" s="55" t="str">
        <f t="shared" si="14"/>
        <v>NorthBound</v>
      </c>
      <c r="U20" s="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03:29:00-0600',mode:absolute,to:'2016-08-05 05:32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0" s="57" t="str">
        <f t="shared" si="16"/>
        <v>Y</v>
      </c>
      <c r="X20" s="114">
        <f t="shared" si="17"/>
        <v>1</v>
      </c>
      <c r="Y20" s="72">
        <f t="shared" si="18"/>
        <v>6.4786999999999999</v>
      </c>
      <c r="Z20" s="72">
        <f t="shared" si="19"/>
        <v>6.9808000000000003</v>
      </c>
      <c r="AA20" s="72">
        <f t="shared" si="20"/>
        <v>0.50210000000000043</v>
      </c>
      <c r="AB20" s="69" t="e">
        <f>VLOOKUP(A20,Enforcements!$C$7:$J$24,8,0)</f>
        <v>#N/A</v>
      </c>
      <c r="AC20" s="65" t="e">
        <f>VLOOKUP(A20,Enforcements!$C$7:$E$24,3,0)</f>
        <v>#N/A</v>
      </c>
      <c r="AD20" s="66" t="str">
        <f t="shared" si="21"/>
        <v>0105-05</v>
      </c>
      <c r="AE20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20" s="117" t="str">
        <f t="shared" si="23"/>
        <v>"C:\Program Files (x86)\AstroGrep\AstroGrep.exe" /spath="%USERPROFILE%\AppData\Local\Temp\OnboardLogs" /stypes="*4020*20160805*" /stext=" 10:.+((SYSTEM_STATE.+slice.+state.+changed )|(ment ac)|(system.+state.+changed )|(\|lc)|(penalty)|(\[timeout)|(PRM\|1\|D)|(kpr)|(kdp))" /e /r /s</v>
      </c>
      <c r="AG20" s="1" t="str">
        <f t="shared" si="24"/>
        <v>EC</v>
      </c>
      <c r="AH20" s="121" t="str">
        <f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"&amp;J20&amp;" &gt;&gt; "&amp;TEXT(Variables!$A$2,"yyyy-mm-dd")&amp;"-refined-runtimes.txt"</f>
        <v>"%USERPROFILE%\Documents\GitHub\eaglep3\Utilities\RefineRTDCRunTimes.py" --tripid 105-05 --locoid 4020 --swversion DE.1.0.7.0 --startMP 204:64787 --initTime 2016-08-05T04:29:00 --startdatetime 2016-08-05T04:29:56 --delay 0 --endMP 204:69808 --enddatetime 2016-08-05T04:32:22 --enforcementcount 0 &gt;&gt; 2016-08-05-refined-runtimes.txt</v>
      </c>
    </row>
    <row r="21" spans="1:34" s="1" customFormat="1" x14ac:dyDescent="0.25">
      <c r="A21" s="42" t="s">
        <v>635</v>
      </c>
      <c r="B21" s="7">
        <v>4020</v>
      </c>
      <c r="C21" s="25" t="s">
        <v>156</v>
      </c>
      <c r="D21" s="25" t="s">
        <v>663</v>
      </c>
      <c r="E21" s="16">
        <v>42587.176319444443</v>
      </c>
      <c r="F21" s="16">
        <v>42587.177361111113</v>
      </c>
      <c r="G21" s="7">
        <v>1</v>
      </c>
      <c r="H21" s="16" t="s">
        <v>664</v>
      </c>
      <c r="I21" s="16">
        <v>42587.180613425924</v>
      </c>
      <c r="J21" s="7">
        <v>0</v>
      </c>
      <c r="K21" s="111" t="str">
        <f t="shared" si="11"/>
        <v>4019/4020</v>
      </c>
      <c r="L21" s="25" t="str">
        <f>VLOOKUP(A21,'Trips&amp;Operators'!$C$1:$E$10000,3,FALSE)</f>
        <v>MALAVE</v>
      </c>
      <c r="M21" s="6">
        <f t="shared" si="12"/>
        <v>3.2523148111067712E-3</v>
      </c>
      <c r="N21" s="7"/>
      <c r="O21" s="7"/>
      <c r="P21" s="7"/>
      <c r="Q21" s="26"/>
      <c r="R21" s="26"/>
      <c r="S21" s="38">
        <f t="shared" si="13"/>
        <v>0</v>
      </c>
      <c r="T21" s="55" t="str">
        <f t="shared" si="14"/>
        <v>NorthBound</v>
      </c>
      <c r="U21" s="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03:13:54-0600',mode:absolute,to:'2016-08-05 05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1" s="57" t="str">
        <f t="shared" si="16"/>
        <v>Y</v>
      </c>
      <c r="X21" s="114">
        <f t="shared" si="17"/>
        <v>0</v>
      </c>
      <c r="Y21" s="72">
        <f t="shared" si="18"/>
        <v>7.0999999999999994E-2</v>
      </c>
      <c r="Z21" s="72">
        <f t="shared" si="19"/>
        <v>1.9204000000000001</v>
      </c>
      <c r="AA21" s="72">
        <f t="shared" si="20"/>
        <v>1.8494000000000002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21"/>
        <v>0105-05</v>
      </c>
      <c r="AE21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21" s="117" t="str">
        <f t="shared" si="23"/>
        <v>"C:\Program Files (x86)\AstroGrep\AstroGrep.exe" /spath="%USERPROFILE%\AppData\Local\Temp\OnboardLogs" /stypes="*4020*20160805*" /stext=" 10:.+((SYSTEM_STATE.+slice.+state.+changed )|(ment ac)|(system.+state.+changed )|(\|lc)|(penalty)|(\[timeout)|(PRM\|1\|D)|(kpr)|(kdp))" /e /r /s</v>
      </c>
      <c r="AG21" s="1" t="str">
        <f t="shared" si="24"/>
        <v>EC</v>
      </c>
      <c r="AH21" s="121" t="str">
        <f>refinertdcruntimes&amp;" --tripid "&amp;A21&amp;" --locoid "&amp;B21&amp;" --swversion "&amp;C21&amp;" --startMP "&amp;D21&amp;" --initTime "&amp;TEXT(E21,"yyyy-mm-ddTHH:MM:SS")&amp;" --startdatetime "&amp;TEXT(F21,"yyyy-mm-ddTHH:MM:SS")&amp;" --delay "&amp;G21&amp;" --endMP "&amp;H21&amp;" --enddatetime "&amp;TEXT(I21,"yyyy-mm-ddTHH:MM:SS")&amp;" --enforcementcount "&amp;J21&amp;" &gt;&gt; "&amp;TEXT(Variables!$A$2,"yyyy-mm-dd")&amp;"-refined-runtimes.txt"</f>
        <v>"%USERPROFILE%\Documents\GitHub\eaglep3\Utilities\RefineRTDCRunTimes.py" --tripid 105-05 --locoid 4020 --swversion DE.1.0.7.0 --startMP 204:710 --initTime 2016-08-05T04:13:54 --startdatetime 2016-08-05T04:15:24 --delay 1 --endMP 204:19204 --enddatetime 2016-08-05T04:20:05 --enforcementcount 0 &gt;&gt; 2016-08-05-refined-runtimes.txt</v>
      </c>
    </row>
    <row r="22" spans="1:34" s="32" customFormat="1" x14ac:dyDescent="0.25">
      <c r="A22" s="42" t="s">
        <v>588</v>
      </c>
      <c r="B22" s="7">
        <v>4032</v>
      </c>
      <c r="C22" s="25" t="s">
        <v>156</v>
      </c>
      <c r="D22" s="25" t="s">
        <v>665</v>
      </c>
      <c r="E22" s="16">
        <v>42587.215104166666</v>
      </c>
      <c r="F22" s="16">
        <v>42587.216192129628</v>
      </c>
      <c r="G22" s="7">
        <v>1</v>
      </c>
      <c r="H22" s="16" t="s">
        <v>666</v>
      </c>
      <c r="I22" s="16">
        <v>42587.217685185184</v>
      </c>
      <c r="J22" s="7">
        <v>0</v>
      </c>
      <c r="K22" s="111" t="str">
        <f t="shared" si="11"/>
        <v>4031/4032</v>
      </c>
      <c r="L22" s="25" t="str">
        <f>VLOOKUP(A22,'Trips&amp;Operators'!$C$1:$E$10000,3,FALSE)</f>
        <v>MALAVE</v>
      </c>
      <c r="M22" s="6">
        <f t="shared" si="12"/>
        <v>1.4930555553291924E-3</v>
      </c>
      <c r="N22" s="7"/>
      <c r="O22" s="7"/>
      <c r="P22" s="7">
        <f t="shared" si="25"/>
        <v>2.1499999996740371</v>
      </c>
      <c r="Q22" s="26"/>
      <c r="R22" s="26" t="s">
        <v>790</v>
      </c>
      <c r="S22" s="38">
        <f t="shared" si="13"/>
        <v>0</v>
      </c>
      <c r="T22" s="55" t="str">
        <f t="shared" si="14"/>
        <v>Southbound</v>
      </c>
      <c r="U22" s="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04:09:45-0600',mode:absolute,to:'2016-08-05 06:13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2" s="57" t="str">
        <f t="shared" si="16"/>
        <v>Y</v>
      </c>
      <c r="X22" s="114">
        <f t="shared" si="17"/>
        <v>1</v>
      </c>
      <c r="Y22" s="72">
        <f t="shared" si="18"/>
        <v>23.264099999999999</v>
      </c>
      <c r="Z22" s="72">
        <f t="shared" si="19"/>
        <v>22.500399999999999</v>
      </c>
      <c r="AA22" s="72">
        <f t="shared" si="20"/>
        <v>0.76370000000000005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21"/>
        <v>0106-05</v>
      </c>
      <c r="AE22" s="120" t="str">
        <f t="shared" si="22"/>
        <v>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 &amp; 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</v>
      </c>
      <c r="AF22" s="117" t="str">
        <f t="shared" si="23"/>
        <v>"C:\Program Files (x86)\AstroGrep\AstroGrep.exe" /spath="%USERPROFILE%\AppData\Local\Temp\OnboardLogs" /stypes="*4032*20160805*" /stext=" 11:.+((SYSTEM_STATE.+slice.+state.+changed )|(ment ac)|(system.+state.+changed )|(\|lc)|(penalty)|(\[timeout)|(PRM\|1\|D)|(kpr)|(kdp))" /e /r /s</v>
      </c>
      <c r="AG22" s="1" t="str">
        <f t="shared" si="24"/>
        <v>EC</v>
      </c>
      <c r="AH22" s="121" t="str">
        <f>refinertdcruntimes&amp;" --tripid "&amp;A22&amp;" --locoid "&amp;B22&amp;" --swversion "&amp;C22&amp;" --startMP "&amp;D22&amp;" --initTime "&amp;TEXT(E22,"yyyy-mm-ddTHH:MM:SS")&amp;" --startdatetime "&amp;TEXT(F22,"yyyy-mm-ddTHH:MM:SS")&amp;" --delay "&amp;G22&amp;" --endMP "&amp;H22&amp;" --enddatetime "&amp;TEXT(I22,"yyyy-mm-ddTHH:MM:SS")&amp;" --enforcementcount "&amp;J22&amp;" &gt;&gt; "&amp;TEXT(Variables!$A$2,"yyyy-mm-dd")&amp;"-refined-runtimes.txt"</f>
        <v>"%USERPROFILE%\Documents\GitHub\eaglep3\Utilities\RefineRTDCRunTimes.py" --tripid 106-05 --locoid 4032 --swversion DE.1.0.7.0 --startMP 204:232641 --initTime 2016-08-05T05:09:45 --startdatetime 2016-08-05T05:11:19 --delay 1 --endMP 204:225004 --enddatetime 2016-08-05T05:13:28 --enforcementcount 0 &gt;&gt; 2016-08-05-refined-runtimes.txt</v>
      </c>
    </row>
    <row r="23" spans="1:34" s="1" customFormat="1" x14ac:dyDescent="0.25">
      <c r="A23" s="42" t="s">
        <v>614</v>
      </c>
      <c r="B23" s="7">
        <v>4038</v>
      </c>
      <c r="C23" s="25" t="s">
        <v>156</v>
      </c>
      <c r="D23" s="25" t="s">
        <v>115</v>
      </c>
      <c r="E23" s="16">
        <v>42587.184247685182</v>
      </c>
      <c r="F23" s="16">
        <v>42587.185254629629</v>
      </c>
      <c r="G23" s="7">
        <v>1</v>
      </c>
      <c r="H23" s="16" t="s">
        <v>667</v>
      </c>
      <c r="I23" s="16">
        <v>42587.190740740742</v>
      </c>
      <c r="J23" s="7">
        <v>0</v>
      </c>
      <c r="K23" s="111" t="str">
        <f t="shared" si="11"/>
        <v>4037/4038</v>
      </c>
      <c r="L23" s="25" t="str">
        <f>VLOOKUP(A23,'Trips&amp;Operators'!$C$1:$E$10000,3,FALSE)</f>
        <v>GRASTON</v>
      </c>
      <c r="M23" s="6">
        <f t="shared" si="12"/>
        <v>5.4861111129866913E-3</v>
      </c>
      <c r="N23" s="7"/>
      <c r="O23" s="7"/>
      <c r="P23" s="7">
        <f t="shared" si="25"/>
        <v>7.9000000027008355</v>
      </c>
      <c r="Q23" s="26"/>
      <c r="R23" s="26" t="s">
        <v>790</v>
      </c>
      <c r="S23" s="38">
        <f t="shared" si="13"/>
        <v>0</v>
      </c>
      <c r="T23" s="55" t="str">
        <f t="shared" si="14"/>
        <v>NorthBound</v>
      </c>
      <c r="U23" s="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03:25:19-0600',mode:absolute,to:'2016-08-05 05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3" s="57" t="str">
        <f t="shared" si="16"/>
        <v>Y</v>
      </c>
      <c r="X23" s="114">
        <f t="shared" si="17"/>
        <v>1</v>
      </c>
      <c r="Y23" s="72">
        <f t="shared" si="18"/>
        <v>4.58E-2</v>
      </c>
      <c r="Z23" s="72">
        <f t="shared" si="19"/>
        <v>1.9133</v>
      </c>
      <c r="AA23" s="72">
        <f t="shared" si="20"/>
        <v>1.8674999999999999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21"/>
        <v>0107-05</v>
      </c>
      <c r="AE23" s="120" t="str">
        <f t="shared" si="22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23" s="117" t="str">
        <f t="shared" si="23"/>
        <v>"C:\Program Files (x86)\AstroGrep\AstroGrep.exe" /spath="%USERPROFILE%\AppData\Local\Temp\OnboardLogs" /stypes="*4038*20160805*" /stext=" 10:.+((SYSTEM_STATE.+slice.+state.+changed )|(ment ac)|(system.+state.+changed )|(\|lc)|(penalty)|(\[timeout)|(PRM\|1\|D)|(kpr)|(kdp))" /e /r /s</v>
      </c>
      <c r="AG23" s="1" t="str">
        <f t="shared" si="24"/>
        <v>EC</v>
      </c>
      <c r="AH23" s="121" t="str">
        <f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"&amp;J23&amp;" &gt;&gt; "&amp;TEXT(Variables!$A$2,"yyyy-mm-dd")&amp;"-refined-runtimes.txt"</f>
        <v>"%USERPROFILE%\Documents\GitHub\eaglep3\Utilities\RefineRTDCRunTimes.py" --tripid 107-05 --locoid 4038 --swversion DE.1.0.7.0 --startMP 204:458 --initTime 2016-08-05T04:25:19 --startdatetime 2016-08-05T04:26:46 --delay 1 --endMP 204:19133 --enddatetime 2016-08-05T04:34:40 --enforcementcount 0 &gt;&gt; 2016-08-05-refined-runtimes.txt</v>
      </c>
    </row>
    <row r="24" spans="1:34" s="1" customFormat="1" ht="14.25" customHeight="1" x14ac:dyDescent="0.25">
      <c r="A24" s="42" t="s">
        <v>630</v>
      </c>
      <c r="B24" s="7">
        <v>4037</v>
      </c>
      <c r="C24" s="25" t="s">
        <v>156</v>
      </c>
      <c r="D24" s="25" t="s">
        <v>64</v>
      </c>
      <c r="E24" s="16">
        <v>42587.223773148151</v>
      </c>
      <c r="F24" s="16">
        <v>42587.224849537037</v>
      </c>
      <c r="G24" s="7">
        <v>1</v>
      </c>
      <c r="H24" s="16" t="s">
        <v>668</v>
      </c>
      <c r="I24" s="16">
        <v>42587.227280092593</v>
      </c>
      <c r="J24" s="7">
        <v>0</v>
      </c>
      <c r="K24" s="111" t="str">
        <f t="shared" si="11"/>
        <v>4037/4038</v>
      </c>
      <c r="L24" s="25" t="str">
        <f>VLOOKUP(A24,'Trips&amp;Operators'!$C$1:$E$10000,3,FALSE)</f>
        <v>GRASTON</v>
      </c>
      <c r="M24" s="6">
        <f t="shared" si="12"/>
        <v>2.4305555562023073E-3</v>
      </c>
      <c r="N24" s="7"/>
      <c r="O24" s="7"/>
      <c r="P24" s="7">
        <f t="shared" si="25"/>
        <v>3.5000000009313226</v>
      </c>
      <c r="Q24" s="26"/>
      <c r="R24" s="26" t="s">
        <v>790</v>
      </c>
      <c r="S24" s="38">
        <f t="shared" si="13"/>
        <v>0</v>
      </c>
      <c r="T24" s="55" t="str">
        <f t="shared" si="14"/>
        <v>Southbound</v>
      </c>
      <c r="U24" s="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04:22:14-0600',mode:absolute,to:'2016-08-05 06:27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4" s="57" t="str">
        <f t="shared" si="16"/>
        <v>Y</v>
      </c>
      <c r="X24" s="114">
        <f t="shared" si="17"/>
        <v>1</v>
      </c>
      <c r="Y24" s="72">
        <f t="shared" si="18"/>
        <v>23.297699999999999</v>
      </c>
      <c r="Z24" s="72">
        <f t="shared" si="19"/>
        <v>23.160799999999998</v>
      </c>
      <c r="AA24" s="72">
        <f t="shared" si="20"/>
        <v>0.13690000000000069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21"/>
        <v>0108-05</v>
      </c>
      <c r="AE24" s="120" t="str">
        <f t="shared" si="22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24" s="117" t="str">
        <f t="shared" si="23"/>
        <v>"C:\Program Files (x86)\AstroGrep\AstroGrep.exe" /spath="%USERPROFILE%\AppData\Local\Temp\OnboardLogs" /stypes="*4037*20160805*" /stext=" 11:.+((SYSTEM_STATE.+slice.+state.+changed )|(ment ac)|(system.+state.+changed )|(\|lc)|(penalty)|(\[timeout)|(PRM\|1\|D)|(kpr)|(kdp))" /e /r /s</v>
      </c>
      <c r="AG24" s="1" t="str">
        <f t="shared" si="24"/>
        <v>EC</v>
      </c>
      <c r="AH24" s="121" t="str">
        <f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"&amp;J24&amp;" &gt;&gt; "&amp;TEXT(Variables!$A$2,"yyyy-mm-dd")&amp;"-refined-runtimes.txt"</f>
        <v>"%USERPROFILE%\Documents\GitHub\eaglep3\Utilities\RefineRTDCRunTimes.py" --tripid 108-05 --locoid 4037 --swversion DE.1.0.7.0 --startMP 204:232977 --initTime 2016-08-05T05:22:14 --startdatetime 2016-08-05T05:23:47 --delay 1 --endMP 204:231608 --enddatetime 2016-08-05T05:27:17 --enforcementcount 0 &gt;&gt; 2016-08-05-refined-runtimes.txt</v>
      </c>
    </row>
    <row r="25" spans="1:34" s="1" customFormat="1" x14ac:dyDescent="0.25">
      <c r="A25" s="42" t="s">
        <v>587</v>
      </c>
      <c r="B25" s="7">
        <v>4027</v>
      </c>
      <c r="C25" s="25" t="s">
        <v>156</v>
      </c>
      <c r="D25" s="25" t="s">
        <v>138</v>
      </c>
      <c r="E25" s="16">
        <v>42587.192662037036</v>
      </c>
      <c r="F25" s="16">
        <v>42587.193657407406</v>
      </c>
      <c r="G25" s="7">
        <v>1</v>
      </c>
      <c r="H25" s="16" t="s">
        <v>669</v>
      </c>
      <c r="I25" s="16">
        <v>42587.20207175926</v>
      </c>
      <c r="J25" s="7">
        <v>0</v>
      </c>
      <c r="K25" s="111" t="str">
        <f t="shared" si="11"/>
        <v>4027/4028</v>
      </c>
      <c r="L25" s="25" t="str">
        <f>VLOOKUP(A25,'Trips&amp;Operators'!$C$1:$E$10000,3,FALSE)</f>
        <v>ISHMAEL</v>
      </c>
      <c r="M25" s="6">
        <f t="shared" si="12"/>
        <v>8.4143518542987294E-3</v>
      </c>
      <c r="N25" s="7"/>
      <c r="O25" s="7"/>
      <c r="P25" s="7">
        <f t="shared" si="25"/>
        <v>12.11666667019017</v>
      </c>
      <c r="Q25" s="26"/>
      <c r="R25" s="26" t="s">
        <v>790</v>
      </c>
      <c r="S25" s="38">
        <f t="shared" si="13"/>
        <v>0</v>
      </c>
      <c r="T25" s="55" t="str">
        <f t="shared" si="14"/>
        <v>NorthBound</v>
      </c>
      <c r="U25" s="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03:37:26-0600',mode:absolute,to:'2016-08-05 05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25" s="57" t="str">
        <f t="shared" si="16"/>
        <v>Y</v>
      </c>
      <c r="X25" s="114">
        <f t="shared" si="17"/>
        <v>1</v>
      </c>
      <c r="Y25" s="72">
        <f t="shared" si="18"/>
        <v>4.6199999999999998E-2</v>
      </c>
      <c r="Z25" s="72">
        <f t="shared" si="19"/>
        <v>1.9121999999999999</v>
      </c>
      <c r="AA25" s="72">
        <f t="shared" si="20"/>
        <v>1.8659999999999999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21"/>
        <v>0109-05</v>
      </c>
      <c r="AE25" s="120" t="str">
        <f t="shared" si="22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25" s="117" t="str">
        <f t="shared" si="23"/>
        <v>"C:\Program Files (x86)\AstroGrep\AstroGrep.exe" /spath="%USERPROFILE%\AppData\Local\Temp\OnboardLogs" /stypes="*4027*20160805*" /stext=" 10:.+((SYSTEM_STATE.+slice.+state.+changed )|(ment ac)|(system.+state.+changed )|(\|lc)|(penalty)|(\[timeout)|(PRM\|1\|D)|(kpr)|(kdp))" /e /r /s</v>
      </c>
      <c r="AG25" s="1" t="str">
        <f t="shared" si="24"/>
        <v>EC</v>
      </c>
      <c r="AH25" s="121" t="str">
        <f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"&amp;J25&amp;" &gt;&gt; "&amp;TEXT(Variables!$A$2,"yyyy-mm-dd")&amp;"-refined-runtimes.txt"</f>
        <v>"%USERPROFILE%\Documents\GitHub\eaglep3\Utilities\RefineRTDCRunTimes.py" --tripid 109-05 --locoid 4027 --swversion DE.1.0.7.0 --startMP 204:462 --initTime 2016-08-05T04:37:26 --startdatetime 2016-08-05T04:38:52 --delay 1 --endMP 204:19122 --enddatetime 2016-08-05T04:50:59 --enforcementcount 0 &gt;&gt; 2016-08-05-refined-runtimes.txt</v>
      </c>
    </row>
    <row r="26" spans="1:34" s="1" customFormat="1" x14ac:dyDescent="0.25">
      <c r="A26" s="42" t="s">
        <v>604</v>
      </c>
      <c r="B26" s="7">
        <v>4044</v>
      </c>
      <c r="C26" s="25" t="s">
        <v>156</v>
      </c>
      <c r="D26" s="25" t="s">
        <v>670</v>
      </c>
      <c r="E26" s="16">
        <v>42587.209710648145</v>
      </c>
      <c r="F26" s="16">
        <v>42587.210787037038</v>
      </c>
      <c r="G26" s="7">
        <v>1</v>
      </c>
      <c r="H26" s="16" t="s">
        <v>671</v>
      </c>
      <c r="I26" s="16">
        <v>42587.215555555558</v>
      </c>
      <c r="J26" s="7">
        <v>0</v>
      </c>
      <c r="K26" s="111" t="str">
        <f t="shared" si="11"/>
        <v>4043/4044</v>
      </c>
      <c r="L26" s="25" t="str">
        <f>VLOOKUP(A26,'Trips&amp;Operators'!$C$1:$E$10000,3,FALSE)</f>
        <v>SANTIZO</v>
      </c>
      <c r="M26" s="6">
        <f t="shared" si="12"/>
        <v>4.7685185199952684E-3</v>
      </c>
      <c r="N26" s="7"/>
      <c r="O26" s="7"/>
      <c r="P26" s="7">
        <f t="shared" si="25"/>
        <v>6.8666666687931865</v>
      </c>
      <c r="Q26" s="26"/>
      <c r="R26" s="26" t="s">
        <v>790</v>
      </c>
      <c r="S26" s="38">
        <f t="shared" si="13"/>
        <v>0</v>
      </c>
      <c r="T26" s="55" t="str">
        <f t="shared" si="14"/>
        <v>NorthBound</v>
      </c>
      <c r="U26" s="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04:01:59-0600',mode:absolute,to:'2016-08-05 06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26" s="57" t="str">
        <f t="shared" si="16"/>
        <v>Y</v>
      </c>
      <c r="X26" s="114">
        <f t="shared" si="17"/>
        <v>2</v>
      </c>
      <c r="Y26" s="72">
        <f t="shared" si="18"/>
        <v>8.2600000000000007E-2</v>
      </c>
      <c r="Z26" s="72">
        <f t="shared" si="19"/>
        <v>1.9894000000000001</v>
      </c>
      <c r="AA26" s="72">
        <f t="shared" si="20"/>
        <v>1.9068000000000001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21"/>
        <v>0111-05</v>
      </c>
      <c r="AE26" s="120" t="str">
        <f t="shared" si="22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26" s="117" t="str">
        <f t="shared" si="23"/>
        <v>"C:\Program Files (x86)\AstroGrep\AstroGrep.exe" /spath="%USERPROFILE%\AppData\Local\Temp\OnboardLogs" /stypes="*4044*20160805*" /stext=" 11:.+((SYSTEM_STATE.+slice.+state.+changed )|(ment ac)|(system.+state.+changed )|(\|lc)|(penalty)|(\[timeout)|(PRM\|1\|D)|(kpr)|(kdp))" /e /r /s</v>
      </c>
      <c r="AG26" s="1" t="str">
        <f t="shared" si="24"/>
        <v>EC</v>
      </c>
      <c r="AH26" s="121" t="str">
        <f>refinertdcruntimes&amp;" --tripid "&amp;A26&amp;" --locoid "&amp;B26&amp;" --swversion "&amp;C26&amp;" --startMP "&amp;D26&amp;" --initTime "&amp;TEXT(E26,"yyyy-mm-ddTHH:MM:SS")&amp;" --startdatetime "&amp;TEXT(F26,"yyyy-mm-ddTHH:MM:SS")&amp;" --delay "&amp;G26&amp;" --endMP "&amp;H26&amp;" --enddatetime "&amp;TEXT(I26,"yyyy-mm-ddTHH:MM:SS")&amp;" --enforcementcount "&amp;J26&amp;" &gt;&gt; "&amp;TEXT(Variables!$A$2,"yyyy-mm-dd")&amp;"-refined-runtimes.txt"</f>
        <v>"%USERPROFILE%\Documents\GitHub\eaglep3\Utilities\RefineRTDCRunTimes.py" --tripid 111-05 --locoid 4044 --swversion DE.1.0.7.0 --startMP 204:826 --initTime 2016-08-05T05:01:59 --startdatetime 2016-08-05T05:03:32 --delay 1 --endMP 204:19894 --enddatetime 2016-08-05T05:10:24 --enforcementcount 0 &gt;&gt; 2016-08-05-refined-runtimes.txt</v>
      </c>
    </row>
    <row r="27" spans="1:34" s="1" customFormat="1" x14ac:dyDescent="0.25">
      <c r="A27" s="42" t="s">
        <v>628</v>
      </c>
      <c r="B27" s="7">
        <v>4043</v>
      </c>
      <c r="C27" s="25" t="s">
        <v>156</v>
      </c>
      <c r="D27" s="25" t="s">
        <v>672</v>
      </c>
      <c r="E27" s="16">
        <v>42587.238055555557</v>
      </c>
      <c r="F27" s="16">
        <v>42587.239027777781</v>
      </c>
      <c r="G27" s="7">
        <v>1</v>
      </c>
      <c r="H27" s="16" t="s">
        <v>673</v>
      </c>
      <c r="I27" s="16">
        <v>42587.250428240739</v>
      </c>
      <c r="J27" s="7">
        <v>0</v>
      </c>
      <c r="K27" s="111" t="str">
        <f t="shared" si="11"/>
        <v>4043/4044</v>
      </c>
      <c r="L27" s="25" t="str">
        <f>VLOOKUP(A27,'Trips&amp;Operators'!$C$1:$E$10000,3,FALSE)</f>
        <v>SANTIZO</v>
      </c>
      <c r="M27" s="6">
        <f t="shared" si="12"/>
        <v>1.1400462957681157E-2</v>
      </c>
      <c r="N27" s="7"/>
      <c r="O27" s="7"/>
      <c r="P27" s="7">
        <f t="shared" si="25"/>
        <v>16.416666659060866</v>
      </c>
      <c r="Q27" s="26"/>
      <c r="R27" s="26" t="s">
        <v>790</v>
      </c>
      <c r="S27" s="38">
        <f t="shared" si="13"/>
        <v>0</v>
      </c>
      <c r="T27" s="55" t="str">
        <f t="shared" si="14"/>
        <v>Southbound</v>
      </c>
      <c r="U27" s="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04:42:48-0600',mode:absolute,to:'2016-08-05 07:00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27" s="57" t="str">
        <f t="shared" si="16"/>
        <v>Y</v>
      </c>
      <c r="X27" s="114">
        <f t="shared" si="17"/>
        <v>1</v>
      </c>
      <c r="Y27" s="72">
        <f t="shared" si="18"/>
        <v>23.303000000000001</v>
      </c>
      <c r="Z27" s="72">
        <f t="shared" si="19"/>
        <v>22.015899999999998</v>
      </c>
      <c r="AA27" s="72">
        <f t="shared" si="20"/>
        <v>1.2871000000000024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21"/>
        <v>0112-05</v>
      </c>
      <c r="AE27" s="120" t="str">
        <f t="shared" si="22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27" s="117" t="str">
        <f t="shared" si="23"/>
        <v>"C:\Program Files (x86)\AstroGrep\AstroGrep.exe" /spath="%USERPROFILE%\AppData\Local\Temp\OnboardLogs" /stypes="*4043*20160805*" /stext=" 12:.+((SYSTEM_STATE.+slice.+state.+changed )|(ment ac)|(system.+state.+changed )|(\|lc)|(penalty)|(\[timeout)|(PRM\|1\|D)|(kpr)|(kdp))" /e /r /s</v>
      </c>
      <c r="AG27" s="1" t="str">
        <f t="shared" si="24"/>
        <v>EC</v>
      </c>
      <c r="AH27" s="121" t="str">
        <f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"&amp;J27&amp;" &gt;&gt; "&amp;TEXT(Variables!$A$2,"yyyy-mm-dd")&amp;"-refined-runtimes.txt"</f>
        <v>"%USERPROFILE%\Documents\GitHub\eaglep3\Utilities\RefineRTDCRunTimes.py" --tripid 112-05 --locoid 4043 --swversion DE.1.0.7.0 --startMP 204:233030 --initTime 2016-08-05T05:42:48 --startdatetime 2016-08-05T05:44:12 --delay 1 --endMP 204:220159 --enddatetime 2016-08-05T06:00:37 --enforcementcount 0 &gt;&gt; 2016-08-05-refined-runtimes.txt</v>
      </c>
    </row>
    <row r="28" spans="1:34" s="1" customFormat="1" x14ac:dyDescent="0.25">
      <c r="A28" s="42" t="s">
        <v>625</v>
      </c>
      <c r="B28" s="7">
        <v>4025</v>
      </c>
      <c r="C28" s="25" t="s">
        <v>156</v>
      </c>
      <c r="D28" s="25" t="s">
        <v>674</v>
      </c>
      <c r="E28" s="16">
        <v>42587.214444444442</v>
      </c>
      <c r="F28" s="16">
        <v>42587.215752314813</v>
      </c>
      <c r="G28" s="7">
        <v>1</v>
      </c>
      <c r="H28" s="16" t="s">
        <v>545</v>
      </c>
      <c r="I28" s="16">
        <v>42587.222743055558</v>
      </c>
      <c r="J28" s="7">
        <v>0</v>
      </c>
      <c r="K28" s="111" t="str">
        <f t="shared" si="11"/>
        <v>4025/4026</v>
      </c>
      <c r="L28" s="25" t="str">
        <f>VLOOKUP(A28,'Trips&amp;Operators'!$C$1:$E$10000,3,FALSE)</f>
        <v>MAELZER</v>
      </c>
      <c r="M28" s="6">
        <f t="shared" si="12"/>
        <v>6.9907407450955361E-3</v>
      </c>
      <c r="N28" s="7"/>
      <c r="O28" s="7"/>
      <c r="P28" s="7">
        <f t="shared" si="25"/>
        <v>10.066666672937572</v>
      </c>
      <c r="Q28" s="26"/>
      <c r="R28" s="26" t="s">
        <v>790</v>
      </c>
      <c r="S28" s="38">
        <f t="shared" si="13"/>
        <v>0</v>
      </c>
      <c r="T28" s="55" t="str">
        <f t="shared" si="14"/>
        <v>NorthBound</v>
      </c>
      <c r="U28" s="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04:08:48-0600',mode:absolute,to:'2016-08-05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8" s="57" t="str">
        <f t="shared" si="16"/>
        <v>Y</v>
      </c>
      <c r="X28" s="114">
        <f t="shared" si="17"/>
        <v>1</v>
      </c>
      <c r="Y28" s="72">
        <f t="shared" si="18"/>
        <v>4.8399999999999999E-2</v>
      </c>
      <c r="Z28" s="72">
        <f t="shared" si="19"/>
        <v>1.913</v>
      </c>
      <c r="AA28" s="72">
        <f t="shared" si="20"/>
        <v>1.8646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21"/>
        <v>0113-05</v>
      </c>
      <c r="AE28" s="120" t="str">
        <f t="shared" si="22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28" s="117" t="str">
        <f t="shared" si="23"/>
        <v>"C:\Program Files (x86)\AstroGrep\AstroGrep.exe" /spath="%USERPROFILE%\AppData\Local\Temp\OnboardLogs" /stypes="*4025*20160805*" /stext=" 11:.+((SYSTEM_STATE.+slice.+state.+changed )|(ment ac)|(system.+state.+changed )|(\|lc)|(penalty)|(\[timeout)|(PRM\|1\|D)|(kpr)|(kdp))" /e /r /s</v>
      </c>
      <c r="AG28" s="1" t="str">
        <f t="shared" si="24"/>
        <v>EC</v>
      </c>
      <c r="AH28" s="121" t="str">
        <f>refinertdcruntimes&amp;" --tripid "&amp;A28&amp;" --locoid "&amp;B28&amp;" --swversion "&amp;C28&amp;" --startMP "&amp;D28&amp;" --initTime "&amp;TEXT(E28,"yyyy-mm-ddTHH:MM:SS")&amp;" --startdatetime "&amp;TEXT(F28,"yyyy-mm-ddTHH:MM:SS")&amp;" --delay "&amp;G28&amp;" --endMP "&amp;H28&amp;" --enddatetime "&amp;TEXT(I28,"yyyy-mm-ddTHH:MM:SS")&amp;" --enforcementcount "&amp;J28&amp;" &gt;&gt; "&amp;TEXT(Variables!$A$2,"yyyy-mm-dd")&amp;"-refined-runtimes.txt"</f>
        <v>"%USERPROFILE%\Documents\GitHub\eaglep3\Utilities\RefineRTDCRunTimes.py" --tripid 113-05 --locoid 4025 --swversion DE.1.0.7.0 --startMP 204:484 --initTime 2016-08-05T05:08:48 --startdatetime 2016-08-05T05:10:41 --delay 1 --endMP 204:19130 --enddatetime 2016-08-05T05:20:45 --enforcementcount 0 &gt;&gt; 2016-08-05-refined-runtimes.txt</v>
      </c>
    </row>
    <row r="29" spans="1:34" s="1" customFormat="1" x14ac:dyDescent="0.25">
      <c r="A29" s="42" t="s">
        <v>586</v>
      </c>
      <c r="B29" s="7">
        <v>4026</v>
      </c>
      <c r="C29" s="25" t="s">
        <v>156</v>
      </c>
      <c r="D29" s="25" t="s">
        <v>64</v>
      </c>
      <c r="E29" s="16">
        <v>42587.255624999998</v>
      </c>
      <c r="F29" s="16">
        <v>42587.256458333337</v>
      </c>
      <c r="G29" s="7">
        <v>1</v>
      </c>
      <c r="H29" s="16" t="s">
        <v>675</v>
      </c>
      <c r="I29" s="16">
        <v>42587.259814814817</v>
      </c>
      <c r="J29" s="7">
        <v>0</v>
      </c>
      <c r="K29" s="111" t="str">
        <f t="shared" si="11"/>
        <v>4025/4026</v>
      </c>
      <c r="L29" s="25" t="str">
        <f>VLOOKUP(A29,'Trips&amp;Operators'!$C$1:$E$10000,3,FALSE)</f>
        <v>MAELZER</v>
      </c>
      <c r="M29" s="6">
        <f t="shared" si="12"/>
        <v>3.3564814802957699E-3</v>
      </c>
      <c r="N29" s="7"/>
      <c r="O29" s="7"/>
      <c r="P29" s="7">
        <f t="shared" si="25"/>
        <v>4.8333333316259086</v>
      </c>
      <c r="Q29" s="26"/>
      <c r="R29" s="26" t="s">
        <v>790</v>
      </c>
      <c r="S29" s="38">
        <f t="shared" si="13"/>
        <v>0</v>
      </c>
      <c r="T29" s="55" t="str">
        <f t="shared" si="14"/>
        <v>Southbound</v>
      </c>
      <c r="U29" s="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05:08:06-0600',mode:absolute,to:'2016-08-05 07:14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29" s="57" t="str">
        <f t="shared" si="16"/>
        <v>Y</v>
      </c>
      <c r="X29" s="114">
        <f t="shared" si="17"/>
        <v>1</v>
      </c>
      <c r="Y29" s="72">
        <f t="shared" si="18"/>
        <v>23.297699999999999</v>
      </c>
      <c r="Z29" s="72">
        <f t="shared" si="19"/>
        <v>22.5122</v>
      </c>
      <c r="AA29" s="72">
        <f t="shared" si="20"/>
        <v>0.78549999999999898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21"/>
        <v>0114-05</v>
      </c>
      <c r="AE29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29" s="117" t="str">
        <f t="shared" si="23"/>
        <v>"C:\Program Files (x86)\AstroGrep\AstroGrep.exe" /spath="%USERPROFILE%\AppData\Local\Temp\OnboardLogs" /stypes="*4026*20160805*" /stext=" 12:.+((SYSTEM_STATE.+slice.+state.+changed )|(ment ac)|(system.+state.+changed )|(\|lc)|(penalty)|(\[timeout)|(PRM\|1\|D)|(kpr)|(kdp))" /e /r /s</v>
      </c>
      <c r="AG29" s="1" t="str">
        <f t="shared" si="24"/>
        <v>EC</v>
      </c>
      <c r="AH29" s="121" t="str">
        <f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"&amp;J29&amp;" &gt;&gt; "&amp;TEXT(Variables!$A$2,"yyyy-mm-dd")&amp;"-refined-runtimes.txt"</f>
        <v>"%USERPROFILE%\Documents\GitHub\eaglep3\Utilities\RefineRTDCRunTimes.py" --tripid 114-05 --locoid 4026 --swversion DE.1.0.7.0 --startMP 204:232977 --initTime 2016-08-05T06:08:06 --startdatetime 2016-08-05T06:09:18 --delay 1 --endMP 204:225122 --enddatetime 2016-08-05T06:14:08 --enforcementcount 0 &gt;&gt; 2016-08-05-refined-runtimes.txt</v>
      </c>
    </row>
    <row r="30" spans="1:34" s="1" customFormat="1" x14ac:dyDescent="0.25">
      <c r="A30" s="42" t="s">
        <v>617</v>
      </c>
      <c r="B30" s="7">
        <v>4009</v>
      </c>
      <c r="C30" s="25" t="s">
        <v>156</v>
      </c>
      <c r="D30" s="25" t="s">
        <v>676</v>
      </c>
      <c r="E30" s="16">
        <v>42587.22923611111</v>
      </c>
      <c r="F30" s="16">
        <v>42587.230115740742</v>
      </c>
      <c r="G30" s="7">
        <v>1</v>
      </c>
      <c r="H30" s="16" t="s">
        <v>436</v>
      </c>
      <c r="I30" s="16">
        <v>42587.233634259261</v>
      </c>
      <c r="J30" s="7">
        <v>0</v>
      </c>
      <c r="K30" s="111" t="str">
        <f t="shared" si="11"/>
        <v>4009/4010</v>
      </c>
      <c r="L30" s="25" t="str">
        <f>VLOOKUP(A30,'Trips&amp;Operators'!$C$1:$E$10000,3,FALSE)</f>
        <v>ROCHA</v>
      </c>
      <c r="M30" s="6">
        <f t="shared" si="12"/>
        <v>3.5185185188311152E-3</v>
      </c>
      <c r="N30" s="7"/>
      <c r="O30" s="7"/>
      <c r="P30" s="7">
        <f t="shared" si="25"/>
        <v>5.0666666671168059</v>
      </c>
      <c r="Q30" s="26"/>
      <c r="R30" s="26" t="s">
        <v>790</v>
      </c>
      <c r="S30" s="38">
        <f t="shared" si="13"/>
        <v>0</v>
      </c>
      <c r="T30" s="55" t="str">
        <f t="shared" si="14"/>
        <v>NorthBound</v>
      </c>
      <c r="U30" s="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04:30:06-0600',mode:absolute,to:'2016-08-05 06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30" s="57" t="str">
        <f t="shared" si="16"/>
        <v>Y</v>
      </c>
      <c r="X30" s="114">
        <f t="shared" si="17"/>
        <v>1</v>
      </c>
      <c r="Y30" s="72">
        <f t="shared" si="18"/>
        <v>7.17E-2</v>
      </c>
      <c r="Z30" s="72">
        <f t="shared" si="19"/>
        <v>1.9128000000000001</v>
      </c>
      <c r="AA30" s="72">
        <f t="shared" si="20"/>
        <v>1.8411</v>
      </c>
      <c r="AB30" s="69" t="e">
        <f>VLOOKUP(A30,Enforcements!$C$7:$J$24,8,0)</f>
        <v>#N/A</v>
      </c>
      <c r="AC30" s="65" t="e">
        <f>VLOOKUP(A30,Enforcements!$C$7:$E$24,3,0)</f>
        <v>#N/A</v>
      </c>
      <c r="AD30" s="66" t="str">
        <f t="shared" si="21"/>
        <v>0115-05</v>
      </c>
      <c r="AE30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30" s="117" t="str">
        <f t="shared" si="23"/>
        <v>"C:\Program Files (x86)\AstroGrep\AstroGrep.exe" /spath="%USERPROFILE%\AppData\Local\Temp\OnboardLogs" /stypes="*4009*20160805*" /stext=" 11:.+((SYSTEM_STATE.+slice.+state.+changed )|(ment ac)|(system.+state.+changed )|(\|lc)|(penalty)|(\[timeout)|(PRM\|1\|D)|(kpr)|(kdp))" /e /r /s</v>
      </c>
      <c r="AG30" s="1" t="str">
        <f t="shared" si="24"/>
        <v>EC</v>
      </c>
      <c r="AH30" s="121" t="str">
        <f>refinertdcruntimes&amp;" --tripid "&amp;A30&amp;" --locoid "&amp;B30&amp;" --swversion "&amp;C30&amp;" --startMP "&amp;D30&amp;" --initTime "&amp;TEXT(E30,"yyyy-mm-ddTHH:MM:SS")&amp;" --startdatetime "&amp;TEXT(F30,"yyyy-mm-ddTHH:MM:SS")&amp;" --delay "&amp;G30&amp;" --endMP "&amp;H30&amp;" --enddatetime "&amp;TEXT(I30,"yyyy-mm-ddTHH:MM:SS")&amp;" --enforcementcount "&amp;J30&amp;" &gt;&gt; "&amp;TEXT(Variables!$A$2,"yyyy-mm-dd")&amp;"-refined-runtimes.txt"</f>
        <v>"%USERPROFILE%\Documents\GitHub\eaglep3\Utilities\RefineRTDCRunTimes.py" --tripid 115-05 --locoid 4009 --swversion DE.1.0.7.0 --startMP 204:717 --initTime 2016-08-05T05:30:06 --startdatetime 2016-08-05T05:31:22 --delay 1 --endMP 204:19128 --enddatetime 2016-08-05T05:36:26 --enforcementcount 0 &gt;&gt; 2016-08-05-refined-runtimes.txt</v>
      </c>
    </row>
    <row r="31" spans="1:34" s="1" customFormat="1" x14ac:dyDescent="0.25">
      <c r="A31" s="42" t="s">
        <v>620</v>
      </c>
      <c r="B31" s="7">
        <v>4010</v>
      </c>
      <c r="C31" s="25" t="s">
        <v>156</v>
      </c>
      <c r="D31" s="25" t="s">
        <v>300</v>
      </c>
      <c r="E31" s="16">
        <v>42587.267418981479</v>
      </c>
      <c r="F31" s="16">
        <v>42587.268252314818</v>
      </c>
      <c r="G31" s="7">
        <v>1</v>
      </c>
      <c r="H31" s="16" t="s">
        <v>677</v>
      </c>
      <c r="I31" s="16">
        <v>42587.270590277774</v>
      </c>
      <c r="J31" s="7">
        <v>0</v>
      </c>
      <c r="K31" s="111" t="str">
        <f t="shared" si="11"/>
        <v>4009/4010</v>
      </c>
      <c r="L31" s="25" t="str">
        <f>VLOOKUP(A31,'Trips&amp;Operators'!$C$1:$E$10000,3,FALSE)</f>
        <v>ROCHA</v>
      </c>
      <c r="M31" s="6">
        <f t="shared" si="12"/>
        <v>2.3379629565170035E-3</v>
      </c>
      <c r="N31" s="7"/>
      <c r="O31" s="7"/>
      <c r="P31" s="7">
        <f t="shared" si="25"/>
        <v>3.366666657384485</v>
      </c>
      <c r="Q31" s="26"/>
      <c r="R31" s="26" t="s">
        <v>790</v>
      </c>
      <c r="S31" s="38">
        <f t="shared" si="13"/>
        <v>0</v>
      </c>
      <c r="T31" s="55" t="str">
        <f t="shared" si="14"/>
        <v>Southbound</v>
      </c>
      <c r="U31" s="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05:25:05-0600',mode:absolute,to:'2016-08-05 07:29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31" s="57" t="str">
        <f t="shared" si="16"/>
        <v>Y</v>
      </c>
      <c r="X31" s="114">
        <f t="shared" si="17"/>
        <v>1</v>
      </c>
      <c r="Y31" s="72">
        <f t="shared" si="18"/>
        <v>23.297499999999999</v>
      </c>
      <c r="Z31" s="72">
        <f t="shared" si="19"/>
        <v>22.403600000000001</v>
      </c>
      <c r="AA31" s="72">
        <f t="shared" si="20"/>
        <v>0.89389999999999858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21"/>
        <v>0116-05</v>
      </c>
      <c r="AE31" s="120" t="str">
        <f t="shared" si="22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31" s="117" t="str">
        <f t="shared" si="23"/>
        <v>"C:\Program Files (x86)\AstroGrep\AstroGrep.exe" /spath="%USERPROFILE%\AppData\Local\Temp\OnboardLogs" /stypes="*4010*20160805*" /stext=" 12:.+((SYSTEM_STATE.+slice.+state.+changed )|(ment ac)|(system.+state.+changed )|(\|lc)|(penalty)|(\[timeout)|(PRM\|1\|D)|(kpr)|(kdp))" /e /r /s</v>
      </c>
      <c r="AG31" s="1" t="str">
        <f t="shared" si="24"/>
        <v>EC</v>
      </c>
      <c r="AH31" s="121" t="str">
        <f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"&amp;J31&amp;" &gt;&gt; "&amp;TEXT(Variables!$A$2,"yyyy-mm-dd")&amp;"-refined-runtimes.txt"</f>
        <v>"%USERPROFILE%\Documents\GitHub\eaglep3\Utilities\RefineRTDCRunTimes.py" --tripid 116-05 --locoid 4010 --swversion DE.1.0.7.0 --startMP 204:232975 --initTime 2016-08-05T06:25:05 --startdatetime 2016-08-05T06:26:17 --delay 1 --endMP 204:224036 --enddatetime 2016-08-05T06:29:39 --enforcementcount 0 &gt;&gt; 2016-08-05-refined-runtimes.txt</v>
      </c>
    </row>
    <row r="32" spans="1:34" s="1" customFormat="1" x14ac:dyDescent="0.25">
      <c r="A32" s="42" t="s">
        <v>591</v>
      </c>
      <c r="B32" s="7">
        <v>4029</v>
      </c>
      <c r="C32" s="25" t="s">
        <v>156</v>
      </c>
      <c r="D32" s="25" t="s">
        <v>138</v>
      </c>
      <c r="E32" s="16">
        <v>42587.235300925924</v>
      </c>
      <c r="F32" s="16">
        <v>42587.236157407409</v>
      </c>
      <c r="G32" s="7">
        <v>1</v>
      </c>
      <c r="H32" s="16" t="s">
        <v>678</v>
      </c>
      <c r="I32" s="16">
        <v>42587.24324074074</v>
      </c>
      <c r="J32" s="7">
        <v>0</v>
      </c>
      <c r="K32" s="111" t="str">
        <f t="shared" si="11"/>
        <v>4029/4030</v>
      </c>
      <c r="L32" s="25" t="str">
        <f>VLOOKUP(A32,'Trips&amp;Operators'!$C$1:$E$10000,3,FALSE)</f>
        <v>DAVIS</v>
      </c>
      <c r="M32" s="6">
        <f t="shared" si="12"/>
        <v>7.0833333302289248E-3</v>
      </c>
      <c r="N32" s="7"/>
      <c r="O32" s="7"/>
      <c r="P32" s="7">
        <f t="shared" si="25"/>
        <v>10.199999995529652</v>
      </c>
      <c r="Q32" s="26"/>
      <c r="R32" s="26" t="s">
        <v>790</v>
      </c>
      <c r="S32" s="38">
        <f t="shared" si="13"/>
        <v>0</v>
      </c>
      <c r="T32" s="55" t="str">
        <f t="shared" si="14"/>
        <v>NorthBound</v>
      </c>
      <c r="U32" s="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04:38:50-0600',mode:absolute,to:'2016-08-05 06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32" s="57" t="str">
        <f t="shared" si="16"/>
        <v>Y</v>
      </c>
      <c r="X32" s="114">
        <f t="shared" si="17"/>
        <v>1</v>
      </c>
      <c r="Y32" s="72">
        <f t="shared" si="18"/>
        <v>4.6199999999999998E-2</v>
      </c>
      <c r="Z32" s="72">
        <f t="shared" si="19"/>
        <v>1.9137</v>
      </c>
      <c r="AA32" s="72">
        <f t="shared" si="20"/>
        <v>1.8674999999999999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21"/>
        <v>0117-05</v>
      </c>
      <c r="AE32" s="120" t="str">
        <f t="shared" si="22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32" s="117" t="str">
        <f t="shared" si="23"/>
        <v>"C:\Program Files (x86)\AstroGrep\AstroGrep.exe" /spath="%USERPROFILE%\AppData\Local\Temp\OnboardLogs" /stypes="*4029*20160805*" /stext=" 11:.+((SYSTEM_STATE.+slice.+state.+changed )|(ment ac)|(system.+state.+changed )|(\|lc)|(penalty)|(\[timeout)|(PRM\|1\|D)|(kpr)|(kdp))" /e /r /s</v>
      </c>
      <c r="AG32" s="1" t="str">
        <f t="shared" si="24"/>
        <v>EC</v>
      </c>
      <c r="AH32" s="121" t="str">
        <f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"&amp;J32&amp;" &gt;&gt; "&amp;TEXT(Variables!$A$2,"yyyy-mm-dd")&amp;"-refined-runtimes.txt"</f>
        <v>"%USERPROFILE%\Documents\GitHub\eaglep3\Utilities\RefineRTDCRunTimes.py" --tripid 117-05 --locoid 4029 --swversion DE.1.0.7.0 --startMP 204:462 --initTime 2016-08-05T05:38:50 --startdatetime 2016-08-05T05:40:04 --delay 1 --endMP 204:19137 --enddatetime 2016-08-05T05:50:16 --enforcementcount 0 &gt;&gt; 2016-08-05-refined-runtimes.txt</v>
      </c>
    </row>
    <row r="33" spans="1:34" s="1" customFormat="1" x14ac:dyDescent="0.25">
      <c r="A33" s="42" t="s">
        <v>633</v>
      </c>
      <c r="B33" s="7">
        <v>4030</v>
      </c>
      <c r="C33" s="25" t="s">
        <v>156</v>
      </c>
      <c r="D33" s="25" t="s">
        <v>679</v>
      </c>
      <c r="E33" s="16">
        <v>42587.27138888889</v>
      </c>
      <c r="F33" s="16">
        <v>42587.272280092591</v>
      </c>
      <c r="G33" s="7">
        <v>1</v>
      </c>
      <c r="H33" s="16" t="s">
        <v>680</v>
      </c>
      <c r="I33" s="16">
        <v>42587.280474537038</v>
      </c>
      <c r="J33" s="7">
        <v>0</v>
      </c>
      <c r="K33" s="111" t="str">
        <f t="shared" si="11"/>
        <v>4029/4030</v>
      </c>
      <c r="L33" s="25" t="str">
        <f>VLOOKUP(A33,'Trips&amp;Operators'!$C$1:$E$10000,3,FALSE)</f>
        <v>DAVIS</v>
      </c>
      <c r="M33" s="6">
        <f t="shared" si="12"/>
        <v>8.1944444464170374E-3</v>
      </c>
      <c r="N33" s="7"/>
      <c r="O33" s="7"/>
      <c r="P33" s="7">
        <f t="shared" si="25"/>
        <v>11.800000002840534</v>
      </c>
      <c r="Q33" s="26"/>
      <c r="R33" s="26" t="s">
        <v>790</v>
      </c>
      <c r="S33" s="38">
        <f t="shared" si="13"/>
        <v>0</v>
      </c>
      <c r="T33" s="55" t="str">
        <f t="shared" si="14"/>
        <v>Southbound</v>
      </c>
      <c r="U33" s="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05:30:48-0600',mode:absolute,to:'2016-08-05 07:43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33" s="57" t="str">
        <f t="shared" si="16"/>
        <v>Y</v>
      </c>
      <c r="X33" s="114">
        <f t="shared" si="17"/>
        <v>1</v>
      </c>
      <c r="Y33" s="72">
        <f t="shared" si="18"/>
        <v>23.2989</v>
      </c>
      <c r="Z33" s="72">
        <f t="shared" si="19"/>
        <v>22.434699999999999</v>
      </c>
      <c r="AA33" s="72">
        <f t="shared" si="20"/>
        <v>0.8642000000000003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21"/>
        <v>0118-05</v>
      </c>
      <c r="AE33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33" s="117" t="str">
        <f t="shared" si="23"/>
        <v>"C:\Program Files (x86)\AstroGrep\AstroGrep.exe" /spath="%USERPROFILE%\AppData\Local\Temp\OnboardLogs" /stypes="*4030*20160805*" /stext=" 12:.+((SYSTEM_STATE.+slice.+state.+changed )|(ment ac)|(system.+state.+changed )|(\|lc)|(penalty)|(\[timeout)|(PRM\|1\|D)|(kpr)|(kdp))" /e /r /s</v>
      </c>
      <c r="AG33" s="1" t="str">
        <f t="shared" si="24"/>
        <v>EC</v>
      </c>
      <c r="AH33" s="121" t="str">
        <f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"&amp;J33&amp;" &gt;&gt; "&amp;TEXT(Variables!$A$2,"yyyy-mm-dd")&amp;"-refined-runtimes.txt"</f>
        <v>"%USERPROFILE%\Documents\GitHub\eaglep3\Utilities\RefineRTDCRunTimes.py" --tripid 118-05 --locoid 4030 --swversion DE.1.0.7.0 --startMP 204:232989 --initTime 2016-08-05T06:30:48 --startdatetime 2016-08-05T06:32:05 --delay 1 --endMP 204:224347 --enddatetime 2016-08-05T06:43:53 --enforcementcount 0 &gt;&gt; 2016-08-05-refined-runtimes.txt</v>
      </c>
    </row>
    <row r="34" spans="1:34" s="1" customFormat="1" x14ac:dyDescent="0.25">
      <c r="A34" s="42" t="s">
        <v>615</v>
      </c>
      <c r="B34" s="7">
        <v>4020</v>
      </c>
      <c r="C34" s="25" t="s">
        <v>156</v>
      </c>
      <c r="D34" s="25" t="s">
        <v>681</v>
      </c>
      <c r="E34" s="16">
        <v>42587.248344907406</v>
      </c>
      <c r="F34" s="16">
        <v>42587.249513888892</v>
      </c>
      <c r="G34" s="7">
        <v>1</v>
      </c>
      <c r="H34" s="16" t="s">
        <v>545</v>
      </c>
      <c r="I34" s="16">
        <v>42587.253379629627</v>
      </c>
      <c r="J34" s="7">
        <v>0</v>
      </c>
      <c r="K34" s="111" t="str">
        <f t="shared" si="11"/>
        <v>4019/4020</v>
      </c>
      <c r="L34" s="25" t="str">
        <f>VLOOKUP(A34,'Trips&amp;Operators'!$C$1:$E$10000,3,FALSE)</f>
        <v>MALAVE</v>
      </c>
      <c r="M34" s="6">
        <f t="shared" si="12"/>
        <v>3.8657407349091955E-3</v>
      </c>
      <c r="N34" s="7"/>
      <c r="O34" s="7"/>
      <c r="P34" s="7">
        <f t="shared" si="25"/>
        <v>5.5666666582692415</v>
      </c>
      <c r="Q34" s="26"/>
      <c r="R34" s="26" t="s">
        <v>790</v>
      </c>
      <c r="S34" s="38">
        <f t="shared" si="13"/>
        <v>0</v>
      </c>
      <c r="T34" s="55" t="str">
        <f t="shared" si="14"/>
        <v>NorthBound</v>
      </c>
      <c r="U34" s="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04:57:37-0600',mode:absolute,to:'2016-08-05 07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34" s="57" t="str">
        <f t="shared" si="16"/>
        <v>Y</v>
      </c>
      <c r="X34" s="114">
        <f t="shared" si="17"/>
        <v>1</v>
      </c>
      <c r="Y34" s="72">
        <f t="shared" si="18"/>
        <v>7.8100000000000003E-2</v>
      </c>
      <c r="Z34" s="72">
        <f t="shared" si="19"/>
        <v>1.913</v>
      </c>
      <c r="AA34" s="72">
        <f t="shared" si="20"/>
        <v>1.8349</v>
      </c>
      <c r="AB34" s="69" t="e">
        <f>VLOOKUP(A34,Enforcements!$C$7:$J$24,8,0)</f>
        <v>#N/A</v>
      </c>
      <c r="AC34" s="65" t="e">
        <f>VLOOKUP(A34,Enforcements!$C$7:$E$24,3,0)</f>
        <v>#N/A</v>
      </c>
      <c r="AD34" s="66" t="str">
        <f t="shared" si="21"/>
        <v>0119-05</v>
      </c>
      <c r="AE34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34" s="117" t="str">
        <f t="shared" si="23"/>
        <v>"C:\Program Files (x86)\AstroGrep\AstroGrep.exe" /spath="%USERPROFILE%\AppData\Local\Temp\OnboardLogs" /stypes="*4020*20160805*" /stext=" 12:.+((SYSTEM_STATE.+slice.+state.+changed )|(ment ac)|(system.+state.+changed )|(\|lc)|(penalty)|(\[timeout)|(PRM\|1\|D)|(kpr)|(kdp))" /e /r /s</v>
      </c>
      <c r="AG34" s="1" t="str">
        <f t="shared" si="24"/>
        <v>EC</v>
      </c>
      <c r="AH34" s="121" t="str">
        <f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"&amp;J34&amp;" &gt;&gt; "&amp;TEXT(Variables!$A$2,"yyyy-mm-dd")&amp;"-refined-runtimes.txt"</f>
        <v>"%USERPROFILE%\Documents\GitHub\eaglep3\Utilities\RefineRTDCRunTimes.py" --tripid 119-05 --locoid 4020 --swversion DE.1.0.7.0 --startMP 204:781 --initTime 2016-08-05T05:57:37 --startdatetime 2016-08-05T05:59:18 --delay 1 --endMP 204:19130 --enddatetime 2016-08-05T06:04:52 --enforcementcount 0 &gt;&gt; 2016-08-05-refined-runtimes.txt</v>
      </c>
    </row>
    <row r="35" spans="1:34" s="1" customFormat="1" x14ac:dyDescent="0.25">
      <c r="A35" s="42" t="s">
        <v>594</v>
      </c>
      <c r="B35" s="7">
        <v>4019</v>
      </c>
      <c r="C35" s="25" t="s">
        <v>156</v>
      </c>
      <c r="D35" s="25" t="s">
        <v>347</v>
      </c>
      <c r="E35" s="16">
        <v>42587.287557870368</v>
      </c>
      <c r="F35" s="16">
        <v>42587.288726851853</v>
      </c>
      <c r="G35" s="7">
        <v>1</v>
      </c>
      <c r="H35" s="16" t="s">
        <v>682</v>
      </c>
      <c r="I35" s="16">
        <v>42587.29111111111</v>
      </c>
      <c r="J35" s="7">
        <v>0</v>
      </c>
      <c r="K35" s="111" t="str">
        <f t="shared" si="11"/>
        <v>4019/4020</v>
      </c>
      <c r="L35" s="25" t="str">
        <f>VLOOKUP(A35,'Trips&amp;Operators'!$C$1:$E$10000,3,FALSE)</f>
        <v>MALAVE</v>
      </c>
      <c r="M35" s="6">
        <f t="shared" si="12"/>
        <v>2.3842592563596554E-3</v>
      </c>
      <c r="N35" s="7"/>
      <c r="O35" s="7"/>
      <c r="P35" s="7">
        <f t="shared" si="25"/>
        <v>3.4333333291579038</v>
      </c>
      <c r="Q35" s="26"/>
      <c r="R35" s="26" t="s">
        <v>790</v>
      </c>
      <c r="S35" s="38">
        <f t="shared" si="13"/>
        <v>0</v>
      </c>
      <c r="T35" s="55" t="str">
        <f t="shared" si="14"/>
        <v>Southbound</v>
      </c>
      <c r="U35" s="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05:54:05-0600',mode:absolute,to:'2016-08-05 07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35" s="57" t="str">
        <f t="shared" si="16"/>
        <v>Y</v>
      </c>
      <c r="X35" s="114">
        <f t="shared" si="17"/>
        <v>1</v>
      </c>
      <c r="Y35" s="72">
        <f t="shared" si="18"/>
        <v>23.295500000000001</v>
      </c>
      <c r="Z35" s="72">
        <f t="shared" si="19"/>
        <v>22.676300000000001</v>
      </c>
      <c r="AA35" s="72">
        <f t="shared" si="20"/>
        <v>0.61919999999999931</v>
      </c>
      <c r="AB35" s="69" t="e">
        <f>VLOOKUP(A35,Enforcements!$C$7:$J$24,8,0)</f>
        <v>#N/A</v>
      </c>
      <c r="AC35" s="65" t="e">
        <f>VLOOKUP(A35,Enforcements!$C$7:$E$24,3,0)</f>
        <v>#N/A</v>
      </c>
      <c r="AD35" s="66" t="str">
        <f t="shared" si="21"/>
        <v>0120-05</v>
      </c>
      <c r="AE35" s="120" t="str">
        <f t="shared" si="22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35" s="117" t="str">
        <f t="shared" si="23"/>
        <v>"C:\Program Files (x86)\AstroGrep\AstroGrep.exe" /spath="%USERPROFILE%\AppData\Local\Temp\OnboardLogs" /stypes="*4019*20160805*" /stext=" 12:.+((SYSTEM_STATE.+slice.+state.+changed )|(ment ac)|(system.+state.+changed )|(\|lc)|(penalty)|(\[timeout)|(PRM\|1\|D)|(kpr)|(kdp))" /e /r /s</v>
      </c>
      <c r="AG35" s="1" t="str">
        <f t="shared" si="24"/>
        <v>EC</v>
      </c>
      <c r="AH35" s="121" t="str">
        <f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"&amp;J35&amp;" &gt;&gt; "&amp;TEXT(Variables!$A$2,"yyyy-mm-dd")&amp;"-refined-runtimes.txt"</f>
        <v>"%USERPROFILE%\Documents\GitHub\eaglep3\Utilities\RefineRTDCRunTimes.py" --tripid 120-05 --locoid 4019 --swversion DE.1.0.7.0 --startMP 204:232955 --initTime 2016-08-05T06:54:05 --startdatetime 2016-08-05T06:55:46 --delay 1 --endMP 204:226763 --enddatetime 2016-08-05T06:59:12 --enforcementcount 0 &gt;&gt; 2016-08-05-refined-runtimes.txt</v>
      </c>
    </row>
    <row r="36" spans="1:34" s="1" customFormat="1" x14ac:dyDescent="0.25">
      <c r="A36" s="42" t="s">
        <v>602</v>
      </c>
      <c r="B36" s="7">
        <v>4038</v>
      </c>
      <c r="C36" s="25" t="s">
        <v>156</v>
      </c>
      <c r="D36" s="25" t="s">
        <v>683</v>
      </c>
      <c r="E36" s="16">
        <v>42587.25744212963</v>
      </c>
      <c r="F36" s="16">
        <v>42587.258368055554</v>
      </c>
      <c r="G36" s="7">
        <v>1</v>
      </c>
      <c r="H36" s="16" t="s">
        <v>545</v>
      </c>
      <c r="I36" s="16">
        <v>42587.263622685183</v>
      </c>
      <c r="J36" s="7">
        <v>0</v>
      </c>
      <c r="K36" s="111" t="str">
        <f t="shared" si="11"/>
        <v>4037/4038</v>
      </c>
      <c r="L36" s="25" t="str">
        <f>VLOOKUP(A36,'Trips&amp;Operators'!$C$1:$E$10000,3,FALSE)</f>
        <v>GRASTON</v>
      </c>
      <c r="M36" s="6">
        <f t="shared" si="12"/>
        <v>5.2546296283253469E-3</v>
      </c>
      <c r="N36" s="7"/>
      <c r="O36" s="7"/>
      <c r="P36" s="7">
        <f t="shared" si="25"/>
        <v>7.5666666647884995</v>
      </c>
      <c r="Q36" s="26"/>
      <c r="R36" s="26" t="s">
        <v>790</v>
      </c>
      <c r="S36" s="38">
        <f t="shared" si="13"/>
        <v>0</v>
      </c>
      <c r="T36" s="55" t="str">
        <f t="shared" si="14"/>
        <v>NorthBound</v>
      </c>
      <c r="U36" s="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05:10:43-0600',mode:absolute,to:'2016-08-05 07:19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6" s="57" t="str">
        <f t="shared" si="16"/>
        <v>Y</v>
      </c>
      <c r="X36" s="114">
        <f t="shared" si="17"/>
        <v>1</v>
      </c>
      <c r="Y36" s="72">
        <f t="shared" si="18"/>
        <v>4.2900000000000001E-2</v>
      </c>
      <c r="Z36" s="72">
        <f t="shared" si="19"/>
        <v>1.913</v>
      </c>
      <c r="AA36" s="72">
        <f t="shared" si="20"/>
        <v>1.8701000000000001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21"/>
        <v>0121-05</v>
      </c>
      <c r="AE36" s="120" t="str">
        <f t="shared" si="22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36" s="117" t="str">
        <f t="shared" si="23"/>
        <v>"C:\Program Files (x86)\AstroGrep\AstroGrep.exe" /spath="%USERPROFILE%\AppData\Local\Temp\OnboardLogs" /stypes="*4038*20160805*" /stext=" 12:.+((SYSTEM_STATE.+slice.+state.+changed )|(ment ac)|(system.+state.+changed )|(\|lc)|(penalty)|(\[timeout)|(PRM\|1\|D)|(kpr)|(kdp))" /e /r /s</v>
      </c>
      <c r="AG36" s="1" t="str">
        <f t="shared" si="24"/>
        <v>EC</v>
      </c>
      <c r="AH36" s="121" t="str">
        <f>refinertdcruntimes&amp;" --tripid "&amp;A36&amp;" --locoid "&amp;B36&amp;" --swversion "&amp;C36&amp;" --startMP "&amp;D36&amp;" --initTime "&amp;TEXT(E36,"yyyy-mm-ddTHH:MM:SS")&amp;" --startdatetime "&amp;TEXT(F36,"yyyy-mm-ddTHH:MM:SS")&amp;" --delay "&amp;G36&amp;" --endMP "&amp;H36&amp;" --enddatetime "&amp;TEXT(I36,"yyyy-mm-ddTHH:MM:SS")&amp;" --enforcementcount "&amp;J36&amp;" &gt;&gt; "&amp;TEXT(Variables!$A$2,"yyyy-mm-dd")&amp;"-refined-runtimes.txt"</f>
        <v>"%USERPROFILE%\Documents\GitHub\eaglep3\Utilities\RefineRTDCRunTimes.py" --tripid 121-05 --locoid 4038 --swversion DE.1.0.7.0 --startMP 204:429 --initTime 2016-08-05T06:10:43 --startdatetime 2016-08-05T06:12:03 --delay 1 --endMP 204:19130 --enddatetime 2016-08-05T06:19:37 --enforcementcount 0 &gt;&gt; 2016-08-05-refined-runtimes.txt</v>
      </c>
    </row>
    <row r="37" spans="1:34" s="1" customFormat="1" x14ac:dyDescent="0.25">
      <c r="A37" s="42" t="s">
        <v>624</v>
      </c>
      <c r="B37" s="7">
        <v>4037</v>
      </c>
      <c r="C37" s="25" t="s">
        <v>156</v>
      </c>
      <c r="D37" s="25" t="s">
        <v>442</v>
      </c>
      <c r="E37" s="16">
        <v>42587.296053240738</v>
      </c>
      <c r="F37" s="16">
        <v>42587.297083333331</v>
      </c>
      <c r="G37" s="7">
        <v>1</v>
      </c>
      <c r="H37" s="16" t="s">
        <v>684</v>
      </c>
      <c r="I37" s="16">
        <v>42587.300810185188</v>
      </c>
      <c r="J37" s="7">
        <v>0</v>
      </c>
      <c r="K37" s="111" t="str">
        <f t="shared" si="11"/>
        <v>4037/4038</v>
      </c>
      <c r="L37" s="25" t="str">
        <f>VLOOKUP(A37,'Trips&amp;Operators'!$C$1:$E$10000,3,FALSE)</f>
        <v>GRASTON</v>
      </c>
      <c r="M37" s="6">
        <f t="shared" si="12"/>
        <v>3.7268518572091125E-3</v>
      </c>
      <c r="N37" s="7"/>
      <c r="O37" s="7"/>
      <c r="P37" s="7">
        <f t="shared" si="25"/>
        <v>5.366666674381122</v>
      </c>
      <c r="Q37" s="26"/>
      <c r="R37" s="26" t="s">
        <v>790</v>
      </c>
      <c r="S37" s="38">
        <f t="shared" si="13"/>
        <v>0</v>
      </c>
      <c r="T37" s="55" t="str">
        <f t="shared" si="14"/>
        <v>Southbound</v>
      </c>
      <c r="U37" s="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06:06:19-0600',mode:absolute,to:'2016-08-05 08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37" s="57" t="str">
        <f t="shared" si="16"/>
        <v>Y</v>
      </c>
      <c r="X37" s="114">
        <f t="shared" si="17"/>
        <v>1</v>
      </c>
      <c r="Y37" s="72">
        <f t="shared" si="18"/>
        <v>23.301300000000001</v>
      </c>
      <c r="Z37" s="72">
        <f t="shared" si="19"/>
        <v>22.892600000000002</v>
      </c>
      <c r="AA37" s="72">
        <f t="shared" si="20"/>
        <v>0.40869999999999962</v>
      </c>
      <c r="AB37" s="69" t="e">
        <f>VLOOKUP(A37,Enforcements!$C$7:$J$24,8,0)</f>
        <v>#N/A</v>
      </c>
      <c r="AC37" s="65" t="e">
        <f>VLOOKUP(A37,Enforcements!$C$7:$E$24,3,0)</f>
        <v>#N/A</v>
      </c>
      <c r="AD37" s="66" t="str">
        <f t="shared" si="21"/>
        <v>0122-05</v>
      </c>
      <c r="AE37" s="120" t="str">
        <f t="shared" si="22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37" s="117" t="str">
        <f t="shared" si="23"/>
        <v>"C:\Program Files (x86)\AstroGrep\AstroGrep.exe" /spath="%USERPROFILE%\AppData\Local\Temp\OnboardLogs" /stypes="*4037*20160805*" /stext=" 13:.+((SYSTEM_STATE.+slice.+state.+changed )|(ment ac)|(system.+state.+changed )|(\|lc)|(penalty)|(\[timeout)|(PRM\|1\|D)|(kpr)|(kdp))" /e /r /s</v>
      </c>
      <c r="AG37" s="1" t="str">
        <f t="shared" si="24"/>
        <v>EC</v>
      </c>
      <c r="AH37" s="121" t="str">
        <f>refinertdcruntimes&amp;" --tripid "&amp;A37&amp;" --locoid "&amp;B37&amp;" --swversion "&amp;C37&amp;" --startMP "&amp;D37&amp;" --initTime "&amp;TEXT(E37,"yyyy-mm-ddTHH:MM:SS")&amp;" --startdatetime "&amp;TEXT(F37,"yyyy-mm-ddTHH:MM:SS")&amp;" --delay "&amp;G37&amp;" --endMP "&amp;H37&amp;" --enddatetime "&amp;TEXT(I37,"yyyy-mm-ddTHH:MM:SS")&amp;" --enforcementcount "&amp;J37&amp;" &gt;&gt; "&amp;TEXT(Variables!$A$2,"yyyy-mm-dd")&amp;"-refined-runtimes.txt"</f>
        <v>"%USERPROFILE%\Documents\GitHub\eaglep3\Utilities\RefineRTDCRunTimes.py" --tripid 122-05 --locoid 4037 --swversion DE.1.0.7.0 --startMP 204:233013 --initTime 2016-08-05T07:06:19 --startdatetime 2016-08-05T07:07:48 --delay 1 --endMP 204:228926 --enddatetime 2016-08-05T07:13:10 --enforcementcount 0 &gt;&gt; 2016-08-05-refined-runtimes.txt</v>
      </c>
    </row>
    <row r="38" spans="1:34" s="1" customFormat="1" x14ac:dyDescent="0.25">
      <c r="A38" s="42" t="s">
        <v>632</v>
      </c>
      <c r="B38" s="7">
        <v>4027</v>
      </c>
      <c r="C38" s="25" t="s">
        <v>156</v>
      </c>
      <c r="D38" s="25" t="s">
        <v>301</v>
      </c>
      <c r="E38" s="16">
        <v>42587.266284722224</v>
      </c>
      <c r="F38" s="16">
        <v>42587.26730324074</v>
      </c>
      <c r="G38" s="7">
        <v>1</v>
      </c>
      <c r="H38" s="16" t="s">
        <v>685</v>
      </c>
      <c r="I38" s="16">
        <v>42587.274317129632</v>
      </c>
      <c r="J38" s="7">
        <v>0</v>
      </c>
      <c r="K38" s="111" t="str">
        <f t="shared" si="11"/>
        <v>4027/4028</v>
      </c>
      <c r="L38" s="25" t="str">
        <f>VLOOKUP(A38,'Trips&amp;Operators'!$C$1:$E$10000,3,FALSE)</f>
        <v>ISHMAEL</v>
      </c>
      <c r="M38" s="6">
        <f t="shared" si="12"/>
        <v>7.0138888913788833E-3</v>
      </c>
      <c r="N38" s="7"/>
      <c r="O38" s="7"/>
      <c r="P38" s="7">
        <f t="shared" si="25"/>
        <v>10.100000003585592</v>
      </c>
      <c r="Q38" s="26"/>
      <c r="R38" s="26" t="s">
        <v>790</v>
      </c>
      <c r="S38" s="38">
        <f t="shared" si="13"/>
        <v>0</v>
      </c>
      <c r="T38" s="55" t="str">
        <f t="shared" si="14"/>
        <v>NorthBound</v>
      </c>
      <c r="U38" s="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05:23:27-0600',mode:absolute,to:'2016-08-05 07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38" s="57" t="str">
        <f t="shared" si="16"/>
        <v>Y</v>
      </c>
      <c r="X38" s="114">
        <f t="shared" si="17"/>
        <v>1</v>
      </c>
      <c r="Y38" s="72">
        <f t="shared" si="18"/>
        <v>4.5699999999999998E-2</v>
      </c>
      <c r="Z38" s="72">
        <f t="shared" si="19"/>
        <v>1.9136</v>
      </c>
      <c r="AA38" s="72">
        <f t="shared" si="20"/>
        <v>1.8678999999999999</v>
      </c>
      <c r="AB38" s="69" t="e">
        <f>VLOOKUP(A38,Enforcements!$C$7:$J$24,8,0)</f>
        <v>#N/A</v>
      </c>
      <c r="AC38" s="65" t="e">
        <f>VLOOKUP(A38,Enforcements!$C$7:$E$24,3,0)</f>
        <v>#N/A</v>
      </c>
      <c r="AD38" s="66" t="str">
        <f t="shared" si="21"/>
        <v>0123-05</v>
      </c>
      <c r="AE38" s="120" t="str">
        <f t="shared" si="22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38" s="117" t="str">
        <f t="shared" si="23"/>
        <v>"C:\Program Files (x86)\AstroGrep\AstroGrep.exe" /spath="%USERPROFILE%\AppData\Local\Temp\OnboardLogs" /stypes="*4027*20160805*" /stext=" 12:.+((SYSTEM_STATE.+slice.+state.+changed )|(ment ac)|(system.+state.+changed )|(\|lc)|(penalty)|(\[timeout)|(PRM\|1\|D)|(kpr)|(kdp))" /e /r /s</v>
      </c>
      <c r="AG38" s="1" t="str">
        <f t="shared" si="24"/>
        <v>EC</v>
      </c>
      <c r="AH38" s="121" t="str">
        <f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"&amp;J38&amp;" &gt;&gt; "&amp;TEXT(Variables!$A$2,"yyyy-mm-dd")&amp;"-refined-runtimes.txt"</f>
        <v>"%USERPROFILE%\Documents\GitHub\eaglep3\Utilities\RefineRTDCRunTimes.py" --tripid 123-05 --locoid 4027 --swversion DE.1.0.7.0 --startMP 204:457 --initTime 2016-08-05T06:23:27 --startdatetime 2016-08-05T06:24:55 --delay 1 --endMP 204:19136 --enddatetime 2016-08-05T06:35:01 --enforcementcount 0 &gt;&gt; 2016-08-05-refined-runtimes.txt</v>
      </c>
    </row>
    <row r="39" spans="1:34" s="1" customFormat="1" x14ac:dyDescent="0.25">
      <c r="A39" s="42" t="s">
        <v>598</v>
      </c>
      <c r="B39" s="7">
        <v>4028</v>
      </c>
      <c r="C39" s="25" t="s">
        <v>156</v>
      </c>
      <c r="D39" s="25" t="s">
        <v>303</v>
      </c>
      <c r="E39" s="16">
        <v>42587.300543981481</v>
      </c>
      <c r="F39" s="16">
        <v>42587.301585648151</v>
      </c>
      <c r="G39" s="7">
        <v>1</v>
      </c>
      <c r="H39" s="16" t="s">
        <v>686</v>
      </c>
      <c r="I39" s="16">
        <v>42587.312407407408</v>
      </c>
      <c r="J39" s="7">
        <v>0</v>
      </c>
      <c r="K39" s="111" t="str">
        <f t="shared" si="11"/>
        <v>4027/4028</v>
      </c>
      <c r="L39" s="25" t="str">
        <f>VLOOKUP(A39,'Trips&amp;Operators'!$C$1:$E$10000,3,FALSE)</f>
        <v>ISHMAEL</v>
      </c>
      <c r="M39" s="6">
        <f t="shared" si="12"/>
        <v>1.0821759256941732E-2</v>
      </c>
      <c r="N39" s="7"/>
      <c r="O39" s="7"/>
      <c r="P39" s="7">
        <f t="shared" si="25"/>
        <v>15.583333329996094</v>
      </c>
      <c r="Q39" s="26"/>
      <c r="R39" s="26" t="s">
        <v>790</v>
      </c>
      <c r="S39" s="38">
        <f t="shared" si="13"/>
        <v>0</v>
      </c>
      <c r="T39" s="55" t="str">
        <f t="shared" si="14"/>
        <v>Southbound</v>
      </c>
      <c r="U39" s="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06:12:47-0600',mode:absolute,to:'2016-08-05 08:29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39" s="57" t="str">
        <f t="shared" si="16"/>
        <v>Y</v>
      </c>
      <c r="X39" s="114">
        <f t="shared" si="17"/>
        <v>1</v>
      </c>
      <c r="Y39" s="72">
        <f t="shared" si="18"/>
        <v>23.299800000000001</v>
      </c>
      <c r="Z39" s="72">
        <f t="shared" si="19"/>
        <v>22.4513</v>
      </c>
      <c r="AA39" s="72">
        <f t="shared" si="20"/>
        <v>0.84850000000000136</v>
      </c>
      <c r="AB39" s="69" t="e">
        <f>VLOOKUP(A39,Enforcements!$C$7:$J$24,8,0)</f>
        <v>#N/A</v>
      </c>
      <c r="AC39" s="65" t="e">
        <f>VLOOKUP(A39,Enforcements!$C$7:$E$24,3,0)</f>
        <v>#N/A</v>
      </c>
      <c r="AD39" s="66" t="str">
        <f t="shared" si="21"/>
        <v>0124-05</v>
      </c>
      <c r="AE39" s="120" t="str">
        <f t="shared" si="22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39" s="117" t="str">
        <f t="shared" si="23"/>
        <v>"C:\Program Files (x86)\AstroGrep\AstroGrep.exe" /spath="%USERPROFILE%\AppData\Local\Temp\OnboardLogs" /stypes="*4028*20160805*" /stext=" 13:.+((SYSTEM_STATE.+slice.+state.+changed )|(ment ac)|(system.+state.+changed )|(\|lc)|(penalty)|(\[timeout)|(PRM\|1\|D)|(kpr)|(kdp))" /e /r /s</v>
      </c>
      <c r="AG39" s="1" t="str">
        <f t="shared" si="24"/>
        <v>EC</v>
      </c>
      <c r="AH39" s="121" t="str">
        <f>refinertdcruntimes&amp;" --tripid "&amp;A39&amp;" --locoid "&amp;B39&amp;" --swversion "&amp;C39&amp;" --startMP "&amp;D39&amp;" --initTime "&amp;TEXT(E39,"yyyy-mm-ddTHH:MM:SS")&amp;" --startdatetime "&amp;TEXT(F39,"yyyy-mm-ddTHH:MM:SS")&amp;" --delay "&amp;G39&amp;" --endMP "&amp;H39&amp;" --enddatetime "&amp;TEXT(I39,"yyyy-mm-ddTHH:MM:SS")&amp;" --enforcementcount "&amp;J39&amp;" &gt;&gt; "&amp;TEXT(Variables!$A$2,"yyyy-mm-dd")&amp;"-refined-runtimes.txt"</f>
        <v>"%USERPROFILE%\Documents\GitHub\eaglep3\Utilities\RefineRTDCRunTimes.py" --tripid 124-05 --locoid 4028 --swversion DE.1.0.7.0 --startMP 204:232998 --initTime 2016-08-05T07:12:47 --startdatetime 2016-08-05T07:14:17 --delay 1 --endMP 204:224513 --enddatetime 2016-08-05T07:29:52 --enforcementcount 0 &gt;&gt; 2016-08-05-refined-runtimes.txt</v>
      </c>
    </row>
    <row r="40" spans="1:34" s="1" customFormat="1" x14ac:dyDescent="0.25">
      <c r="A40" s="42" t="s">
        <v>585</v>
      </c>
      <c r="B40" s="7">
        <v>4044</v>
      </c>
      <c r="C40" s="25" t="s">
        <v>156</v>
      </c>
      <c r="D40" s="25" t="s">
        <v>180</v>
      </c>
      <c r="E40" s="16">
        <v>42587.278275462966</v>
      </c>
      <c r="F40" s="16">
        <v>42587.279398148145</v>
      </c>
      <c r="G40" s="7">
        <v>1</v>
      </c>
      <c r="H40" s="16" t="s">
        <v>687</v>
      </c>
      <c r="I40" s="16">
        <v>42587.285590277781</v>
      </c>
      <c r="J40" s="7">
        <v>0</v>
      </c>
      <c r="K40" s="111" t="str">
        <f t="shared" si="11"/>
        <v>4043/4044</v>
      </c>
      <c r="L40" s="25" t="str">
        <f>VLOOKUP(A40,'Trips&amp;Operators'!$C$1:$E$10000,3,FALSE)</f>
        <v>SANTIZO</v>
      </c>
      <c r="M40" s="6">
        <f t="shared" si="12"/>
        <v>6.1921296364744194E-3</v>
      </c>
      <c r="N40" s="7"/>
      <c r="O40" s="7"/>
      <c r="P40" s="7">
        <f t="shared" si="25"/>
        <v>8.9166666765231639</v>
      </c>
      <c r="Q40" s="26"/>
      <c r="R40" s="26" t="s">
        <v>790</v>
      </c>
      <c r="S40" s="38">
        <f t="shared" si="13"/>
        <v>0</v>
      </c>
      <c r="T40" s="55" t="str">
        <f t="shared" si="14"/>
        <v>NorthBound</v>
      </c>
      <c r="U40" s="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05:40:43-0600',mode:absolute,to:'2016-08-05 07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40" s="57" t="str">
        <f t="shared" si="16"/>
        <v>Y</v>
      </c>
      <c r="X40" s="114">
        <f t="shared" si="17"/>
        <v>1</v>
      </c>
      <c r="Y40" s="72">
        <f t="shared" si="18"/>
        <v>4.4200000000000003E-2</v>
      </c>
      <c r="Z40" s="72">
        <f t="shared" si="19"/>
        <v>1.9958</v>
      </c>
      <c r="AA40" s="72">
        <f t="shared" si="20"/>
        <v>1.9516</v>
      </c>
      <c r="AB40" s="69" t="e">
        <f>VLOOKUP(A40,Enforcements!$C$7:$J$24,8,0)</f>
        <v>#N/A</v>
      </c>
      <c r="AC40" s="65" t="e">
        <f>VLOOKUP(A40,Enforcements!$C$7:$E$24,3,0)</f>
        <v>#N/A</v>
      </c>
      <c r="AD40" s="66" t="str">
        <f t="shared" si="21"/>
        <v>0125-05</v>
      </c>
      <c r="AE40" s="120" t="str">
        <f t="shared" si="22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40" s="117" t="str">
        <f t="shared" si="23"/>
        <v>"C:\Program Files (x86)\AstroGrep\AstroGrep.exe" /spath="%USERPROFILE%\AppData\Local\Temp\OnboardLogs" /stypes="*4044*20160805*" /stext=" 12:.+((SYSTEM_STATE.+slice.+state.+changed )|(ment ac)|(system.+state.+changed )|(\|lc)|(penalty)|(\[timeout)|(PRM\|1\|D)|(kpr)|(kdp))" /e /r /s</v>
      </c>
      <c r="AG40" s="1" t="str">
        <f t="shared" si="24"/>
        <v>EC</v>
      </c>
      <c r="AH40" s="121" t="str">
        <f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"&amp;J40&amp;" &gt;&gt; "&amp;TEXT(Variables!$A$2,"yyyy-mm-dd")&amp;"-refined-runtimes.txt"</f>
        <v>"%USERPROFILE%\Documents\GitHub\eaglep3\Utilities\RefineRTDCRunTimes.py" --tripid 125-05 --locoid 4044 --swversion DE.1.0.7.0 --startMP 204:442 --initTime 2016-08-05T06:40:43 --startdatetime 2016-08-05T06:42:20 --delay 1 --endMP 204:19958 --enddatetime 2016-08-05T06:51:15 --enforcementcount 0 &gt;&gt; 2016-08-05-refined-runtimes.txt</v>
      </c>
    </row>
    <row r="41" spans="1:34" s="1" customFormat="1" x14ac:dyDescent="0.25">
      <c r="A41" s="42" t="s">
        <v>626</v>
      </c>
      <c r="B41" s="7">
        <v>4043</v>
      </c>
      <c r="C41" s="25" t="s">
        <v>156</v>
      </c>
      <c r="D41" s="25" t="s">
        <v>688</v>
      </c>
      <c r="E41" s="16">
        <v>42587.308333333334</v>
      </c>
      <c r="F41" s="16">
        <v>42587.309155092589</v>
      </c>
      <c r="G41" s="7">
        <v>1</v>
      </c>
      <c r="H41" s="16" t="s">
        <v>689</v>
      </c>
      <c r="I41" s="16">
        <v>42587.349722222221</v>
      </c>
      <c r="J41" s="7">
        <v>1</v>
      </c>
      <c r="K41" s="111" t="str">
        <f t="shared" si="11"/>
        <v>4043/4044</v>
      </c>
      <c r="L41" s="25" t="str">
        <f>VLOOKUP(A41,'Trips&amp;Operators'!$C$1:$E$10000,3,FALSE)</f>
        <v>SANTIZO</v>
      </c>
      <c r="M41" s="6">
        <f t="shared" si="12"/>
        <v>4.0567129632108845E-2</v>
      </c>
      <c r="N41" s="7">
        <f t="shared" si="25"/>
        <v>58.416666670236737</v>
      </c>
      <c r="O41" s="7"/>
      <c r="P41" s="7"/>
      <c r="Q41" s="26"/>
      <c r="R41" s="26"/>
      <c r="S41" s="38">
        <f t="shared" si="13"/>
        <v>1</v>
      </c>
      <c r="T41" s="55" t="str">
        <f t="shared" si="14"/>
        <v>Southbound</v>
      </c>
      <c r="U41" s="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06:24:00-0600',mode:absolute,to:'2016-08-05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41" s="57" t="str">
        <f t="shared" si="16"/>
        <v>N</v>
      </c>
      <c r="X41" s="114">
        <f t="shared" si="17"/>
        <v>1</v>
      </c>
      <c r="Y41" s="72">
        <f t="shared" si="18"/>
        <v>23.3093</v>
      </c>
      <c r="Z41" s="72">
        <f t="shared" si="19"/>
        <v>1.47E-2</v>
      </c>
      <c r="AA41" s="72">
        <f t="shared" si="20"/>
        <v>23.294599999999999</v>
      </c>
      <c r="AB41" s="69">
        <f>VLOOKUP(A41,Enforcements!$C$7:$J$24,8,0)</f>
        <v>1</v>
      </c>
      <c r="AC41" s="65" t="str">
        <f>VLOOKUP(A41,Enforcements!$C$7:$E$24,3,0)</f>
        <v>TRACK WARRANT AUTHORITY</v>
      </c>
      <c r="AD41" s="66" t="str">
        <f t="shared" si="21"/>
        <v>0126-05</v>
      </c>
      <c r="AE41" s="120" t="str">
        <f t="shared" si="22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41" s="117" t="str">
        <f t="shared" si="23"/>
        <v>"C:\Program Files (x86)\AstroGrep\AstroGrep.exe" /spath="%USERPROFILE%\AppData\Local\Temp\OnboardLogs" /stypes="*4043*20160805*" /stext=" 14:.+((SYSTEM_STATE.+slice.+state.+changed )|(ment ac)|(system.+state.+changed )|(\|lc)|(penalty)|(\[timeout)|(PRM\|1\|D)|(kpr)|(kdp))" /e /r /s</v>
      </c>
      <c r="AG41" s="1" t="str">
        <f t="shared" si="24"/>
        <v>EC</v>
      </c>
      <c r="AH41" s="121" t="str">
        <f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"&amp;J41&amp;" &gt;&gt; "&amp;TEXT(Variables!$A$2,"yyyy-mm-dd")&amp;"-refined-runtimes.txt"</f>
        <v>"%USERPROFILE%\Documents\GitHub\eaglep3\Utilities\RefineRTDCRunTimes.py" --tripid 126-05 --locoid 4043 --swversion DE.1.0.7.0 --startMP 204:233093 --initTime 2016-08-05T07:24:00 --startdatetime 2016-08-05T07:25:11 --delay 1 --endMP 204:147 --enddatetime 2016-08-05T08:23:36 --enforcementcount 1 &gt;&gt; 2016-08-05-refined-runtimes.txt</v>
      </c>
    </row>
    <row r="42" spans="1:34" s="1" customFormat="1" x14ac:dyDescent="0.25">
      <c r="A42" s="42" t="s">
        <v>589</v>
      </c>
      <c r="B42" s="7">
        <v>4025</v>
      </c>
      <c r="C42" s="25" t="s">
        <v>156</v>
      </c>
      <c r="D42" s="25" t="s">
        <v>299</v>
      </c>
      <c r="E42" s="16">
        <v>42587.287094907406</v>
      </c>
      <c r="F42" s="16">
        <v>42587.28802083333</v>
      </c>
      <c r="G42" s="7">
        <v>1</v>
      </c>
      <c r="H42" s="16" t="s">
        <v>690</v>
      </c>
      <c r="I42" s="16">
        <v>42587.295300925929</v>
      </c>
      <c r="J42" s="7">
        <v>0</v>
      </c>
      <c r="K42" s="111" t="str">
        <f t="shared" si="11"/>
        <v>4025/4026</v>
      </c>
      <c r="L42" s="25" t="str">
        <f>VLOOKUP(A42,'Trips&amp;Operators'!$C$1:$E$10000,3,FALSE)</f>
        <v>MAELZER</v>
      </c>
      <c r="M42" s="6">
        <f t="shared" si="12"/>
        <v>7.2800925991032273E-3</v>
      </c>
      <c r="N42" s="7"/>
      <c r="O42" s="7"/>
      <c r="P42" s="7">
        <f t="shared" si="25"/>
        <v>10.483333342708647</v>
      </c>
      <c r="Q42" s="26"/>
      <c r="R42" s="26" t="s">
        <v>790</v>
      </c>
      <c r="S42" s="38">
        <f t="shared" ref="S42" si="26">SUM(U42:U42)/IF(AG42="EC",12,1)</f>
        <v>0</v>
      </c>
      <c r="T42" s="55" t="str">
        <f t="shared" si="14"/>
        <v>NorthBound</v>
      </c>
      <c r="U42" s="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05:53:25-0600',mode:absolute,to:'2016-08-05 08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42" s="57" t="str">
        <f t="shared" si="16"/>
        <v>Y</v>
      </c>
      <c r="X42" s="114">
        <f t="shared" si="17"/>
        <v>1</v>
      </c>
      <c r="Y42" s="72">
        <f t="shared" si="18"/>
        <v>4.4699999999999997E-2</v>
      </c>
      <c r="Z42" s="72">
        <f t="shared" si="19"/>
        <v>1.9137999999999999</v>
      </c>
      <c r="AA42" s="72">
        <f t="shared" si="20"/>
        <v>1.8691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21"/>
        <v>0127-05</v>
      </c>
      <c r="AE42" s="120" t="str">
        <f t="shared" si="22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42" s="117" t="str">
        <f t="shared" si="23"/>
        <v>"C:\Program Files (x86)\AstroGrep\AstroGrep.exe" /spath="%USERPROFILE%\AppData\Local\Temp\OnboardLogs" /stypes="*4025*20160805*" /stext=" 13:.+((SYSTEM_STATE.+slice.+state.+changed )|(ment ac)|(system.+state.+changed )|(\|lc)|(penalty)|(\[timeout)|(PRM\|1\|D)|(kpr)|(kdp))" /e /r /s</v>
      </c>
      <c r="AG42" s="1" t="str">
        <f t="shared" si="24"/>
        <v>EC</v>
      </c>
      <c r="AH42" s="121" t="str">
        <f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"&amp;J42&amp;" &gt;&gt; "&amp;TEXT(Variables!$A$2,"yyyy-mm-dd")&amp;"-refined-runtimes.txt"</f>
        <v>"%USERPROFILE%\Documents\GitHub\eaglep3\Utilities\RefineRTDCRunTimes.py" --tripid 127-05 --locoid 4025 --swversion DE.1.0.7.0 --startMP 204:447 --initTime 2016-08-05T06:53:25 --startdatetime 2016-08-05T06:54:45 --delay 1 --endMP 204:19138 --enddatetime 2016-08-05T07:05:14 --enforcementcount 0 &gt;&gt; 2016-08-05-refined-runtimes.txt</v>
      </c>
    </row>
    <row r="43" spans="1:34" s="1" customFormat="1" x14ac:dyDescent="0.25">
      <c r="A43" s="42" t="s">
        <v>605</v>
      </c>
      <c r="B43" s="7">
        <v>4026</v>
      </c>
      <c r="C43" s="25" t="s">
        <v>156</v>
      </c>
      <c r="D43" s="25" t="s">
        <v>691</v>
      </c>
      <c r="E43" s="16">
        <v>42587.321886574071</v>
      </c>
      <c r="F43" s="16">
        <v>42587.322615740741</v>
      </c>
      <c r="G43" s="7">
        <v>1</v>
      </c>
      <c r="H43" s="16" t="s">
        <v>137</v>
      </c>
      <c r="I43" s="16">
        <v>42587.360972222225</v>
      </c>
      <c r="J43" s="7">
        <v>0</v>
      </c>
      <c r="K43" s="111" t="str">
        <f t="shared" si="11"/>
        <v>4025/4026</v>
      </c>
      <c r="L43" s="25" t="str">
        <f>VLOOKUP(A43,'Trips&amp;Operators'!$C$1:$E$10000,3,FALSE)</f>
        <v>MAELZER</v>
      </c>
      <c r="M43" s="6">
        <f t="shared" si="12"/>
        <v>3.835648148378823E-2</v>
      </c>
      <c r="N43" s="7">
        <f t="shared" si="25"/>
        <v>55.233333336655051</v>
      </c>
      <c r="O43" s="7"/>
      <c r="P43" s="7"/>
      <c r="Q43" s="26"/>
      <c r="R43" s="26"/>
      <c r="S43" s="38">
        <f t="shared" si="13"/>
        <v>1</v>
      </c>
      <c r="T43" s="55" t="str">
        <f t="shared" si="14"/>
        <v>Southbound</v>
      </c>
      <c r="U43" s="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06:43:31-0600',mode:absolute,to:'2016-08-05 09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43" s="57" t="str">
        <f t="shared" si="16"/>
        <v>N</v>
      </c>
      <c r="X43" s="114">
        <f t="shared" si="17"/>
        <v>1</v>
      </c>
      <c r="Y43" s="72">
        <f t="shared" si="18"/>
        <v>23.302499999999998</v>
      </c>
      <c r="Z43" s="72">
        <f t="shared" si="19"/>
        <v>1.3899999999999999E-2</v>
      </c>
      <c r="AA43" s="72">
        <f t="shared" si="20"/>
        <v>23.288599999999999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21"/>
        <v>0128-05</v>
      </c>
      <c r="AE43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43" s="117" t="str">
        <f t="shared" si="23"/>
        <v>"C:\Program Files (x86)\AstroGrep\AstroGrep.exe" /spath="%USERPROFILE%\AppData\Local\Temp\OnboardLogs" /stypes="*4026*20160805*" /stext=" 14:.+((SYSTEM_STATE.+slice.+state.+changed )|(ment ac)|(system.+state.+changed )|(\|lc)|(penalty)|(\[timeout)|(PRM\|1\|D)|(kpr)|(kdp))" /e /r /s</v>
      </c>
      <c r="AG43" s="1" t="str">
        <f t="shared" si="24"/>
        <v>EC</v>
      </c>
      <c r="AH43" s="121" t="str">
        <f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"&amp;J43&amp;" &gt;&gt; "&amp;TEXT(Variables!$A$2,"yyyy-mm-dd")&amp;"-refined-runtimes.txt"</f>
        <v>"%USERPROFILE%\Documents\GitHub\eaglep3\Utilities\RefineRTDCRunTimes.py" --tripid 128-05 --locoid 4026 --swversion DE.1.0.7.0 --startMP 204:233025 --initTime 2016-08-05T07:43:31 --startdatetime 2016-08-05T07:44:34 --delay 1 --endMP 204:139 --enddatetime 2016-08-05T08:39:48 --enforcementcount 0 &gt;&gt; 2016-08-05-refined-runtimes.txt</v>
      </c>
    </row>
    <row r="44" spans="1:34" s="1" customFormat="1" x14ac:dyDescent="0.25">
      <c r="A44" s="42" t="s">
        <v>619</v>
      </c>
      <c r="B44" s="7">
        <v>4009</v>
      </c>
      <c r="C44" s="25" t="s">
        <v>156</v>
      </c>
      <c r="D44" s="25" t="s">
        <v>138</v>
      </c>
      <c r="E44" s="16">
        <v>42587.295520833337</v>
      </c>
      <c r="F44" s="16">
        <v>42587.296527777777</v>
      </c>
      <c r="G44" s="7">
        <v>1</v>
      </c>
      <c r="H44" s="16" t="s">
        <v>692</v>
      </c>
      <c r="I44" s="16">
        <v>42587.30605324074</v>
      </c>
      <c r="J44" s="7">
        <v>0</v>
      </c>
      <c r="K44" s="111" t="str">
        <f t="shared" si="11"/>
        <v>4009/4010</v>
      </c>
      <c r="L44" s="25" t="str">
        <f>VLOOKUP(A44,'Trips&amp;Operators'!$C$1:$E$10000,3,FALSE)</f>
        <v>ROCHA</v>
      </c>
      <c r="M44" s="6">
        <f t="shared" si="12"/>
        <v>9.5254629632108845E-3</v>
      </c>
      <c r="N44" s="7"/>
      <c r="O44" s="7"/>
      <c r="P44" s="7">
        <f t="shared" si="25"/>
        <v>13.716666667023674</v>
      </c>
      <c r="Q44" s="26"/>
      <c r="R44" s="26" t="s">
        <v>790</v>
      </c>
      <c r="S44" s="38">
        <f t="shared" ref="S44" si="27">SUM(U44:U44)/IF(AG44="EC",12,1)</f>
        <v>0</v>
      </c>
      <c r="T44" s="55" t="str">
        <f t="shared" si="14"/>
        <v>NorthBound</v>
      </c>
      <c r="U44" s="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06:05:33-0600',mode:absolute,to:'2016-08-05 08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44" s="57" t="str">
        <f t="shared" si="16"/>
        <v>Y</v>
      </c>
      <c r="X44" s="114">
        <f t="shared" si="17"/>
        <v>1</v>
      </c>
      <c r="Y44" s="72">
        <f t="shared" si="18"/>
        <v>4.6199999999999998E-2</v>
      </c>
      <c r="Z44" s="72">
        <f t="shared" si="19"/>
        <v>1.9159999999999999</v>
      </c>
      <c r="AA44" s="72">
        <f t="shared" si="20"/>
        <v>1.8697999999999999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21"/>
        <v>0129-05</v>
      </c>
      <c r="AE44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44" s="117" t="str">
        <f t="shared" si="23"/>
        <v>"C:\Program Files (x86)\AstroGrep\AstroGrep.exe" /spath="%USERPROFILE%\AppData\Local\Temp\OnboardLogs" /stypes="*4009*20160805*" /stext=" 13:.+((SYSTEM_STATE.+slice.+state.+changed )|(ment ac)|(system.+state.+changed )|(\|lc)|(penalty)|(\[timeout)|(PRM\|1\|D)|(kpr)|(kdp))" /e /r /s</v>
      </c>
      <c r="AG44" s="1" t="str">
        <f t="shared" si="24"/>
        <v>EC</v>
      </c>
      <c r="AH44" s="121" t="str">
        <f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"&amp;J44&amp;" &gt;&gt; "&amp;TEXT(Variables!$A$2,"yyyy-mm-dd")&amp;"-refined-runtimes.txt"</f>
        <v>"%USERPROFILE%\Documents\GitHub\eaglep3\Utilities\RefineRTDCRunTimes.py" --tripid 129-05 --locoid 4009 --swversion DE.1.0.7.0 --startMP 204:462 --initTime 2016-08-05T07:05:33 --startdatetime 2016-08-05T07:07:00 --delay 1 --endMP 204:19160 --enddatetime 2016-08-05T07:20:43 --enforcementcount 0 &gt;&gt; 2016-08-05-refined-runtimes.txt</v>
      </c>
    </row>
    <row r="45" spans="1:34" s="1" customFormat="1" x14ac:dyDescent="0.25">
      <c r="A45" s="42" t="s">
        <v>618</v>
      </c>
      <c r="B45" s="7">
        <v>4010</v>
      </c>
      <c r="C45" s="25" t="s">
        <v>156</v>
      </c>
      <c r="D45" s="25" t="s">
        <v>304</v>
      </c>
      <c r="E45" s="16">
        <v>42587.339988425927</v>
      </c>
      <c r="F45" s="16">
        <v>42587.341226851851</v>
      </c>
      <c r="G45" s="7">
        <v>1</v>
      </c>
      <c r="H45" s="16" t="s">
        <v>689</v>
      </c>
      <c r="I45" s="16">
        <v>42587.370983796296</v>
      </c>
      <c r="J45" s="7">
        <v>0</v>
      </c>
      <c r="K45" s="111" t="str">
        <f t="shared" si="11"/>
        <v>4009/4010</v>
      </c>
      <c r="L45" s="25" t="str">
        <f>VLOOKUP(A45,'Trips&amp;Operators'!$C$1:$E$10000,3,FALSE)</f>
        <v>ROCHA</v>
      </c>
      <c r="M45" s="6">
        <f t="shared" si="12"/>
        <v>2.9756944444670808E-2</v>
      </c>
      <c r="N45" s="7">
        <f t="shared" si="25"/>
        <v>42.850000000325963</v>
      </c>
      <c r="O45" s="7"/>
      <c r="P45" s="7"/>
      <c r="Q45" s="26"/>
      <c r="R45" s="26"/>
      <c r="S45" s="38">
        <f t="shared" si="13"/>
        <v>1</v>
      </c>
      <c r="T45" s="55" t="str">
        <f t="shared" si="14"/>
        <v>Southbound</v>
      </c>
      <c r="U45" s="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07:09:35-0600',mode:absolute,to:'2016-08-05 09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45" s="57" t="str">
        <f t="shared" si="16"/>
        <v>N</v>
      </c>
      <c r="X45" s="114">
        <f t="shared" si="17"/>
        <v>1</v>
      </c>
      <c r="Y45" s="72">
        <f t="shared" si="18"/>
        <v>23.3004</v>
      </c>
      <c r="Z45" s="72">
        <f t="shared" si="19"/>
        <v>1.47E-2</v>
      </c>
      <c r="AA45" s="72">
        <f t="shared" si="20"/>
        <v>23.285699999999999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si="21"/>
        <v>0130-05</v>
      </c>
      <c r="AE45" s="120" t="str">
        <f t="shared" si="22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45" s="117" t="str">
        <f t="shared" si="23"/>
        <v>"C:\Program Files (x86)\AstroGrep\AstroGrep.exe" /spath="%USERPROFILE%\AppData\Local\Temp\OnboardLogs" /stypes="*4010*20160805*" /stext=" 14:.+((SYSTEM_STATE.+slice.+state.+changed )|(ment ac)|(system.+state.+changed )|(\|lc)|(penalty)|(\[timeout)|(PRM\|1\|D)|(kpr)|(kdp))" /e /r /s</v>
      </c>
      <c r="AG45" s="1" t="str">
        <f t="shared" si="24"/>
        <v>EC</v>
      </c>
      <c r="AH45" s="121" t="str">
        <f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"&amp;J45&amp;" &gt;&gt; "&amp;TEXT(Variables!$A$2,"yyyy-mm-dd")&amp;"-refined-runtimes.txt"</f>
        <v>"%USERPROFILE%\Documents\GitHub\eaglep3\Utilities\RefineRTDCRunTimes.py" --tripid 130-05 --locoid 4010 --swversion DE.1.0.7.0 --startMP 204:233004 --initTime 2016-08-05T08:09:35 --startdatetime 2016-08-05T08:11:22 --delay 1 --endMP 204:147 --enddatetime 2016-08-05T08:54:13 --enforcementcount 0 &gt;&gt; 2016-08-05-refined-runtimes.txt</v>
      </c>
    </row>
    <row r="46" spans="1:34" s="1" customFormat="1" x14ac:dyDescent="0.25">
      <c r="A46" s="42" t="s">
        <v>599</v>
      </c>
      <c r="B46" s="7">
        <v>4029</v>
      </c>
      <c r="C46" s="25" t="s">
        <v>156</v>
      </c>
      <c r="D46" s="25" t="s">
        <v>311</v>
      </c>
      <c r="E46" s="16">
        <v>42587.310115740744</v>
      </c>
      <c r="F46" s="16">
        <v>42587.311041666668</v>
      </c>
      <c r="G46" s="7">
        <v>1</v>
      </c>
      <c r="H46" s="16" t="s">
        <v>693</v>
      </c>
      <c r="I46" s="16">
        <v>42587.315949074073</v>
      </c>
      <c r="J46" s="7">
        <v>0</v>
      </c>
      <c r="K46" s="111" t="str">
        <f t="shared" si="11"/>
        <v>4029/4030</v>
      </c>
      <c r="L46" s="25" t="str">
        <f>VLOOKUP(A46,'Trips&amp;Operators'!$C$1:$E$10000,3,FALSE)</f>
        <v>DAVIS</v>
      </c>
      <c r="M46" s="6">
        <f t="shared" si="12"/>
        <v>4.907407404971309E-3</v>
      </c>
      <c r="N46" s="7"/>
      <c r="O46" s="7"/>
      <c r="P46" s="7">
        <f t="shared" si="25"/>
        <v>7.066666663158685</v>
      </c>
      <c r="Q46" s="26"/>
      <c r="R46" s="26" t="s">
        <v>790</v>
      </c>
      <c r="S46" s="38">
        <f t="shared" ref="S46" si="28">SUM(U46:U46)/IF(AG46="EC",12,1)</f>
        <v>0</v>
      </c>
      <c r="T46" s="55" t="str">
        <f t="shared" si="14"/>
        <v>NorthBound</v>
      </c>
      <c r="U46" s="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06:26:34-0600',mode:absolute,to:'2016-08-05 08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46" s="57" t="str">
        <f t="shared" si="16"/>
        <v>Y</v>
      </c>
      <c r="X46" s="114">
        <f t="shared" si="17"/>
        <v>1</v>
      </c>
      <c r="Y46" s="72">
        <f t="shared" si="18"/>
        <v>4.4400000000000002E-2</v>
      </c>
      <c r="Z46" s="72">
        <f t="shared" si="19"/>
        <v>1.9129</v>
      </c>
      <c r="AA46" s="72">
        <f t="shared" si="20"/>
        <v>1.8685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21"/>
        <v>0131-05</v>
      </c>
      <c r="AE46" s="120" t="str">
        <f t="shared" si="22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46" s="117" t="str">
        <f t="shared" si="23"/>
        <v>"C:\Program Files (x86)\AstroGrep\AstroGrep.exe" /spath="%USERPROFILE%\AppData\Local\Temp\OnboardLogs" /stypes="*4029*20160805*" /stext=" 13:.+((SYSTEM_STATE.+slice.+state.+changed )|(ment ac)|(system.+state.+changed )|(\|lc)|(penalty)|(\[timeout)|(PRM\|1\|D)|(kpr)|(kdp))" /e /r /s</v>
      </c>
      <c r="AG46" s="1" t="str">
        <f t="shared" si="24"/>
        <v>EC</v>
      </c>
      <c r="AH46" s="121" t="str">
        <f>refinertdcruntimes&amp;" --tripid "&amp;A46&amp;" --locoid "&amp;B46&amp;" --swversion "&amp;C46&amp;" --startMP "&amp;D46&amp;" --initTime "&amp;TEXT(E46,"yyyy-mm-ddTHH:MM:SS")&amp;" --startdatetime "&amp;TEXT(F46,"yyyy-mm-ddTHH:MM:SS")&amp;" --delay "&amp;G46&amp;" --endMP "&amp;H46&amp;" --enddatetime "&amp;TEXT(I46,"yyyy-mm-ddTHH:MM:SS")&amp;" --enforcementcount "&amp;J46&amp;" &gt;&gt; "&amp;TEXT(Variables!$A$2,"yyyy-mm-dd")&amp;"-refined-runtimes.txt"</f>
        <v>"%USERPROFILE%\Documents\GitHub\eaglep3\Utilities\RefineRTDCRunTimes.py" --tripid 131-05 --locoid 4029 --swversion DE.1.0.7.0 --startMP 204:444 --initTime 2016-08-05T07:26:34 --startdatetime 2016-08-05T07:27:54 --delay 1 --endMP 204:19129 --enddatetime 2016-08-05T07:34:58 --enforcementcount 0 &gt;&gt; 2016-08-05-refined-runtimes.txt</v>
      </c>
    </row>
    <row r="47" spans="1:34" s="1" customFormat="1" x14ac:dyDescent="0.25">
      <c r="A47" s="42" t="s">
        <v>590</v>
      </c>
      <c r="B47" s="7">
        <v>4030</v>
      </c>
      <c r="C47" s="25" t="s">
        <v>156</v>
      </c>
      <c r="D47" s="25" t="s">
        <v>310</v>
      </c>
      <c r="E47" s="16">
        <v>42587.346863425926</v>
      </c>
      <c r="F47" s="16">
        <v>42587.347777777781</v>
      </c>
      <c r="G47" s="7">
        <v>1</v>
      </c>
      <c r="H47" s="16" t="s">
        <v>694</v>
      </c>
      <c r="I47" s="16">
        <v>42587.382673611108</v>
      </c>
      <c r="J47" s="7">
        <v>0</v>
      </c>
      <c r="K47" s="111" t="str">
        <f t="shared" si="11"/>
        <v>4029/4030</v>
      </c>
      <c r="L47" s="25" t="str">
        <f>VLOOKUP(A47,'Trips&amp;Operators'!$C$1:$E$10000,3,FALSE)</f>
        <v>DAVIS</v>
      </c>
      <c r="M47" s="6">
        <f t="shared" si="12"/>
        <v>3.4895833327027503E-2</v>
      </c>
      <c r="N47" s="7">
        <f t="shared" si="25"/>
        <v>50.249999990919605</v>
      </c>
      <c r="O47" s="7"/>
      <c r="P47" s="7"/>
      <c r="Q47" s="26"/>
      <c r="R47" s="26"/>
      <c r="S47" s="38">
        <f t="shared" si="13"/>
        <v>1</v>
      </c>
      <c r="T47" s="55" t="str">
        <f t="shared" si="14"/>
        <v>Southbound</v>
      </c>
      <c r="U47" s="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07:19:29-0600',mode:absolute,to:'2016-08-05 10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47" s="57" t="str">
        <f t="shared" si="16"/>
        <v>N</v>
      </c>
      <c r="X47" s="114">
        <f t="shared" si="17"/>
        <v>1</v>
      </c>
      <c r="Y47" s="72">
        <f t="shared" si="18"/>
        <v>23.297999999999998</v>
      </c>
      <c r="Z47" s="72">
        <f t="shared" si="19"/>
        <v>1.7999999999999999E-2</v>
      </c>
      <c r="AA47" s="72">
        <f t="shared" si="20"/>
        <v>23.279999999999998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21"/>
        <v>0132-05</v>
      </c>
      <c r="AE47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47" s="117" t="str">
        <f t="shared" si="23"/>
        <v>"C:\Program Files (x86)\AstroGrep\AstroGrep.exe" /spath="%USERPROFILE%\AppData\Local\Temp\OnboardLogs" /stypes="*4030*20160805*" /stext=" 15:.+((SYSTEM_STATE.+slice.+state.+changed )|(ment ac)|(system.+state.+changed )|(\|lc)|(penalty)|(\[timeout)|(PRM\|1\|D)|(kpr)|(kdp))" /e /r /s</v>
      </c>
      <c r="AG47" s="1" t="str">
        <f t="shared" si="24"/>
        <v>EC</v>
      </c>
      <c r="AH47" s="121" t="str">
        <f>refinertdcruntimes&amp;" --tripid "&amp;A47&amp;" --locoid "&amp;B47&amp;" --swversion "&amp;C47&amp;" --startMP "&amp;D47&amp;" --initTime "&amp;TEXT(E47,"yyyy-mm-ddTHH:MM:SS")&amp;" --startdatetime "&amp;TEXT(F47,"yyyy-mm-ddTHH:MM:SS")&amp;" --delay "&amp;G47&amp;" --endMP "&amp;H47&amp;" --enddatetime "&amp;TEXT(I47,"yyyy-mm-ddTHH:MM:SS")&amp;" --enforcementcount "&amp;J47&amp;" &gt;&gt; "&amp;TEXT(Variables!$A$2,"yyyy-mm-dd")&amp;"-refined-runtimes.txt"</f>
        <v>"%USERPROFILE%\Documents\GitHub\eaglep3\Utilities\RefineRTDCRunTimes.py" --tripid 132-05 --locoid 4030 --swversion DE.1.0.7.0 --startMP 204:232980 --initTime 2016-08-05T08:19:29 --startdatetime 2016-08-05T08:20:48 --delay 1 --endMP 204:180 --enddatetime 2016-08-05T09:11:03 --enforcementcount 0 &gt;&gt; 2016-08-05-refined-runtimes.txt</v>
      </c>
    </row>
    <row r="48" spans="1:34" s="1" customFormat="1" x14ac:dyDescent="0.25">
      <c r="A48" s="42" t="s">
        <v>606</v>
      </c>
      <c r="B48" s="7">
        <v>4020</v>
      </c>
      <c r="C48" s="25" t="s">
        <v>156</v>
      </c>
      <c r="D48" s="25" t="s">
        <v>308</v>
      </c>
      <c r="E48" s="16">
        <v>42587.321944444448</v>
      </c>
      <c r="F48" s="16">
        <v>42587.322789351849</v>
      </c>
      <c r="G48" s="7">
        <v>1</v>
      </c>
      <c r="H48" s="16" t="s">
        <v>695</v>
      </c>
      <c r="I48" s="16">
        <v>42587.351458333331</v>
      </c>
      <c r="J48" s="7">
        <v>0</v>
      </c>
      <c r="K48" s="111" t="str">
        <f t="shared" si="11"/>
        <v>4019/4020</v>
      </c>
      <c r="L48" s="25" t="str">
        <f>VLOOKUP(A48,'Trips&amp;Operators'!$C$1:$E$10000,3,FALSE)</f>
        <v>MALAVE</v>
      </c>
      <c r="M48" s="6">
        <f t="shared" si="12"/>
        <v>2.8668981482042E-2</v>
      </c>
      <c r="N48" s="7">
        <f t="shared" si="25"/>
        <v>41.28333333414048</v>
      </c>
      <c r="O48" s="7"/>
      <c r="P48" s="7"/>
      <c r="Q48" s="26"/>
      <c r="R48" s="26"/>
      <c r="S48" s="38">
        <f t="shared" si="13"/>
        <v>1</v>
      </c>
      <c r="T48" s="55" t="str">
        <f t="shared" si="14"/>
        <v>NorthBound</v>
      </c>
      <c r="U48" s="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06:43:36-0600',mode:absolute,to:'2016-08-05 09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48" s="57" t="str">
        <f t="shared" si="16"/>
        <v>N</v>
      </c>
      <c r="X48" s="114">
        <f t="shared" si="17"/>
        <v>1</v>
      </c>
      <c r="Y48" s="72">
        <f t="shared" si="18"/>
        <v>4.4600000000000001E-2</v>
      </c>
      <c r="Z48" s="72">
        <f t="shared" si="19"/>
        <v>23.327400000000001</v>
      </c>
      <c r="AA48" s="72">
        <f t="shared" si="20"/>
        <v>23.282800000000002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21"/>
        <v>0133-05</v>
      </c>
      <c r="AE48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48" s="117" t="str">
        <f t="shared" si="23"/>
        <v>"C:\Program Files (x86)\AstroGrep\AstroGrep.exe" /spath="%USERPROFILE%\AppData\Local\Temp\OnboardLogs" /stypes="*4020*20160805*" /stext=" 14:.+((SYSTEM_STATE.+slice.+state.+changed )|(ment ac)|(system.+state.+changed )|(\|lc)|(penalty)|(\[timeout)|(PRM\|1\|D)|(kpr)|(kdp))" /e /r /s</v>
      </c>
      <c r="AG48" s="1" t="str">
        <f t="shared" si="24"/>
        <v>EC</v>
      </c>
      <c r="AH48" s="121" t="str">
        <f>refinertdcruntimes&amp;" --tripid "&amp;A48&amp;" --locoid "&amp;B48&amp;" --swversion "&amp;C48&amp;" --startMP "&amp;D48&amp;" --initTime "&amp;TEXT(E48,"yyyy-mm-ddTHH:MM:SS")&amp;" --startdatetime "&amp;TEXT(F48,"yyyy-mm-ddTHH:MM:SS")&amp;" --delay "&amp;G48&amp;" --endMP "&amp;H48&amp;" --enddatetime "&amp;TEXT(I48,"yyyy-mm-ddTHH:MM:SS")&amp;" --enforcementcount "&amp;J48&amp;" &gt;&gt; "&amp;TEXT(Variables!$A$2,"yyyy-mm-dd")&amp;"-refined-runtimes.txt"</f>
        <v>"%USERPROFILE%\Documents\GitHub\eaglep3\Utilities\RefineRTDCRunTimes.py" --tripid 133-05 --locoid 4020 --swversion DE.1.0.7.0 --startMP 204:446 --initTime 2016-08-05T07:43:36 --startdatetime 2016-08-05T07:44:49 --delay 1 --endMP 204:233274 --enddatetime 2016-08-05T08:26:06 --enforcementcount 0 &gt;&gt; 2016-08-05-refined-runtimes.txt</v>
      </c>
    </row>
    <row r="49" spans="1:34" s="1" customFormat="1" x14ac:dyDescent="0.25">
      <c r="A49" s="42" t="s">
        <v>696</v>
      </c>
      <c r="B49" s="7">
        <v>4019</v>
      </c>
      <c r="C49" s="25" t="s">
        <v>156</v>
      </c>
      <c r="D49" s="25" t="s">
        <v>697</v>
      </c>
      <c r="E49" s="16">
        <v>42587.360231481478</v>
      </c>
      <c r="F49" s="16">
        <v>42587.361192129632</v>
      </c>
      <c r="G49" s="7">
        <v>1</v>
      </c>
      <c r="H49" s="16" t="s">
        <v>109</v>
      </c>
      <c r="I49" s="16">
        <v>42587.398877314816</v>
      </c>
      <c r="J49" s="7">
        <v>0</v>
      </c>
      <c r="K49" s="111" t="str">
        <f t="shared" si="11"/>
        <v>4019/4020</v>
      </c>
      <c r="L49" s="25" t="e">
        <f>VLOOKUP(A49,'Trips&amp;Operators'!$C$1:$E$10000,3,FALSE)</f>
        <v>#N/A</v>
      </c>
      <c r="M49" s="6">
        <f t="shared" si="12"/>
        <v>3.7685185183363501E-2</v>
      </c>
      <c r="N49" s="7">
        <f t="shared" si="25"/>
        <v>54.266666664043441</v>
      </c>
      <c r="O49" s="7"/>
      <c r="P49" s="7"/>
      <c r="Q49" s="26"/>
      <c r="R49" s="26"/>
      <c r="S49" s="38">
        <f t="shared" si="13"/>
        <v>1</v>
      </c>
      <c r="T49" s="55" t="str">
        <f t="shared" si="14"/>
        <v>Southbound</v>
      </c>
      <c r="U49" s="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07:38:44-0600',mode:absolute,to:'2016-08-05 10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49" s="57" t="str">
        <f t="shared" si="16"/>
        <v>N</v>
      </c>
      <c r="X49" s="114">
        <f t="shared" si="17"/>
        <v>1</v>
      </c>
      <c r="Y49" s="72">
        <f t="shared" si="18"/>
        <v>23.2957</v>
      </c>
      <c r="Z49" s="72">
        <f t="shared" si="19"/>
        <v>1.5599999999999999E-2</v>
      </c>
      <c r="AA49" s="72">
        <f t="shared" si="20"/>
        <v>23.280100000000001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21"/>
        <v>0134-05</v>
      </c>
      <c r="AE49" s="120" t="str">
        <f t="shared" si="22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49" s="117" t="str">
        <f t="shared" si="23"/>
        <v>"C:\Program Files (x86)\AstroGrep\AstroGrep.exe" /spath="%USERPROFILE%\AppData\Local\Temp\OnboardLogs" /stypes="*4019*20160805*" /stext=" 15:.+((SYSTEM_STATE.+slice.+state.+changed )|(ment ac)|(system.+state.+changed )|(\|lc)|(penalty)|(\[timeout)|(PRM\|1\|D)|(kpr)|(kdp))" /e /r /s</v>
      </c>
      <c r="AG49" s="1" t="str">
        <f t="shared" si="24"/>
        <v>EC</v>
      </c>
      <c r="AH49" s="121" t="str">
        <f>refinertdcruntimes&amp;" --tripid "&amp;A49&amp;" --locoid "&amp;B49&amp;" --swversion "&amp;C49&amp;" --startMP "&amp;D49&amp;" --initTime "&amp;TEXT(E49,"yyyy-mm-ddTHH:MM:SS")&amp;" --startdatetime "&amp;TEXT(F49,"yyyy-mm-ddTHH:MM:SS")&amp;" --delay "&amp;G49&amp;" --endMP "&amp;H49&amp;" --enddatetime "&amp;TEXT(I49,"yyyy-mm-ddTHH:MM:SS")&amp;" --enforcementcount "&amp;J49&amp;" &gt;&gt; "&amp;TEXT(Variables!$A$2,"yyyy-mm-dd")&amp;"-refined-runtimes.txt"</f>
        <v>"%USERPROFILE%\Documents\GitHub\eaglep3\Utilities\RefineRTDCRunTimes.py" --tripid 134-05 --locoid 4019 --swversion DE.1.0.7.0 --startMP 204:232957 --initTime 2016-08-05T08:38:44 --startdatetime 2016-08-05T08:40:07 --delay 1 --endMP 204:156 --enddatetime 2016-08-05T09:34:23 --enforcementcount 0 &gt;&gt; 2016-08-05-refined-runtimes.txt</v>
      </c>
    </row>
    <row r="50" spans="1:34" s="1" customFormat="1" x14ac:dyDescent="0.25">
      <c r="A50" s="42" t="s">
        <v>631</v>
      </c>
      <c r="B50" s="7">
        <v>4038</v>
      </c>
      <c r="C50" s="25" t="s">
        <v>156</v>
      </c>
      <c r="D50" s="25" t="s">
        <v>299</v>
      </c>
      <c r="E50" s="16">
        <v>42587.32984953704</v>
      </c>
      <c r="F50" s="16">
        <v>42587.330543981479</v>
      </c>
      <c r="G50" s="7">
        <v>0</v>
      </c>
      <c r="H50" s="16" t="s">
        <v>698</v>
      </c>
      <c r="I50" s="16">
        <v>42587.3593287037</v>
      </c>
      <c r="J50" s="7">
        <v>0</v>
      </c>
      <c r="K50" s="111" t="str">
        <f t="shared" si="11"/>
        <v>4037/4038</v>
      </c>
      <c r="L50" s="25" t="str">
        <f>VLOOKUP(A50,'Trips&amp;Operators'!$C$1:$E$10000,3,FALSE)</f>
        <v>GRASTON</v>
      </c>
      <c r="M50" s="6">
        <f t="shared" si="12"/>
        <v>2.8784722220734693E-2</v>
      </c>
      <c r="N50" s="7">
        <f t="shared" si="25"/>
        <v>41.449999997857958</v>
      </c>
      <c r="O50" s="7"/>
      <c r="P50" s="7"/>
      <c r="Q50" s="26"/>
      <c r="R50" s="26"/>
      <c r="S50" s="38">
        <f t="shared" si="13"/>
        <v>1</v>
      </c>
      <c r="T50" s="55" t="str">
        <f t="shared" si="14"/>
        <v>NorthBound</v>
      </c>
      <c r="U50" s="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06:54:59-0600',mode:absolute,to:'2016-08-05 09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50" s="57" t="str">
        <f t="shared" si="16"/>
        <v>N</v>
      </c>
      <c r="X50" s="114">
        <f t="shared" si="17"/>
        <v>1</v>
      </c>
      <c r="Y50" s="72">
        <f t="shared" si="18"/>
        <v>4.4699999999999997E-2</v>
      </c>
      <c r="Z50" s="72">
        <f t="shared" si="19"/>
        <v>23.331099999999999</v>
      </c>
      <c r="AA50" s="72">
        <f t="shared" si="20"/>
        <v>23.2864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21"/>
        <v>0135-05</v>
      </c>
      <c r="AE50" s="120" t="str">
        <f t="shared" si="22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50" s="117" t="str">
        <f t="shared" si="23"/>
        <v>"C:\Program Files (x86)\AstroGrep\AstroGrep.exe" /spath="%USERPROFILE%\AppData\Local\Temp\OnboardLogs" /stypes="*4038*20160805*" /stext=" 14:.+((SYSTEM_STATE.+slice.+state.+changed )|(ment ac)|(system.+state.+changed )|(\|lc)|(penalty)|(\[timeout)|(PRM\|1\|D)|(kpr)|(kdp))" /e /r /s</v>
      </c>
      <c r="AG50" s="1" t="str">
        <f t="shared" si="24"/>
        <v>EC</v>
      </c>
      <c r="AH50" s="121" t="str">
        <f>refinertdcruntimes&amp;" --tripid "&amp;A50&amp;" --locoid "&amp;B50&amp;" --swversion "&amp;C50&amp;" --startMP "&amp;D50&amp;" --initTime "&amp;TEXT(E50,"yyyy-mm-ddTHH:MM:SS")&amp;" --startdatetime "&amp;TEXT(F50,"yyyy-mm-ddTHH:MM:SS")&amp;" --delay "&amp;G50&amp;" --endMP "&amp;H50&amp;" --enddatetime "&amp;TEXT(I50,"yyyy-mm-ddTHH:MM:SS")&amp;" --enforcementcount "&amp;J50&amp;" &gt;&gt; "&amp;TEXT(Variables!$A$2,"yyyy-mm-dd")&amp;"-refined-runtimes.txt"</f>
        <v>"%USERPROFILE%\Documents\GitHub\eaglep3\Utilities\RefineRTDCRunTimes.py" --tripid 135-05 --locoid 4038 --swversion DE.1.0.7.0 --startMP 204:447 --initTime 2016-08-05T07:54:59 --startdatetime 2016-08-05T07:55:59 --delay 0 --endMP 204:233311 --enddatetime 2016-08-05T08:37:26 --enforcementcount 0 &gt;&gt; 2016-08-05-refined-runtimes.txt</v>
      </c>
    </row>
    <row r="51" spans="1:34" s="1" customFormat="1" x14ac:dyDescent="0.25">
      <c r="A51" s="42" t="s">
        <v>699</v>
      </c>
      <c r="B51" s="7">
        <v>4037</v>
      </c>
      <c r="C51" s="25" t="s">
        <v>156</v>
      </c>
      <c r="D51" s="25" t="s">
        <v>324</v>
      </c>
      <c r="E51" s="16">
        <v>42587.369270833333</v>
      </c>
      <c r="F51" s="16">
        <v>42587.370254629626</v>
      </c>
      <c r="G51" s="7">
        <v>1</v>
      </c>
      <c r="H51" s="16" t="s">
        <v>689</v>
      </c>
      <c r="I51" s="16">
        <v>42587.412083333336</v>
      </c>
      <c r="J51" s="7">
        <v>0</v>
      </c>
      <c r="K51" s="111" t="str">
        <f t="shared" si="11"/>
        <v>4037/4038</v>
      </c>
      <c r="L51" s="25" t="e">
        <f>VLOOKUP(A51,'Trips&amp;Operators'!$C$1:$E$10000,3,FALSE)</f>
        <v>#N/A</v>
      </c>
      <c r="M51" s="6">
        <f t="shared" si="12"/>
        <v>4.182870371005265E-2</v>
      </c>
      <c r="N51" s="7">
        <f t="shared" si="25"/>
        <v>60.233333342475817</v>
      </c>
      <c r="O51" s="7"/>
      <c r="P51" s="7"/>
      <c r="Q51" s="26"/>
      <c r="R51" s="26"/>
      <c r="S51" s="38">
        <f t="shared" si="13"/>
        <v>1</v>
      </c>
      <c r="T51" s="55" t="str">
        <f t="shared" si="14"/>
        <v>Southbound</v>
      </c>
      <c r="U51" s="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07:51:45-0600',mode:absolute,to:'2016-08-05 10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1" s="57" t="str">
        <f t="shared" si="16"/>
        <v>N</v>
      </c>
      <c r="X51" s="114">
        <f t="shared" si="17"/>
        <v>1</v>
      </c>
      <c r="Y51" s="72">
        <f t="shared" si="18"/>
        <v>23.2986</v>
      </c>
      <c r="Z51" s="72">
        <f t="shared" si="19"/>
        <v>1.47E-2</v>
      </c>
      <c r="AA51" s="72">
        <f t="shared" si="20"/>
        <v>23.283899999999999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21"/>
        <v>0136-05</v>
      </c>
      <c r="AE51" s="120" t="str">
        <f t="shared" si="22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51" s="117" t="str">
        <f t="shared" si="23"/>
        <v>"C:\Program Files (x86)\AstroGrep\AstroGrep.exe" /spath="%USERPROFILE%\AppData\Local\Temp\OnboardLogs" /stypes="*4037*20160805*" /stext=" 15:.+((SYSTEM_STATE.+slice.+state.+changed )|(ment ac)|(system.+state.+changed )|(\|lc)|(penalty)|(\[timeout)|(PRM\|1\|D)|(kpr)|(kdp))" /e /r /s</v>
      </c>
      <c r="AG51" s="1" t="str">
        <f t="shared" si="24"/>
        <v>EC</v>
      </c>
      <c r="AH51" s="121" t="str">
        <f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"&amp;J51&amp;" &gt;&gt; "&amp;TEXT(Variables!$A$2,"yyyy-mm-dd")&amp;"-refined-runtimes.txt"</f>
        <v>"%USERPROFILE%\Documents\GitHub\eaglep3\Utilities\RefineRTDCRunTimes.py" --tripid 136-05 --locoid 4037 --swversion DE.1.0.7.0 --startMP 204:232986 --initTime 2016-08-05T08:51:45 --startdatetime 2016-08-05T08:53:10 --delay 1 --endMP 204:147 --enddatetime 2016-08-05T09:53:24 --enforcementcount 0 &gt;&gt; 2016-08-05-refined-runtimes.txt</v>
      </c>
    </row>
    <row r="52" spans="1:34" s="1" customFormat="1" x14ac:dyDescent="0.25">
      <c r="A52" s="42" t="s">
        <v>600</v>
      </c>
      <c r="B52" s="7">
        <v>4027</v>
      </c>
      <c r="C52" s="25" t="s">
        <v>156</v>
      </c>
      <c r="D52" s="25" t="s">
        <v>136</v>
      </c>
      <c r="E52" s="16">
        <v>42587.339050925926</v>
      </c>
      <c r="F52" s="16">
        <v>42587.339988425927</v>
      </c>
      <c r="G52" s="7">
        <v>1</v>
      </c>
      <c r="H52" s="16" t="s">
        <v>152</v>
      </c>
      <c r="I52" s="16">
        <v>42587.371932870374</v>
      </c>
      <c r="J52" s="7">
        <v>0</v>
      </c>
      <c r="K52" s="111" t="str">
        <f t="shared" si="11"/>
        <v>4027/4028</v>
      </c>
      <c r="L52" s="25" t="str">
        <f>VLOOKUP(A52,'Trips&amp;Operators'!$C$1:$E$10000,3,FALSE)</f>
        <v>ISHMAEL</v>
      </c>
      <c r="M52" s="6">
        <f t="shared" si="12"/>
        <v>3.1944444446708076E-2</v>
      </c>
      <c r="N52" s="7">
        <f t="shared" si="25"/>
        <v>46.000000003259629</v>
      </c>
      <c r="O52" s="7"/>
      <c r="P52" s="7"/>
      <c r="Q52" s="26"/>
      <c r="R52" s="26"/>
      <c r="S52" s="38">
        <f t="shared" si="13"/>
        <v>1</v>
      </c>
      <c r="T52" s="55" t="str">
        <f t="shared" si="14"/>
        <v>NorthBound</v>
      </c>
      <c r="U52" s="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07:08:14-0600',mode:absolute,to:'2016-08-05 09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52" s="57" t="str">
        <f t="shared" si="16"/>
        <v>N</v>
      </c>
      <c r="X52" s="114">
        <f t="shared" si="17"/>
        <v>1</v>
      </c>
      <c r="Y52" s="72">
        <f t="shared" si="18"/>
        <v>4.6399999999999997E-2</v>
      </c>
      <c r="Z52" s="72">
        <f t="shared" si="19"/>
        <v>23.329499999999999</v>
      </c>
      <c r="AA52" s="72">
        <f t="shared" si="20"/>
        <v>23.283100000000001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21"/>
        <v>0137-05</v>
      </c>
      <c r="AE52" s="120" t="str">
        <f t="shared" si="22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52" s="117" t="str">
        <f t="shared" si="23"/>
        <v>"C:\Program Files (x86)\AstroGrep\AstroGrep.exe" /spath="%USERPROFILE%\AppData\Local\Temp\OnboardLogs" /stypes="*4027*20160805*" /stext=" 14:.+((SYSTEM_STATE.+slice.+state.+changed )|(ment ac)|(system.+state.+changed )|(\|lc)|(penalty)|(\[timeout)|(PRM\|1\|D)|(kpr)|(kdp))" /e /r /s</v>
      </c>
      <c r="AG52" s="1" t="str">
        <f t="shared" si="24"/>
        <v>EC</v>
      </c>
      <c r="AH52" s="121" t="str">
        <f>refinertdcruntimes&amp;" --tripid "&amp;A52&amp;" --locoid "&amp;B52&amp;" --swversion "&amp;C52&amp;" --startMP "&amp;D52&amp;" --initTime "&amp;TEXT(E52,"yyyy-mm-ddTHH:MM:SS")&amp;" --startdatetime "&amp;TEXT(F52,"yyyy-mm-ddTHH:MM:SS")&amp;" --delay "&amp;G52&amp;" --endMP "&amp;H52&amp;" --enddatetime "&amp;TEXT(I52,"yyyy-mm-ddTHH:MM:SS")&amp;" --enforcementcount "&amp;J52&amp;" &gt;&gt; "&amp;TEXT(Variables!$A$2,"yyyy-mm-dd")&amp;"-refined-runtimes.txt"</f>
        <v>"%USERPROFILE%\Documents\GitHub\eaglep3\Utilities\RefineRTDCRunTimes.py" --tripid 137-05 --locoid 4027 --swversion DE.1.0.7.0 --startMP 204:464 --initTime 2016-08-05T08:08:14 --startdatetime 2016-08-05T08:09:35 --delay 1 --endMP 204:233295 --enddatetime 2016-08-05T08:55:35 --enforcementcount 0 &gt;&gt; 2016-08-05-refined-runtimes.txt</v>
      </c>
    </row>
    <row r="53" spans="1:34" x14ac:dyDescent="0.25">
      <c r="A53" s="42" t="s">
        <v>640</v>
      </c>
      <c r="B53" s="7">
        <v>4028</v>
      </c>
      <c r="C53" s="25" t="s">
        <v>156</v>
      </c>
      <c r="D53" s="25" t="s">
        <v>700</v>
      </c>
      <c r="E53" s="16">
        <v>42587.381678240738</v>
      </c>
      <c r="F53" s="16">
        <v>42587.383831018517</v>
      </c>
      <c r="G53" s="7">
        <v>3</v>
      </c>
      <c r="H53" s="16" t="s">
        <v>701</v>
      </c>
      <c r="I53" s="16">
        <v>42587.417314814818</v>
      </c>
      <c r="J53" s="7">
        <v>1</v>
      </c>
      <c r="K53" s="111" t="str">
        <f t="shared" si="11"/>
        <v>4027/4028</v>
      </c>
      <c r="L53" s="25" t="e">
        <f>VLOOKUP(A53,'Trips&amp;Operators'!$C$1:$E$10000,3,FALSE)</f>
        <v>#N/A</v>
      </c>
      <c r="M53" s="6">
        <f t="shared" si="12"/>
        <v>3.348379630187992E-2</v>
      </c>
      <c r="N53" s="7">
        <f t="shared" si="25"/>
        <v>48.216666674707085</v>
      </c>
      <c r="O53" s="7"/>
      <c r="P53" s="7"/>
      <c r="Q53" s="26"/>
      <c r="R53" s="26"/>
      <c r="S53" s="38">
        <f t="shared" si="13"/>
        <v>1</v>
      </c>
      <c r="T53" s="55" t="str">
        <f t="shared" si="14"/>
        <v>Southbound</v>
      </c>
      <c r="U53" s="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08:09:37-0600',mode:absolute,to:'2016-08-05 11:00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53" s="57" t="str">
        <f t="shared" si="16"/>
        <v>N</v>
      </c>
      <c r="X53" s="114">
        <f t="shared" si="17"/>
        <v>1</v>
      </c>
      <c r="Y53" s="72">
        <f t="shared" si="18"/>
        <v>23.297899999999998</v>
      </c>
      <c r="Z53" s="72">
        <f t="shared" si="19"/>
        <v>1.2500000000000001E-2</v>
      </c>
      <c r="AA53" s="72">
        <f t="shared" si="20"/>
        <v>23.285399999999999</v>
      </c>
      <c r="AB53" s="69">
        <f>VLOOKUP(A53,Enforcements!$C$7:$J$24,8,0)</f>
        <v>1</v>
      </c>
      <c r="AC53" s="65" t="str">
        <f>VLOOKUP(A53,Enforcements!$C$7:$E$24,3,0)</f>
        <v>TRACK WARRANT AUTHORITY</v>
      </c>
      <c r="AD53" s="66" t="str">
        <f t="shared" si="21"/>
        <v>0138-05</v>
      </c>
      <c r="AE53" s="120" t="str">
        <f t="shared" si="22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53" s="117" t="str">
        <f t="shared" si="23"/>
        <v>"C:\Program Files (x86)\AstroGrep\AstroGrep.exe" /spath="%USERPROFILE%\AppData\Local\Temp\OnboardLogs" /stypes="*4028*20160805*" /stext=" 16:.+((SYSTEM_STATE.+slice.+state.+changed )|(ment ac)|(system.+state.+changed )|(\|lc)|(penalty)|(\[timeout)|(PRM\|1\|D)|(kpr)|(kdp))" /e /r /s</v>
      </c>
      <c r="AG53" s="1" t="str">
        <f t="shared" si="24"/>
        <v>EC</v>
      </c>
      <c r="AH53" s="121" t="str">
        <f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"&amp;J53&amp;" &gt;&gt; "&amp;TEXT(Variables!$A$2,"yyyy-mm-dd")&amp;"-refined-runtimes.txt"</f>
        <v>"%USERPROFILE%\Documents\GitHub\eaglep3\Utilities\RefineRTDCRunTimes.py" --tripid 138-05 --locoid 4028 --swversion DE.1.0.7.0 --startMP 204:232979 --initTime 2016-08-05T09:09:37 --startdatetime 2016-08-05T09:12:43 --delay 3 --endMP 204:125 --enddatetime 2016-08-05T10:00:56 --enforcementcount 1 &gt;&gt; 2016-08-05-refined-runtimes.txt</v>
      </c>
    </row>
    <row r="54" spans="1:34" x14ac:dyDescent="0.25">
      <c r="A54" s="42" t="s">
        <v>636</v>
      </c>
      <c r="B54" s="7">
        <v>4044</v>
      </c>
      <c r="C54" s="25" t="s">
        <v>156</v>
      </c>
      <c r="D54" s="25" t="s">
        <v>180</v>
      </c>
      <c r="E54" s="16">
        <v>42587.352881944447</v>
      </c>
      <c r="F54" s="16">
        <v>42587.353865740741</v>
      </c>
      <c r="G54" s="7">
        <v>1</v>
      </c>
      <c r="H54" s="16" t="s">
        <v>322</v>
      </c>
      <c r="I54" s="16">
        <v>42587.391631944447</v>
      </c>
      <c r="J54" s="7">
        <v>0</v>
      </c>
      <c r="K54" s="111" t="str">
        <f t="shared" si="11"/>
        <v>4043/4044</v>
      </c>
      <c r="L54" s="25" t="str">
        <f>VLOOKUP(A54,'Trips&amp;Operators'!$C$1:$E$10000,3,FALSE)</f>
        <v>SANTIZO</v>
      </c>
      <c r="M54" s="6">
        <f t="shared" si="12"/>
        <v>3.7766203706269152E-2</v>
      </c>
      <c r="N54" s="7">
        <f t="shared" si="25"/>
        <v>54.38333333702758</v>
      </c>
      <c r="O54" s="7"/>
      <c r="P54" s="7"/>
      <c r="Q54" s="26"/>
      <c r="R54" s="26"/>
      <c r="S54" s="38">
        <f t="shared" si="13"/>
        <v>1</v>
      </c>
      <c r="T54" s="55" t="str">
        <f t="shared" si="14"/>
        <v>NorthBound</v>
      </c>
      <c r="U54" s="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07:28:09-0600',mode:absolute,to:'2016-08-05 10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54" s="57" t="str">
        <f t="shared" si="16"/>
        <v>N</v>
      </c>
      <c r="X54" s="114">
        <f t="shared" si="17"/>
        <v>1</v>
      </c>
      <c r="Y54" s="72">
        <f t="shared" si="18"/>
        <v>4.4200000000000003E-2</v>
      </c>
      <c r="Z54" s="72">
        <f t="shared" si="19"/>
        <v>23.3324</v>
      </c>
      <c r="AA54" s="72">
        <f t="shared" si="20"/>
        <v>23.2882</v>
      </c>
      <c r="AB54" s="69" t="e">
        <f>VLOOKUP(A54,Enforcements!$C$7:$J$24,8,0)</f>
        <v>#N/A</v>
      </c>
      <c r="AC54" s="65" t="e">
        <f>VLOOKUP(A54,Enforcements!$C$7:$E$24,3,0)</f>
        <v>#N/A</v>
      </c>
      <c r="AD54" s="66" t="str">
        <f t="shared" si="21"/>
        <v>0139-05</v>
      </c>
      <c r="AE54" s="120" t="str">
        <f t="shared" si="22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54" s="117" t="str">
        <f t="shared" si="23"/>
        <v>"C:\Program Files (x86)\AstroGrep\AstroGrep.exe" /spath="%USERPROFILE%\AppData\Local\Temp\OnboardLogs" /stypes="*4044*20160805*" /stext=" 15:.+((SYSTEM_STATE.+slice.+state.+changed )|(ment ac)|(system.+state.+changed )|(\|lc)|(penalty)|(\[timeout)|(PRM\|1\|D)|(kpr)|(kdp))" /e /r /s</v>
      </c>
      <c r="AG54" s="1" t="str">
        <f t="shared" si="24"/>
        <v>EC</v>
      </c>
      <c r="AH54" s="121" t="str">
        <f>refinertdcruntimes&amp;" --tripid "&amp;A54&amp;" --locoid "&amp;B54&amp;" --swversion "&amp;C54&amp;" --startMP "&amp;D54&amp;" --initTime "&amp;TEXT(E54,"yyyy-mm-ddTHH:MM:SS")&amp;" --startdatetime "&amp;TEXT(F54,"yyyy-mm-ddTHH:MM:SS")&amp;" --delay "&amp;G54&amp;" --endMP "&amp;H54&amp;" --enddatetime "&amp;TEXT(I54,"yyyy-mm-ddTHH:MM:SS")&amp;" --enforcementcount "&amp;J54&amp;" &gt;&gt; "&amp;TEXT(Variables!$A$2,"yyyy-mm-dd")&amp;"-refined-runtimes.txt"</f>
        <v>"%USERPROFILE%\Documents\GitHub\eaglep3\Utilities\RefineRTDCRunTimes.py" --tripid 139-05 --locoid 4044 --swversion DE.1.0.7.0 --startMP 204:442 --initTime 2016-08-05T08:28:09 --startdatetime 2016-08-05T08:29:34 --delay 1 --endMP 204:233324 --enddatetime 2016-08-05T09:23:57 --enforcementcount 0 &gt;&gt; 2016-08-05-refined-runtimes.txt</v>
      </c>
    </row>
    <row r="55" spans="1:34" s="1" customFormat="1" x14ac:dyDescent="0.25">
      <c r="A55" s="42" t="s">
        <v>641</v>
      </c>
      <c r="B55" s="7">
        <v>4043</v>
      </c>
      <c r="C55" s="25" t="s">
        <v>156</v>
      </c>
      <c r="D55" s="25" t="s">
        <v>702</v>
      </c>
      <c r="E55" s="16">
        <v>42587.394375000003</v>
      </c>
      <c r="F55" s="16">
        <v>42587.395162037035</v>
      </c>
      <c r="G55" s="7">
        <v>1</v>
      </c>
      <c r="H55" s="16" t="s">
        <v>137</v>
      </c>
      <c r="I55" s="16">
        <v>42587.423564814817</v>
      </c>
      <c r="J55" s="7">
        <v>1</v>
      </c>
      <c r="K55" s="111" t="str">
        <f t="shared" si="11"/>
        <v>4043/4044</v>
      </c>
      <c r="L55" s="25" t="e">
        <f>VLOOKUP(A55,'Trips&amp;Operators'!$C$1:$E$10000,3,FALSE)</f>
        <v>#N/A</v>
      </c>
      <c r="M55" s="6">
        <f t="shared" si="12"/>
        <v>2.8402777781593613E-2</v>
      </c>
      <c r="N55" s="7">
        <f t="shared" si="25"/>
        <v>40.900000005494803</v>
      </c>
      <c r="O55" s="7"/>
      <c r="P55" s="7"/>
      <c r="Q55" s="26"/>
      <c r="R55" s="26"/>
      <c r="S55" s="38">
        <f t="shared" si="13"/>
        <v>1</v>
      </c>
      <c r="T55" s="55" t="str">
        <f t="shared" si="14"/>
        <v>Southbound</v>
      </c>
      <c r="U55" s="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08:27:54-0600',mode:absolute,to:'2016-08-05 11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55" s="57" t="str">
        <f t="shared" si="16"/>
        <v>N</v>
      </c>
      <c r="X55" s="114">
        <f t="shared" si="17"/>
        <v>1</v>
      </c>
      <c r="Y55" s="72">
        <f t="shared" si="18"/>
        <v>23.3001</v>
      </c>
      <c r="Z55" s="72">
        <f t="shared" si="19"/>
        <v>1.3899999999999999E-2</v>
      </c>
      <c r="AA55" s="72">
        <f t="shared" si="20"/>
        <v>23.286200000000001</v>
      </c>
      <c r="AB55" s="69">
        <f>VLOOKUP(A55,Enforcements!$C$7:$J$24,8,0)</f>
        <v>1</v>
      </c>
      <c r="AC55" s="65" t="str">
        <f>VLOOKUP(A55,Enforcements!$C$7:$E$24,3,0)</f>
        <v>TRACK WARRANT AUTHORITY</v>
      </c>
      <c r="AD55" s="66" t="str">
        <f t="shared" si="21"/>
        <v>0140-05</v>
      </c>
      <c r="AE55" s="120" t="str">
        <f t="shared" si="22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55" s="117" t="str">
        <f t="shared" si="23"/>
        <v>"C:\Program Files (x86)\AstroGrep\AstroGrep.exe" /spath="%USERPROFILE%\AppData\Local\Temp\OnboardLogs" /stypes="*4043*20160805*" /stext=" 16:.+((SYSTEM_STATE.+slice.+state.+changed )|(ment ac)|(system.+state.+changed )|(\|lc)|(penalty)|(\[timeout)|(PRM\|1\|D)|(kpr)|(kdp))" /e /r /s</v>
      </c>
      <c r="AG55" s="1" t="str">
        <f t="shared" si="24"/>
        <v>EC</v>
      </c>
      <c r="AH55" s="121" t="str">
        <f>refinertdcruntimes&amp;" --tripid "&amp;A55&amp;" --locoid "&amp;B55&amp;" --swversion "&amp;C55&amp;" --startMP "&amp;D55&amp;" --initTime "&amp;TEXT(E55,"yyyy-mm-ddTHH:MM:SS")&amp;" --startdatetime "&amp;TEXT(F55,"yyyy-mm-ddTHH:MM:SS")&amp;" --delay "&amp;G55&amp;" --endMP "&amp;H55&amp;" --enddatetime "&amp;TEXT(I55,"yyyy-mm-ddTHH:MM:SS")&amp;" --enforcementcount "&amp;J55&amp;" &gt;&gt; "&amp;TEXT(Variables!$A$2,"yyyy-mm-dd")&amp;"-refined-runtimes.txt"</f>
        <v>"%USERPROFILE%\Documents\GitHub\eaglep3\Utilities\RefineRTDCRunTimes.py" --tripid 140-05 --locoid 4043 --swversion DE.1.0.7.0 --startMP 204:233001 --initTime 2016-08-05T09:27:54 --startdatetime 2016-08-05T09:29:02 --delay 1 --endMP 204:139 --enddatetime 2016-08-05T10:09:56 --enforcementcount 1 &gt;&gt; 2016-08-05-refined-runtimes.txt</v>
      </c>
    </row>
    <row r="56" spans="1:34" s="1" customFormat="1" x14ac:dyDescent="0.25">
      <c r="A56" s="42" t="s">
        <v>703</v>
      </c>
      <c r="B56" s="7">
        <v>4025</v>
      </c>
      <c r="C56" s="25" t="s">
        <v>156</v>
      </c>
      <c r="D56" s="25" t="s">
        <v>180</v>
      </c>
      <c r="E56" s="16">
        <v>42587.362349537034</v>
      </c>
      <c r="F56" s="16">
        <v>42587.363263888888</v>
      </c>
      <c r="G56" s="7">
        <v>1</v>
      </c>
      <c r="H56" s="16" t="s">
        <v>704</v>
      </c>
      <c r="I56" s="16">
        <v>42587.400370370371</v>
      </c>
      <c r="J56" s="7">
        <v>0</v>
      </c>
      <c r="K56" s="111" t="str">
        <f t="shared" si="11"/>
        <v>4025/4026</v>
      </c>
      <c r="L56" s="25" t="e">
        <f>VLOOKUP(A56,'Trips&amp;Operators'!$C$1:$E$10000,3,FALSE)</f>
        <v>#N/A</v>
      </c>
      <c r="M56" s="6">
        <f t="shared" si="12"/>
        <v>3.7106481482624076E-2</v>
      </c>
      <c r="N56" s="7">
        <f t="shared" si="25"/>
        <v>53.43333333497867</v>
      </c>
      <c r="O56" s="7"/>
      <c r="P56" s="7"/>
      <c r="Q56" s="26"/>
      <c r="R56" s="26"/>
      <c r="S56" s="38">
        <f t="shared" si="13"/>
        <v>1</v>
      </c>
      <c r="T56" s="55" t="str">
        <f t="shared" si="14"/>
        <v>NorthBound</v>
      </c>
      <c r="U56" s="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07:41:47-0600',mode:absolute,to:'2016-08-05 10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56" s="57" t="str">
        <f t="shared" si="16"/>
        <v>N</v>
      </c>
      <c r="X56" s="114">
        <f t="shared" si="17"/>
        <v>1</v>
      </c>
      <c r="Y56" s="72">
        <f t="shared" si="18"/>
        <v>4.4200000000000003E-2</v>
      </c>
      <c r="Z56" s="72">
        <f t="shared" si="19"/>
        <v>23.332899999999999</v>
      </c>
      <c r="AA56" s="72">
        <f t="shared" si="20"/>
        <v>23.288699999999999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21"/>
        <v>0141-05</v>
      </c>
      <c r="AE56" s="120" t="str">
        <f t="shared" si="22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56" s="117" t="str">
        <f t="shared" si="23"/>
        <v>"C:\Program Files (x86)\AstroGrep\AstroGrep.exe" /spath="%USERPROFILE%\AppData\Local\Temp\OnboardLogs" /stypes="*4025*20160805*" /stext=" 15:.+((SYSTEM_STATE.+slice.+state.+changed )|(ment ac)|(system.+state.+changed )|(\|lc)|(penalty)|(\[timeout)|(PRM\|1\|D)|(kpr)|(kdp))" /e /r /s</v>
      </c>
      <c r="AG56" s="1" t="str">
        <f t="shared" si="24"/>
        <v>EC</v>
      </c>
      <c r="AH56" s="121" t="str">
        <f>refinertdcruntimes&amp;" --tripid "&amp;A56&amp;" --locoid "&amp;B56&amp;" --swversion "&amp;C56&amp;" --startMP "&amp;D56&amp;" --initTime "&amp;TEXT(E56,"yyyy-mm-ddTHH:MM:SS")&amp;" --startdatetime "&amp;TEXT(F56,"yyyy-mm-ddTHH:MM:SS")&amp;" --delay "&amp;G56&amp;" --endMP "&amp;H56&amp;" --enddatetime "&amp;TEXT(I56,"yyyy-mm-ddTHH:MM:SS")&amp;" --enforcementcount "&amp;J56&amp;" &gt;&gt; "&amp;TEXT(Variables!$A$2,"yyyy-mm-dd")&amp;"-refined-runtimes.txt"</f>
        <v>"%USERPROFILE%\Documents\GitHub\eaglep3\Utilities\RefineRTDCRunTimes.py" --tripid 141-05 --locoid 4025 --swversion DE.1.0.7.0 --startMP 204:442 --initTime 2016-08-05T08:41:47 --startdatetime 2016-08-05T08:43:06 --delay 1 --endMP 204:233329 --enddatetime 2016-08-05T09:36:32 --enforcementcount 0 &gt;&gt; 2016-08-05-refined-runtimes.txt</v>
      </c>
    </row>
    <row r="57" spans="1:34" x14ac:dyDescent="0.25">
      <c r="A57" s="42" t="s">
        <v>643</v>
      </c>
      <c r="B57" s="7">
        <v>4026</v>
      </c>
      <c r="C57" s="25" t="s">
        <v>156</v>
      </c>
      <c r="D57" s="25" t="s">
        <v>470</v>
      </c>
      <c r="E57" s="16">
        <v>42587.403715277775</v>
      </c>
      <c r="F57" s="16">
        <v>42587.404374999998</v>
      </c>
      <c r="G57" s="7">
        <v>0</v>
      </c>
      <c r="H57" s="16" t="s">
        <v>137</v>
      </c>
      <c r="I57" s="16">
        <v>42587.436712962961</v>
      </c>
      <c r="J57" s="7">
        <v>2</v>
      </c>
      <c r="K57" s="111" t="str">
        <f t="shared" si="11"/>
        <v>4025/4026</v>
      </c>
      <c r="L57" s="25" t="e">
        <f>VLOOKUP(A57,'Trips&amp;Operators'!$C$1:$E$10000,3,FALSE)</f>
        <v>#N/A</v>
      </c>
      <c r="M57" s="6">
        <f t="shared" si="12"/>
        <v>3.2337962962628808E-2</v>
      </c>
      <c r="N57" s="7">
        <f t="shared" si="25"/>
        <v>46.566666666185483</v>
      </c>
      <c r="O57" s="7"/>
      <c r="P57" s="7"/>
      <c r="Q57" s="26"/>
      <c r="R57" s="26"/>
      <c r="S57" s="38">
        <f t="shared" si="13"/>
        <v>1</v>
      </c>
      <c r="T57" s="55" t="str">
        <f t="shared" si="14"/>
        <v>Southbound</v>
      </c>
      <c r="U57" s="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57" s="57" t="str">
        <f t="shared" si="16"/>
        <v>N</v>
      </c>
      <c r="X57" s="114">
        <f t="shared" si="17"/>
        <v>1</v>
      </c>
      <c r="Y57" s="72">
        <f t="shared" si="18"/>
        <v>23.301100000000002</v>
      </c>
      <c r="Z57" s="72">
        <f t="shared" si="19"/>
        <v>1.3899999999999999E-2</v>
      </c>
      <c r="AA57" s="72">
        <f t="shared" si="20"/>
        <v>23.287200000000002</v>
      </c>
      <c r="AB57" s="69">
        <f>VLOOKUP(A57,Enforcements!$C$7:$J$24,8,0)</f>
        <v>21848</v>
      </c>
      <c r="AC57" s="65" t="str">
        <f>VLOOKUP(A57,Enforcements!$C$7:$E$24,3,0)</f>
        <v>PERMANENT SPEED RESTRICTION</v>
      </c>
      <c r="AD57" s="66" t="str">
        <f t="shared" si="21"/>
        <v>0142-05</v>
      </c>
      <c r="AE57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57" s="117" t="str">
        <f t="shared" si="23"/>
        <v>"C:\Program Files (x86)\AstroGrep\AstroGrep.exe" /spath="%USERPROFILE%\AppData\Local\Temp\OnboardLogs" /stypes="*4026*20160805*" /stext=" 16:.+((SYSTEM_STATE.+slice.+state.+changed )|(ment ac)|(system.+state.+changed )|(\|lc)|(penalty)|(\[timeout)|(PRM\|1\|D)|(kpr)|(kdp))" /e /r /s</v>
      </c>
      <c r="AG57" s="1" t="str">
        <f t="shared" si="24"/>
        <v>EC</v>
      </c>
      <c r="AH57" s="121" t="str">
        <f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"&amp;J57&amp;" &gt;&gt; "&amp;TEXT(Variables!$A$2,"yyyy-mm-dd")&amp;"-refined-runtimes.txt"</f>
        <v>"%USERPROFILE%\Documents\GitHub\eaglep3\Utilities\RefineRTDCRunTimes.py" --tripid 142-05 --locoid 4026 --swversion DE.1.0.7.0 --startMP 204:233011 --initTime 2016-08-05T09:41:21 --startdatetime 2016-08-05T09:42:18 --delay 0 --endMP 204:139 --enddatetime 2016-08-05T10:28:52 --enforcementcount 2 &gt;&gt; 2016-08-05-refined-runtimes.txt</v>
      </c>
    </row>
    <row r="58" spans="1:34" x14ac:dyDescent="0.25">
      <c r="A58" s="42" t="s">
        <v>705</v>
      </c>
      <c r="B58" s="7">
        <v>4009</v>
      </c>
      <c r="C58" s="25" t="s">
        <v>156</v>
      </c>
      <c r="D58" s="25" t="s">
        <v>63</v>
      </c>
      <c r="E58" s="16">
        <v>42587.373217592591</v>
      </c>
      <c r="F58" s="16">
        <v>42587.374108796299</v>
      </c>
      <c r="G58" s="7">
        <v>1</v>
      </c>
      <c r="H58" s="16" t="s">
        <v>435</v>
      </c>
      <c r="I58" s="16">
        <v>42587.401990740742</v>
      </c>
      <c r="J58" s="7">
        <v>0</v>
      </c>
      <c r="K58" s="111" t="str">
        <f t="shared" si="11"/>
        <v>4009/4010</v>
      </c>
      <c r="L58" s="25" t="e">
        <f>VLOOKUP(A58,'Trips&amp;Operators'!$C$1:$E$10000,3,FALSE)</f>
        <v>#N/A</v>
      </c>
      <c r="M58" s="6">
        <f t="shared" si="12"/>
        <v>2.7881944442924578E-2</v>
      </c>
      <c r="N58" s="7">
        <f t="shared" si="25"/>
        <v>40.149999997811392</v>
      </c>
      <c r="O58" s="7"/>
      <c r="P58" s="7"/>
      <c r="Q58" s="26"/>
      <c r="R58" s="26"/>
      <c r="S58" s="38">
        <f t="shared" si="13"/>
        <v>1</v>
      </c>
      <c r="T58" s="55" t="str">
        <f t="shared" si="14"/>
        <v>NorthBound</v>
      </c>
      <c r="U58" s="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07:57:26-0600',mode:absolute,to:'2016-08-05 10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58" s="57" t="str">
        <f t="shared" si="16"/>
        <v>N</v>
      </c>
      <c r="X58" s="114">
        <f t="shared" si="17"/>
        <v>1</v>
      </c>
      <c r="Y58" s="72">
        <f t="shared" si="18"/>
        <v>4.5999999999999999E-2</v>
      </c>
      <c r="Z58" s="72">
        <f t="shared" si="19"/>
        <v>23.3307</v>
      </c>
      <c r="AA58" s="72">
        <f t="shared" si="20"/>
        <v>23.284700000000001</v>
      </c>
      <c r="AB58" s="69" t="e">
        <f>VLOOKUP(A58,Enforcements!$C$7:$J$24,8,0)</f>
        <v>#N/A</v>
      </c>
      <c r="AC58" s="65" t="e">
        <f>VLOOKUP(A58,Enforcements!$C$7:$E$24,3,0)</f>
        <v>#N/A</v>
      </c>
      <c r="AD58" s="66" t="str">
        <f t="shared" si="21"/>
        <v>0143-05</v>
      </c>
      <c r="AE58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58" s="117" t="str">
        <f t="shared" si="23"/>
        <v>"C:\Program Files (x86)\AstroGrep\AstroGrep.exe" /spath="%USERPROFILE%\AppData\Local\Temp\OnboardLogs" /stypes="*4009*20160805*" /stext=" 15:.+((SYSTEM_STATE.+slice.+state.+changed )|(ment ac)|(system.+state.+changed )|(\|lc)|(penalty)|(\[timeout)|(PRM\|1\|D)|(kpr)|(kdp))" /e /r /s</v>
      </c>
      <c r="AG58" s="1" t="str">
        <f t="shared" si="24"/>
        <v>EC</v>
      </c>
      <c r="AH58" s="121" t="str">
        <f>refinertdcruntimes&amp;" --tripid "&amp;A58&amp;" --locoid "&amp;B58&amp;" --swversion "&amp;C58&amp;" --startMP "&amp;D58&amp;" --initTime "&amp;TEXT(E58,"yyyy-mm-ddTHH:MM:SS")&amp;" --startdatetime "&amp;TEXT(F58,"yyyy-mm-ddTHH:MM:SS")&amp;" --delay "&amp;G58&amp;" --endMP "&amp;H58&amp;" --enddatetime "&amp;TEXT(I58,"yyyy-mm-ddTHH:MM:SS")&amp;" --enforcementcount "&amp;J58&amp;" &gt;&gt; "&amp;TEXT(Variables!$A$2,"yyyy-mm-dd")&amp;"-refined-runtimes.txt"</f>
        <v>"%USERPROFILE%\Documents\GitHub\eaglep3\Utilities\RefineRTDCRunTimes.py" --tripid 143-05 --locoid 4009 --swversion DE.1.0.7.0 --startMP 204:460 --initTime 2016-08-05T08:57:26 --startdatetime 2016-08-05T08:58:43 --delay 1 --endMP 204:233307 --enddatetime 2016-08-05T09:38:52 --enforcementcount 0 &gt;&gt; 2016-08-05-refined-runtimes.txt</v>
      </c>
    </row>
    <row r="59" spans="1:34" x14ac:dyDescent="0.25">
      <c r="A59" s="42" t="s">
        <v>706</v>
      </c>
      <c r="B59" s="7">
        <v>4010</v>
      </c>
      <c r="C59" s="25" t="s">
        <v>156</v>
      </c>
      <c r="D59" s="25" t="s">
        <v>323</v>
      </c>
      <c r="E59" s="16">
        <v>42587.413148148145</v>
      </c>
      <c r="F59" s="16">
        <v>42587.41474537037</v>
      </c>
      <c r="G59" s="7">
        <v>2</v>
      </c>
      <c r="H59" s="16" t="s">
        <v>99</v>
      </c>
      <c r="I59" s="16">
        <v>42587.441770833335</v>
      </c>
      <c r="J59" s="7">
        <v>0</v>
      </c>
      <c r="K59" s="111" t="str">
        <f t="shared" si="11"/>
        <v>4009/4010</v>
      </c>
      <c r="L59" s="25" t="e">
        <f>VLOOKUP(A59,'Trips&amp;Operators'!$C$1:$E$10000,3,FALSE)</f>
        <v>#N/A</v>
      </c>
      <c r="M59" s="6">
        <f t="shared" si="12"/>
        <v>2.7025462964957114E-2</v>
      </c>
      <c r="N59" s="7">
        <f t="shared" si="25"/>
        <v>38.916666669538245</v>
      </c>
      <c r="O59" s="7"/>
      <c r="P59" s="7"/>
      <c r="Q59" s="26"/>
      <c r="R59" s="26"/>
      <c r="S59" s="38">
        <f t="shared" si="13"/>
        <v>1</v>
      </c>
      <c r="T59" s="55" t="str">
        <f t="shared" si="14"/>
        <v>Southbound</v>
      </c>
      <c r="U59" s="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08:54:56-0600',mode:absolute,to:'2016-08-05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59" s="57" t="str">
        <f t="shared" si="16"/>
        <v>N</v>
      </c>
      <c r="X59" s="114">
        <f t="shared" si="17"/>
        <v>1</v>
      </c>
      <c r="Y59" s="72">
        <f t="shared" si="18"/>
        <v>23.297799999999999</v>
      </c>
      <c r="Z59" s="72">
        <f t="shared" si="19"/>
        <v>1.43E-2</v>
      </c>
      <c r="AA59" s="72">
        <f t="shared" si="20"/>
        <v>23.2835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21"/>
        <v>0144-05</v>
      </c>
      <c r="AE59" s="120" t="str">
        <f t="shared" si="22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59" s="117" t="str">
        <f t="shared" si="23"/>
        <v>"C:\Program Files (x86)\AstroGrep\AstroGrep.exe" /spath="%USERPROFILE%\AppData\Local\Temp\OnboardLogs" /stypes="*4010*20160805*" /stext=" 16:.+((SYSTEM_STATE.+slice.+state.+changed )|(ment ac)|(system.+state.+changed )|(\|lc)|(penalty)|(\[timeout)|(PRM\|1\|D)|(kpr)|(kdp))" /e /r /s</v>
      </c>
      <c r="AG59" s="1" t="str">
        <f t="shared" si="24"/>
        <v>EC</v>
      </c>
      <c r="AH59" s="121" t="str">
        <f>refinertdcruntimes&amp;" --tripid "&amp;A59&amp;" --locoid "&amp;B59&amp;" --swversion "&amp;C59&amp;" --startMP "&amp;D59&amp;" --initTime "&amp;TEXT(E59,"yyyy-mm-ddTHH:MM:SS")&amp;" --startdatetime "&amp;TEXT(F59,"yyyy-mm-ddTHH:MM:SS")&amp;" --delay "&amp;G59&amp;" --endMP "&amp;H59&amp;" --enddatetime "&amp;TEXT(I59,"yyyy-mm-ddTHH:MM:SS")&amp;" --enforcementcount "&amp;J59&amp;" &gt;&gt; "&amp;TEXT(Variables!$A$2,"yyyy-mm-dd")&amp;"-refined-runtimes.txt"</f>
        <v>"%USERPROFILE%\Documents\GitHub\eaglep3\Utilities\RefineRTDCRunTimes.py" --tripid 144-05 --locoid 4010 --swversion DE.1.0.7.0 --startMP 204:232978 --initTime 2016-08-05T09:54:56 --startdatetime 2016-08-05T09:57:14 --delay 2 --endMP 204:143 --enddatetime 2016-08-05T10:36:09 --enforcementcount 0 &gt;&gt; 2016-08-05-refined-runtimes.txt</v>
      </c>
    </row>
    <row r="60" spans="1:34" x14ac:dyDescent="0.25">
      <c r="A60" s="42" t="s">
        <v>707</v>
      </c>
      <c r="B60" s="7">
        <v>4029</v>
      </c>
      <c r="C60" s="25" t="s">
        <v>156</v>
      </c>
      <c r="D60" s="25" t="s">
        <v>136</v>
      </c>
      <c r="E60" s="16">
        <v>42587.384548611109</v>
      </c>
      <c r="F60" s="16">
        <v>42587.385474537034</v>
      </c>
      <c r="G60" s="7">
        <v>1</v>
      </c>
      <c r="H60" s="16" t="s">
        <v>307</v>
      </c>
      <c r="I60" s="16">
        <v>42587.415335648147</v>
      </c>
      <c r="J60" s="7">
        <v>0</v>
      </c>
      <c r="K60" s="111" t="str">
        <f t="shared" si="11"/>
        <v>4029/4030</v>
      </c>
      <c r="L60" s="25" t="e">
        <f>VLOOKUP(A60,'Trips&amp;Operators'!$C$1:$E$10000,3,FALSE)</f>
        <v>#N/A</v>
      </c>
      <c r="M60" s="6">
        <f t="shared" si="12"/>
        <v>2.9861111113859806E-2</v>
      </c>
      <c r="N60" s="7">
        <f t="shared" si="25"/>
        <v>43.000000003958121</v>
      </c>
      <c r="O60" s="7"/>
      <c r="P60" s="7"/>
      <c r="Q60" s="26"/>
      <c r="R60" s="26"/>
      <c r="S60" s="38">
        <f t="shared" si="13"/>
        <v>1</v>
      </c>
      <c r="T60" s="55" t="str">
        <f t="shared" si="14"/>
        <v>NorthBound</v>
      </c>
      <c r="U60" s="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08:13:45-0600',mode:absolute,to:'2016-08-05 10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0" s="57" t="str">
        <f t="shared" si="16"/>
        <v>N</v>
      </c>
      <c r="X60" s="114">
        <f t="shared" si="17"/>
        <v>1</v>
      </c>
      <c r="Y60" s="72">
        <f t="shared" si="18"/>
        <v>4.6399999999999997E-2</v>
      </c>
      <c r="Z60" s="72">
        <f t="shared" si="19"/>
        <v>23.329699999999999</v>
      </c>
      <c r="AA60" s="72">
        <f t="shared" si="20"/>
        <v>23.283300000000001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21"/>
        <v>0145-05</v>
      </c>
      <c r="AE60" s="120" t="str">
        <f t="shared" si="22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60" s="117" t="str">
        <f t="shared" si="23"/>
        <v>"C:\Program Files (x86)\AstroGrep\AstroGrep.exe" /spath="%USERPROFILE%\AppData\Local\Temp\OnboardLogs" /stypes="*4029*20160805*" /stext=" 15:.+((SYSTEM_STATE.+slice.+state.+changed )|(ment ac)|(system.+state.+changed )|(\|lc)|(penalty)|(\[timeout)|(PRM\|1\|D)|(kpr)|(kdp))" /e /r /s</v>
      </c>
      <c r="AG60" s="1" t="str">
        <f t="shared" si="24"/>
        <v>EC</v>
      </c>
      <c r="AH60" s="121" t="str">
        <f>refinertdcruntimes&amp;" --tripid "&amp;A60&amp;" --locoid "&amp;B60&amp;" --swversion "&amp;C60&amp;" --startMP "&amp;D60&amp;" --initTime "&amp;TEXT(E60,"yyyy-mm-ddTHH:MM:SS")&amp;" --startdatetime "&amp;TEXT(F60,"yyyy-mm-ddTHH:MM:SS")&amp;" --delay "&amp;G60&amp;" --endMP "&amp;H60&amp;" --enddatetime "&amp;TEXT(I60,"yyyy-mm-ddTHH:MM:SS")&amp;" --enforcementcount "&amp;J60&amp;" &gt;&gt; "&amp;TEXT(Variables!$A$2,"yyyy-mm-dd")&amp;"-refined-runtimes.txt"</f>
        <v>"%USERPROFILE%\Documents\GitHub\eaglep3\Utilities\RefineRTDCRunTimes.py" --tripid 145-05 --locoid 4029 --swversion DE.1.0.7.0 --startMP 204:464 --initTime 2016-08-05T09:13:45 --startdatetime 2016-08-05T09:15:05 --delay 1 --endMP 204:233297 --enddatetime 2016-08-05T09:58:05 --enforcementcount 0 &gt;&gt; 2016-08-05-refined-runtimes.txt</v>
      </c>
    </row>
    <row r="61" spans="1:34" x14ac:dyDescent="0.25">
      <c r="A61" s="42" t="s">
        <v>642</v>
      </c>
      <c r="B61" s="7">
        <v>4030</v>
      </c>
      <c r="C61" s="25" t="s">
        <v>156</v>
      </c>
      <c r="D61" s="25" t="s">
        <v>225</v>
      </c>
      <c r="E61" s="16">
        <v>42587.417650462965</v>
      </c>
      <c r="F61" s="16">
        <v>42587.418391203704</v>
      </c>
      <c r="G61" s="7">
        <v>1</v>
      </c>
      <c r="H61" s="16" t="s">
        <v>135</v>
      </c>
      <c r="I61" s="16">
        <v>42587.453379629631</v>
      </c>
      <c r="J61" s="7">
        <v>1</v>
      </c>
      <c r="K61" s="111" t="str">
        <f t="shared" si="11"/>
        <v>4029/4030</v>
      </c>
      <c r="L61" s="25" t="e">
        <f>VLOOKUP(A61,'Trips&amp;Operators'!$C$1:$E$10000,3,FALSE)</f>
        <v>#N/A</v>
      </c>
      <c r="M61" s="6">
        <f t="shared" si="12"/>
        <v>3.4988425926712807E-2</v>
      </c>
      <c r="N61" s="7">
        <f t="shared" si="25"/>
        <v>50.383333334466442</v>
      </c>
      <c r="O61" s="7"/>
      <c r="P61" s="7"/>
      <c r="Q61" s="26"/>
      <c r="R61" s="26"/>
      <c r="S61" s="38">
        <f t="shared" si="13"/>
        <v>1</v>
      </c>
      <c r="T61" s="55" t="str">
        <f t="shared" si="14"/>
        <v>Southbound</v>
      </c>
      <c r="U61" s="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09:01:25-0600',mode:absolute,to:'2016-08-05 11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61" s="57" t="str">
        <f t="shared" si="16"/>
        <v>N</v>
      </c>
      <c r="X61" s="114">
        <f t="shared" si="17"/>
        <v>1</v>
      </c>
      <c r="Y61" s="72">
        <f t="shared" si="18"/>
        <v>23.299299999999999</v>
      </c>
      <c r="Z61" s="72">
        <f t="shared" si="19"/>
        <v>1.4999999999999999E-2</v>
      </c>
      <c r="AA61" s="72">
        <f t="shared" si="20"/>
        <v>23.284299999999998</v>
      </c>
      <c r="AB61" s="69">
        <f>VLOOKUP(A61,Enforcements!$C$7:$J$24,8,0)</f>
        <v>190834</v>
      </c>
      <c r="AC61" s="65" t="str">
        <f>VLOOKUP(A61,Enforcements!$C$7:$E$24,3,0)</f>
        <v>PERMANENT SPEED RESTRICTION</v>
      </c>
      <c r="AD61" s="66" t="str">
        <f t="shared" si="21"/>
        <v>0146-05</v>
      </c>
      <c r="AE61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61" s="117" t="str">
        <f t="shared" si="23"/>
        <v>"C:\Program Files (x86)\AstroGrep\AstroGrep.exe" /spath="%USERPROFILE%\AppData\Local\Temp\OnboardLogs" /stypes="*4030*20160805*" /stext=" 16:.+((SYSTEM_STATE.+slice.+state.+changed )|(ment ac)|(system.+state.+changed )|(\|lc)|(penalty)|(\[timeout)|(PRM\|1\|D)|(kpr)|(kdp))" /e /r /s</v>
      </c>
      <c r="AG61" s="1" t="str">
        <f t="shared" si="24"/>
        <v>EC</v>
      </c>
      <c r="AH61" s="121" t="str">
        <f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"&amp;J61&amp;" &gt;&gt; "&amp;TEXT(Variables!$A$2,"yyyy-mm-dd")&amp;"-refined-runtimes.txt"</f>
        <v>"%USERPROFILE%\Documents\GitHub\eaglep3\Utilities\RefineRTDCRunTimes.py" --tripid 146-05 --locoid 4030 --swversion DE.1.0.7.0 --startMP 204:232993 --initTime 2016-08-05T10:01:25 --startdatetime 2016-08-05T10:02:29 --delay 1 --endMP 204:150 --enddatetime 2016-08-05T10:52:52 --enforcementcount 1 &gt;&gt; 2016-08-05-refined-runtimes.txt</v>
      </c>
    </row>
    <row r="62" spans="1:34" x14ac:dyDescent="0.25">
      <c r="A62" s="42" t="s">
        <v>708</v>
      </c>
      <c r="B62" s="7">
        <v>4020</v>
      </c>
      <c r="C62" s="25" t="s">
        <v>156</v>
      </c>
      <c r="D62" s="25" t="s">
        <v>147</v>
      </c>
      <c r="E62" s="16">
        <v>42587.399884259263</v>
      </c>
      <c r="F62" s="16">
        <v>42587.400729166664</v>
      </c>
      <c r="G62" s="7">
        <v>1</v>
      </c>
      <c r="H62" s="16" t="s">
        <v>709</v>
      </c>
      <c r="I62" s="16">
        <v>42587.428263888891</v>
      </c>
      <c r="J62" s="7">
        <v>0</v>
      </c>
      <c r="K62" s="111" t="str">
        <f t="shared" si="11"/>
        <v>4019/4020</v>
      </c>
      <c r="L62" s="25" t="e">
        <f>VLOOKUP(A62,'Trips&amp;Operators'!$C$1:$E$10000,3,FALSE)</f>
        <v>#N/A</v>
      </c>
      <c r="M62" s="6">
        <f t="shared" si="12"/>
        <v>2.7534722226846498E-2</v>
      </c>
      <c r="N62" s="7">
        <f t="shared" si="25"/>
        <v>39.650000006658956</v>
      </c>
      <c r="O62" s="7"/>
      <c r="P62" s="7"/>
      <c r="Q62" s="26"/>
      <c r="R62" s="26"/>
      <c r="S62" s="38">
        <f t="shared" si="13"/>
        <v>1</v>
      </c>
      <c r="T62" s="55" t="str">
        <f t="shared" si="14"/>
        <v>NorthBound</v>
      </c>
      <c r="U62" s="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08:35:50-0600',mode:absolute,to:'2016-08-05 11:16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62" s="57" t="str">
        <f t="shared" si="16"/>
        <v>N</v>
      </c>
      <c r="X62" s="114">
        <f t="shared" si="17"/>
        <v>1</v>
      </c>
      <c r="Y62" s="72">
        <f t="shared" si="18"/>
        <v>4.6699999999999998E-2</v>
      </c>
      <c r="Z62" s="72">
        <f t="shared" si="19"/>
        <v>23.328399999999998</v>
      </c>
      <c r="AA62" s="72">
        <f t="shared" si="20"/>
        <v>23.281699999999997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21"/>
        <v>0147-05</v>
      </c>
      <c r="AE62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62" s="117" t="str">
        <f t="shared" si="23"/>
        <v>"C:\Program Files (x86)\AstroGrep\AstroGrep.exe" /spath="%USERPROFILE%\AppData\Local\Temp\OnboardLogs" /stypes="*4020*20160805*" /stext=" 16:.+((SYSTEM_STATE.+slice.+state.+changed )|(ment ac)|(system.+state.+changed )|(\|lc)|(penalty)|(\[timeout)|(PRM\|1\|D)|(kpr)|(kdp))" /e /r /s</v>
      </c>
      <c r="AG62" s="1" t="str">
        <f t="shared" si="24"/>
        <v>EC</v>
      </c>
      <c r="AH62" s="121" t="str">
        <f>refinertdcruntimes&amp;" --tripid "&amp;A62&amp;" --locoid "&amp;B62&amp;" --swversion "&amp;C62&amp;" --startMP "&amp;D62&amp;" --initTime "&amp;TEXT(E62,"yyyy-mm-ddTHH:MM:SS")&amp;" --startdatetime "&amp;TEXT(F62,"yyyy-mm-ddTHH:MM:SS")&amp;" --delay "&amp;G62&amp;" --endMP "&amp;H62&amp;" --enddatetime "&amp;TEXT(I62,"yyyy-mm-ddTHH:MM:SS")&amp;" --enforcementcount "&amp;J62&amp;" &gt;&gt; "&amp;TEXT(Variables!$A$2,"yyyy-mm-dd")&amp;"-refined-runtimes.txt"</f>
        <v>"%USERPROFILE%\Documents\GitHub\eaglep3\Utilities\RefineRTDCRunTimes.py" --tripid 147-05 --locoid 4020 --swversion DE.1.0.7.0 --startMP 204:467 --initTime 2016-08-05T09:35:50 --startdatetime 2016-08-05T09:37:03 --delay 1 --endMP 204:233284 --enddatetime 2016-08-05T10:16:42 --enforcementcount 0 &gt;&gt; 2016-08-05-refined-runtimes.txt</v>
      </c>
    </row>
    <row r="63" spans="1:34" x14ac:dyDescent="0.25">
      <c r="A63" s="42" t="s">
        <v>710</v>
      </c>
      <c r="B63" s="7">
        <v>4019</v>
      </c>
      <c r="C63" s="25" t="s">
        <v>156</v>
      </c>
      <c r="D63" s="25" t="s">
        <v>711</v>
      </c>
      <c r="E63" s="16">
        <v>42587.433368055557</v>
      </c>
      <c r="F63" s="16">
        <v>42587.434212962966</v>
      </c>
      <c r="G63" s="7">
        <v>1</v>
      </c>
      <c r="H63" s="16" t="s">
        <v>109</v>
      </c>
      <c r="I63" s="16">
        <v>42587.463506944441</v>
      </c>
      <c r="J63" s="7">
        <v>0</v>
      </c>
      <c r="K63" s="111" t="str">
        <f t="shared" si="11"/>
        <v>4019/4020</v>
      </c>
      <c r="L63" s="25" t="e">
        <f>VLOOKUP(A63,'Trips&amp;Operators'!$C$1:$E$10000,3,FALSE)</f>
        <v>#N/A</v>
      </c>
      <c r="M63" s="6">
        <f t="shared" si="12"/>
        <v>2.9293981475348119E-2</v>
      </c>
      <c r="N63" s="7">
        <f t="shared" si="25"/>
        <v>42.183333324501291</v>
      </c>
      <c r="O63" s="7"/>
      <c r="P63" s="7"/>
      <c r="Q63" s="26"/>
      <c r="R63" s="26"/>
      <c r="S63" s="38">
        <f t="shared" si="13"/>
        <v>1</v>
      </c>
      <c r="T63" s="55" t="str">
        <f t="shared" si="14"/>
        <v>Southbound</v>
      </c>
      <c r="U63" s="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09:24:03-0600',mode:absolute,to:'2016-08-05 12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63" s="57" t="str">
        <f t="shared" si="16"/>
        <v>N</v>
      </c>
      <c r="X63" s="114">
        <f t="shared" si="17"/>
        <v>1</v>
      </c>
      <c r="Y63" s="72">
        <f t="shared" si="18"/>
        <v>23.296500000000002</v>
      </c>
      <c r="Z63" s="72">
        <f t="shared" si="19"/>
        <v>1.5599999999999999E-2</v>
      </c>
      <c r="AA63" s="72">
        <f t="shared" si="20"/>
        <v>23.280900000000003</v>
      </c>
      <c r="AB63" s="69" t="e">
        <f>VLOOKUP(A63,Enforcements!$C$7:$J$24,8,0)</f>
        <v>#N/A</v>
      </c>
      <c r="AC63" s="65" t="e">
        <f>VLOOKUP(A63,Enforcements!$C$7:$E$24,3,0)</f>
        <v>#N/A</v>
      </c>
      <c r="AD63" s="66" t="str">
        <f t="shared" si="21"/>
        <v>0148-05</v>
      </c>
      <c r="AE63" s="120" t="str">
        <f t="shared" si="22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63" s="117" t="str">
        <f t="shared" si="23"/>
        <v>"C:\Program Files (x86)\AstroGrep\AstroGrep.exe" /spath="%USERPROFILE%\AppData\Local\Temp\OnboardLogs" /stypes="*4019*20160805*" /stext=" 17:.+((SYSTEM_STATE.+slice.+state.+changed )|(ment ac)|(system.+state.+changed )|(\|lc)|(penalty)|(\[timeout)|(PRM\|1\|D)|(kpr)|(kdp))" /e /r /s</v>
      </c>
      <c r="AG63" s="1" t="str">
        <f t="shared" si="24"/>
        <v>EC</v>
      </c>
      <c r="AH63" s="121" t="str">
        <f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"&amp;J63&amp;" &gt;&gt; "&amp;TEXT(Variables!$A$2,"yyyy-mm-dd")&amp;"-refined-runtimes.txt"</f>
        <v>"%USERPROFILE%\Documents\GitHub\eaglep3\Utilities\RefineRTDCRunTimes.py" --tripid 148-05 --locoid 4019 --swversion DE.1.0.7.0 --startMP 204:232965 --initTime 2016-08-05T10:24:03 --startdatetime 2016-08-05T10:25:16 --delay 1 --endMP 204:156 --enddatetime 2016-08-05T11:07:27 --enforcementcount 0 &gt;&gt; 2016-08-05-refined-runtimes.txt</v>
      </c>
    </row>
    <row r="64" spans="1:34" x14ac:dyDescent="0.25">
      <c r="A64" s="42" t="s">
        <v>712</v>
      </c>
      <c r="B64" s="7">
        <v>4038</v>
      </c>
      <c r="C64" s="25" t="s">
        <v>156</v>
      </c>
      <c r="D64" s="25" t="s">
        <v>138</v>
      </c>
      <c r="E64" s="16">
        <v>42587.414803240739</v>
      </c>
      <c r="F64" s="16">
        <v>42587.415763888886</v>
      </c>
      <c r="G64" s="7">
        <v>1</v>
      </c>
      <c r="H64" s="16" t="s">
        <v>451</v>
      </c>
      <c r="I64" s="16">
        <v>42587.443287037036</v>
      </c>
      <c r="J64" s="7">
        <v>0</v>
      </c>
      <c r="K64" s="111" t="str">
        <f t="shared" si="11"/>
        <v>4037/4038</v>
      </c>
      <c r="L64" s="25" t="e">
        <f>VLOOKUP(A64,'Trips&amp;Operators'!$C$1:$E$10000,3,FALSE)</f>
        <v>#N/A</v>
      </c>
      <c r="M64" s="6">
        <f t="shared" si="12"/>
        <v>2.7523148150066845E-2</v>
      </c>
      <c r="N64" s="7">
        <f t="shared" si="25"/>
        <v>39.633333336096257</v>
      </c>
      <c r="O64" s="7"/>
      <c r="P64" s="7"/>
      <c r="Q64" s="26"/>
      <c r="R64" s="26"/>
      <c r="S64" s="38">
        <f t="shared" si="13"/>
        <v>1</v>
      </c>
      <c r="T64" s="55" t="str">
        <f t="shared" si="14"/>
        <v>NorthBound</v>
      </c>
      <c r="U64" s="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08:57:19-0600',mode:absolute,to:'2016-08-05 11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4" s="57" t="str">
        <f t="shared" si="16"/>
        <v>N</v>
      </c>
      <c r="X64" s="114">
        <f t="shared" si="17"/>
        <v>1</v>
      </c>
      <c r="Y64" s="72">
        <f t="shared" si="18"/>
        <v>4.6199999999999998E-2</v>
      </c>
      <c r="Z64" s="72">
        <f t="shared" si="19"/>
        <v>23.331499999999998</v>
      </c>
      <c r="AA64" s="72">
        <f t="shared" si="20"/>
        <v>23.285299999999999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21"/>
        <v>0149-05</v>
      </c>
      <c r="AE64" s="120" t="str">
        <f t="shared" si="22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64" s="117" t="str">
        <f t="shared" si="23"/>
        <v>"C:\Program Files (x86)\AstroGrep\AstroGrep.exe" /spath="%USERPROFILE%\AppData\Local\Temp\OnboardLogs" /stypes="*4038*20160805*" /stext=" 16:.+((SYSTEM_STATE.+slice.+state.+changed )|(ment ac)|(system.+state.+changed )|(\|lc)|(penalty)|(\[timeout)|(PRM\|1\|D)|(kpr)|(kdp))" /e /r /s</v>
      </c>
      <c r="AG64" s="1" t="str">
        <f t="shared" si="24"/>
        <v>EC</v>
      </c>
      <c r="AH64" s="121" t="str">
        <f>refinertdcruntimes&amp;" --tripid "&amp;A64&amp;" --locoid "&amp;B64&amp;" --swversion "&amp;C64&amp;" --startMP "&amp;D64&amp;" --initTime "&amp;TEXT(E64,"yyyy-mm-ddTHH:MM:SS")&amp;" --startdatetime "&amp;TEXT(F64,"yyyy-mm-ddTHH:MM:SS")&amp;" --delay "&amp;G64&amp;" --endMP "&amp;H64&amp;" --enddatetime "&amp;TEXT(I64,"yyyy-mm-ddTHH:MM:SS")&amp;" --enforcementcount "&amp;J64&amp;" &gt;&gt; "&amp;TEXT(Variables!$A$2,"yyyy-mm-dd")&amp;"-refined-runtimes.txt"</f>
        <v>"%USERPROFILE%\Documents\GitHub\eaglep3\Utilities\RefineRTDCRunTimes.py" --tripid 149-05 --locoid 4038 --swversion DE.1.0.7.0 --startMP 204:462 --initTime 2016-08-05T09:57:19 --startdatetime 2016-08-05T09:58:42 --delay 1 --endMP 204:233315 --enddatetime 2016-08-05T10:38:20 --enforcementcount 0 &gt;&gt; 2016-08-05-refined-runtimes.txt</v>
      </c>
    </row>
    <row r="65" spans="1:34" x14ac:dyDescent="0.25">
      <c r="A65" s="42" t="s">
        <v>713</v>
      </c>
      <c r="B65" s="7">
        <v>4037</v>
      </c>
      <c r="C65" s="25" t="s">
        <v>156</v>
      </c>
      <c r="D65" s="25" t="s">
        <v>332</v>
      </c>
      <c r="E65" s="16">
        <v>42587.44431712963</v>
      </c>
      <c r="F65" s="16">
        <v>42587.445150462961</v>
      </c>
      <c r="G65" s="7">
        <v>1</v>
      </c>
      <c r="H65" s="16" t="s">
        <v>334</v>
      </c>
      <c r="I65" s="16">
        <v>42587.474814814814</v>
      </c>
      <c r="J65" s="7">
        <v>0</v>
      </c>
      <c r="K65" s="111" t="str">
        <f t="shared" si="11"/>
        <v>4037/4038</v>
      </c>
      <c r="L65" s="25" t="e">
        <f>VLOOKUP(A65,'Trips&amp;Operators'!$C$1:$E$10000,3,FALSE)</f>
        <v>#N/A</v>
      </c>
      <c r="M65" s="6">
        <f t="shared" si="12"/>
        <v>2.9664351852261461E-2</v>
      </c>
      <c r="N65" s="7">
        <f t="shared" si="25"/>
        <v>42.716666667256504</v>
      </c>
      <c r="O65" s="7"/>
      <c r="P65" s="7"/>
      <c r="Q65" s="26"/>
      <c r="R65" s="26"/>
      <c r="S65" s="38">
        <f t="shared" si="13"/>
        <v>1</v>
      </c>
      <c r="T65" s="55" t="str">
        <f t="shared" si="14"/>
        <v>Southbound</v>
      </c>
      <c r="U65" s="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09:39:49-0600',mode:absolute,to:'2016-08-05 12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5" s="57" t="str">
        <f t="shared" si="16"/>
        <v>N</v>
      </c>
      <c r="X65" s="114">
        <f t="shared" si="17"/>
        <v>1</v>
      </c>
      <c r="Y65" s="72">
        <f t="shared" si="18"/>
        <v>23.3</v>
      </c>
      <c r="Z65" s="72">
        <f t="shared" si="19"/>
        <v>1.6299999999999999E-2</v>
      </c>
      <c r="AA65" s="72">
        <f t="shared" si="20"/>
        <v>23.2837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21"/>
        <v>0150-05</v>
      </c>
      <c r="AE65" s="120" t="str">
        <f t="shared" si="22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65" s="117" t="str">
        <f t="shared" si="23"/>
        <v>"C:\Program Files (x86)\AstroGrep\AstroGrep.exe" /spath="%USERPROFILE%\AppData\Local\Temp\OnboardLogs" /stypes="*4037*20160805*" /stext=" 17:.+((SYSTEM_STATE.+slice.+state.+changed )|(ment ac)|(system.+state.+changed )|(\|lc)|(penalty)|(\[timeout)|(PRM\|1\|D)|(kpr)|(kdp))" /e /r /s</v>
      </c>
      <c r="AG65" s="1" t="str">
        <f t="shared" si="24"/>
        <v>EC</v>
      </c>
      <c r="AH65" s="121" t="str">
        <f>refinertdcruntimes&amp;" --tripid "&amp;A65&amp;" --locoid "&amp;B65&amp;" --swversion "&amp;C65&amp;" --startMP "&amp;D65&amp;" --initTime "&amp;TEXT(E65,"yyyy-mm-ddTHH:MM:SS")&amp;" --startdatetime "&amp;TEXT(F65,"yyyy-mm-ddTHH:MM:SS")&amp;" --delay "&amp;G65&amp;" --endMP "&amp;H65&amp;" --enddatetime "&amp;TEXT(I65,"yyyy-mm-ddTHH:MM:SS")&amp;" --enforcementcount "&amp;J65&amp;" &gt;&gt; "&amp;TEXT(Variables!$A$2,"yyyy-mm-dd")&amp;"-refined-runtimes.txt"</f>
        <v>"%USERPROFILE%\Documents\GitHub\eaglep3\Utilities\RefineRTDCRunTimes.py" --tripid 150-05 --locoid 4037 --swversion DE.1.0.7.0 --startMP 204:233000 --initTime 2016-08-05T10:39:49 --startdatetime 2016-08-05T10:41:01 --delay 1 --endMP 204:163 --enddatetime 2016-08-05T11:23:44 --enforcementcount 0 &gt;&gt; 2016-08-05-refined-runtimes.txt</v>
      </c>
    </row>
    <row r="66" spans="1:34" x14ac:dyDescent="0.25">
      <c r="A66" s="42" t="s">
        <v>714</v>
      </c>
      <c r="B66" s="7">
        <v>4027</v>
      </c>
      <c r="C66" s="25" t="s">
        <v>156</v>
      </c>
      <c r="D66" s="25" t="s">
        <v>715</v>
      </c>
      <c r="E66" s="16">
        <v>42587.41851851852</v>
      </c>
      <c r="F66" s="16">
        <v>42587.419652777775</v>
      </c>
      <c r="G66" s="7">
        <v>1</v>
      </c>
      <c r="H66" s="16" t="s">
        <v>335</v>
      </c>
      <c r="I66" s="16">
        <v>42587.450497685182</v>
      </c>
      <c r="J66" s="7">
        <v>0</v>
      </c>
      <c r="K66" s="111" t="str">
        <f t="shared" si="11"/>
        <v>4027/4028</v>
      </c>
      <c r="L66" s="25" t="e">
        <f>VLOOKUP(A66,'Trips&amp;Operators'!$C$1:$E$10000,3,FALSE)</f>
        <v>#N/A</v>
      </c>
      <c r="M66" s="6">
        <f t="shared" si="12"/>
        <v>3.0844907407299615E-2</v>
      </c>
      <c r="N66" s="7">
        <f t="shared" si="25"/>
        <v>44.416666666511446</v>
      </c>
      <c r="O66" s="7"/>
      <c r="P66" s="7"/>
      <c r="Q66" s="26"/>
      <c r="R66" s="26"/>
      <c r="S66" s="38">
        <f t="shared" si="13"/>
        <v>1</v>
      </c>
      <c r="T66" s="55" t="str">
        <f t="shared" si="14"/>
        <v>NorthBound</v>
      </c>
      <c r="U66" s="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09:02:40-0600',mode:absolute,to:'2016-08-05 11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66" s="57" t="str">
        <f t="shared" si="16"/>
        <v>N</v>
      </c>
      <c r="X66" s="114">
        <f t="shared" si="17"/>
        <v>1</v>
      </c>
      <c r="Y66" s="72">
        <f t="shared" si="18"/>
        <v>4.3099999999999999E-2</v>
      </c>
      <c r="Z66" s="72">
        <f t="shared" si="19"/>
        <v>23.3278</v>
      </c>
      <c r="AA66" s="72">
        <f t="shared" si="20"/>
        <v>23.284700000000001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21"/>
        <v>0151-05</v>
      </c>
      <c r="AE66" s="120" t="str">
        <f t="shared" si="22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66" s="117" t="str">
        <f t="shared" si="23"/>
        <v>"C:\Program Files (x86)\AstroGrep\AstroGrep.exe" /spath="%USERPROFILE%\AppData\Local\Temp\OnboardLogs" /stypes="*4027*20160805*" /stext=" 16:.+((SYSTEM_STATE.+slice.+state.+changed )|(ment ac)|(system.+state.+changed )|(\|lc)|(penalty)|(\[timeout)|(PRM\|1\|D)|(kpr)|(kdp))" /e /r /s</v>
      </c>
      <c r="AG66" s="1" t="str">
        <f t="shared" si="24"/>
        <v>EC</v>
      </c>
      <c r="AH66" s="121" t="str">
        <f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"&amp;J66&amp;" &gt;&gt; "&amp;TEXT(Variables!$A$2,"yyyy-mm-dd")&amp;"-refined-runtimes.txt"</f>
        <v>"%USERPROFILE%\Documents\GitHub\eaglep3\Utilities\RefineRTDCRunTimes.py" --tripid 151-05 --locoid 4027 --swversion DE.1.0.7.0 --startMP 204:431 --initTime 2016-08-05T10:02:40 --startdatetime 2016-08-05T10:04:18 --delay 1 --endMP 204:233278 --enddatetime 2016-08-05T10:48:43 --enforcementcount 0 &gt;&gt; 2016-08-05-refined-runtimes.txt</v>
      </c>
    </row>
    <row r="67" spans="1:34" x14ac:dyDescent="0.25">
      <c r="A67" s="42" t="s">
        <v>716</v>
      </c>
      <c r="B67" s="7">
        <v>4028</v>
      </c>
      <c r="C67" s="25" t="s">
        <v>156</v>
      </c>
      <c r="D67" s="25" t="s">
        <v>717</v>
      </c>
      <c r="E67" s="16">
        <v>42587.451666666668</v>
      </c>
      <c r="F67" s="16">
        <v>42587.45239583333</v>
      </c>
      <c r="G67" s="7">
        <v>1</v>
      </c>
      <c r="H67" s="16" t="s">
        <v>333</v>
      </c>
      <c r="I67" s="16">
        <v>42587.484849537039</v>
      </c>
      <c r="J67" s="7">
        <v>0</v>
      </c>
      <c r="K67" s="111" t="str">
        <f t="shared" si="11"/>
        <v>4027/4028</v>
      </c>
      <c r="L67" s="25" t="e">
        <f>VLOOKUP(A67,'Trips&amp;Operators'!$C$1:$E$10000,3,FALSE)</f>
        <v>#N/A</v>
      </c>
      <c r="M67" s="6">
        <f t="shared" si="12"/>
        <v>3.2453703708597459E-2</v>
      </c>
      <c r="N67" s="7">
        <f t="shared" si="25"/>
        <v>46.733333340380341</v>
      </c>
      <c r="O67" s="7"/>
      <c r="P67" s="7"/>
      <c r="Q67" s="26"/>
      <c r="R67" s="26"/>
      <c r="S67" s="38">
        <f t="shared" si="13"/>
        <v>1</v>
      </c>
      <c r="T67" s="55" t="str">
        <f t="shared" si="14"/>
        <v>Southbound</v>
      </c>
      <c r="U67" s="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09:50:24-0600',mode:absolute,to:'2016-08-05 12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67" s="57" t="str">
        <f t="shared" si="16"/>
        <v>N</v>
      </c>
      <c r="X67" s="114">
        <f t="shared" si="17"/>
        <v>1</v>
      </c>
      <c r="Y67" s="72">
        <f t="shared" si="18"/>
        <v>23.2971</v>
      </c>
      <c r="Z67" s="72">
        <f t="shared" si="19"/>
        <v>1.5800000000000002E-2</v>
      </c>
      <c r="AA67" s="72">
        <f t="shared" si="20"/>
        <v>23.281300000000002</v>
      </c>
      <c r="AB67" s="69" t="e">
        <f>VLOOKUP(A67,Enforcements!$C$7:$J$24,8,0)</f>
        <v>#N/A</v>
      </c>
      <c r="AC67" s="65" t="e">
        <f>VLOOKUP(A67,Enforcements!$C$7:$E$24,3,0)</f>
        <v>#N/A</v>
      </c>
      <c r="AD67" s="66" t="str">
        <f t="shared" si="21"/>
        <v>0152-05</v>
      </c>
      <c r="AE67" s="120" t="str">
        <f t="shared" si="22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67" s="117" t="str">
        <f t="shared" si="23"/>
        <v>"C:\Program Files (x86)\AstroGrep\AstroGrep.exe" /spath="%USERPROFILE%\AppData\Local\Temp\OnboardLogs" /stypes="*4028*20160805*" /stext=" 17:.+((SYSTEM_STATE.+slice.+state.+changed )|(ment ac)|(system.+state.+changed )|(\|lc)|(penalty)|(\[timeout)|(PRM\|1\|D)|(kpr)|(kdp))" /e /r /s</v>
      </c>
      <c r="AG67" s="1" t="str">
        <f t="shared" si="24"/>
        <v>EC</v>
      </c>
      <c r="AH67" s="121" t="str">
        <f>refinertdcruntimes&amp;" --tripid "&amp;A67&amp;" --locoid "&amp;B67&amp;" --swversion "&amp;C67&amp;" --startMP "&amp;D67&amp;" --initTime "&amp;TEXT(E67,"yyyy-mm-ddTHH:MM:SS")&amp;" --startdatetime "&amp;TEXT(F67,"yyyy-mm-ddTHH:MM:SS")&amp;" --delay "&amp;G67&amp;" --endMP "&amp;H67&amp;" --enddatetime "&amp;TEXT(I67,"yyyy-mm-ddTHH:MM:SS")&amp;" --enforcementcount "&amp;J67&amp;" &gt;&gt; "&amp;TEXT(Variables!$A$2,"yyyy-mm-dd")&amp;"-refined-runtimes.txt"</f>
        <v>"%USERPROFILE%\Documents\GitHub\eaglep3\Utilities\RefineRTDCRunTimes.py" --tripid 152-05 --locoid 4028 --swversion DE.1.0.7.0 --startMP 204:232971 --initTime 2016-08-05T10:50:24 --startdatetime 2016-08-05T10:51:27 --delay 1 --endMP 204:158 --enddatetime 2016-08-05T11:38:11 --enforcementcount 0 &gt;&gt; 2016-08-05-refined-runtimes.txt</v>
      </c>
    </row>
    <row r="68" spans="1:34" s="24" customFormat="1" x14ac:dyDescent="0.25">
      <c r="A68" s="42" t="s">
        <v>718</v>
      </c>
      <c r="B68" s="7">
        <v>4044</v>
      </c>
      <c r="C68" s="25" t="s">
        <v>156</v>
      </c>
      <c r="D68" s="25" t="s">
        <v>308</v>
      </c>
      <c r="E68" s="16">
        <v>42587.42523148148</v>
      </c>
      <c r="F68" s="16">
        <v>42587.426145833335</v>
      </c>
      <c r="G68" s="7">
        <v>1</v>
      </c>
      <c r="H68" s="16" t="s">
        <v>153</v>
      </c>
      <c r="I68" s="16">
        <v>42587.454212962963</v>
      </c>
      <c r="J68" s="7">
        <v>0</v>
      </c>
      <c r="K68" s="111" t="str">
        <f t="shared" si="11"/>
        <v>4043/4044</v>
      </c>
      <c r="L68" s="25" t="e">
        <f>VLOOKUP(A68,'Trips&amp;Operators'!$C$1:$E$10000,3,FALSE)</f>
        <v>#N/A</v>
      </c>
      <c r="M68" s="6">
        <f t="shared" si="12"/>
        <v>2.806712962774327E-2</v>
      </c>
      <c r="N68" s="7">
        <f t="shared" si="25"/>
        <v>40.416666663950309</v>
      </c>
      <c r="O68" s="7"/>
      <c r="P68" s="7"/>
      <c r="Q68" s="26"/>
      <c r="R68" s="26"/>
      <c r="S68" s="38">
        <f t="shared" si="13"/>
        <v>1</v>
      </c>
      <c r="T68" s="55" t="str">
        <f t="shared" si="14"/>
        <v>NorthBound</v>
      </c>
      <c r="U68" s="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09:12:20-0600',mode:absolute,to:'2016-08-05 11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68" s="57" t="str">
        <f t="shared" si="16"/>
        <v>N</v>
      </c>
      <c r="X68" s="114">
        <f t="shared" si="17"/>
        <v>1</v>
      </c>
      <c r="Y68" s="72">
        <f t="shared" si="18"/>
        <v>4.4600000000000001E-2</v>
      </c>
      <c r="Z68" s="72">
        <f t="shared" si="19"/>
        <v>23.3308</v>
      </c>
      <c r="AA68" s="72">
        <f t="shared" si="20"/>
        <v>23.286200000000001</v>
      </c>
      <c r="AB68" s="69" t="e">
        <f>VLOOKUP(A68,Enforcements!$C$7:$J$24,8,0)</f>
        <v>#N/A</v>
      </c>
      <c r="AC68" s="65" t="e">
        <f>VLOOKUP(A68,Enforcements!$C$7:$E$24,3,0)</f>
        <v>#N/A</v>
      </c>
      <c r="AD68" s="66" t="str">
        <f t="shared" si="21"/>
        <v>0153-05</v>
      </c>
      <c r="AE68" s="120" t="str">
        <f t="shared" si="22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68" s="117" t="str">
        <f t="shared" si="23"/>
        <v>"C:\Program Files (x86)\AstroGrep\AstroGrep.exe" /spath="%USERPROFILE%\AppData\Local\Temp\OnboardLogs" /stypes="*4044*20160805*" /stext=" 16:.+((SYSTEM_STATE.+slice.+state.+changed )|(ment ac)|(system.+state.+changed )|(\|lc)|(penalty)|(\[timeout)|(PRM\|1\|D)|(kpr)|(kdp))" /e /r /s</v>
      </c>
      <c r="AG68" s="1" t="str">
        <f t="shared" si="24"/>
        <v>EC</v>
      </c>
      <c r="AH68" s="121" t="str">
        <f>refinertdcruntimes&amp;" --tripid "&amp;A68&amp;" --locoid "&amp;B68&amp;" --swversion "&amp;C68&amp;" --startMP "&amp;D68&amp;" --initTime "&amp;TEXT(E68,"yyyy-mm-ddTHH:MM:SS")&amp;" --startdatetime "&amp;TEXT(F68,"yyyy-mm-ddTHH:MM:SS")&amp;" --delay "&amp;G68&amp;" --endMP "&amp;H68&amp;" --enddatetime "&amp;TEXT(I68,"yyyy-mm-ddTHH:MM:SS")&amp;" --enforcementcount "&amp;J68&amp;" &gt;&gt; "&amp;TEXT(Variables!$A$2,"yyyy-mm-dd")&amp;"-refined-runtimes.txt"</f>
        <v>"%USERPROFILE%\Documents\GitHub\eaglep3\Utilities\RefineRTDCRunTimes.py" --tripid 153-05 --locoid 4044 --swversion DE.1.0.7.0 --startMP 204:446 --initTime 2016-08-05T10:12:20 --startdatetime 2016-08-05T10:13:39 --delay 1 --endMP 204:233308 --enddatetime 2016-08-05T10:54:04 --enforcementcount 0 &gt;&gt; 2016-08-05-refined-runtimes.txt</v>
      </c>
    </row>
    <row r="69" spans="1:34" x14ac:dyDescent="0.25">
      <c r="A69" s="42" t="s">
        <v>646</v>
      </c>
      <c r="B69" s="7">
        <v>4043</v>
      </c>
      <c r="C69" s="25" t="s">
        <v>156</v>
      </c>
      <c r="D69" s="25" t="s">
        <v>332</v>
      </c>
      <c r="E69" s="16">
        <v>42587.455509259256</v>
      </c>
      <c r="F69" s="16">
        <v>42587.456400462965</v>
      </c>
      <c r="G69" s="7">
        <v>1</v>
      </c>
      <c r="H69" s="16" t="s">
        <v>689</v>
      </c>
      <c r="I69" s="16">
        <v>42587.495127314818</v>
      </c>
      <c r="J69" s="7">
        <v>1</v>
      </c>
      <c r="K69" s="111" t="str">
        <f t="shared" si="11"/>
        <v>4043/4044</v>
      </c>
      <c r="L69" s="25" t="e">
        <f>VLOOKUP(A69,'Trips&amp;Operators'!$C$1:$E$10000,3,FALSE)</f>
        <v>#N/A</v>
      </c>
      <c r="M69" s="6">
        <f t="shared" si="12"/>
        <v>3.8726851853425615E-2</v>
      </c>
      <c r="N69" s="7">
        <f t="shared" si="25"/>
        <v>55.766666668932885</v>
      </c>
      <c r="O69" s="7"/>
      <c r="P69" s="7"/>
      <c r="Q69" s="26"/>
      <c r="R69" s="26"/>
      <c r="S69" s="38">
        <f t="shared" si="13"/>
        <v>1</v>
      </c>
      <c r="T69" s="55" t="str">
        <f t="shared" si="14"/>
        <v>Southbound</v>
      </c>
      <c r="U69" s="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09:55:56-0600',mode:absolute,to:'2016-08-05 12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69" s="57" t="str">
        <f t="shared" si="16"/>
        <v>N</v>
      </c>
      <c r="X69" s="114">
        <f t="shared" si="17"/>
        <v>1</v>
      </c>
      <c r="Y69" s="72">
        <f t="shared" si="18"/>
        <v>23.3</v>
      </c>
      <c r="Z69" s="72">
        <f t="shared" si="19"/>
        <v>1.47E-2</v>
      </c>
      <c r="AA69" s="72">
        <f t="shared" si="20"/>
        <v>23.285299999999999</v>
      </c>
      <c r="AB69" s="69">
        <f>VLOOKUP(A69,Enforcements!$C$7:$J$24,8,0)</f>
        <v>127587</v>
      </c>
      <c r="AC69" s="65" t="str">
        <f>VLOOKUP(A69,Enforcements!$C$7:$E$24,3,0)</f>
        <v>SIGNAL</v>
      </c>
      <c r="AD69" s="66" t="str">
        <f t="shared" si="21"/>
        <v>0154-05</v>
      </c>
      <c r="AE69" s="120" t="str">
        <f t="shared" si="22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69" s="117" t="str">
        <f t="shared" si="23"/>
        <v>"C:\Program Files (x86)\AstroGrep\AstroGrep.exe" /spath="%USERPROFILE%\AppData\Local\Temp\OnboardLogs" /stypes="*4043*20160805*" /stext=" 17:.+((SYSTEM_STATE.+slice.+state.+changed )|(ment ac)|(system.+state.+changed )|(\|lc)|(penalty)|(\[timeout)|(PRM\|1\|D)|(kpr)|(kdp))" /e /r /s</v>
      </c>
      <c r="AG69" s="1" t="str">
        <f t="shared" si="24"/>
        <v>EC</v>
      </c>
      <c r="AH69" s="121" t="str">
        <f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"&amp;J69&amp;" &gt;&gt; "&amp;TEXT(Variables!$A$2,"yyyy-mm-dd")&amp;"-refined-runtimes.txt"</f>
        <v>"%USERPROFILE%\Documents\GitHub\eaglep3\Utilities\RefineRTDCRunTimes.py" --tripid 154-05 --locoid 4043 --swversion DE.1.0.7.0 --startMP 204:233000 --initTime 2016-08-05T10:55:56 --startdatetime 2016-08-05T10:57:13 --delay 1 --endMP 204:147 --enddatetime 2016-08-05T11:52:59 --enforcementcount 1 &gt;&gt; 2016-08-05-refined-runtimes.txt</v>
      </c>
    </row>
    <row r="70" spans="1:34" s="24" customFormat="1" x14ac:dyDescent="0.25">
      <c r="A70" s="42" t="s">
        <v>719</v>
      </c>
      <c r="B70" s="7">
        <v>4025</v>
      </c>
      <c r="C70" s="25" t="s">
        <v>156</v>
      </c>
      <c r="D70" s="25" t="s">
        <v>63</v>
      </c>
      <c r="E70" s="16">
        <v>42587.437881944446</v>
      </c>
      <c r="F70" s="16">
        <v>42587.440520833334</v>
      </c>
      <c r="G70" s="7">
        <v>3</v>
      </c>
      <c r="H70" s="16" t="s">
        <v>720</v>
      </c>
      <c r="I70" s="16">
        <v>42587.472962962966</v>
      </c>
      <c r="J70" s="7">
        <v>0</v>
      </c>
      <c r="K70" s="111" t="str">
        <f t="shared" si="11"/>
        <v>4025/4026</v>
      </c>
      <c r="L70" s="25" t="e">
        <f>VLOOKUP(A70,'Trips&amp;Operators'!$C$1:$E$10000,3,FALSE)</f>
        <v>#N/A</v>
      </c>
      <c r="M70" s="6">
        <f t="shared" si="12"/>
        <v>3.2442129631817807E-2</v>
      </c>
      <c r="N70" s="7">
        <f t="shared" si="25"/>
        <v>46.716666669817641</v>
      </c>
      <c r="O70" s="7"/>
      <c r="P70" s="7"/>
      <c r="Q70" s="26"/>
      <c r="R70" s="26"/>
      <c r="S70" s="38">
        <f t="shared" si="13"/>
        <v>1</v>
      </c>
      <c r="T70" s="55" t="str">
        <f t="shared" si="14"/>
        <v>NorthBound</v>
      </c>
      <c r="U70" s="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09:30:33-0600',mode:absolute,to:'2016-08-05 12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70" s="57" t="str">
        <f t="shared" si="16"/>
        <v>N</v>
      </c>
      <c r="X70" s="114">
        <f t="shared" si="17"/>
        <v>1</v>
      </c>
      <c r="Y70" s="72">
        <f t="shared" si="18"/>
        <v>4.5999999999999999E-2</v>
      </c>
      <c r="Z70" s="72">
        <f t="shared" si="19"/>
        <v>23.325299999999999</v>
      </c>
      <c r="AA70" s="72">
        <f t="shared" si="20"/>
        <v>23.279299999999999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21"/>
        <v>0155-05</v>
      </c>
      <c r="AE70" s="120" t="str">
        <f t="shared" si="22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70" s="117" t="str">
        <f t="shared" si="23"/>
        <v>"C:\Program Files (x86)\AstroGrep\AstroGrep.exe" /spath="%USERPROFILE%\AppData\Local\Temp\OnboardLogs" /stypes="*4025*20160805*" /stext=" 17:.+((SYSTEM_STATE.+slice.+state.+changed )|(ment ac)|(system.+state.+changed )|(\|lc)|(penalty)|(\[timeout)|(PRM\|1\|D)|(kpr)|(kdp))" /e /r /s</v>
      </c>
      <c r="AG70" s="1" t="str">
        <f t="shared" si="24"/>
        <v>EC</v>
      </c>
      <c r="AH70" s="121" t="str">
        <f>refinertdcruntimes&amp;" --tripid "&amp;A70&amp;" --locoid "&amp;B70&amp;" --swversion "&amp;C70&amp;" --startMP "&amp;D70&amp;" --initTime "&amp;TEXT(E70,"yyyy-mm-ddTHH:MM:SS")&amp;" --startdatetime "&amp;TEXT(F70,"yyyy-mm-ddTHH:MM:SS")&amp;" --delay "&amp;G70&amp;" --endMP "&amp;H70&amp;" --enddatetime "&amp;TEXT(I70,"yyyy-mm-ddTHH:MM:SS")&amp;" --enforcementcount "&amp;J70&amp;" &gt;&gt; "&amp;TEXT(Variables!$A$2,"yyyy-mm-dd")&amp;"-refined-runtimes.txt"</f>
        <v>"%USERPROFILE%\Documents\GitHub\eaglep3\Utilities\RefineRTDCRunTimes.py" --tripid 155-05 --locoid 4025 --swversion DE.1.0.7.0 --startMP 204:460 --initTime 2016-08-05T10:30:33 --startdatetime 2016-08-05T10:34:21 --delay 3 --endMP 204:233253 --enddatetime 2016-08-05T11:21:04 --enforcementcount 0 &gt;&gt; 2016-08-05-refined-runtimes.txt</v>
      </c>
    </row>
    <row r="71" spans="1:34" x14ac:dyDescent="0.25">
      <c r="A71" s="42" t="s">
        <v>721</v>
      </c>
      <c r="B71" s="7">
        <v>4026</v>
      </c>
      <c r="C71" s="25" t="s">
        <v>156</v>
      </c>
      <c r="D71" s="25" t="s">
        <v>722</v>
      </c>
      <c r="E71" s="16">
        <v>42587.474074074074</v>
      </c>
      <c r="F71" s="16">
        <v>42587.475497685184</v>
      </c>
      <c r="G71" s="7">
        <v>2</v>
      </c>
      <c r="H71" s="16" t="s">
        <v>333</v>
      </c>
      <c r="I71" s="16">
        <v>42587.507719907408</v>
      </c>
      <c r="J71" s="7">
        <v>0</v>
      </c>
      <c r="K71" s="111" t="str">
        <f t="shared" si="11"/>
        <v>4025/4026</v>
      </c>
      <c r="L71" s="25" t="e">
        <f>VLOOKUP(A71,'Trips&amp;Operators'!$C$1:$E$10000,3,FALSE)</f>
        <v>#N/A</v>
      </c>
      <c r="M71" s="6">
        <f t="shared" si="12"/>
        <v>3.2222222223936114E-2</v>
      </c>
      <c r="N71" s="7">
        <f t="shared" si="25"/>
        <v>46.400000002468005</v>
      </c>
      <c r="O71" s="7"/>
      <c r="P71" s="7"/>
      <c r="Q71" s="26"/>
      <c r="R71" s="26"/>
      <c r="S71" s="38">
        <f t="shared" si="13"/>
        <v>1</v>
      </c>
      <c r="T71" s="55" t="str">
        <f t="shared" si="14"/>
        <v>Southbound</v>
      </c>
      <c r="U71" s="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10:22:40-0600',mode:absolute,to:'2016-08-05 13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71" s="57" t="str">
        <f t="shared" si="16"/>
        <v>N</v>
      </c>
      <c r="X71" s="114">
        <f t="shared" si="17"/>
        <v>1</v>
      </c>
      <c r="Y71" s="72">
        <f t="shared" si="18"/>
        <v>23.2959</v>
      </c>
      <c r="Z71" s="72">
        <f t="shared" si="19"/>
        <v>1.5800000000000002E-2</v>
      </c>
      <c r="AA71" s="72">
        <f t="shared" si="20"/>
        <v>23.280100000000001</v>
      </c>
      <c r="AB71" s="69" t="e">
        <f>VLOOKUP(A71,Enforcements!$C$7:$J$24,8,0)</f>
        <v>#N/A</v>
      </c>
      <c r="AC71" s="65" t="e">
        <f>VLOOKUP(A71,Enforcements!$C$7:$E$24,3,0)</f>
        <v>#N/A</v>
      </c>
      <c r="AD71" s="66" t="str">
        <f t="shared" si="21"/>
        <v>0156-05</v>
      </c>
      <c r="AE71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71" s="117" t="str">
        <f t="shared" si="23"/>
        <v>"C:\Program Files (x86)\AstroGrep\AstroGrep.exe" /spath="%USERPROFILE%\AppData\Local\Temp\OnboardLogs" /stypes="*4026*20160805*" /stext=" 18:.+((SYSTEM_STATE.+slice.+state.+changed )|(ment ac)|(system.+state.+changed )|(\|lc)|(penalty)|(\[timeout)|(PRM\|1\|D)|(kpr)|(kdp))" /e /r /s</v>
      </c>
      <c r="AG71" s="1" t="str">
        <f t="shared" si="24"/>
        <v>EC</v>
      </c>
      <c r="AH71" s="121" t="str">
        <f>refinertdcruntimes&amp;" --tripid "&amp;A71&amp;" --locoid "&amp;B71&amp;" --swversion "&amp;C71&amp;" --startMP "&amp;D71&amp;" --initTime "&amp;TEXT(E71,"yyyy-mm-ddTHH:MM:SS")&amp;" --startdatetime "&amp;TEXT(F71,"yyyy-mm-ddTHH:MM:SS")&amp;" --delay "&amp;G71&amp;" --endMP "&amp;H71&amp;" --enddatetime "&amp;TEXT(I71,"yyyy-mm-ddTHH:MM:SS")&amp;" --enforcementcount "&amp;J71&amp;" &gt;&gt; "&amp;TEXT(Variables!$A$2,"yyyy-mm-dd")&amp;"-refined-runtimes.txt"</f>
        <v>"%USERPROFILE%\Documents\GitHub\eaglep3\Utilities\RefineRTDCRunTimes.py" --tripid 156-05 --locoid 4026 --swversion DE.1.0.7.0 --startMP 204:232959 --initTime 2016-08-05T11:22:40 --startdatetime 2016-08-05T11:24:43 --delay 2 --endMP 204:158 --enddatetime 2016-08-05T12:11:07 --enforcementcount 0 &gt;&gt; 2016-08-05-refined-runtimes.txt</v>
      </c>
    </row>
    <row r="72" spans="1:34" x14ac:dyDescent="0.25">
      <c r="A72" s="42" t="s">
        <v>723</v>
      </c>
      <c r="B72" s="7">
        <v>4009</v>
      </c>
      <c r="C72" s="25" t="s">
        <v>156</v>
      </c>
      <c r="D72" s="25" t="s">
        <v>306</v>
      </c>
      <c r="E72" s="16">
        <v>42587.44462962963</v>
      </c>
      <c r="F72" s="16">
        <v>42587.445613425924</v>
      </c>
      <c r="G72" s="7">
        <v>1</v>
      </c>
      <c r="H72" s="16" t="s">
        <v>331</v>
      </c>
      <c r="I72" s="16">
        <v>42587.475046296298</v>
      </c>
      <c r="J72" s="7">
        <v>0</v>
      </c>
      <c r="K72" s="111" t="str">
        <f t="shared" si="11"/>
        <v>4009/4010</v>
      </c>
      <c r="L72" s="25" t="e">
        <f>VLOOKUP(A72,'Trips&amp;Operators'!$C$1:$E$10000,3,FALSE)</f>
        <v>#N/A</v>
      </c>
      <c r="M72" s="6">
        <f t="shared" si="12"/>
        <v>2.9432870374876074E-2</v>
      </c>
      <c r="N72" s="7">
        <f t="shared" si="25"/>
        <v>42.383333339821547</v>
      </c>
      <c r="O72" s="7"/>
      <c r="P72" s="7"/>
      <c r="Q72" s="26"/>
      <c r="R72" s="26"/>
      <c r="S72" s="38">
        <f t="shared" si="13"/>
        <v>1</v>
      </c>
      <c r="T72" s="55" t="str">
        <f t="shared" si="14"/>
        <v>NorthBound</v>
      </c>
      <c r="U72" s="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09:40:16-0600',mode:absolute,to:'2016-08-05 12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72" s="57" t="str">
        <f t="shared" si="16"/>
        <v>N</v>
      </c>
      <c r="X72" s="114">
        <f t="shared" si="17"/>
        <v>1</v>
      </c>
      <c r="Y72" s="72">
        <f t="shared" si="18"/>
        <v>4.3700000000000003E-2</v>
      </c>
      <c r="Z72" s="72">
        <f t="shared" si="19"/>
        <v>23.331199999999999</v>
      </c>
      <c r="AA72" s="72">
        <f t="shared" si="20"/>
        <v>23.287499999999998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21"/>
        <v>0157-05</v>
      </c>
      <c r="AE72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72" s="117" t="str">
        <f t="shared" si="23"/>
        <v>"C:\Program Files (x86)\AstroGrep\AstroGrep.exe" /spath="%USERPROFILE%\AppData\Local\Temp\OnboardLogs" /stypes="*4009*20160805*" /stext=" 17:.+((SYSTEM_STATE.+slice.+state.+changed )|(ment ac)|(system.+state.+changed )|(\|lc)|(penalty)|(\[timeout)|(PRM\|1\|D)|(kpr)|(kdp))" /e /r /s</v>
      </c>
      <c r="AG72" s="1" t="str">
        <f t="shared" si="24"/>
        <v>EC</v>
      </c>
      <c r="AH72" s="121" t="str">
        <f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"&amp;J72&amp;" &gt;&gt; "&amp;TEXT(Variables!$A$2,"yyyy-mm-dd")&amp;"-refined-runtimes.txt"</f>
        <v>"%USERPROFILE%\Documents\GitHub\eaglep3\Utilities\RefineRTDCRunTimes.py" --tripid 157-05 --locoid 4009 --swversion DE.1.0.7.0 --startMP 204:437 --initTime 2016-08-05T10:40:16 --startdatetime 2016-08-05T10:41:41 --delay 1 --endMP 204:233312 --enddatetime 2016-08-05T11:24:04 --enforcementcount 0 &gt;&gt; 2016-08-05-refined-runtimes.txt</v>
      </c>
    </row>
    <row r="73" spans="1:34" x14ac:dyDescent="0.25">
      <c r="A73" s="42" t="s">
        <v>724</v>
      </c>
      <c r="B73" s="7">
        <v>4010</v>
      </c>
      <c r="C73" s="25" t="s">
        <v>156</v>
      </c>
      <c r="D73" s="25" t="s">
        <v>303</v>
      </c>
      <c r="E73" s="16">
        <v>42587.485289351855</v>
      </c>
      <c r="F73" s="16">
        <v>42587.485902777778</v>
      </c>
      <c r="G73" s="7">
        <v>0</v>
      </c>
      <c r="H73" s="16" t="s">
        <v>99</v>
      </c>
      <c r="I73" s="16">
        <v>42587.515219907407</v>
      </c>
      <c r="J73" s="7">
        <v>0</v>
      </c>
      <c r="K73" s="111" t="str">
        <f t="shared" si="11"/>
        <v>4009/4010</v>
      </c>
      <c r="L73" s="25" t="e">
        <f>VLOOKUP(A73,'Trips&amp;Operators'!$C$1:$E$10000,3,FALSE)</f>
        <v>#N/A</v>
      </c>
      <c r="M73" s="6">
        <f t="shared" si="12"/>
        <v>2.9317129628907423E-2</v>
      </c>
      <c r="N73" s="7">
        <f t="shared" si="25"/>
        <v>42.21666666562669</v>
      </c>
      <c r="O73" s="7"/>
      <c r="P73" s="7"/>
      <c r="Q73" s="26"/>
      <c r="R73" s="26"/>
      <c r="S73" s="38">
        <f t="shared" si="13"/>
        <v>1</v>
      </c>
      <c r="T73" s="55" t="str">
        <f t="shared" si="14"/>
        <v>Southbound</v>
      </c>
      <c r="U73" s="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10:38:49-0600',mode:absolute,to:'2016-08-05 13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73" s="57" t="str">
        <f t="shared" si="16"/>
        <v>N</v>
      </c>
      <c r="X73" s="114">
        <f t="shared" si="17"/>
        <v>1</v>
      </c>
      <c r="Y73" s="72">
        <f t="shared" si="18"/>
        <v>23.299800000000001</v>
      </c>
      <c r="Z73" s="72">
        <f t="shared" si="19"/>
        <v>1.43E-2</v>
      </c>
      <c r="AA73" s="72">
        <f t="shared" si="20"/>
        <v>23.285500000000003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21"/>
        <v>0158-05</v>
      </c>
      <c r="AE73" s="120" t="str">
        <f t="shared" si="22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73" s="117" t="str">
        <f t="shared" si="23"/>
        <v>"C:\Program Files (x86)\AstroGrep\AstroGrep.exe" /spath="%USERPROFILE%\AppData\Local\Temp\OnboardLogs" /stypes="*4010*20160805*" /stext=" 18:.+((SYSTEM_STATE.+slice.+state.+changed )|(ment ac)|(system.+state.+changed )|(\|lc)|(penalty)|(\[timeout)|(PRM\|1\|D)|(kpr)|(kdp))" /e /r /s</v>
      </c>
      <c r="AG73" s="1" t="str">
        <f t="shared" si="24"/>
        <v>EC</v>
      </c>
      <c r="AH73" s="121" t="str">
        <f>refinertdcruntimes&amp;" --tripid "&amp;A73&amp;" --locoid "&amp;B73&amp;" --swversion "&amp;C73&amp;" --startMP "&amp;D73&amp;" --initTime "&amp;TEXT(E73,"yyyy-mm-ddTHH:MM:SS")&amp;" --startdatetime "&amp;TEXT(F73,"yyyy-mm-ddTHH:MM:SS")&amp;" --delay "&amp;G73&amp;" --endMP "&amp;H73&amp;" --enddatetime "&amp;TEXT(I73,"yyyy-mm-ddTHH:MM:SS")&amp;" --enforcementcount "&amp;J73&amp;" &gt;&gt; "&amp;TEXT(Variables!$A$2,"yyyy-mm-dd")&amp;"-refined-runtimes.txt"</f>
        <v>"%USERPROFILE%\Documents\GitHub\eaglep3\Utilities\RefineRTDCRunTimes.py" --tripid 158-05 --locoid 4010 --swversion DE.1.0.7.0 --startMP 204:232998 --initTime 2016-08-05T11:38:49 --startdatetime 2016-08-05T11:39:42 --delay 0 --endMP 204:143 --enddatetime 2016-08-05T12:21:55 --enforcementcount 0 &gt;&gt; 2016-08-05-refined-runtimes.txt</v>
      </c>
    </row>
    <row r="74" spans="1:34" x14ac:dyDescent="0.25">
      <c r="A74" s="42" t="s">
        <v>644</v>
      </c>
      <c r="B74" s="7">
        <v>4029</v>
      </c>
      <c r="C74" s="25" t="s">
        <v>156</v>
      </c>
      <c r="D74" s="25" t="s">
        <v>136</v>
      </c>
      <c r="E74" s="16">
        <v>42587.455983796295</v>
      </c>
      <c r="F74" s="16">
        <v>42587.457245370373</v>
      </c>
      <c r="G74" s="7">
        <v>1</v>
      </c>
      <c r="H74" s="16" t="s">
        <v>725</v>
      </c>
      <c r="I74" s="16">
        <v>42587.486203703702</v>
      </c>
      <c r="J74" s="7">
        <v>1</v>
      </c>
      <c r="K74" s="111" t="str">
        <f t="shared" si="11"/>
        <v>4029/4030</v>
      </c>
      <c r="L74" s="25" t="e">
        <f>VLOOKUP(A74,'Trips&amp;Operators'!$C$1:$E$10000,3,FALSE)</f>
        <v>#N/A</v>
      </c>
      <c r="M74" s="6">
        <f t="shared" si="12"/>
        <v>2.8958333328773733E-2</v>
      </c>
      <c r="N74" s="7">
        <f t="shared" si="25"/>
        <v>41.699999993434176</v>
      </c>
      <c r="O74" s="7"/>
      <c r="P74" s="7"/>
      <c r="Q74" s="26"/>
      <c r="R74" s="26"/>
      <c r="S74" s="38">
        <f t="shared" si="13"/>
        <v>1</v>
      </c>
      <c r="T74" s="55" t="str">
        <f t="shared" si="14"/>
        <v>NorthBound</v>
      </c>
      <c r="U74" s="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09:56:37-0600',mode:absolute,to:'2016-08-05 12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74" s="57" t="str">
        <f t="shared" si="16"/>
        <v>N</v>
      </c>
      <c r="X74" s="114">
        <f t="shared" si="17"/>
        <v>1</v>
      </c>
      <c r="Y74" s="72">
        <f t="shared" si="18"/>
        <v>4.6399999999999997E-2</v>
      </c>
      <c r="Z74" s="72">
        <f t="shared" si="19"/>
        <v>23.3276</v>
      </c>
      <c r="AA74" s="72">
        <f t="shared" si="20"/>
        <v>23.281200000000002</v>
      </c>
      <c r="AB74" s="69">
        <f>VLOOKUP(A74,Enforcements!$C$7:$J$24,8,0)</f>
        <v>27333</v>
      </c>
      <c r="AC74" s="65" t="str">
        <f>VLOOKUP(A74,Enforcements!$C$7:$E$24,3,0)</f>
        <v>PERMANENT SPEED RESTRICTION</v>
      </c>
      <c r="AD74" s="66" t="str">
        <f t="shared" si="21"/>
        <v>0159-05</v>
      </c>
      <c r="AE74" s="120" t="str">
        <f t="shared" si="22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74" s="117" t="str">
        <f t="shared" si="23"/>
        <v>"C:\Program Files (x86)\AstroGrep\AstroGrep.exe" /spath="%USERPROFILE%\AppData\Local\Temp\OnboardLogs" /stypes="*4029*20160805*" /stext=" 17:.+((SYSTEM_STATE.+slice.+state.+changed )|(ment ac)|(system.+state.+changed )|(\|lc)|(penalty)|(\[timeout)|(PRM\|1\|D)|(kpr)|(kdp))" /e /r /s</v>
      </c>
      <c r="AG74" s="1" t="str">
        <f t="shared" si="24"/>
        <v>EC</v>
      </c>
      <c r="AH74" s="121" t="str">
        <f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"&amp;J74&amp;" &gt;&gt; "&amp;TEXT(Variables!$A$2,"yyyy-mm-dd")&amp;"-refined-runtimes.txt"</f>
        <v>"%USERPROFILE%\Documents\GitHub\eaglep3\Utilities\RefineRTDCRunTimes.py" --tripid 159-05 --locoid 4029 --swversion DE.1.0.7.0 --startMP 204:464 --initTime 2016-08-05T10:56:37 --startdatetime 2016-08-05T10:58:26 --delay 1 --endMP 204:233276 --enddatetime 2016-08-05T11:40:08 --enforcementcount 1 &gt;&gt; 2016-08-05-refined-runtimes.txt</v>
      </c>
    </row>
    <row r="75" spans="1:34" x14ac:dyDescent="0.25">
      <c r="A75" s="42" t="s">
        <v>726</v>
      </c>
      <c r="B75" s="7">
        <v>4030</v>
      </c>
      <c r="C75" s="25" t="s">
        <v>156</v>
      </c>
      <c r="D75" s="25" t="s">
        <v>347</v>
      </c>
      <c r="E75" s="16">
        <v>42587.492743055554</v>
      </c>
      <c r="F75" s="16">
        <v>42587.493819444448</v>
      </c>
      <c r="G75" s="7">
        <v>1</v>
      </c>
      <c r="H75" s="16" t="s">
        <v>137</v>
      </c>
      <c r="I75" s="16">
        <v>42587.526863425926</v>
      </c>
      <c r="J75" s="7">
        <v>0</v>
      </c>
      <c r="K75" s="111" t="str">
        <f t="shared" si="11"/>
        <v>4029/4030</v>
      </c>
      <c r="L75" s="25" t="e">
        <f>VLOOKUP(A75,'Trips&amp;Operators'!$C$1:$E$10000,3,FALSE)</f>
        <v>#N/A</v>
      </c>
      <c r="M75" s="6">
        <f t="shared" si="12"/>
        <v>3.3043981478840578E-2</v>
      </c>
      <c r="N75" s="7">
        <f t="shared" si="25"/>
        <v>47.583333329530433</v>
      </c>
      <c r="O75" s="7"/>
      <c r="P75" s="7"/>
      <c r="Q75" s="26"/>
      <c r="R75" s="26"/>
      <c r="S75" s="38">
        <f t="shared" si="13"/>
        <v>1</v>
      </c>
      <c r="T75" s="55" t="str">
        <f t="shared" si="14"/>
        <v>Southbound</v>
      </c>
      <c r="U75" s="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10:49:33-0600',mode:absolute,to:'2016-08-05 13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75" s="57" t="str">
        <f t="shared" si="16"/>
        <v>N</v>
      </c>
      <c r="X75" s="114">
        <f t="shared" si="17"/>
        <v>1</v>
      </c>
      <c r="Y75" s="72">
        <f t="shared" si="18"/>
        <v>23.295500000000001</v>
      </c>
      <c r="Z75" s="72">
        <f t="shared" si="19"/>
        <v>1.3899999999999999E-2</v>
      </c>
      <c r="AA75" s="72">
        <f t="shared" si="20"/>
        <v>23.281600000000001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21"/>
        <v>0160-05</v>
      </c>
      <c r="AE75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75" s="117" t="str">
        <f t="shared" si="23"/>
        <v>"C:\Program Files (x86)\AstroGrep\AstroGrep.exe" /spath="%USERPROFILE%\AppData\Local\Temp\OnboardLogs" /stypes="*4030*20160805*" /stext=" 18:.+((SYSTEM_STATE.+slice.+state.+changed )|(ment ac)|(system.+state.+changed )|(\|lc)|(penalty)|(\[timeout)|(PRM\|1\|D)|(kpr)|(kdp))" /e /r /s</v>
      </c>
      <c r="AG75" s="1" t="str">
        <f t="shared" si="24"/>
        <v>EC</v>
      </c>
      <c r="AH75" s="121" t="str">
        <f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"&amp;J75&amp;" &gt;&gt; "&amp;TEXT(Variables!$A$2,"yyyy-mm-dd")&amp;"-refined-runtimes.txt"</f>
        <v>"%USERPROFILE%\Documents\GitHub\eaglep3\Utilities\RefineRTDCRunTimes.py" --tripid 160-05 --locoid 4030 --swversion DE.1.0.7.0 --startMP 204:232955 --initTime 2016-08-05T11:49:33 --startdatetime 2016-08-05T11:51:06 --delay 1 --endMP 204:139 --enddatetime 2016-08-05T12:38:41 --enforcementcount 0 &gt;&gt; 2016-08-05-refined-runtimes.txt</v>
      </c>
    </row>
    <row r="76" spans="1:34" x14ac:dyDescent="0.25">
      <c r="A76" s="42" t="s">
        <v>645</v>
      </c>
      <c r="B76" s="7">
        <v>4020</v>
      </c>
      <c r="C76" s="25" t="s">
        <v>156</v>
      </c>
      <c r="D76" s="25" t="s">
        <v>136</v>
      </c>
      <c r="E76" s="16">
        <v>42587.466666666667</v>
      </c>
      <c r="F76" s="16">
        <v>42587.467615740738</v>
      </c>
      <c r="G76" s="7">
        <v>1</v>
      </c>
      <c r="H76" s="16" t="s">
        <v>457</v>
      </c>
      <c r="I76" s="16">
        <v>42587.496539351851</v>
      </c>
      <c r="J76" s="7">
        <v>1</v>
      </c>
      <c r="K76" s="111" t="str">
        <f t="shared" si="11"/>
        <v>4019/4020</v>
      </c>
      <c r="L76" s="25" t="e">
        <f>VLOOKUP(A76,'Trips&amp;Operators'!$C$1:$E$10000,3,FALSE)</f>
        <v>#N/A</v>
      </c>
      <c r="M76" s="6">
        <f t="shared" si="12"/>
        <v>2.8923611112986691E-2</v>
      </c>
      <c r="N76" s="7">
        <f t="shared" si="25"/>
        <v>41.650000002700835</v>
      </c>
      <c r="O76" s="7"/>
      <c r="P76" s="7"/>
      <c r="Q76" s="26"/>
      <c r="R76" s="26"/>
      <c r="S76" s="38">
        <f t="shared" si="13"/>
        <v>1</v>
      </c>
      <c r="T76" s="55" t="str">
        <f t="shared" si="14"/>
        <v>NorthBound</v>
      </c>
      <c r="U76" s="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10:12:00-0600',mode:absolute,to:'2016-08-05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76" s="57" t="str">
        <f t="shared" si="16"/>
        <v>N</v>
      </c>
      <c r="X76" s="114">
        <f t="shared" si="17"/>
        <v>1</v>
      </c>
      <c r="Y76" s="72">
        <f t="shared" si="18"/>
        <v>4.6399999999999997E-2</v>
      </c>
      <c r="Z76" s="72">
        <f t="shared" si="19"/>
        <v>23.328700000000001</v>
      </c>
      <c r="AA76" s="72">
        <f t="shared" si="20"/>
        <v>23.282300000000003</v>
      </c>
      <c r="AB76" s="69">
        <f>VLOOKUP(A76,Enforcements!$C$7:$J$24,8,0)</f>
        <v>33137</v>
      </c>
      <c r="AC76" s="65" t="str">
        <f>VLOOKUP(A76,Enforcements!$C$7:$E$24,3,0)</f>
        <v>GRADE CROSSING</v>
      </c>
      <c r="AD76" s="66" t="str">
        <f t="shared" si="21"/>
        <v>0161-05</v>
      </c>
      <c r="AE76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76" s="117" t="str">
        <f t="shared" si="23"/>
        <v>"C:\Program Files (x86)\AstroGrep\AstroGrep.exe" /spath="%USERPROFILE%\AppData\Local\Temp\OnboardLogs" /stypes="*4020*20160805*" /stext=" 17:.+((SYSTEM_STATE.+slice.+state.+changed )|(ment ac)|(system.+state.+changed )|(\|lc)|(penalty)|(\[timeout)|(PRM\|1\|D)|(kpr)|(kdp))" /e /r /s</v>
      </c>
      <c r="AG76" s="1" t="str">
        <f t="shared" si="24"/>
        <v>EC</v>
      </c>
      <c r="AH76" s="121" t="str">
        <f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"&amp;J76&amp;" &gt;&gt; "&amp;TEXT(Variables!$A$2,"yyyy-mm-dd")&amp;"-refined-runtimes.txt"</f>
        <v>"%USERPROFILE%\Documents\GitHub\eaglep3\Utilities\RefineRTDCRunTimes.py" --tripid 161-05 --locoid 4020 --swversion DE.1.0.7.0 --startMP 204:464 --initTime 2016-08-05T11:12:00 --startdatetime 2016-08-05T11:13:22 --delay 1 --endMP 204:233287 --enddatetime 2016-08-05T11:55:01 --enforcementcount 1 &gt;&gt; 2016-08-05-refined-runtimes.txt</v>
      </c>
    </row>
    <row r="77" spans="1:34" x14ac:dyDescent="0.25">
      <c r="A77" s="42" t="s">
        <v>727</v>
      </c>
      <c r="B77" s="7">
        <v>4019</v>
      </c>
      <c r="C77" s="25" t="s">
        <v>156</v>
      </c>
      <c r="D77" s="25" t="s">
        <v>728</v>
      </c>
      <c r="E77" s="16">
        <v>42587.502835648149</v>
      </c>
      <c r="F77" s="16">
        <v>42587.504386574074</v>
      </c>
      <c r="G77" s="7">
        <v>2</v>
      </c>
      <c r="H77" s="16" t="s">
        <v>58</v>
      </c>
      <c r="I77" s="16">
        <v>42587.535856481481</v>
      </c>
      <c r="J77" s="7">
        <v>0</v>
      </c>
      <c r="K77" s="111" t="str">
        <f t="shared" si="11"/>
        <v>4019/4020</v>
      </c>
      <c r="L77" s="25" t="e">
        <f>VLOOKUP(A77,'Trips&amp;Operators'!$C$1:$E$10000,3,FALSE)</f>
        <v>#N/A</v>
      </c>
      <c r="M77" s="6">
        <f t="shared" si="12"/>
        <v>3.1469907407881692E-2</v>
      </c>
      <c r="N77" s="7">
        <f t="shared" si="25"/>
        <v>45.316666667349637</v>
      </c>
      <c r="O77" s="7"/>
      <c r="P77" s="7"/>
      <c r="Q77" s="26"/>
      <c r="R77" s="26"/>
      <c r="S77" s="38">
        <f t="shared" si="13"/>
        <v>1</v>
      </c>
      <c r="T77" s="55" t="str">
        <f t="shared" si="14"/>
        <v>Southbound</v>
      </c>
      <c r="U77" s="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11:04:05-0600',mode:absolute,to:'2016-08-05 13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77" s="57" t="str">
        <f t="shared" si="16"/>
        <v>N</v>
      </c>
      <c r="X77" s="114">
        <f t="shared" si="17"/>
        <v>1</v>
      </c>
      <c r="Y77" s="72">
        <f t="shared" si="18"/>
        <v>23.296600000000002</v>
      </c>
      <c r="Z77" s="72">
        <f t="shared" si="19"/>
        <v>1.52E-2</v>
      </c>
      <c r="AA77" s="72">
        <f t="shared" si="20"/>
        <v>23.281400000000001</v>
      </c>
      <c r="AB77" s="69" t="e">
        <f>VLOOKUP(A77,Enforcements!$C$7:$J$24,8,0)</f>
        <v>#N/A</v>
      </c>
      <c r="AC77" s="65" t="e">
        <f>VLOOKUP(A77,Enforcements!$C$7:$E$24,3,0)</f>
        <v>#N/A</v>
      </c>
      <c r="AD77" s="66" t="str">
        <f t="shared" si="21"/>
        <v>0162-05</v>
      </c>
      <c r="AE77" s="120" t="str">
        <f t="shared" si="22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77" s="117" t="str">
        <f t="shared" si="23"/>
        <v>"C:\Program Files (x86)\AstroGrep\AstroGrep.exe" /spath="%USERPROFILE%\AppData\Local\Temp\OnboardLogs" /stypes="*4019*20160805*" /stext=" 18:.+((SYSTEM_STATE.+slice.+state.+changed )|(ment ac)|(system.+state.+changed )|(\|lc)|(penalty)|(\[timeout)|(PRM\|1\|D)|(kpr)|(kdp))" /e /r /s</v>
      </c>
      <c r="AG77" s="1" t="str">
        <f t="shared" si="24"/>
        <v>EC</v>
      </c>
      <c r="AH77" s="121" t="str">
        <f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"&amp;J77&amp;" &gt;&gt; "&amp;TEXT(Variables!$A$2,"yyyy-mm-dd")&amp;"-refined-runtimes.txt"</f>
        <v>"%USERPROFILE%\Documents\GitHub\eaglep3\Utilities\RefineRTDCRunTimes.py" --tripid 162-05 --locoid 4019 --swversion DE.1.0.7.0 --startMP 204:232966 --initTime 2016-08-05T12:04:05 --startdatetime 2016-08-05T12:06:19 --delay 2 --endMP 204:152 --enddatetime 2016-08-05T12:51:38 --enforcementcount 0 &gt;&gt; 2016-08-05-refined-runtimes.txt</v>
      </c>
    </row>
    <row r="78" spans="1:34" x14ac:dyDescent="0.25">
      <c r="A78" s="42" t="s">
        <v>647</v>
      </c>
      <c r="B78" s="7">
        <v>4038</v>
      </c>
      <c r="C78" s="25" t="s">
        <v>156</v>
      </c>
      <c r="D78" s="25" t="s">
        <v>301</v>
      </c>
      <c r="E78" s="16">
        <v>42587.476736111108</v>
      </c>
      <c r="F78" s="16">
        <v>42587.477638888886</v>
      </c>
      <c r="G78" s="7">
        <v>1</v>
      </c>
      <c r="H78" s="16" t="s">
        <v>698</v>
      </c>
      <c r="I78" s="16">
        <v>42587.506493055553</v>
      </c>
      <c r="J78" s="7">
        <v>1</v>
      </c>
      <c r="K78" s="111" t="str">
        <f t="shared" ref="K78:K111" si="29">IF(ISEVEN(B78),(B78-1)&amp;"/"&amp;B78,B78&amp;"/"&amp;(B78+1))</f>
        <v>4037/4038</v>
      </c>
      <c r="L78" s="25" t="e">
        <f>VLOOKUP(A78,'Trips&amp;Operators'!$C$1:$E$10000,3,FALSE)</f>
        <v>#N/A</v>
      </c>
      <c r="M78" s="6">
        <f t="shared" ref="M78:M111" si="30">I78-F78</f>
        <v>2.8854166666860692E-2</v>
      </c>
      <c r="N78" s="7">
        <f t="shared" ref="N78:P111" si="31">24*60*SUM($M78:$M78)</f>
        <v>41.550000000279397</v>
      </c>
      <c r="O78" s="7"/>
      <c r="P78" s="7"/>
      <c r="Q78" s="26"/>
      <c r="R78" s="26"/>
      <c r="S78" s="38">
        <f t="shared" ref="S78:S111" si="32">SUM(U78:U78)/IF(AG78="EC",12,1)</f>
        <v>1</v>
      </c>
      <c r="T78" s="55" t="str">
        <f t="shared" ref="T78:T111" si="33">IF(ISEVEN(LEFT(AD78,4)),"Southbound","NorthBound")</f>
        <v>NorthBound</v>
      </c>
      <c r="U78" s="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27" t="str">
        <f t="shared" ref="V78:V111" si="34"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https://search-rtdc-monitor-bjffxe2xuh6vdkpspy63sjmuny.us-east-1.es.amazonaws.com/_plugin/kibana/#/discover/Steve-Slow-Train-Analysis-(2080s-and-2083s)?_g=(refreshInterval:(display:Off,section:0,value:0),time:(from:'2016-08-05 10:26:30-0600',mode:absolute,to:'2016-08-05 13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78" s="57" t="str">
        <f t="shared" ref="W78:W111" si="35">IF(AA78&lt;IF(AG78="EC",23,5.65),"Y","N")</f>
        <v>N</v>
      </c>
      <c r="X78" s="114">
        <f t="shared" ref="X78:X111" si="36">VALUE(LEFT(AD78,4))-VALUE(LEFT(AD77,4))</f>
        <v>1</v>
      </c>
      <c r="Y78" s="72">
        <f t="shared" ref="Y78:Y111" si="37">RIGHT(D78,LEN(D78)-4)/10000</f>
        <v>4.5699999999999998E-2</v>
      </c>
      <c r="Z78" s="72">
        <f t="shared" ref="Z78:Z111" si="38">RIGHT(H78,LEN(H78)-4)/10000</f>
        <v>23.331099999999999</v>
      </c>
      <c r="AA78" s="72">
        <f t="shared" ref="AA78:AA111" si="39">ABS(Z78-Y78)</f>
        <v>23.285399999999999</v>
      </c>
      <c r="AB78" s="69">
        <f>VLOOKUP(A78,Enforcements!$C$7:$J$24,8,0)</f>
        <v>108954</v>
      </c>
      <c r="AC78" s="65" t="str">
        <f>VLOOKUP(A78,Enforcements!$C$7:$E$24,3,0)</f>
        <v>GRADE CROSSING</v>
      </c>
      <c r="AD78" s="66" t="str">
        <f t="shared" ref="AD78:AD111" si="40">IF(LEN(A78)=6,"0"&amp;A78,A78)</f>
        <v>0163-05</v>
      </c>
      <c r="AE78" s="120" t="str">
        <f t="shared" ref="AE78:AE111" si="41">"aws s3 cp "&amp;s3_bucket&amp;"/RTDC"&amp;B78&amp;"/"&amp;TEXT(F78,"YYYY-MM-DD")&amp;"/ "&amp;search_path&amp;"\RTDC"&amp;B78&amp;"\"&amp;TEXT(F78,"YYYY-MM-DD")&amp;" --recursive &amp; """&amp;walkandungz&amp;""" "&amp;search_path&amp;"\RTDC"&amp;B78&amp;"\"&amp;TEXT(F78,"YYYY-MM-DD")
&amp;" &amp; "&amp;"aws s3 cp "&amp;s3_bucket&amp;"/RTDC"&amp;B78&amp;"/"&amp;TEXT(F78+1,"YYYY-MM-DD")&amp;"/ "&amp;search_path&amp;"\RTDC"&amp;B78&amp;"\"&amp;TEXT(F78+1,"YYYY-MM-DD")&amp;" --recursive &amp; """&amp;walkandungz&amp;""" "&amp;search_path&amp;"\RTDC"&amp;B78&amp;"\"&amp;TEXT(F78+1,"YYYY-MM-DD")</f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78" s="117" t="str">
        <f t="shared" ref="AF78:AF111" si="42">astrogrep_path&amp;" /spath="&amp;search_path&amp;" /stypes=""*"&amp;B78&amp;"*"&amp;TEXT(I78-utc_offset/24,"YYYYMMDD")&amp;"*"" /stext="" "&amp;TEXT(I78-utc_offset/24,"HH")&amp;search_regexp&amp;""" /e /r /s"</f>
        <v>"C:\Program Files (x86)\AstroGrep\AstroGrep.exe" /spath="%USERPROFILE%\AppData\Local\Temp\OnboardLogs" /stypes="*4038*20160805*" /stext=" 18:.+((SYSTEM_STATE.+slice.+state.+changed )|(ment ac)|(system.+state.+changed )|(\|lc)|(penalty)|(\[timeout)|(PRM\|1\|D)|(kpr)|(kdp))" /e /r /s</v>
      </c>
      <c r="AG78" s="1" t="str">
        <f t="shared" ref="AG78:AG111" si="43">IF(VALUE(LEFT(AD78,2))&lt;=2,"EC",IF(OR(VALUE(LEFT(AD78,2))=8,VALUE(LEFT(AD78,2))=18),"NW","GL"))</f>
        <v>EC</v>
      </c>
      <c r="AH78" s="121" t="str">
        <f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"&amp;J78&amp;" &gt;&gt; "&amp;TEXT(Variables!$A$2,"yyyy-mm-dd")&amp;"-refined-runtimes.txt"</f>
        <v>"%USERPROFILE%\Documents\GitHub\eaglep3\Utilities\RefineRTDCRunTimes.py" --tripid 163-05 --locoid 4038 --swversion DE.1.0.7.0 --startMP 204:457 --initTime 2016-08-05T11:26:30 --startdatetime 2016-08-05T11:27:48 --delay 1 --endMP 204:233311 --enddatetime 2016-08-05T12:09:21 --enforcementcount 1 &gt;&gt; 2016-08-05-refined-runtimes.txt</v>
      </c>
    </row>
    <row r="79" spans="1:34" x14ac:dyDescent="0.25">
      <c r="A79" s="42" t="s">
        <v>729</v>
      </c>
      <c r="B79" s="7">
        <v>4037</v>
      </c>
      <c r="C79" s="25" t="s">
        <v>156</v>
      </c>
      <c r="D79" s="25" t="s">
        <v>438</v>
      </c>
      <c r="E79" s="16">
        <v>42587.515300925923</v>
      </c>
      <c r="F79" s="16">
        <v>42587.516608796293</v>
      </c>
      <c r="G79" s="7">
        <v>1</v>
      </c>
      <c r="H79" s="16" t="s">
        <v>58</v>
      </c>
      <c r="I79" s="16">
        <v>42587.54488425926</v>
      </c>
      <c r="J79" s="7">
        <v>0</v>
      </c>
      <c r="K79" s="111" t="str">
        <f t="shared" si="29"/>
        <v>4037/4038</v>
      </c>
      <c r="L79" s="25" t="e">
        <f>VLOOKUP(A79,'Trips&amp;Operators'!$C$1:$E$10000,3,FALSE)</f>
        <v>#N/A</v>
      </c>
      <c r="M79" s="6">
        <f t="shared" si="30"/>
        <v>2.8275462966121268E-2</v>
      </c>
      <c r="N79" s="7">
        <f t="shared" si="31"/>
        <v>40.716666671214625</v>
      </c>
      <c r="O79" s="7"/>
      <c r="P79" s="7"/>
      <c r="Q79" s="26"/>
      <c r="R79" s="26"/>
      <c r="S79" s="38">
        <f t="shared" si="32"/>
        <v>1</v>
      </c>
      <c r="T79" s="55" t="str">
        <f t="shared" si="33"/>
        <v>Southbound</v>
      </c>
      <c r="U79" s="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11:22:02-0600',mode:absolute,to:'2016-08-05 14:04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79" s="57" t="str">
        <f t="shared" si="35"/>
        <v>N</v>
      </c>
      <c r="X79" s="114">
        <f t="shared" si="36"/>
        <v>1</v>
      </c>
      <c r="Y79" s="72">
        <f t="shared" si="37"/>
        <v>23.299199999999999</v>
      </c>
      <c r="Z79" s="72">
        <f t="shared" si="38"/>
        <v>1.52E-2</v>
      </c>
      <c r="AA79" s="72">
        <f t="shared" si="39"/>
        <v>23.283999999999999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40"/>
        <v>0164-05</v>
      </c>
      <c r="AE79" s="120" t="str">
        <f t="shared" si="41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79" s="117" t="str">
        <f t="shared" si="42"/>
        <v>"C:\Program Files (x86)\AstroGrep\AstroGrep.exe" /spath="%USERPROFILE%\AppData\Local\Temp\OnboardLogs" /stypes="*4037*20160805*" /stext=" 19:.+((SYSTEM_STATE.+slice.+state.+changed )|(ment ac)|(system.+state.+changed )|(\|lc)|(penalty)|(\[timeout)|(PRM\|1\|D)|(kpr)|(kdp))" /e /r /s</v>
      </c>
      <c r="AG79" s="1" t="str">
        <f t="shared" si="43"/>
        <v>EC</v>
      </c>
      <c r="AH79" s="121" t="str">
        <f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"&amp;J79&amp;" &gt;&gt; "&amp;TEXT(Variables!$A$2,"yyyy-mm-dd")&amp;"-refined-runtimes.txt"</f>
        <v>"%USERPROFILE%\Documents\GitHub\eaglep3\Utilities\RefineRTDCRunTimes.py" --tripid 164-05 --locoid 4037 --swversion DE.1.0.7.0 --startMP 204:232992 --initTime 2016-08-05T12:22:02 --startdatetime 2016-08-05T12:23:55 --delay 1 --endMP 204:152 --enddatetime 2016-08-05T13:04:38 --enforcementcount 0 &gt;&gt; 2016-08-05-refined-runtimes.txt</v>
      </c>
    </row>
    <row r="80" spans="1:34" x14ac:dyDescent="0.25">
      <c r="A80" s="42" t="s">
        <v>730</v>
      </c>
      <c r="B80" s="7">
        <v>4027</v>
      </c>
      <c r="C80" s="25" t="s">
        <v>156</v>
      </c>
      <c r="D80" s="25" t="s">
        <v>460</v>
      </c>
      <c r="E80" s="16">
        <v>42587.487997685188</v>
      </c>
      <c r="F80" s="16">
        <v>42587.489282407405</v>
      </c>
      <c r="G80" s="7">
        <v>1</v>
      </c>
      <c r="H80" s="16" t="s">
        <v>504</v>
      </c>
      <c r="I80" s="16">
        <v>42587.516944444447</v>
      </c>
      <c r="J80" s="7">
        <v>0</v>
      </c>
      <c r="K80" s="111" t="str">
        <f t="shared" si="29"/>
        <v>4027/4028</v>
      </c>
      <c r="L80" s="25" t="e">
        <f>VLOOKUP(A80,'Trips&amp;Operators'!$C$1:$E$10000,3,FALSE)</f>
        <v>#N/A</v>
      </c>
      <c r="M80" s="6">
        <f t="shared" si="30"/>
        <v>2.7662037042318843E-2</v>
      </c>
      <c r="N80" s="7">
        <f t="shared" si="31"/>
        <v>39.833333340939134</v>
      </c>
      <c r="O80" s="7"/>
      <c r="P80" s="7"/>
      <c r="Q80" s="26"/>
      <c r="R80" s="26"/>
      <c r="S80" s="38">
        <f t="shared" si="32"/>
        <v>1</v>
      </c>
      <c r="T80" s="55" t="str">
        <f t="shared" si="33"/>
        <v>NorthBound</v>
      </c>
      <c r="U80" s="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10:42:43-0600',mode:absolute,to:'2016-08-05 13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80" s="57" t="str">
        <f t="shared" si="35"/>
        <v>N</v>
      </c>
      <c r="X80" s="114">
        <f t="shared" si="36"/>
        <v>1</v>
      </c>
      <c r="Y80" s="72">
        <f t="shared" si="37"/>
        <v>4.6899999999999997E-2</v>
      </c>
      <c r="Z80" s="72">
        <f t="shared" si="38"/>
        <v>23.331700000000001</v>
      </c>
      <c r="AA80" s="72">
        <f t="shared" si="39"/>
        <v>23.284800000000001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40"/>
        <v>0165-05</v>
      </c>
      <c r="AE80" s="120" t="str">
        <f t="shared" si="41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80" s="117" t="str">
        <f t="shared" si="42"/>
        <v>"C:\Program Files (x86)\AstroGrep\AstroGrep.exe" /spath="%USERPROFILE%\AppData\Local\Temp\OnboardLogs" /stypes="*4027*20160805*" /stext=" 18:.+((SYSTEM_STATE.+slice.+state.+changed )|(ment ac)|(system.+state.+changed )|(\|lc)|(penalty)|(\[timeout)|(PRM\|1\|D)|(kpr)|(kdp))" /e /r /s</v>
      </c>
      <c r="AG80" s="1" t="str">
        <f t="shared" si="43"/>
        <v>EC</v>
      </c>
      <c r="AH80" s="121" t="str">
        <f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"&amp;J80&amp;" &gt;&gt; "&amp;TEXT(Variables!$A$2,"yyyy-mm-dd")&amp;"-refined-runtimes.txt"</f>
        <v>"%USERPROFILE%\Documents\GitHub\eaglep3\Utilities\RefineRTDCRunTimes.py" --tripid 165-05 --locoid 4027 --swversion DE.1.0.7.0 --startMP 204:469 --initTime 2016-08-05T11:42:43 --startdatetime 2016-08-05T11:44:34 --delay 1 --endMP 204:233317 --enddatetime 2016-08-05T12:24:24 --enforcementcount 0 &gt;&gt; 2016-08-05-refined-runtimes.txt</v>
      </c>
    </row>
    <row r="81" spans="1:34" x14ac:dyDescent="0.25">
      <c r="A81" s="42" t="s">
        <v>731</v>
      </c>
      <c r="B81" s="7">
        <v>4028</v>
      </c>
      <c r="C81" s="25" t="s">
        <v>156</v>
      </c>
      <c r="D81" s="25" t="s">
        <v>732</v>
      </c>
      <c r="E81" s="16">
        <v>42587.525034722225</v>
      </c>
      <c r="F81" s="16">
        <v>42587.526550925926</v>
      </c>
      <c r="G81" s="7">
        <v>2</v>
      </c>
      <c r="H81" s="16" t="s">
        <v>99</v>
      </c>
      <c r="I81" s="16">
        <v>42587.55568287037</v>
      </c>
      <c r="J81" s="7">
        <v>0</v>
      </c>
      <c r="K81" s="111" t="str">
        <f t="shared" si="29"/>
        <v>4027/4028</v>
      </c>
      <c r="L81" s="25" t="e">
        <f>VLOOKUP(A81,'Trips&amp;Operators'!$C$1:$E$10000,3,FALSE)</f>
        <v>#N/A</v>
      </c>
      <c r="M81" s="6">
        <f t="shared" si="30"/>
        <v>2.9131944444088731E-2</v>
      </c>
      <c r="N81" s="7">
        <f t="shared" si="31"/>
        <v>41.949999999487773</v>
      </c>
      <c r="O81" s="7"/>
      <c r="P81" s="7"/>
      <c r="Q81" s="26"/>
      <c r="R81" s="26"/>
      <c r="S81" s="38">
        <f t="shared" si="32"/>
        <v>1</v>
      </c>
      <c r="T81" s="55" t="str">
        <f t="shared" si="33"/>
        <v>Southbound</v>
      </c>
      <c r="U81" s="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11:36:03-0600',mode:absolute,to:'2016-08-05 14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81" s="57" t="str">
        <f t="shared" si="35"/>
        <v>N</v>
      </c>
      <c r="X81" s="114">
        <f t="shared" si="36"/>
        <v>1</v>
      </c>
      <c r="Y81" s="72">
        <f t="shared" si="37"/>
        <v>23.301500000000001</v>
      </c>
      <c r="Z81" s="72">
        <f t="shared" si="38"/>
        <v>1.43E-2</v>
      </c>
      <c r="AA81" s="72">
        <f t="shared" si="39"/>
        <v>23.287200000000002</v>
      </c>
      <c r="AB81" s="69" t="e">
        <f>VLOOKUP(A81,Enforcements!$C$7:$J$24,8,0)</f>
        <v>#N/A</v>
      </c>
      <c r="AC81" s="65" t="e">
        <f>VLOOKUP(A81,Enforcements!$C$7:$E$24,3,0)</f>
        <v>#N/A</v>
      </c>
      <c r="AD81" s="66" t="str">
        <f t="shared" si="40"/>
        <v>0166-05</v>
      </c>
      <c r="AE81" s="120" t="str">
        <f t="shared" si="41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81" s="117" t="str">
        <f t="shared" si="42"/>
        <v>"C:\Program Files (x86)\AstroGrep\AstroGrep.exe" /spath="%USERPROFILE%\AppData\Local\Temp\OnboardLogs" /stypes="*4028*20160805*" /stext=" 19:.+((SYSTEM_STATE.+slice.+state.+changed )|(ment ac)|(system.+state.+changed )|(\|lc)|(penalty)|(\[timeout)|(PRM\|1\|D)|(kpr)|(kdp))" /e /r /s</v>
      </c>
      <c r="AG81" s="1" t="str">
        <f t="shared" si="43"/>
        <v>EC</v>
      </c>
      <c r="AH81" s="121" t="str">
        <f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"&amp;J81&amp;" &gt;&gt; "&amp;TEXT(Variables!$A$2,"yyyy-mm-dd")&amp;"-refined-runtimes.txt"</f>
        <v>"%USERPROFILE%\Documents\GitHub\eaglep3\Utilities\RefineRTDCRunTimes.py" --tripid 166-05 --locoid 4028 --swversion DE.1.0.7.0 --startMP 204:233015 --initTime 2016-08-05T12:36:03 --startdatetime 2016-08-05T12:38:14 --delay 2 --endMP 204:143 --enddatetime 2016-08-05T13:20:11 --enforcementcount 0 &gt;&gt; 2016-08-05-refined-runtimes.txt</v>
      </c>
    </row>
    <row r="82" spans="1:34" x14ac:dyDescent="0.25">
      <c r="A82" s="42" t="s">
        <v>733</v>
      </c>
      <c r="B82" s="7">
        <v>4044</v>
      </c>
      <c r="C82" s="25" t="s">
        <v>156</v>
      </c>
      <c r="D82" s="25" t="s">
        <v>309</v>
      </c>
      <c r="E82" s="16">
        <v>42587.496932870374</v>
      </c>
      <c r="F82" s="16">
        <v>42587.498425925929</v>
      </c>
      <c r="G82" s="7">
        <v>2</v>
      </c>
      <c r="H82" s="16" t="s">
        <v>472</v>
      </c>
      <c r="I82" s="16">
        <v>42587.525694444441</v>
      </c>
      <c r="J82" s="7">
        <v>0</v>
      </c>
      <c r="K82" s="111" t="str">
        <f t="shared" si="29"/>
        <v>4043/4044</v>
      </c>
      <c r="L82" s="25" t="e">
        <f>VLOOKUP(A82,'Trips&amp;Operators'!$C$1:$E$10000,3,FALSE)</f>
        <v>#N/A</v>
      </c>
      <c r="M82" s="6">
        <f t="shared" si="30"/>
        <v>2.7268518511846196E-2</v>
      </c>
      <c r="N82" s="7">
        <f t="shared" si="31"/>
        <v>39.266666657058522</v>
      </c>
      <c r="O82" s="7"/>
      <c r="P82" s="7"/>
      <c r="Q82" s="26"/>
      <c r="R82" s="26"/>
      <c r="S82" s="38">
        <f t="shared" si="32"/>
        <v>1</v>
      </c>
      <c r="T82" s="55" t="str">
        <f t="shared" si="33"/>
        <v>NorthBound</v>
      </c>
      <c r="U82" s="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10:55:35-0600',mode:absolute,to:'2016-08-05 13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82" s="57" t="str">
        <f t="shared" si="35"/>
        <v>N</v>
      </c>
      <c r="X82" s="114">
        <f t="shared" si="36"/>
        <v>1</v>
      </c>
      <c r="Y82" s="72">
        <f t="shared" si="37"/>
        <v>4.5499999999999999E-2</v>
      </c>
      <c r="Z82" s="72">
        <f t="shared" si="38"/>
        <v>23.331800000000001</v>
      </c>
      <c r="AA82" s="72">
        <f t="shared" si="39"/>
        <v>23.286300000000001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40"/>
        <v>0167-05</v>
      </c>
      <c r="AE82" s="120" t="str">
        <f t="shared" si="41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82" s="117" t="str">
        <f t="shared" si="42"/>
        <v>"C:\Program Files (x86)\AstroGrep\AstroGrep.exe" /spath="%USERPROFILE%\AppData\Local\Temp\OnboardLogs" /stypes="*4044*20160805*" /stext=" 18:.+((SYSTEM_STATE.+slice.+state.+changed )|(ment ac)|(system.+state.+changed )|(\|lc)|(penalty)|(\[timeout)|(PRM\|1\|D)|(kpr)|(kdp))" /e /r /s</v>
      </c>
      <c r="AG82" s="1" t="str">
        <f t="shared" si="43"/>
        <v>EC</v>
      </c>
      <c r="AH82" s="121" t="str">
        <f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"&amp;J82&amp;" &gt;&gt; "&amp;TEXT(Variables!$A$2,"yyyy-mm-dd")&amp;"-refined-runtimes.txt"</f>
        <v>"%USERPROFILE%\Documents\GitHub\eaglep3\Utilities\RefineRTDCRunTimes.py" --tripid 167-05 --locoid 4044 --swversion DE.1.0.7.0 --startMP 204:455 --initTime 2016-08-05T11:55:35 --startdatetime 2016-08-05T11:57:44 --delay 2 --endMP 204:233318 --enddatetime 2016-08-05T12:37:00 --enforcementcount 0 &gt;&gt; 2016-08-05-refined-runtimes.txt</v>
      </c>
    </row>
    <row r="83" spans="1:34" x14ac:dyDescent="0.25">
      <c r="A83" s="42" t="s">
        <v>734</v>
      </c>
      <c r="B83" s="7">
        <v>4025</v>
      </c>
      <c r="C83" s="25" t="s">
        <v>156</v>
      </c>
      <c r="D83" s="25" t="s">
        <v>136</v>
      </c>
      <c r="E83" s="16">
        <v>42587.509837962964</v>
      </c>
      <c r="F83" s="16">
        <v>42587.510972222219</v>
      </c>
      <c r="G83" s="7">
        <v>1</v>
      </c>
      <c r="H83" s="16" t="s">
        <v>735</v>
      </c>
      <c r="I83" s="16">
        <v>42587.543263888889</v>
      </c>
      <c r="J83" s="7">
        <v>0</v>
      </c>
      <c r="K83" s="111" t="str">
        <f t="shared" si="29"/>
        <v>4025/4026</v>
      </c>
      <c r="L83" s="25" t="e">
        <f>VLOOKUP(A83,'Trips&amp;Operators'!$C$1:$E$10000,3,FALSE)</f>
        <v>#N/A</v>
      </c>
      <c r="M83" s="6">
        <f t="shared" si="30"/>
        <v>3.2291666670062114E-2</v>
      </c>
      <c r="N83" s="7">
        <f t="shared" si="31"/>
        <v>46.500000004889444</v>
      </c>
      <c r="O83" s="7"/>
      <c r="P83" s="7"/>
      <c r="Q83" s="26"/>
      <c r="R83" s="26"/>
      <c r="S83" s="38">
        <f t="shared" si="32"/>
        <v>1</v>
      </c>
      <c r="T83" s="55" t="str">
        <f t="shared" si="33"/>
        <v>NorthBound</v>
      </c>
      <c r="U83" s="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11:14:10-0600',mode:absolute,to:'2016-08-05 14:02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83" s="57" t="str">
        <f t="shared" si="35"/>
        <v>N</v>
      </c>
      <c r="X83" s="114">
        <f t="shared" si="36"/>
        <v>2</v>
      </c>
      <c r="Y83" s="72">
        <f t="shared" si="37"/>
        <v>4.6399999999999997E-2</v>
      </c>
      <c r="Z83" s="72">
        <f t="shared" si="38"/>
        <v>23.333100000000002</v>
      </c>
      <c r="AA83" s="72">
        <f t="shared" si="39"/>
        <v>23.286700000000003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40"/>
        <v>0169-05</v>
      </c>
      <c r="AE83" s="120" t="str">
        <f t="shared" si="41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83" s="117" t="str">
        <f t="shared" si="42"/>
        <v>"C:\Program Files (x86)\AstroGrep\AstroGrep.exe" /spath="%USERPROFILE%\AppData\Local\Temp\OnboardLogs" /stypes="*4025*20160805*" /stext=" 19:.+((SYSTEM_STATE.+slice.+state.+changed )|(ment ac)|(system.+state.+changed )|(\|lc)|(penalty)|(\[timeout)|(PRM\|1\|D)|(kpr)|(kdp))" /e /r /s</v>
      </c>
      <c r="AG83" s="1" t="str">
        <f t="shared" si="43"/>
        <v>EC</v>
      </c>
      <c r="AH83" s="121" t="str">
        <f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"&amp;J83&amp;" &gt;&gt; "&amp;TEXT(Variables!$A$2,"yyyy-mm-dd")&amp;"-refined-runtimes.txt"</f>
        <v>"%USERPROFILE%\Documents\GitHub\eaglep3\Utilities\RefineRTDCRunTimes.py" --tripid 169-05 --locoid 4025 --swversion DE.1.0.7.0 --startMP 204:464 --initTime 2016-08-05T12:14:10 --startdatetime 2016-08-05T12:15:48 --delay 1 --endMP 204:233331 --enddatetime 2016-08-05T13:02:18 --enforcementcount 0 &gt;&gt; 2016-08-05-refined-runtimes.txt</v>
      </c>
    </row>
    <row r="84" spans="1:34" x14ac:dyDescent="0.25">
      <c r="A84" s="42" t="s">
        <v>736</v>
      </c>
      <c r="B84" s="7">
        <v>4009</v>
      </c>
      <c r="C84" s="25" t="s">
        <v>156</v>
      </c>
      <c r="D84" s="25" t="s">
        <v>290</v>
      </c>
      <c r="E84" s="16">
        <v>42587.518043981479</v>
      </c>
      <c r="F84" s="16">
        <v>42587.52065972222</v>
      </c>
      <c r="G84" s="7">
        <v>3</v>
      </c>
      <c r="H84" s="16" t="s">
        <v>146</v>
      </c>
      <c r="I84" s="16">
        <v>42587.548298611109</v>
      </c>
      <c r="J84" s="7">
        <v>0</v>
      </c>
      <c r="K84" s="111" t="str">
        <f t="shared" si="29"/>
        <v>4009/4010</v>
      </c>
      <c r="L84" s="25" t="e">
        <f>VLOOKUP(A84,'Trips&amp;Operators'!$C$1:$E$10000,3,FALSE)</f>
        <v>#N/A</v>
      </c>
      <c r="M84" s="6">
        <f t="shared" si="30"/>
        <v>2.7638888888759539E-2</v>
      </c>
      <c r="N84" s="7">
        <f t="shared" si="31"/>
        <v>39.799999999813735</v>
      </c>
      <c r="O84" s="7"/>
      <c r="P84" s="7"/>
      <c r="Q84" s="26"/>
      <c r="R84" s="26"/>
      <c r="S84" s="38">
        <f t="shared" si="32"/>
        <v>1</v>
      </c>
      <c r="T84" s="55" t="str">
        <f t="shared" si="33"/>
        <v>NorthBound</v>
      </c>
      <c r="U84" s="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11:25:59-0600',mode:absolute,to:'2016-08-05 14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84" s="57" t="str">
        <f t="shared" si="35"/>
        <v>N</v>
      </c>
      <c r="X84" s="114">
        <f t="shared" si="36"/>
        <v>2</v>
      </c>
      <c r="Y84" s="72">
        <f t="shared" si="37"/>
        <v>4.5100000000000001E-2</v>
      </c>
      <c r="Z84" s="72">
        <f t="shared" si="38"/>
        <v>23.3293</v>
      </c>
      <c r="AA84" s="72">
        <f t="shared" si="39"/>
        <v>23.284199999999998</v>
      </c>
      <c r="AB84" s="69" t="e">
        <f>VLOOKUP(A84,Enforcements!$C$7:$J$24,8,0)</f>
        <v>#N/A</v>
      </c>
      <c r="AC84" s="65" t="e">
        <f>VLOOKUP(A84,Enforcements!$C$7:$E$24,3,0)</f>
        <v>#N/A</v>
      </c>
      <c r="AD84" s="66" t="str">
        <f t="shared" si="40"/>
        <v>0171-05</v>
      </c>
      <c r="AE84" s="120" t="str">
        <f t="shared" si="41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84" s="117" t="str">
        <f t="shared" si="42"/>
        <v>"C:\Program Files (x86)\AstroGrep\AstroGrep.exe" /spath="%USERPROFILE%\AppData\Local\Temp\OnboardLogs" /stypes="*4009*20160805*" /stext=" 19:.+((SYSTEM_STATE.+slice.+state.+changed )|(ment ac)|(system.+state.+changed )|(\|lc)|(penalty)|(\[timeout)|(PRM\|1\|D)|(kpr)|(kdp))" /e /r /s</v>
      </c>
      <c r="AG84" s="1" t="str">
        <f t="shared" si="43"/>
        <v>EC</v>
      </c>
      <c r="AH84" s="121" t="str">
        <f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"&amp;J84&amp;" &gt;&gt; "&amp;TEXT(Variables!$A$2,"yyyy-mm-dd")&amp;"-refined-runtimes.txt"</f>
        <v>"%USERPROFILE%\Documents\GitHub\eaglep3\Utilities\RefineRTDCRunTimes.py" --tripid 171-05 --locoid 4009 --swversion DE.1.0.7.0 --startMP 204:451 --initTime 2016-08-05T12:25:59 --startdatetime 2016-08-05T12:29:45 --delay 3 --endMP 204:233293 --enddatetime 2016-08-05T13:09:33 --enforcementcount 0 &gt;&gt; 2016-08-05-refined-runtimes.txt</v>
      </c>
    </row>
    <row r="85" spans="1:34" x14ac:dyDescent="0.25">
      <c r="A85" s="42" t="s">
        <v>601</v>
      </c>
      <c r="B85" s="7">
        <v>4017</v>
      </c>
      <c r="C85" s="25" t="s">
        <v>156</v>
      </c>
      <c r="D85" s="25" t="s">
        <v>737</v>
      </c>
      <c r="E85" s="16">
        <v>42587.215983796297</v>
      </c>
      <c r="F85" s="16">
        <v>42587.216643518521</v>
      </c>
      <c r="G85" s="7">
        <v>0</v>
      </c>
      <c r="H85" s="16" t="s">
        <v>738</v>
      </c>
      <c r="I85" s="16">
        <v>42587.222488425927</v>
      </c>
      <c r="J85" s="7">
        <v>1</v>
      </c>
      <c r="K85" s="111" t="str">
        <f t="shared" si="29"/>
        <v>4017/4018</v>
      </c>
      <c r="L85" s="25" t="str">
        <f>VLOOKUP(A85,'Trips&amp;Operators'!$C$1:$E$10000,3,FALSE)</f>
        <v>STRICKLAND</v>
      </c>
      <c r="M85" s="6">
        <f t="shared" si="30"/>
        <v>5.8449074058444239E-3</v>
      </c>
      <c r="N85" s="7"/>
      <c r="O85" s="7"/>
      <c r="P85" s="7">
        <f t="shared" ref="P85:P96" si="44">24*60*SUM($M85:$M85)</f>
        <v>8.4166666644159704</v>
      </c>
      <c r="Q85" s="26"/>
      <c r="R85" s="26" t="s">
        <v>790</v>
      </c>
      <c r="S85" s="38">
        <f t="shared" si="32"/>
        <v>0</v>
      </c>
      <c r="T85" s="55" t="str">
        <f t="shared" si="33"/>
        <v>Southbound</v>
      </c>
      <c r="U85" s="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0</v>
      </c>
      <c r="V85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85" s="57" t="str">
        <f t="shared" si="35"/>
        <v>Y</v>
      </c>
      <c r="X85" s="114">
        <f>VALUE(LEFT(AD85,4))-VALUE(LEFT(AD108,4))</f>
        <v>485</v>
      </c>
      <c r="Y85" s="72">
        <f t="shared" si="37"/>
        <v>5.7346000000000004</v>
      </c>
      <c r="Z85" s="72">
        <f t="shared" si="38"/>
        <v>3.4834999999999998</v>
      </c>
      <c r="AA85" s="72">
        <f t="shared" si="39"/>
        <v>2.2511000000000005</v>
      </c>
      <c r="AB85" s="69">
        <f>VLOOKUP(A85,Enforcements!$C$7:$J$24,8,0)</f>
        <v>34593</v>
      </c>
      <c r="AC85" s="65" t="str">
        <f>VLOOKUP(A85,Enforcements!$C$7:$E$24,3,0)</f>
        <v>SIGNAL</v>
      </c>
      <c r="AD85" s="66" t="str">
        <f t="shared" si="40"/>
        <v>0800-05</v>
      </c>
      <c r="AE85" s="120" t="str">
        <f t="shared" si="41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85" s="117" t="str">
        <f t="shared" si="42"/>
        <v>"C:\Program Files (x86)\AstroGrep\AstroGrep.exe" /spath="%USERPROFILE%\AppData\Local\Temp\OnboardLogs" /stypes="*4017*20160805*" /stext=" 11:.+((SYSTEM_STATE.+slice.+state.+changed )|(ment ac)|(system.+state.+changed )|(\|lc)|(penalty)|(\[timeout)|(PRM\|1\|D)|(kpr)|(kdp))" /e /r /s</v>
      </c>
      <c r="AG85" s="1" t="str">
        <f t="shared" si="43"/>
        <v>NW</v>
      </c>
      <c r="AH85" s="121" t="str">
        <f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"&amp;J85&amp;" &gt;&gt; "&amp;TEXT(Variables!$A$2,"yyyy-mm-dd")&amp;"-refined-runtimes.txt"</f>
        <v>"%USERPROFILE%\Documents\GitHub\eaglep3\Utilities\RefineRTDCRunTimes.py" --tripid 800-05 --locoid 4017 --swversion DE.1.0.7.0 --startMP 300:57346 --initTime 2016-08-05T05:11:01 --startdatetime 2016-08-05T05:11:58 --delay 0 --endMP 300:34835 --enddatetime 2016-08-05T05:20:23 --enforcementcount 1 &gt;&gt; 2016-08-05-refined-runtimes.txt</v>
      </c>
    </row>
    <row r="86" spans="1:34" x14ac:dyDescent="0.25">
      <c r="A86" s="42" t="s">
        <v>601</v>
      </c>
      <c r="B86" s="7">
        <v>4017</v>
      </c>
      <c r="C86" s="25" t="s">
        <v>156</v>
      </c>
      <c r="D86" s="25" t="s">
        <v>739</v>
      </c>
      <c r="E86" s="16">
        <v>42587.212106481478</v>
      </c>
      <c r="F86" s="16">
        <v>42587.21334490741</v>
      </c>
      <c r="G86" s="7">
        <v>1</v>
      </c>
      <c r="H86" s="16" t="s">
        <v>740</v>
      </c>
      <c r="I86" s="16">
        <v>42587.215046296296</v>
      </c>
      <c r="J86" s="7">
        <v>3</v>
      </c>
      <c r="K86" s="111" t="str">
        <f t="shared" si="29"/>
        <v>4017/4018</v>
      </c>
      <c r="L86" s="25" t="str">
        <f>VLOOKUP(A86,'Trips&amp;Operators'!$C$1:$E$10000,3,FALSE)</f>
        <v>STRICKLAND</v>
      </c>
      <c r="M86" s="6">
        <f t="shared" si="30"/>
        <v>1.7013888864312321E-3</v>
      </c>
      <c r="N86" s="7"/>
      <c r="O86" s="7"/>
      <c r="P86" s="7">
        <f t="shared" si="44"/>
        <v>2.4499999964609742</v>
      </c>
      <c r="Q86" s="26"/>
      <c r="R86" s="26" t="s">
        <v>790</v>
      </c>
      <c r="S86" s="38">
        <f t="shared" ref="S86:S96" si="45">SUM(U86:U86)/IF(AG86="EC",12,1)</f>
        <v>0</v>
      </c>
      <c r="T86" s="55" t="str">
        <f t="shared" si="33"/>
        <v>Southbound</v>
      </c>
      <c r="U86" s="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0</v>
      </c>
      <c r="V86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04:05:26-0600',mode:absolute,to:'2016-08-05 06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86" s="57" t="str">
        <f t="shared" si="35"/>
        <v>Y</v>
      </c>
      <c r="X86" s="114">
        <f t="shared" si="36"/>
        <v>0</v>
      </c>
      <c r="Y86" s="72">
        <f t="shared" si="37"/>
        <v>5.8653000000000004</v>
      </c>
      <c r="Z86" s="72">
        <f t="shared" si="38"/>
        <v>5.8365999999999998</v>
      </c>
      <c r="AA86" s="72">
        <f t="shared" si="39"/>
        <v>2.8700000000000614E-2</v>
      </c>
      <c r="AB86" s="69">
        <f>VLOOKUP(A86,Enforcements!$C$7:$J$24,8,0)</f>
        <v>34593</v>
      </c>
      <c r="AC86" s="65" t="str">
        <f>VLOOKUP(A86,Enforcements!$C$7:$E$24,3,0)</f>
        <v>SIGNAL</v>
      </c>
      <c r="AD86" s="66" t="str">
        <f t="shared" si="40"/>
        <v>0800-05</v>
      </c>
      <c r="AE86" s="120" t="str">
        <f t="shared" si="41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86" s="117" t="str">
        <f t="shared" si="42"/>
        <v>"C:\Program Files (x86)\AstroGrep\AstroGrep.exe" /spath="%USERPROFILE%\AppData\Local\Temp\OnboardLogs" /stypes="*4017*20160805*" /stext=" 11:.+((SYSTEM_STATE.+slice.+state.+changed )|(ment ac)|(system.+state.+changed )|(\|lc)|(penalty)|(\[timeout)|(PRM\|1\|D)|(kpr)|(kdp))" /e /r /s</v>
      </c>
      <c r="AG86" s="1" t="str">
        <f t="shared" si="43"/>
        <v>NW</v>
      </c>
      <c r="AH86" s="121" t="str">
        <f>refinertdcruntimes&amp;" --tripid "&amp;A86&amp;" --locoid "&amp;B86&amp;" --swversion "&amp;C86&amp;" --startMP "&amp;D86&amp;" --initTime "&amp;TEXT(E86,"yyyy-mm-ddTHH:MM:SS")&amp;" --startdatetime "&amp;TEXT(F86,"yyyy-mm-ddTHH:MM:SS")&amp;" --delay "&amp;G86&amp;" --endMP "&amp;H86&amp;" --enddatetime "&amp;TEXT(I86,"yyyy-mm-ddTHH:MM:SS")&amp;" --enforcementcount "&amp;J86&amp;" &gt;&gt; "&amp;TEXT(Variables!$A$2,"yyyy-mm-dd")&amp;"-refined-runtimes.txt"</f>
        <v>"%USERPROFILE%\Documents\GitHub\eaglep3\Utilities\RefineRTDCRunTimes.py" --tripid 800-05 --locoid 4017 --swversion DE.1.0.7.0 --startMP 300:58653 --initTime 2016-08-05T05:05:26 --startdatetime 2016-08-05T05:07:13 --delay 1 --endMP 300:58366 --enddatetime 2016-08-05T05:09:40 --enforcementcount 3 &gt;&gt; 2016-08-05-refined-runtimes.txt</v>
      </c>
    </row>
    <row r="87" spans="1:34" x14ac:dyDescent="0.25">
      <c r="A87" s="42" t="s">
        <v>593</v>
      </c>
      <c r="B87" s="7">
        <v>4018</v>
      </c>
      <c r="C87" s="25" t="s">
        <v>156</v>
      </c>
      <c r="D87" s="25" t="s">
        <v>357</v>
      </c>
      <c r="E87" s="16">
        <v>42587.232187499998</v>
      </c>
      <c r="F87" s="16">
        <v>42587.233310185184</v>
      </c>
      <c r="G87" s="7">
        <v>1</v>
      </c>
      <c r="H87" s="16" t="s">
        <v>741</v>
      </c>
      <c r="I87" s="16">
        <v>42587.250185185185</v>
      </c>
      <c r="J87" s="7">
        <v>1</v>
      </c>
      <c r="K87" s="111" t="str">
        <f t="shared" si="29"/>
        <v>4017/4018</v>
      </c>
      <c r="L87" s="25" t="str">
        <f>VLOOKUP(A87,'Trips&amp;Operators'!$C$1:$E$10000,3,FALSE)</f>
        <v>STRICKLAND</v>
      </c>
      <c r="M87" s="6">
        <f t="shared" si="30"/>
        <v>1.6875000001164153E-2</v>
      </c>
      <c r="N87" s="7"/>
      <c r="O87" s="7"/>
      <c r="P87" s="7">
        <f t="shared" si="44"/>
        <v>24.300000001676381</v>
      </c>
      <c r="Q87" s="26"/>
      <c r="R87" s="26" t="s">
        <v>790</v>
      </c>
      <c r="S87" s="38">
        <f t="shared" si="45"/>
        <v>1</v>
      </c>
      <c r="T87" s="55" t="str">
        <f t="shared" si="33"/>
        <v>NorthBound</v>
      </c>
      <c r="U87" s="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</v>
      </c>
      <c r="V87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04:34:21-0600',mode:absolute,to:'2016-08-05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87" s="57" t="str">
        <f t="shared" si="35"/>
        <v>Y</v>
      </c>
      <c r="X87" s="114">
        <f t="shared" si="36"/>
        <v>1</v>
      </c>
      <c r="Y87" s="72">
        <f t="shared" si="37"/>
        <v>0.1021</v>
      </c>
      <c r="Z87" s="72">
        <f t="shared" si="38"/>
        <v>1.6244000000000001</v>
      </c>
      <c r="AA87" s="72">
        <f t="shared" si="39"/>
        <v>1.5223</v>
      </c>
      <c r="AB87" s="69">
        <f>VLOOKUP(A87,Enforcements!$C$7:$J$24,8,0)</f>
        <v>16577</v>
      </c>
      <c r="AC87" s="65" t="str">
        <f>VLOOKUP(A87,Enforcements!$C$7:$E$24,3,0)</f>
        <v>SIGNAL</v>
      </c>
      <c r="AD87" s="66" t="str">
        <f t="shared" si="40"/>
        <v>0801-05</v>
      </c>
      <c r="AE87" s="120" t="str">
        <f t="shared" si="41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87" s="117" t="str">
        <f t="shared" si="42"/>
        <v>"C:\Program Files (x86)\AstroGrep\AstroGrep.exe" /spath="%USERPROFILE%\AppData\Local\Temp\OnboardLogs" /stypes="*4018*20160805*" /stext=" 12:.+((SYSTEM_STATE.+slice.+state.+changed )|(ment ac)|(system.+state.+changed )|(\|lc)|(penalty)|(\[timeout)|(PRM\|1\|D)|(kpr)|(kdp))" /e /r /s</v>
      </c>
      <c r="AG87" s="1" t="str">
        <f t="shared" si="43"/>
        <v>NW</v>
      </c>
      <c r="AH87" s="121" t="str">
        <f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"&amp;J87&amp;" &gt;&gt; "&amp;TEXT(Variables!$A$2,"yyyy-mm-dd")&amp;"-refined-runtimes.txt"</f>
        <v>"%USERPROFILE%\Documents\GitHub\eaglep3\Utilities\RefineRTDCRunTimes.py" --tripid 801-05 --locoid 4018 --swversion DE.1.0.7.0 --startMP 204:1021 --initTime 2016-08-05T05:34:21 --startdatetime 2016-08-05T05:35:58 --delay 1 --endMP 300:16244 --enddatetime 2016-08-05T06:00:16 --enforcementcount 1 &gt;&gt; 2016-08-05-refined-runtimes.txt</v>
      </c>
    </row>
    <row r="88" spans="1:34" x14ac:dyDescent="0.25">
      <c r="A88" s="42" t="s">
        <v>593</v>
      </c>
      <c r="B88" s="7">
        <v>4018</v>
      </c>
      <c r="C88" s="25" t="s">
        <v>156</v>
      </c>
      <c r="D88" s="25" t="s">
        <v>742</v>
      </c>
      <c r="E88" s="16">
        <v>42587.239907407406</v>
      </c>
      <c r="F88" s="16">
        <v>42587.241030092591</v>
      </c>
      <c r="G88" s="7">
        <v>1</v>
      </c>
      <c r="H88" s="16" t="s">
        <v>741</v>
      </c>
      <c r="I88" s="16">
        <v>42587.250185185185</v>
      </c>
      <c r="J88" s="7">
        <v>1</v>
      </c>
      <c r="K88" s="111" t="str">
        <f t="shared" si="29"/>
        <v>4017/4018</v>
      </c>
      <c r="L88" s="25" t="str">
        <f>VLOOKUP(A88,'Trips&amp;Operators'!$C$1:$E$10000,3,FALSE)</f>
        <v>STRICKLAND</v>
      </c>
      <c r="M88" s="6">
        <f t="shared" si="30"/>
        <v>9.1550925935734995E-3</v>
      </c>
      <c r="N88" s="7"/>
      <c r="O88" s="7"/>
      <c r="P88" s="7">
        <f t="shared" si="44"/>
        <v>13.183333334745839</v>
      </c>
      <c r="Q88" s="26"/>
      <c r="R88" s="26" t="s">
        <v>790</v>
      </c>
      <c r="S88" s="38">
        <f t="shared" si="45"/>
        <v>1</v>
      </c>
      <c r="T88" s="55" t="str">
        <f t="shared" si="33"/>
        <v>NorthBound</v>
      </c>
      <c r="U88" s="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</v>
      </c>
      <c r="V88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04:45:28-0600',mode:absolute,to:'2016-08-05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88" s="57" t="str">
        <f t="shared" si="35"/>
        <v>Y</v>
      </c>
      <c r="X88" s="114">
        <f t="shared" si="36"/>
        <v>0</v>
      </c>
      <c r="Y88" s="72">
        <f t="shared" si="37"/>
        <v>0.10340000000000001</v>
      </c>
      <c r="Z88" s="72">
        <f t="shared" si="38"/>
        <v>1.6244000000000001</v>
      </c>
      <c r="AA88" s="72">
        <f t="shared" si="39"/>
        <v>1.5210000000000001</v>
      </c>
      <c r="AB88" s="69">
        <f>VLOOKUP(A88,Enforcements!$C$7:$J$24,8,0)</f>
        <v>16577</v>
      </c>
      <c r="AC88" s="65" t="str">
        <f>VLOOKUP(A88,Enforcements!$C$7:$E$24,3,0)</f>
        <v>SIGNAL</v>
      </c>
      <c r="AD88" s="66" t="str">
        <f t="shared" si="40"/>
        <v>0801-05</v>
      </c>
      <c r="AE88" s="120" t="str">
        <f t="shared" si="41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88" s="117" t="str">
        <f t="shared" si="42"/>
        <v>"C:\Program Files (x86)\AstroGrep\AstroGrep.exe" /spath="%USERPROFILE%\AppData\Local\Temp\OnboardLogs" /stypes="*4018*20160805*" /stext=" 12:.+((SYSTEM_STATE.+slice.+state.+changed )|(ment ac)|(system.+state.+changed )|(\|lc)|(penalty)|(\[timeout)|(PRM\|1\|D)|(kpr)|(kdp))" /e /r /s</v>
      </c>
      <c r="AG88" s="1" t="str">
        <f t="shared" si="43"/>
        <v>NW</v>
      </c>
      <c r="AH88" s="121" t="str">
        <f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"&amp;J88&amp;" &gt;&gt; "&amp;TEXT(Variables!$A$2,"yyyy-mm-dd")&amp;"-refined-runtimes.txt"</f>
        <v>"%USERPROFILE%\Documents\GitHub\eaglep3\Utilities\RefineRTDCRunTimes.py" --tripid 801-05 --locoid 4018 --swversion DE.1.0.7.0 --startMP 204:1034 --initTime 2016-08-05T05:45:28 --startdatetime 2016-08-05T05:47:05 --delay 1 --endMP 300:16244 --enddatetime 2016-08-05T06:00:16 --enforcementcount 1 &gt;&gt; 2016-08-05-refined-runtimes.txt</v>
      </c>
    </row>
    <row r="89" spans="1:34" x14ac:dyDescent="0.25">
      <c r="A89" s="42" t="s">
        <v>623</v>
      </c>
      <c r="B89" s="7">
        <v>4017</v>
      </c>
      <c r="C89" s="25" t="s">
        <v>156</v>
      </c>
      <c r="D89" s="25" t="s">
        <v>743</v>
      </c>
      <c r="E89" s="16">
        <v>42587.258252314816</v>
      </c>
      <c r="F89" s="16">
        <v>42587.259259259263</v>
      </c>
      <c r="G89" s="7">
        <v>1</v>
      </c>
      <c r="H89" s="16" t="s">
        <v>570</v>
      </c>
      <c r="I89" s="16">
        <v>42587.260034722225</v>
      </c>
      <c r="J89" s="7">
        <v>1</v>
      </c>
      <c r="K89" s="111" t="str">
        <f t="shared" si="29"/>
        <v>4017/4018</v>
      </c>
      <c r="L89" s="25" t="str">
        <f>VLOOKUP(A89,'Trips&amp;Operators'!$C$1:$E$10000,3,FALSE)</f>
        <v>STRICKLAND</v>
      </c>
      <c r="M89" s="6">
        <f t="shared" si="30"/>
        <v>7.7546296233776957E-4</v>
      </c>
      <c r="N89" s="7"/>
      <c r="O89" s="7"/>
      <c r="P89" s="7">
        <f t="shared" si="44"/>
        <v>1.1166666657663882</v>
      </c>
      <c r="Q89" s="26"/>
      <c r="R89" s="26" t="s">
        <v>790</v>
      </c>
      <c r="S89" s="38">
        <f t="shared" si="45"/>
        <v>0</v>
      </c>
      <c r="T89" s="55" t="str">
        <f t="shared" si="33"/>
        <v>Southbound</v>
      </c>
      <c r="U89" s="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0</v>
      </c>
      <c r="V89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05:11:53-0600',mode:absolute,to:'2016-08-05 07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89" s="57" t="str">
        <f t="shared" si="35"/>
        <v>Y</v>
      </c>
      <c r="X89" s="114">
        <f t="shared" si="36"/>
        <v>1</v>
      </c>
      <c r="Y89" s="72">
        <f t="shared" si="37"/>
        <v>5.8654999999999999</v>
      </c>
      <c r="Z89" s="72">
        <f t="shared" si="38"/>
        <v>5.8289</v>
      </c>
      <c r="AA89" s="72">
        <f t="shared" si="39"/>
        <v>3.6599999999999966E-2</v>
      </c>
      <c r="AB89" s="69" t="e">
        <f>VLOOKUP(A89,Enforcements!$C$7:$J$24,8,0)</f>
        <v>#N/A</v>
      </c>
      <c r="AC89" s="65" t="e">
        <f>VLOOKUP(A89,Enforcements!$C$7:$E$24,3,0)</f>
        <v>#N/A</v>
      </c>
      <c r="AD89" s="66" t="str">
        <f t="shared" si="40"/>
        <v>0802-05</v>
      </c>
      <c r="AE89" s="120" t="str">
        <f t="shared" si="41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89" s="117" t="str">
        <f t="shared" si="42"/>
        <v>"C:\Program Files (x86)\AstroGrep\AstroGrep.exe" /spath="%USERPROFILE%\AppData\Local\Temp\OnboardLogs" /stypes="*4017*20160805*" /stext=" 12:.+((SYSTEM_STATE.+slice.+state.+changed )|(ment ac)|(system.+state.+changed )|(\|lc)|(penalty)|(\[timeout)|(PRM\|1\|D)|(kpr)|(kdp))" /e /r /s</v>
      </c>
      <c r="AG89" s="1" t="str">
        <f t="shared" si="43"/>
        <v>NW</v>
      </c>
      <c r="AH89" s="121" t="str">
        <f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"&amp;J89&amp;" &gt;&gt; "&amp;TEXT(Variables!$A$2,"yyyy-mm-dd")&amp;"-refined-runtimes.txt"</f>
        <v>"%USERPROFILE%\Documents\GitHub\eaglep3\Utilities\RefineRTDCRunTimes.py" --tripid 802-05 --locoid 4017 --swversion DE.1.0.7.0 --startMP 300:58655 --initTime 2016-08-05T06:11:53 --startdatetime 2016-08-05T06:13:20 --delay 1 --endMP 300:58289 --enddatetime 2016-08-05T06:14:27 --enforcementcount 1 &gt;&gt; 2016-08-05-refined-runtimes.txt</v>
      </c>
    </row>
    <row r="90" spans="1:34" x14ac:dyDescent="0.25">
      <c r="A90" s="42" t="s">
        <v>584</v>
      </c>
      <c r="B90" s="7">
        <v>4016</v>
      </c>
      <c r="C90" s="25" t="s">
        <v>156</v>
      </c>
      <c r="D90" s="25" t="s">
        <v>744</v>
      </c>
      <c r="E90" s="16">
        <v>42587.259965277779</v>
      </c>
      <c r="F90" s="16">
        <v>42587.261192129627</v>
      </c>
      <c r="G90" s="7">
        <v>1</v>
      </c>
      <c r="H90" s="16" t="s">
        <v>745</v>
      </c>
      <c r="I90" s="16">
        <v>42587.266099537039</v>
      </c>
      <c r="J90" s="7">
        <v>0</v>
      </c>
      <c r="K90" s="111" t="str">
        <f t="shared" si="29"/>
        <v>4015/4016</v>
      </c>
      <c r="L90" s="25" t="str">
        <f>VLOOKUP(A90,'Trips&amp;Operators'!$C$1:$E$10000,3,FALSE)</f>
        <v>YORK</v>
      </c>
      <c r="M90" s="6">
        <f t="shared" si="30"/>
        <v>4.9074074122472666E-3</v>
      </c>
      <c r="N90" s="7"/>
      <c r="O90" s="7"/>
      <c r="P90" s="7">
        <f t="shared" si="44"/>
        <v>7.0666666736360639</v>
      </c>
      <c r="Q90" s="26"/>
      <c r="R90" s="26" t="s">
        <v>790</v>
      </c>
      <c r="S90" s="38">
        <f t="shared" si="45"/>
        <v>0</v>
      </c>
      <c r="T90" s="55" t="str">
        <f t="shared" si="33"/>
        <v>NorthBound</v>
      </c>
      <c r="U90" s="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05:14:21-0600',mode:absolute,to:'2016-08-05 07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90" s="57" t="str">
        <f t="shared" si="35"/>
        <v>Y</v>
      </c>
      <c r="X90" s="114">
        <f t="shared" si="36"/>
        <v>1</v>
      </c>
      <c r="Y90" s="72">
        <f t="shared" si="37"/>
        <v>8.6900000000000005E-2</v>
      </c>
      <c r="Z90" s="72">
        <f t="shared" si="38"/>
        <v>0.2964</v>
      </c>
      <c r="AA90" s="72">
        <f t="shared" si="39"/>
        <v>0.20949999999999999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40"/>
        <v>0803-05</v>
      </c>
      <c r="AE90" s="120" t="str">
        <f t="shared" si="41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90" s="117" t="str">
        <f t="shared" si="42"/>
        <v>"C:\Program Files (x86)\AstroGrep\AstroGrep.exe" /spath="%USERPROFILE%\AppData\Local\Temp\OnboardLogs" /stypes="*4016*20160805*" /stext=" 12:.+((SYSTEM_STATE.+slice.+state.+changed )|(ment ac)|(system.+state.+changed )|(\|lc)|(penalty)|(\[timeout)|(PRM\|1\|D)|(kpr)|(kdp))" /e /r /s</v>
      </c>
      <c r="AG90" s="1" t="str">
        <f t="shared" si="43"/>
        <v>NW</v>
      </c>
      <c r="AH90" s="121" t="str">
        <f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"&amp;J90&amp;" &gt;&gt; "&amp;TEXT(Variables!$A$2,"yyyy-mm-dd")&amp;"-refined-runtimes.txt"</f>
        <v>"%USERPROFILE%\Documents\GitHub\eaglep3\Utilities\RefineRTDCRunTimes.py" --tripid 803-05 --locoid 4016 --swversion DE.1.0.7.0 --startMP 204:869 --initTime 2016-08-05T06:14:21 --startdatetime 2016-08-05T06:16:07 --delay 1 --endMP 204:2964 --enddatetime 2016-08-05T06:23:11 --enforcementcount 0 &gt;&gt; 2016-08-05-refined-runtimes.txt</v>
      </c>
    </row>
    <row r="91" spans="1:34" x14ac:dyDescent="0.25">
      <c r="A91" s="42" t="s">
        <v>629</v>
      </c>
      <c r="B91" s="7">
        <v>4015</v>
      </c>
      <c r="C91" s="25" t="s">
        <v>156</v>
      </c>
      <c r="D91" s="25" t="s">
        <v>743</v>
      </c>
      <c r="E91" s="16">
        <v>42587.275381944448</v>
      </c>
      <c r="F91" s="16">
        <v>42587.276145833333</v>
      </c>
      <c r="G91" s="7">
        <v>1</v>
      </c>
      <c r="H91" s="16" t="s">
        <v>746</v>
      </c>
      <c r="I91" s="16">
        <v>42587.277280092596</v>
      </c>
      <c r="J91" s="7">
        <v>1</v>
      </c>
      <c r="K91" s="111" t="str">
        <f t="shared" si="29"/>
        <v>4015/4016</v>
      </c>
      <c r="L91" s="25" t="str">
        <f>VLOOKUP(A91,'Trips&amp;Operators'!$C$1:$E$10000,3,FALSE)</f>
        <v>YORK</v>
      </c>
      <c r="M91" s="6">
        <f t="shared" si="30"/>
        <v>1.1342592624714598E-3</v>
      </c>
      <c r="N91" s="7"/>
      <c r="O91" s="7"/>
      <c r="P91" s="7">
        <f t="shared" si="44"/>
        <v>1.6333333379589021</v>
      </c>
      <c r="Q91" s="26"/>
      <c r="R91" s="26" t="s">
        <v>790</v>
      </c>
      <c r="S91" s="38">
        <f t="shared" si="45"/>
        <v>0</v>
      </c>
      <c r="T91" s="55" t="str">
        <f t="shared" si="33"/>
        <v>Southbound</v>
      </c>
      <c r="U91" s="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05:36:33-0600',mode:absolute,to:'2016-08-05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91" s="57" t="str">
        <f t="shared" si="35"/>
        <v>Y</v>
      </c>
      <c r="X91" s="114">
        <f t="shared" si="36"/>
        <v>1</v>
      </c>
      <c r="Y91" s="72">
        <f t="shared" si="37"/>
        <v>5.8654999999999999</v>
      </c>
      <c r="Z91" s="72">
        <f t="shared" si="38"/>
        <v>5.8235999999999999</v>
      </c>
      <c r="AA91" s="72">
        <f t="shared" si="39"/>
        <v>4.1900000000000048E-2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40"/>
        <v>0804-05</v>
      </c>
      <c r="AE91" s="120" t="str">
        <f t="shared" si="41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91" s="117" t="str">
        <f t="shared" si="42"/>
        <v>"C:\Program Files (x86)\AstroGrep\AstroGrep.exe" /spath="%USERPROFILE%\AppData\Local\Temp\OnboardLogs" /stypes="*4015*20160805*" /stext=" 12:.+((SYSTEM_STATE.+slice.+state.+changed )|(ment ac)|(system.+state.+changed )|(\|lc)|(penalty)|(\[timeout)|(PRM\|1\|D)|(kpr)|(kdp))" /e /r /s</v>
      </c>
      <c r="AG91" s="1" t="str">
        <f t="shared" si="43"/>
        <v>NW</v>
      </c>
      <c r="AH91" s="121" t="str">
        <f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"&amp;J91&amp;" &gt;&gt; "&amp;TEXT(Variables!$A$2,"yyyy-mm-dd")&amp;"-refined-runtimes.txt"</f>
        <v>"%USERPROFILE%\Documents\GitHub\eaglep3\Utilities\RefineRTDCRunTimes.py" --tripid 804-05 --locoid 4015 --swversion DE.1.0.7.0 --startMP 300:58655 --initTime 2016-08-05T06:36:33 --startdatetime 2016-08-05T06:37:39 --delay 1 --endMP 300:58236 --enddatetime 2016-08-05T06:39:17 --enforcementcount 1 &gt;&gt; 2016-08-05-refined-runtimes.txt</v>
      </c>
    </row>
    <row r="92" spans="1:34" x14ac:dyDescent="0.25">
      <c r="A92" s="42" t="s">
        <v>616</v>
      </c>
      <c r="B92" s="7">
        <v>4018</v>
      </c>
      <c r="C92" s="25" t="s">
        <v>156</v>
      </c>
      <c r="D92" s="25" t="s">
        <v>747</v>
      </c>
      <c r="E92" s="16">
        <v>42587.27957175926</v>
      </c>
      <c r="F92" s="16">
        <v>42587.280902777777</v>
      </c>
      <c r="G92" s="7">
        <v>1</v>
      </c>
      <c r="H92" s="16" t="s">
        <v>748</v>
      </c>
      <c r="I92" s="16">
        <v>42587.290590277778</v>
      </c>
      <c r="J92" s="7">
        <v>0</v>
      </c>
      <c r="K92" s="111" t="str">
        <f t="shared" si="29"/>
        <v>4017/4018</v>
      </c>
      <c r="L92" s="25" t="str">
        <f>VLOOKUP(A92,'Trips&amp;Operators'!$C$1:$E$10000,3,FALSE)</f>
        <v>STRICKLAND</v>
      </c>
      <c r="M92" s="6">
        <f t="shared" si="30"/>
        <v>9.6875000017462298E-3</v>
      </c>
      <c r="N92" s="7"/>
      <c r="O92" s="7"/>
      <c r="P92" s="7">
        <f t="shared" si="44"/>
        <v>13.950000002514571</v>
      </c>
      <c r="Q92" s="26"/>
      <c r="R92" s="26" t="s">
        <v>790</v>
      </c>
      <c r="S92" s="38">
        <f t="shared" si="45"/>
        <v>1</v>
      </c>
      <c r="T92" s="55" t="str">
        <f t="shared" si="33"/>
        <v>NorthBound</v>
      </c>
      <c r="U92" s="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</v>
      </c>
      <c r="V92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05:42:35-0600',mode:absolute,to:'2016-08-05 07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92" s="57" t="str">
        <f t="shared" si="35"/>
        <v>Y</v>
      </c>
      <c r="X92" s="114">
        <f t="shared" si="36"/>
        <v>1</v>
      </c>
      <c r="Y92" s="72">
        <f t="shared" si="37"/>
        <v>0.10349999999999999</v>
      </c>
      <c r="Z92" s="72">
        <f t="shared" si="38"/>
        <v>1.6020000000000001</v>
      </c>
      <c r="AA92" s="72">
        <f t="shared" si="39"/>
        <v>1.4985000000000002</v>
      </c>
      <c r="AB92" s="69">
        <f>VLOOKUP(A92,Enforcements!$C$7:$J$24,8,0)</f>
        <v>16577</v>
      </c>
      <c r="AC92" s="65" t="str">
        <f>VLOOKUP(A92,Enforcements!$C$7:$E$24,3,0)</f>
        <v>SIGNAL</v>
      </c>
      <c r="AD92" s="66" t="str">
        <f t="shared" si="40"/>
        <v>0805-05</v>
      </c>
      <c r="AE92" s="120" t="str">
        <f t="shared" si="41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92" s="117" t="str">
        <f t="shared" si="42"/>
        <v>"C:\Program Files (x86)\AstroGrep\AstroGrep.exe" /spath="%USERPROFILE%\AppData\Local\Temp\OnboardLogs" /stypes="*4018*20160805*" /stext=" 12:.+((SYSTEM_STATE.+slice.+state.+changed )|(ment ac)|(system.+state.+changed )|(\|lc)|(penalty)|(\[timeout)|(PRM\|1\|D)|(kpr)|(kdp))" /e /r /s</v>
      </c>
      <c r="AG92" s="1" t="str">
        <f t="shared" si="43"/>
        <v>NW</v>
      </c>
      <c r="AH92" s="121" t="str">
        <f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"&amp;J92&amp;" &gt;&gt; "&amp;TEXT(Variables!$A$2,"yyyy-mm-dd")&amp;"-refined-runtimes.txt"</f>
        <v>"%USERPROFILE%\Documents\GitHub\eaglep3\Utilities\RefineRTDCRunTimes.py" --tripid 805-05 --locoid 4018 --swversion DE.1.0.7.0 --startMP 204:1035 --initTime 2016-08-05T06:42:35 --startdatetime 2016-08-05T06:44:30 --delay 1 --endMP 300:16020 --enddatetime 2016-08-05T06:58:27 --enforcementcount 0 &gt;&gt; 2016-08-05-refined-runtimes.txt</v>
      </c>
    </row>
    <row r="93" spans="1:34" x14ac:dyDescent="0.25">
      <c r="A93" s="42" t="s">
        <v>627</v>
      </c>
      <c r="B93" s="7">
        <v>4017</v>
      </c>
      <c r="C93" s="25" t="s">
        <v>156</v>
      </c>
      <c r="D93" s="25" t="s">
        <v>749</v>
      </c>
      <c r="E93" s="16">
        <v>42587.301122685189</v>
      </c>
      <c r="F93" s="16">
        <v>42587.302164351851</v>
      </c>
      <c r="G93" s="7">
        <v>1</v>
      </c>
      <c r="H93" s="16" t="s">
        <v>750</v>
      </c>
      <c r="I93" s="16">
        <v>42587.30265046296</v>
      </c>
      <c r="J93" s="7">
        <v>1</v>
      </c>
      <c r="K93" s="111" t="str">
        <f t="shared" si="29"/>
        <v>4017/4018</v>
      </c>
      <c r="L93" s="25" t="str">
        <f>VLOOKUP(A93,'Trips&amp;Operators'!$C$1:$E$10000,3,FALSE)</f>
        <v>STRICKLAND</v>
      </c>
      <c r="M93" s="6">
        <f t="shared" si="30"/>
        <v>4.8611110833007842E-4</v>
      </c>
      <c r="N93" s="7"/>
      <c r="O93" s="7"/>
      <c r="P93" s="7">
        <f t="shared" si="44"/>
        <v>0.69999999599531293</v>
      </c>
      <c r="Q93" s="26"/>
      <c r="R93" s="26" t="s">
        <v>790</v>
      </c>
      <c r="S93" s="38">
        <f t="shared" si="45"/>
        <v>0</v>
      </c>
      <c r="T93" s="55" t="str">
        <f t="shared" si="33"/>
        <v>Southbound</v>
      </c>
      <c r="U93" s="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0</v>
      </c>
      <c r="V93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06:13:37-0600',mode:absolute,to:'2016-08-05 08:15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93" s="57" t="str">
        <f t="shared" si="35"/>
        <v>Y</v>
      </c>
      <c r="X93" s="114">
        <f t="shared" si="36"/>
        <v>1</v>
      </c>
      <c r="Y93" s="72">
        <f t="shared" si="37"/>
        <v>5.8681000000000001</v>
      </c>
      <c r="Z93" s="72">
        <f t="shared" si="38"/>
        <v>5.8326000000000002</v>
      </c>
      <c r="AA93" s="72">
        <f t="shared" si="39"/>
        <v>3.5499999999999865E-2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40"/>
        <v>0806-05</v>
      </c>
      <c r="AE93" s="120" t="str">
        <f t="shared" si="41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93" s="117" t="str">
        <f t="shared" si="42"/>
        <v>"C:\Program Files (x86)\AstroGrep\AstroGrep.exe" /spath="%USERPROFILE%\AppData\Local\Temp\OnboardLogs" /stypes="*4017*20160805*" /stext=" 13:.+((SYSTEM_STATE.+slice.+state.+changed )|(ment ac)|(system.+state.+changed )|(\|lc)|(penalty)|(\[timeout)|(PRM\|1\|D)|(kpr)|(kdp))" /e /r /s</v>
      </c>
      <c r="AG93" s="1" t="str">
        <f t="shared" si="43"/>
        <v>NW</v>
      </c>
      <c r="AH93" s="121" t="str">
        <f>refinertdcruntimes&amp;" --tripid "&amp;A93&amp;" --locoid "&amp;B93&amp;" --swversion "&amp;C93&amp;" --startMP "&amp;D93&amp;" --initTime "&amp;TEXT(E93,"yyyy-mm-ddTHH:MM:SS")&amp;" --startdatetime "&amp;TEXT(F93,"yyyy-mm-ddTHH:MM:SS")&amp;" --delay "&amp;G93&amp;" --endMP "&amp;H93&amp;" --enddatetime "&amp;TEXT(I93,"yyyy-mm-ddTHH:MM:SS")&amp;" --enforcementcount "&amp;J93&amp;" &gt;&gt; "&amp;TEXT(Variables!$A$2,"yyyy-mm-dd")&amp;"-refined-runtimes.txt"</f>
        <v>"%USERPROFILE%\Documents\GitHub\eaglep3\Utilities\RefineRTDCRunTimes.py" --tripid 806-05 --locoid 4017 --swversion DE.1.0.7.0 --startMP 300:58681 --initTime 2016-08-05T07:13:37 --startdatetime 2016-08-05T07:15:07 --delay 1 --endMP 300:58326 --enddatetime 2016-08-05T07:15:49 --enforcementcount 1 &gt;&gt; 2016-08-05-refined-runtimes.txt</v>
      </c>
    </row>
    <row r="94" spans="1:34" x14ac:dyDescent="0.25">
      <c r="A94" s="42" t="s">
        <v>595</v>
      </c>
      <c r="B94" s="7">
        <v>4016</v>
      </c>
      <c r="C94" s="25" t="s">
        <v>156</v>
      </c>
      <c r="D94" s="25" t="s">
        <v>751</v>
      </c>
      <c r="E94" s="16">
        <v>42587.291134259256</v>
      </c>
      <c r="F94" s="16">
        <v>42587.29210648148</v>
      </c>
      <c r="G94" s="7">
        <v>1</v>
      </c>
      <c r="H94" s="16" t="s">
        <v>554</v>
      </c>
      <c r="I94" s="16">
        <v>42587.302187499998</v>
      </c>
      <c r="J94" s="7">
        <v>0</v>
      </c>
      <c r="K94" s="111" t="str">
        <f t="shared" si="29"/>
        <v>4015/4016</v>
      </c>
      <c r="L94" s="25" t="str">
        <f>VLOOKUP(A94,'Trips&amp;Operators'!$C$1:$E$10000,3,FALSE)</f>
        <v>YORK</v>
      </c>
      <c r="M94" s="6">
        <f t="shared" si="30"/>
        <v>1.0081018517666962E-2</v>
      </c>
      <c r="N94" s="7"/>
      <c r="O94" s="7"/>
      <c r="P94" s="7">
        <f t="shared" si="44"/>
        <v>14.516666665440425</v>
      </c>
      <c r="Q94" s="26"/>
      <c r="R94" s="26" t="s">
        <v>790</v>
      </c>
      <c r="S94" s="38">
        <f t="shared" si="45"/>
        <v>0</v>
      </c>
      <c r="T94" s="55" t="str">
        <f t="shared" si="33"/>
        <v>NorthBound</v>
      </c>
      <c r="U94" s="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05:59:14-0600',mode:absolute,to:'2016-08-05 08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94" s="57" t="str">
        <f t="shared" si="35"/>
        <v>Y</v>
      </c>
      <c r="X94" s="114">
        <f t="shared" si="36"/>
        <v>1</v>
      </c>
      <c r="Y94" s="72">
        <f t="shared" si="37"/>
        <v>0.1069</v>
      </c>
      <c r="Z94" s="72">
        <f t="shared" si="38"/>
        <v>0.1072</v>
      </c>
      <c r="AA94" s="72">
        <f t="shared" si="39"/>
        <v>3.0000000000000859E-4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40"/>
        <v>0807-05</v>
      </c>
      <c r="AE94" s="120" t="str">
        <f t="shared" si="41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94" s="117" t="str">
        <f t="shared" si="42"/>
        <v>"C:\Program Files (x86)\AstroGrep\AstroGrep.exe" /spath="%USERPROFILE%\AppData\Local\Temp\OnboardLogs" /stypes="*4016*20160805*" /stext=" 13:.+((SYSTEM_STATE.+slice.+state.+changed )|(ment ac)|(system.+state.+changed )|(\|lc)|(penalty)|(\[timeout)|(PRM\|1\|D)|(kpr)|(kdp))" /e /r /s</v>
      </c>
      <c r="AG94" s="1" t="str">
        <f t="shared" si="43"/>
        <v>NW</v>
      </c>
      <c r="AH94" s="121" t="str">
        <f>refinertdcruntimes&amp;" --tripid "&amp;A94&amp;" --locoid "&amp;B94&amp;" --swversion "&amp;C94&amp;" --startMP "&amp;D94&amp;" --initTime "&amp;TEXT(E94,"yyyy-mm-ddTHH:MM:SS")&amp;" --startdatetime "&amp;TEXT(F94,"yyyy-mm-ddTHH:MM:SS")&amp;" --delay "&amp;G94&amp;" --endMP "&amp;H94&amp;" --enddatetime "&amp;TEXT(I94,"yyyy-mm-ddTHH:MM:SS")&amp;" --enforcementcount "&amp;J94&amp;" &gt;&gt; "&amp;TEXT(Variables!$A$2,"yyyy-mm-dd")&amp;"-refined-runtimes.txt"</f>
        <v>"%USERPROFILE%\Documents\GitHub\eaglep3\Utilities\RefineRTDCRunTimes.py" --tripid 807-05 --locoid 4016 --swversion DE.1.0.7.0 --startMP 204:1069 --initTime 2016-08-05T06:59:14 --startdatetime 2016-08-05T07:00:38 --delay 1 --endMP 204:1072 --enddatetime 2016-08-05T07:15:09 --enforcementcount 0 &gt;&gt; 2016-08-05-refined-runtimes.txt</v>
      </c>
    </row>
    <row r="95" spans="1:34" x14ac:dyDescent="0.25">
      <c r="A95" s="42" t="s">
        <v>613</v>
      </c>
      <c r="B95" s="7">
        <v>4015</v>
      </c>
      <c r="C95" s="25" t="s">
        <v>156</v>
      </c>
      <c r="D95" s="25" t="s">
        <v>752</v>
      </c>
      <c r="E95" s="16">
        <v>42587.317083333335</v>
      </c>
      <c r="F95" s="16">
        <v>42587.317974537036</v>
      </c>
      <c r="G95" s="7">
        <v>1</v>
      </c>
      <c r="H95" s="16" t="s">
        <v>753</v>
      </c>
      <c r="I95" s="16">
        <v>42587.319456018522</v>
      </c>
      <c r="J95" s="7">
        <v>1</v>
      </c>
      <c r="K95" s="111" t="str">
        <f t="shared" si="29"/>
        <v>4015/4016</v>
      </c>
      <c r="L95" s="25" t="str">
        <f>VLOOKUP(A95,'Trips&amp;Operators'!$C$1:$E$10000,3,FALSE)</f>
        <v>YORK</v>
      </c>
      <c r="M95" s="6">
        <f t="shared" si="30"/>
        <v>1.4814814858254977E-3</v>
      </c>
      <c r="N95" s="7"/>
      <c r="O95" s="7"/>
      <c r="P95" s="7">
        <f t="shared" si="44"/>
        <v>2.1333333395887166</v>
      </c>
      <c r="Q95" s="26"/>
      <c r="R95" s="26" t="s">
        <v>790</v>
      </c>
      <c r="S95" s="38">
        <f t="shared" si="45"/>
        <v>0</v>
      </c>
      <c r="T95" s="55" t="str">
        <f t="shared" si="33"/>
        <v>Southbound</v>
      </c>
      <c r="U95" s="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0</v>
      </c>
      <c r="V95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06:36:36-0600',mode:absolute,to:'2016-08-05 08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95" s="57" t="str">
        <f t="shared" si="35"/>
        <v>Y</v>
      </c>
      <c r="X95" s="114">
        <f t="shared" si="36"/>
        <v>1</v>
      </c>
      <c r="Y95" s="72">
        <f t="shared" si="37"/>
        <v>5.8666</v>
      </c>
      <c r="Z95" s="72">
        <f t="shared" si="38"/>
        <v>5.8364000000000003</v>
      </c>
      <c r="AA95" s="72">
        <f t="shared" si="39"/>
        <v>3.0199999999999783E-2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40"/>
        <v>0808-05</v>
      </c>
      <c r="AE95" s="120" t="str">
        <f t="shared" si="41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95" s="117" t="str">
        <f t="shared" si="42"/>
        <v>"C:\Program Files (x86)\AstroGrep\AstroGrep.exe" /spath="%USERPROFILE%\AppData\Local\Temp\OnboardLogs" /stypes="*4015*20160805*" /stext=" 13:.+((SYSTEM_STATE.+slice.+state.+changed )|(ment ac)|(system.+state.+changed )|(\|lc)|(penalty)|(\[timeout)|(PRM\|1\|D)|(kpr)|(kdp))" /e /r /s</v>
      </c>
      <c r="AG95" s="1" t="str">
        <f t="shared" si="43"/>
        <v>NW</v>
      </c>
      <c r="AH95" s="121" t="str">
        <f>refinertdcruntimes&amp;" --tripid "&amp;A95&amp;" --locoid "&amp;B95&amp;" --swversion "&amp;C95&amp;" --startMP "&amp;D95&amp;" --initTime "&amp;TEXT(E95,"yyyy-mm-ddTHH:MM:SS")&amp;" --startdatetime "&amp;TEXT(F95,"yyyy-mm-ddTHH:MM:SS")&amp;" --delay "&amp;G95&amp;" --endMP "&amp;H95&amp;" --enddatetime "&amp;TEXT(I95,"yyyy-mm-ddTHH:MM:SS")&amp;" --enforcementcount "&amp;J95&amp;" &gt;&gt; "&amp;TEXT(Variables!$A$2,"yyyy-mm-dd")&amp;"-refined-runtimes.txt"</f>
        <v>"%USERPROFILE%\Documents\GitHub\eaglep3\Utilities\RefineRTDCRunTimes.py" --tripid 808-05 --locoid 4015 --swversion DE.1.0.7.0 --startMP 300:58666 --initTime 2016-08-05T07:36:36 --startdatetime 2016-08-05T07:37:53 --delay 1 --endMP 300:58364 --enddatetime 2016-08-05T07:40:01 --enforcementcount 1 &gt;&gt; 2016-08-05-refined-runtimes.txt</v>
      </c>
    </row>
    <row r="96" spans="1:34" x14ac:dyDescent="0.25">
      <c r="A96" s="42" t="s">
        <v>621</v>
      </c>
      <c r="B96" s="7">
        <v>4018</v>
      </c>
      <c r="C96" s="25" t="s">
        <v>156</v>
      </c>
      <c r="D96" s="25" t="s">
        <v>754</v>
      </c>
      <c r="E96" s="16">
        <v>42587.321701388886</v>
      </c>
      <c r="F96" s="16">
        <v>42587.322604166664</v>
      </c>
      <c r="G96" s="7">
        <v>1</v>
      </c>
      <c r="H96" s="16" t="s">
        <v>755</v>
      </c>
      <c r="I96" s="16">
        <v>42587.328402777777</v>
      </c>
      <c r="J96" s="7">
        <v>0</v>
      </c>
      <c r="K96" s="111" t="str">
        <f t="shared" si="29"/>
        <v>4017/4018</v>
      </c>
      <c r="L96" s="25" t="str">
        <f>VLOOKUP(A96,'Trips&amp;Operators'!$C$1:$E$10000,3,FALSE)</f>
        <v>STRICKLAND</v>
      </c>
      <c r="M96" s="6">
        <f t="shared" si="30"/>
        <v>5.7986111132777296E-3</v>
      </c>
      <c r="N96" s="7"/>
      <c r="O96" s="7"/>
      <c r="P96" s="7">
        <f t="shared" si="44"/>
        <v>8.3500000031199306</v>
      </c>
      <c r="Q96" s="26"/>
      <c r="R96" s="26" t="s">
        <v>790</v>
      </c>
      <c r="S96" s="38">
        <f t="shared" si="45"/>
        <v>0</v>
      </c>
      <c r="T96" s="55" t="str">
        <f t="shared" si="33"/>
        <v>NorthBound</v>
      </c>
      <c r="U96" s="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06:43:15-0600',mode:absolute,to:'2016-08-05 08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96" s="57" t="str">
        <f t="shared" si="35"/>
        <v>Y</v>
      </c>
      <c r="X96" s="114">
        <f t="shared" si="36"/>
        <v>1</v>
      </c>
      <c r="Y96" s="72">
        <f t="shared" si="37"/>
        <v>9.9900000000000003E-2</v>
      </c>
      <c r="Z96" s="72">
        <f t="shared" si="38"/>
        <v>0.12089999999999999</v>
      </c>
      <c r="AA96" s="72">
        <f t="shared" si="39"/>
        <v>2.0999999999999991E-2</v>
      </c>
      <c r="AB96" s="69" t="e">
        <f>VLOOKUP(A96,Enforcements!$C$7:$J$24,8,0)</f>
        <v>#N/A</v>
      </c>
      <c r="AC96" s="65" t="e">
        <f>VLOOKUP(A96,Enforcements!$C$7:$E$24,3,0)</f>
        <v>#N/A</v>
      </c>
      <c r="AD96" s="66" t="str">
        <f t="shared" si="40"/>
        <v>0809-05</v>
      </c>
      <c r="AE96" s="120" t="str">
        <f t="shared" si="41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96" s="117" t="str">
        <f t="shared" si="42"/>
        <v>"C:\Program Files (x86)\AstroGrep\AstroGrep.exe" /spath="%USERPROFILE%\AppData\Local\Temp\OnboardLogs" /stypes="*4018*20160805*" /stext=" 13:.+((SYSTEM_STATE.+slice.+state.+changed )|(ment ac)|(system.+state.+changed )|(\|lc)|(penalty)|(\[timeout)|(PRM\|1\|D)|(kpr)|(kdp))" /e /r /s</v>
      </c>
      <c r="AG96" s="1" t="str">
        <f t="shared" si="43"/>
        <v>NW</v>
      </c>
      <c r="AH96" s="121" t="str">
        <f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"&amp;J96&amp;" &gt;&gt; "&amp;TEXT(Variables!$A$2,"yyyy-mm-dd")&amp;"-refined-runtimes.txt"</f>
        <v>"%USERPROFILE%\Documents\GitHub\eaglep3\Utilities\RefineRTDCRunTimes.py" --tripid 809-05 --locoid 4018 --swversion DE.1.0.7.0 --startMP 204:999 --initTime 2016-08-05T07:43:15 --startdatetime 2016-08-05T07:44:33 --delay 1 --endMP 204:1209 --enddatetime 2016-08-05T07:52:54 --enforcementcount 0 &gt;&gt; 2016-08-05-refined-runtimes.txt</v>
      </c>
    </row>
    <row r="97" spans="1:34" x14ac:dyDescent="0.25">
      <c r="A97" s="42" t="s">
        <v>622</v>
      </c>
      <c r="B97" s="7">
        <v>4017</v>
      </c>
      <c r="C97" s="25" t="s">
        <v>156</v>
      </c>
      <c r="D97" s="25" t="s">
        <v>756</v>
      </c>
      <c r="E97" s="16">
        <v>42587.341273148151</v>
      </c>
      <c r="F97" s="16">
        <v>42587.342268518521</v>
      </c>
      <c r="G97" s="7">
        <v>1</v>
      </c>
      <c r="H97" s="16" t="s">
        <v>757</v>
      </c>
      <c r="I97" s="16">
        <v>42587.353460648148</v>
      </c>
      <c r="J97" s="7">
        <v>0</v>
      </c>
      <c r="K97" s="111" t="str">
        <f t="shared" si="29"/>
        <v>4017/4018</v>
      </c>
      <c r="L97" s="25" t="str">
        <f>VLOOKUP(A97,'Trips&amp;Operators'!$C$1:$E$10000,3,FALSE)</f>
        <v>STRICKLAND</v>
      </c>
      <c r="M97" s="6">
        <f t="shared" si="30"/>
        <v>1.1192129626579117E-2</v>
      </c>
      <c r="N97" s="7">
        <f t="shared" si="31"/>
        <v>16.116666662273929</v>
      </c>
      <c r="O97" s="7"/>
      <c r="P97" s="7"/>
      <c r="Q97" s="26"/>
      <c r="R97" s="26"/>
      <c r="S97" s="38">
        <f t="shared" si="32"/>
        <v>1</v>
      </c>
      <c r="T97" s="55" t="str">
        <f t="shared" si="33"/>
        <v>Southbound</v>
      </c>
      <c r="U97" s="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</v>
      </c>
      <c r="V97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07:11:26-0600',mode:absolute,to:'2016-08-05 09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97" s="57" t="str">
        <f t="shared" si="35"/>
        <v>N</v>
      </c>
      <c r="X97" s="114">
        <f t="shared" si="36"/>
        <v>1</v>
      </c>
      <c r="Y97" s="72">
        <f t="shared" si="37"/>
        <v>5.8638000000000003</v>
      </c>
      <c r="Z97" s="72">
        <f t="shared" si="38"/>
        <v>7.7600000000000002E-2</v>
      </c>
      <c r="AA97" s="72">
        <f t="shared" si="39"/>
        <v>5.7862</v>
      </c>
      <c r="AB97" s="69" t="e">
        <f>VLOOKUP(A97,Enforcements!$C$7:$J$24,8,0)</f>
        <v>#N/A</v>
      </c>
      <c r="AC97" s="65" t="e">
        <f>VLOOKUP(A97,Enforcements!$C$7:$E$24,3,0)</f>
        <v>#N/A</v>
      </c>
      <c r="AD97" s="66" t="str">
        <f t="shared" si="40"/>
        <v>0810-05</v>
      </c>
      <c r="AE97" s="120" t="str">
        <f t="shared" si="41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97" s="117" t="str">
        <f t="shared" si="42"/>
        <v>"C:\Program Files (x86)\AstroGrep\AstroGrep.exe" /spath="%USERPROFILE%\AppData\Local\Temp\OnboardLogs" /stypes="*4017*20160805*" /stext=" 14:.+((SYSTEM_STATE.+slice.+state.+changed )|(ment ac)|(system.+state.+changed )|(\|lc)|(penalty)|(\[timeout)|(PRM\|1\|D)|(kpr)|(kdp))" /e /r /s</v>
      </c>
      <c r="AG97" s="1" t="str">
        <f t="shared" si="43"/>
        <v>NW</v>
      </c>
      <c r="AH97" s="121" t="str">
        <f>refinertdcruntimes&amp;" --tripid "&amp;A97&amp;" --locoid "&amp;B97&amp;" --swversion "&amp;C97&amp;" --startMP "&amp;D97&amp;" --initTime "&amp;TEXT(E97,"yyyy-mm-ddTHH:MM:SS")&amp;" --startdatetime "&amp;TEXT(F97,"yyyy-mm-ddTHH:MM:SS")&amp;" --delay "&amp;G97&amp;" --endMP "&amp;H97&amp;" --enddatetime "&amp;TEXT(I97,"yyyy-mm-ddTHH:MM:SS")&amp;" --enforcementcount "&amp;J97&amp;" &gt;&gt; "&amp;TEXT(Variables!$A$2,"yyyy-mm-dd")&amp;"-refined-runtimes.txt"</f>
        <v>"%USERPROFILE%\Documents\GitHub\eaglep3\Utilities\RefineRTDCRunTimes.py" --tripid 810-05 --locoid 4017 --swversion DE.1.0.7.0 --startMP 300:58638 --initTime 2016-08-05T08:11:26 --startdatetime 2016-08-05T08:12:52 --delay 1 --endMP 204:776 --enddatetime 2016-08-05T08:28:59 --enforcementcount 0 &gt;&gt; 2016-08-05-refined-runtimes.txt</v>
      </c>
    </row>
    <row r="98" spans="1:34" x14ac:dyDescent="0.25">
      <c r="A98" s="42" t="s">
        <v>596</v>
      </c>
      <c r="B98" s="7">
        <v>4016</v>
      </c>
      <c r="C98" s="25" t="s">
        <v>156</v>
      </c>
      <c r="D98" s="25" t="s">
        <v>758</v>
      </c>
      <c r="E98" s="16">
        <v>42587.343888888892</v>
      </c>
      <c r="F98" s="16">
        <v>42587.34480324074</v>
      </c>
      <c r="G98" s="7">
        <v>1</v>
      </c>
      <c r="H98" s="16" t="s">
        <v>759</v>
      </c>
      <c r="I98" s="16">
        <v>42587.349085648151</v>
      </c>
      <c r="J98" s="7">
        <v>0</v>
      </c>
      <c r="K98" s="111" t="str">
        <f t="shared" si="29"/>
        <v>4015/4016</v>
      </c>
      <c r="L98" s="25" t="str">
        <f>VLOOKUP(A98,'Trips&amp;Operators'!$C$1:$E$10000,3,FALSE)</f>
        <v>YORK</v>
      </c>
      <c r="M98" s="6">
        <f t="shared" si="30"/>
        <v>4.28240741166519E-3</v>
      </c>
      <c r="N98" s="7"/>
      <c r="O98" s="7"/>
      <c r="P98" s="7">
        <f t="shared" si="31"/>
        <v>6.1666666727978736</v>
      </c>
      <c r="Q98" s="26"/>
      <c r="R98" s="26"/>
      <c r="S98" s="38">
        <f t="shared" si="32"/>
        <v>0</v>
      </c>
      <c r="T98" s="55" t="str">
        <f t="shared" si="33"/>
        <v>NorthBound</v>
      </c>
      <c r="U98" s="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0</v>
      </c>
      <c r="V98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07:15:12-0600',mode:absolute,to:'2016-08-05 09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98" s="57" t="str">
        <f t="shared" si="35"/>
        <v>Y</v>
      </c>
      <c r="X98" s="114">
        <f t="shared" si="36"/>
        <v>1</v>
      </c>
      <c r="Y98" s="72">
        <f t="shared" si="37"/>
        <v>0.1168</v>
      </c>
      <c r="Z98" s="72">
        <f t="shared" si="38"/>
        <v>0.2802</v>
      </c>
      <c r="AA98" s="72">
        <f t="shared" si="39"/>
        <v>0.16339999999999999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40"/>
        <v>0811-05</v>
      </c>
      <c r="AE98" s="120" t="str">
        <f t="shared" si="41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98" s="117" t="str">
        <f t="shared" si="42"/>
        <v>"C:\Program Files (x86)\AstroGrep\AstroGrep.exe" /spath="%USERPROFILE%\AppData\Local\Temp\OnboardLogs" /stypes="*4016*20160805*" /stext=" 14:.+((SYSTEM_STATE.+slice.+state.+changed )|(ment ac)|(system.+state.+changed )|(\|lc)|(penalty)|(\[timeout)|(PRM\|1\|D)|(kpr)|(kdp))" /e /r /s</v>
      </c>
      <c r="AG98" s="1" t="str">
        <f t="shared" si="43"/>
        <v>NW</v>
      </c>
      <c r="AH98" s="121" t="str">
        <f>refinertdcruntimes&amp;" --tripid "&amp;A98&amp;" --locoid "&amp;B98&amp;" --swversion "&amp;C98&amp;" --startMP "&amp;D98&amp;" --initTime "&amp;TEXT(E98,"yyyy-mm-ddTHH:MM:SS")&amp;" --startdatetime "&amp;TEXT(F98,"yyyy-mm-ddTHH:MM:SS")&amp;" --delay "&amp;G98&amp;" --endMP "&amp;H98&amp;" --enddatetime "&amp;TEXT(I98,"yyyy-mm-ddTHH:MM:SS")&amp;" --enforcementcount "&amp;J98&amp;" &gt;&gt; "&amp;TEXT(Variables!$A$2,"yyyy-mm-dd")&amp;"-refined-runtimes.txt"</f>
        <v>"%USERPROFILE%\Documents\GitHub\eaglep3\Utilities\RefineRTDCRunTimes.py" --tripid 811-05 --locoid 4016 --swversion DE.1.0.7.0 --startMP 204:1168 --initTime 2016-08-05T08:15:12 --startdatetime 2016-08-05T08:16:31 --delay 1 --endMP 204:2802 --enddatetime 2016-08-05T08:22:41 --enforcementcount 0 &gt;&gt; 2016-08-05-refined-runtimes.txt</v>
      </c>
    </row>
    <row r="99" spans="1:34" x14ac:dyDescent="0.25">
      <c r="A99" s="42" t="s">
        <v>760</v>
      </c>
      <c r="B99" s="7">
        <v>4015</v>
      </c>
      <c r="C99" s="25" t="s">
        <v>156</v>
      </c>
      <c r="D99" s="25" t="s">
        <v>761</v>
      </c>
      <c r="E99" s="16">
        <v>42587.358715277776</v>
      </c>
      <c r="F99" s="16">
        <v>42587.359606481485</v>
      </c>
      <c r="G99" s="7">
        <v>1</v>
      </c>
      <c r="H99" s="16" t="s">
        <v>762</v>
      </c>
      <c r="I99" s="16">
        <v>42587.370995370373</v>
      </c>
      <c r="J99" s="7">
        <v>0</v>
      </c>
      <c r="K99" s="111" t="str">
        <f t="shared" si="29"/>
        <v>4015/4016</v>
      </c>
      <c r="L99" s="25" t="e">
        <f>VLOOKUP(A99,'Trips&amp;Operators'!$C$1:$E$10000,3,FALSE)</f>
        <v>#N/A</v>
      </c>
      <c r="M99" s="6">
        <f t="shared" si="30"/>
        <v>1.1388888888177462E-2</v>
      </c>
      <c r="N99" s="7">
        <f t="shared" si="31"/>
        <v>16.399999998975545</v>
      </c>
      <c r="O99" s="7"/>
      <c r="P99" s="7"/>
      <c r="Q99" s="26"/>
      <c r="R99" s="26"/>
      <c r="S99" s="38">
        <f t="shared" si="32"/>
        <v>1</v>
      </c>
      <c r="T99" s="55" t="str">
        <f t="shared" si="33"/>
        <v>Southbound</v>
      </c>
      <c r="U99" s="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</v>
      </c>
      <c r="V99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07:36:33-0600',mode:absolute,to:'2016-08-05 09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99" s="57" t="str">
        <f t="shared" si="35"/>
        <v>N</v>
      </c>
      <c r="X99" s="114">
        <f t="shared" si="36"/>
        <v>1</v>
      </c>
      <c r="Y99" s="72">
        <f t="shared" si="37"/>
        <v>5.8639999999999999</v>
      </c>
      <c r="Z99" s="72">
        <f t="shared" si="38"/>
        <v>8.2199999999999995E-2</v>
      </c>
      <c r="AA99" s="72">
        <f t="shared" si="39"/>
        <v>5.7817999999999996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40"/>
        <v>0812-05</v>
      </c>
      <c r="AE99" s="120" t="str">
        <f t="shared" si="41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99" s="117" t="str">
        <f t="shared" si="42"/>
        <v>"C:\Program Files (x86)\AstroGrep\AstroGrep.exe" /spath="%USERPROFILE%\AppData\Local\Temp\OnboardLogs" /stypes="*4015*20160805*" /stext=" 14:.+((SYSTEM_STATE.+slice.+state.+changed )|(ment ac)|(system.+state.+changed )|(\|lc)|(penalty)|(\[timeout)|(PRM\|1\|D)|(kpr)|(kdp))" /e /r /s</v>
      </c>
      <c r="AG99" s="1" t="str">
        <f t="shared" si="43"/>
        <v>NW</v>
      </c>
      <c r="AH99" s="121" t="str">
        <f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"&amp;J99&amp;" &gt;&gt; "&amp;TEXT(Variables!$A$2,"yyyy-mm-dd")&amp;"-refined-runtimes.txt"</f>
        <v>"%USERPROFILE%\Documents\GitHub\eaglep3\Utilities\RefineRTDCRunTimes.py" --tripid 812-05 --locoid 4015 --swversion DE.1.0.7.0 --startMP 300:58640 --initTime 2016-08-05T08:36:33 --startdatetime 2016-08-05T08:37:50 --delay 1 --endMP 204:822 --enddatetime 2016-08-05T08:54:14 --enforcementcount 0 &gt;&gt; 2016-08-05-refined-runtimes.txt</v>
      </c>
    </row>
    <row r="100" spans="1:34" x14ac:dyDescent="0.25">
      <c r="A100" s="42" t="s">
        <v>639</v>
      </c>
      <c r="B100" s="7">
        <v>4016</v>
      </c>
      <c r="C100" s="25" t="s">
        <v>156</v>
      </c>
      <c r="D100" s="25" t="s">
        <v>763</v>
      </c>
      <c r="E100" s="16">
        <v>42587.372175925928</v>
      </c>
      <c r="F100" s="16">
        <v>42587.373055555552</v>
      </c>
      <c r="G100" s="7">
        <v>1</v>
      </c>
      <c r="H100" s="16" t="s">
        <v>764</v>
      </c>
      <c r="I100" s="16">
        <v>42587.399502314816</v>
      </c>
      <c r="J100" s="7">
        <v>1</v>
      </c>
      <c r="K100" s="111" t="str">
        <f t="shared" si="29"/>
        <v>4015/4016</v>
      </c>
      <c r="L100" s="25" t="e">
        <f>VLOOKUP(A100,'Trips&amp;Operators'!$C$1:$E$10000,3,FALSE)</f>
        <v>#N/A</v>
      </c>
      <c r="M100" s="6">
        <f t="shared" si="30"/>
        <v>2.644675926421769E-2</v>
      </c>
      <c r="N100" s="7">
        <f t="shared" si="31"/>
        <v>38.083333340473473</v>
      </c>
      <c r="O100" s="7"/>
      <c r="P100" s="7"/>
      <c r="Q100" s="26"/>
      <c r="R100" s="26"/>
      <c r="S100" s="38">
        <f t="shared" si="32"/>
        <v>1</v>
      </c>
      <c r="T100" s="55" t="str">
        <f t="shared" si="33"/>
        <v>NorthBound</v>
      </c>
      <c r="U100" s="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</v>
      </c>
      <c r="V100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07:55:56-0600',mode:absolute,to:'2016-08-05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00" s="57" t="str">
        <f t="shared" si="35"/>
        <v>N</v>
      </c>
      <c r="X100" s="114">
        <f t="shared" si="36"/>
        <v>1</v>
      </c>
      <c r="Y100" s="72">
        <f t="shared" si="37"/>
        <v>0.1119</v>
      </c>
      <c r="Z100" s="72">
        <f t="shared" si="38"/>
        <v>5.8940999999999999</v>
      </c>
      <c r="AA100" s="72">
        <f t="shared" si="39"/>
        <v>5.7821999999999996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40"/>
        <v>0813-05</v>
      </c>
      <c r="AE100" s="120" t="str">
        <f t="shared" si="41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00" s="117" t="str">
        <f t="shared" si="42"/>
        <v>"C:\Program Files (x86)\AstroGrep\AstroGrep.exe" /spath="%USERPROFILE%\AppData\Local\Temp\OnboardLogs" /stypes="*4016*20160805*" /stext=" 15:.+((SYSTEM_STATE.+slice.+state.+changed )|(ment ac)|(system.+state.+changed )|(\|lc)|(penalty)|(\[timeout)|(PRM\|1\|D)|(kpr)|(kdp))" /e /r /s</v>
      </c>
      <c r="AG100" s="1" t="str">
        <f t="shared" si="43"/>
        <v>NW</v>
      </c>
      <c r="AH100" s="121" t="str">
        <f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"&amp;J100&amp;" &gt;&gt; "&amp;TEXT(Variables!$A$2,"yyyy-mm-dd")&amp;"-refined-runtimes.txt"</f>
        <v>"%USERPROFILE%\Documents\GitHub\eaglep3\Utilities\RefineRTDCRunTimes.py" --tripid 813-05 --locoid 4016 --swversion DE.1.0.7.0 --startMP 204:1119 --initTime 2016-08-05T08:55:56 --startdatetime 2016-08-05T08:57:12 --delay 1 --endMP 300:58941 --enddatetime 2016-08-05T09:35:17 --enforcementcount 1 &gt;&gt; 2016-08-05-refined-runtimes.txt</v>
      </c>
    </row>
    <row r="101" spans="1:34" x14ac:dyDescent="0.25">
      <c r="A101" s="42" t="s">
        <v>765</v>
      </c>
      <c r="B101" s="7">
        <v>4015</v>
      </c>
      <c r="C101" s="25" t="s">
        <v>156</v>
      </c>
      <c r="D101" s="25" t="s">
        <v>766</v>
      </c>
      <c r="E101" s="16">
        <v>42587.400277777779</v>
      </c>
      <c r="F101" s="16">
        <v>42587.401041666664</v>
      </c>
      <c r="G101" s="7">
        <v>1</v>
      </c>
      <c r="H101" s="16" t="s">
        <v>767</v>
      </c>
      <c r="I101" s="16">
        <v>42587.412453703706</v>
      </c>
      <c r="J101" s="7">
        <v>0</v>
      </c>
      <c r="K101" s="111" t="str">
        <f t="shared" si="29"/>
        <v>4015/4016</v>
      </c>
      <c r="L101" s="25" t="e">
        <f>VLOOKUP(A101,'Trips&amp;Operators'!$C$1:$E$10000,3,FALSE)</f>
        <v>#N/A</v>
      </c>
      <c r="M101" s="6">
        <f t="shared" si="30"/>
        <v>1.1412037041736767E-2</v>
      </c>
      <c r="N101" s="7">
        <f t="shared" si="31"/>
        <v>16.433333340100944</v>
      </c>
      <c r="O101" s="7"/>
      <c r="P101" s="7"/>
      <c r="Q101" s="26"/>
      <c r="R101" s="26"/>
      <c r="S101" s="38">
        <f t="shared" si="32"/>
        <v>1</v>
      </c>
      <c r="T101" s="55" t="str">
        <f t="shared" si="33"/>
        <v>Southbound</v>
      </c>
      <c r="U101" s="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</v>
      </c>
      <c r="V101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08:36:24-0600',mode:absolute,to:'2016-08-05 10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01" s="57" t="str">
        <f t="shared" si="35"/>
        <v>N</v>
      </c>
      <c r="X101" s="114">
        <f t="shared" si="36"/>
        <v>1</v>
      </c>
      <c r="Y101" s="72">
        <f t="shared" si="37"/>
        <v>5.8625999999999996</v>
      </c>
      <c r="Z101" s="72">
        <f t="shared" si="38"/>
        <v>8.5500000000000007E-2</v>
      </c>
      <c r="AA101" s="72">
        <f t="shared" si="39"/>
        <v>5.7770999999999999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40"/>
        <v>0814-05</v>
      </c>
      <c r="AE101" s="120" t="str">
        <f t="shared" si="41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01" s="117" t="str">
        <f t="shared" si="42"/>
        <v>"C:\Program Files (x86)\AstroGrep\AstroGrep.exe" /spath="%USERPROFILE%\AppData\Local\Temp\OnboardLogs" /stypes="*4015*20160805*" /stext=" 15:.+((SYSTEM_STATE.+slice.+state.+changed )|(ment ac)|(system.+state.+changed )|(\|lc)|(penalty)|(\[timeout)|(PRM\|1\|D)|(kpr)|(kdp))" /e /r /s</v>
      </c>
      <c r="AG101" s="1" t="str">
        <f t="shared" si="43"/>
        <v>NW</v>
      </c>
      <c r="AH101" s="121" t="str">
        <f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"&amp;J101&amp;" &gt;&gt; "&amp;TEXT(Variables!$A$2,"yyyy-mm-dd")&amp;"-refined-runtimes.txt"</f>
        <v>"%USERPROFILE%\Documents\GitHub\eaglep3\Utilities\RefineRTDCRunTimes.py" --tripid 814-05 --locoid 4015 --swversion DE.1.0.7.0 --startMP 300:58626 --initTime 2016-08-05T09:36:24 --startdatetime 2016-08-05T09:37:30 --delay 1 --endMP 204:855 --enddatetime 2016-08-05T09:53:56 --enforcementcount 0 &gt;&gt; 2016-08-05-refined-runtimes.txt</v>
      </c>
    </row>
    <row r="102" spans="1:34" x14ac:dyDescent="0.25">
      <c r="A102" s="42" t="s">
        <v>768</v>
      </c>
      <c r="B102" s="7">
        <v>4016</v>
      </c>
      <c r="C102" s="25" t="s">
        <v>156</v>
      </c>
      <c r="D102" s="25" t="s">
        <v>769</v>
      </c>
      <c r="E102" s="16">
        <v>42587.413981481484</v>
      </c>
      <c r="F102" s="16">
        <v>42587.414930555555</v>
      </c>
      <c r="G102" s="7">
        <v>1</v>
      </c>
      <c r="H102" s="16" t="s">
        <v>770</v>
      </c>
      <c r="I102" s="16">
        <v>42587.44059027778</v>
      </c>
      <c r="J102" s="7">
        <v>0</v>
      </c>
      <c r="K102" s="111" t="str">
        <f t="shared" si="29"/>
        <v>4015/4016</v>
      </c>
      <c r="L102" s="25" t="e">
        <f>VLOOKUP(A102,'Trips&amp;Operators'!$C$1:$E$10000,3,FALSE)</f>
        <v>#N/A</v>
      </c>
      <c r="M102" s="6">
        <f t="shared" si="30"/>
        <v>2.5659722225100268E-2</v>
      </c>
      <c r="N102" s="7">
        <f t="shared" si="31"/>
        <v>36.950000004144385</v>
      </c>
      <c r="O102" s="7"/>
      <c r="P102" s="7"/>
      <c r="Q102" s="26"/>
      <c r="R102" s="26"/>
      <c r="S102" s="38">
        <f t="shared" si="32"/>
        <v>1</v>
      </c>
      <c r="T102" s="55" t="str">
        <f t="shared" si="33"/>
        <v>NorthBound</v>
      </c>
      <c r="U102" s="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</v>
      </c>
      <c r="V102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08:56:08-0600',mode:absolute,to:'2016-08-05 11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02" s="57" t="str">
        <f t="shared" si="35"/>
        <v>N</v>
      </c>
      <c r="X102" s="114">
        <f t="shared" si="36"/>
        <v>1</v>
      </c>
      <c r="Y102" s="72">
        <f t="shared" si="37"/>
        <v>0.1147</v>
      </c>
      <c r="Z102" s="72">
        <f t="shared" si="38"/>
        <v>5.8948</v>
      </c>
      <c r="AA102" s="72">
        <f t="shared" si="39"/>
        <v>5.7801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40"/>
        <v>0815-05</v>
      </c>
      <c r="AE102" s="120" t="str">
        <f t="shared" si="41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02" s="117" t="str">
        <f t="shared" si="42"/>
        <v>"C:\Program Files (x86)\AstroGrep\AstroGrep.exe" /spath="%USERPROFILE%\AppData\Local\Temp\OnboardLogs" /stypes="*4016*20160805*" /stext=" 16:.+((SYSTEM_STATE.+slice.+state.+changed )|(ment ac)|(system.+state.+changed )|(\|lc)|(penalty)|(\[timeout)|(PRM\|1\|D)|(kpr)|(kdp))" /e /r /s</v>
      </c>
      <c r="AG102" s="1" t="str">
        <f t="shared" si="43"/>
        <v>NW</v>
      </c>
      <c r="AH102" s="121" t="str">
        <f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"&amp;J102&amp;" &gt;&gt; "&amp;TEXT(Variables!$A$2,"yyyy-mm-dd")&amp;"-refined-runtimes.txt"</f>
        <v>"%USERPROFILE%\Documents\GitHub\eaglep3\Utilities\RefineRTDCRunTimes.py" --tripid 815-05 --locoid 4016 --swversion DE.1.0.7.0 --startMP 204:1147 --initTime 2016-08-05T09:56:08 --startdatetime 2016-08-05T09:57:30 --delay 1 --endMP 300:58948 --enddatetime 2016-08-05T10:34:27 --enforcementcount 0 &gt;&gt; 2016-08-05-refined-runtimes.txt</v>
      </c>
    </row>
    <row r="103" spans="1:34" x14ac:dyDescent="0.25">
      <c r="A103" s="42" t="s">
        <v>771</v>
      </c>
      <c r="B103" s="7">
        <v>4015</v>
      </c>
      <c r="C103" s="25" t="s">
        <v>156</v>
      </c>
      <c r="D103" s="25" t="s">
        <v>772</v>
      </c>
      <c r="E103" s="16">
        <v>42587.441307870373</v>
      </c>
      <c r="F103" s="16">
        <v>42587.442129629628</v>
      </c>
      <c r="G103" s="7">
        <v>1</v>
      </c>
      <c r="H103" s="16" t="s">
        <v>773</v>
      </c>
      <c r="I103" s="16">
        <v>42587.455706018518</v>
      </c>
      <c r="J103" s="7">
        <v>0</v>
      </c>
      <c r="K103" s="111" t="str">
        <f t="shared" si="29"/>
        <v>4015/4016</v>
      </c>
      <c r="L103" s="25" t="e">
        <f>VLOOKUP(A103,'Trips&amp;Operators'!$C$1:$E$10000,3,FALSE)</f>
        <v>#N/A</v>
      </c>
      <c r="M103" s="6">
        <f t="shared" si="30"/>
        <v>1.357638889021473E-2</v>
      </c>
      <c r="N103" s="7">
        <f t="shared" si="31"/>
        <v>19.550000001909211</v>
      </c>
      <c r="O103" s="7"/>
      <c r="P103" s="7"/>
      <c r="Q103" s="26"/>
      <c r="R103" s="26"/>
      <c r="S103" s="38">
        <f t="shared" si="32"/>
        <v>1</v>
      </c>
      <c r="T103" s="55" t="str">
        <f t="shared" si="33"/>
        <v>Southbound</v>
      </c>
      <c r="U103" s="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</v>
      </c>
      <c r="V103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09:35:29-0600',mode:absolute,to:'2016-08-05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03" s="57" t="str">
        <f t="shared" si="35"/>
        <v>N</v>
      </c>
      <c r="X103" s="114">
        <f t="shared" si="36"/>
        <v>1</v>
      </c>
      <c r="Y103" s="72">
        <f t="shared" si="37"/>
        <v>5.8634000000000004</v>
      </c>
      <c r="Z103" s="72">
        <f t="shared" si="38"/>
        <v>8.6699999999999999E-2</v>
      </c>
      <c r="AA103" s="72">
        <f t="shared" si="39"/>
        <v>5.7766999999999999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40"/>
        <v>0816-05</v>
      </c>
      <c r="AE103" s="120" t="str">
        <f t="shared" si="41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03" s="117" t="str">
        <f t="shared" si="42"/>
        <v>"C:\Program Files (x86)\AstroGrep\AstroGrep.exe" /spath="%USERPROFILE%\AppData\Local\Temp\OnboardLogs" /stypes="*4015*20160805*" /stext=" 16:.+((SYSTEM_STATE.+slice.+state.+changed )|(ment ac)|(system.+state.+changed )|(\|lc)|(penalty)|(\[timeout)|(PRM\|1\|D)|(kpr)|(kdp))" /e /r /s</v>
      </c>
      <c r="AG103" s="1" t="str">
        <f t="shared" si="43"/>
        <v>NW</v>
      </c>
      <c r="AH103" s="121" t="str">
        <f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"&amp;J103&amp;" &gt;&gt; "&amp;TEXT(Variables!$A$2,"yyyy-mm-dd")&amp;"-refined-runtimes.txt"</f>
        <v>"%USERPROFILE%\Documents\GitHub\eaglep3\Utilities\RefineRTDCRunTimes.py" --tripid 816-05 --locoid 4015 --swversion DE.1.0.7.0 --startMP 300:58634 --initTime 2016-08-05T10:35:29 --startdatetime 2016-08-05T10:36:40 --delay 1 --endMP 204:867 --enddatetime 2016-08-05T10:56:13 --enforcementcount 0 &gt;&gt; 2016-08-05-refined-runtimes.txt</v>
      </c>
    </row>
    <row r="104" spans="1:34" x14ac:dyDescent="0.25">
      <c r="A104" s="42" t="s">
        <v>774</v>
      </c>
      <c r="B104" s="7">
        <v>4016</v>
      </c>
      <c r="C104" s="25" t="s">
        <v>156</v>
      </c>
      <c r="D104" s="25" t="s">
        <v>775</v>
      </c>
      <c r="E104" s="16">
        <v>42587.472129629627</v>
      </c>
      <c r="F104" s="16">
        <v>42587.472743055558</v>
      </c>
      <c r="G104" s="7">
        <v>0</v>
      </c>
      <c r="H104" s="16" t="s">
        <v>776</v>
      </c>
      <c r="I104" s="16">
        <v>42587.482557870368</v>
      </c>
      <c r="J104" s="7">
        <v>0</v>
      </c>
      <c r="K104" s="111" t="str">
        <f t="shared" si="29"/>
        <v>4015/4016</v>
      </c>
      <c r="L104" s="25" t="e">
        <f>VLOOKUP(A104,'Trips&amp;Operators'!$C$1:$E$10000,3,FALSE)</f>
        <v>#N/A</v>
      </c>
      <c r="M104" s="6">
        <f t="shared" si="30"/>
        <v>9.814814809942618E-3</v>
      </c>
      <c r="N104" s="7">
        <f t="shared" si="31"/>
        <v>14.13333332631737</v>
      </c>
      <c r="O104" s="7"/>
      <c r="P104" s="7"/>
      <c r="Q104" s="26"/>
      <c r="R104" s="26"/>
      <c r="S104" s="38">
        <f t="shared" si="32"/>
        <v>1</v>
      </c>
      <c r="T104" s="55" t="str">
        <f t="shared" si="33"/>
        <v>NorthBound</v>
      </c>
      <c r="U104" s="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</v>
      </c>
      <c r="V104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10:19:52-0600',mode:absolute,to:'2016-08-05 12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04" s="57" t="str">
        <f t="shared" si="35"/>
        <v>N</v>
      </c>
      <c r="X104" s="114">
        <f t="shared" si="36"/>
        <v>1</v>
      </c>
      <c r="Y104" s="72">
        <f t="shared" si="37"/>
        <v>0.11650000000000001</v>
      </c>
      <c r="Z104" s="72">
        <f t="shared" si="38"/>
        <v>5.8945999999999996</v>
      </c>
      <c r="AA104" s="72">
        <f t="shared" si="39"/>
        <v>5.7780999999999993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40"/>
        <v>0817-05</v>
      </c>
      <c r="AE104" s="120" t="str">
        <f t="shared" si="41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04" s="117" t="str">
        <f t="shared" si="42"/>
        <v>"C:\Program Files (x86)\AstroGrep\AstroGrep.exe" /spath="%USERPROFILE%\AppData\Local\Temp\OnboardLogs" /stypes="*4016*20160805*" /stext=" 17:.+((SYSTEM_STATE.+slice.+state.+changed )|(ment ac)|(system.+state.+changed )|(\|lc)|(penalty)|(\[timeout)|(PRM\|1\|D)|(kpr)|(kdp))" /e /r /s</v>
      </c>
      <c r="AG104" s="1" t="str">
        <f t="shared" si="43"/>
        <v>NW</v>
      </c>
      <c r="AH104" s="121" t="str">
        <f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"&amp;J104&amp;" &gt;&gt; "&amp;TEXT(Variables!$A$2,"yyyy-mm-dd")&amp;"-refined-runtimes.txt"</f>
        <v>"%USERPROFILE%\Documents\GitHub\eaglep3\Utilities\RefineRTDCRunTimes.py" --tripid 817-05 --locoid 4016 --swversion DE.1.0.7.0 --startMP 204:1165 --initTime 2016-08-05T11:19:52 --startdatetime 2016-08-05T11:20:45 --delay 0 --endMP 300:58946 --enddatetime 2016-08-05T11:34:53 --enforcementcount 0 &gt;&gt; 2016-08-05-refined-runtimes.txt</v>
      </c>
    </row>
    <row r="105" spans="1:34" x14ac:dyDescent="0.25">
      <c r="A105" s="42" t="s">
        <v>777</v>
      </c>
      <c r="B105" s="7">
        <v>4015</v>
      </c>
      <c r="C105" s="25" t="s">
        <v>156</v>
      </c>
      <c r="D105" s="25" t="s">
        <v>772</v>
      </c>
      <c r="E105" s="16">
        <v>42587.48332175926</v>
      </c>
      <c r="F105" s="16">
        <v>42587.4843287037</v>
      </c>
      <c r="G105" s="7">
        <v>1</v>
      </c>
      <c r="H105" s="16" t="s">
        <v>773</v>
      </c>
      <c r="I105" s="16">
        <v>42587.495833333334</v>
      </c>
      <c r="J105" s="7">
        <v>0</v>
      </c>
      <c r="K105" s="111" t="str">
        <f t="shared" si="29"/>
        <v>4015/4016</v>
      </c>
      <c r="L105" s="25" t="e">
        <f>VLOOKUP(A105,'Trips&amp;Operators'!$C$1:$E$10000,3,FALSE)</f>
        <v>#N/A</v>
      </c>
      <c r="M105" s="6">
        <f t="shared" si="30"/>
        <v>1.1504629634146113E-2</v>
      </c>
      <c r="N105" s="7">
        <f t="shared" si="31"/>
        <v>16.566666673170403</v>
      </c>
      <c r="O105" s="7"/>
      <c r="P105" s="7"/>
      <c r="Q105" s="26"/>
      <c r="R105" s="26"/>
      <c r="S105" s="38">
        <f t="shared" si="32"/>
        <v>1</v>
      </c>
      <c r="T105" s="55" t="str">
        <f t="shared" si="33"/>
        <v>Southbound</v>
      </c>
      <c r="U105" s="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</v>
      </c>
      <c r="V105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10:35:59-0600',mode:absolute,to:'2016-08-05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05" s="57" t="str">
        <f t="shared" si="35"/>
        <v>N</v>
      </c>
      <c r="X105" s="114">
        <f t="shared" si="36"/>
        <v>1</v>
      </c>
      <c r="Y105" s="72">
        <f t="shared" si="37"/>
        <v>5.8634000000000004</v>
      </c>
      <c r="Z105" s="72">
        <f t="shared" si="38"/>
        <v>8.6699999999999999E-2</v>
      </c>
      <c r="AA105" s="72">
        <f t="shared" si="39"/>
        <v>5.7766999999999999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si="40"/>
        <v>0818-05</v>
      </c>
      <c r="AE105" s="120" t="str">
        <f t="shared" si="41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05" s="117" t="str">
        <f t="shared" si="42"/>
        <v>"C:\Program Files (x86)\AstroGrep\AstroGrep.exe" /spath="%USERPROFILE%\AppData\Local\Temp\OnboardLogs" /stypes="*4015*20160805*" /stext=" 17:.+((SYSTEM_STATE.+slice.+state.+changed )|(ment ac)|(system.+state.+changed )|(\|lc)|(penalty)|(\[timeout)|(PRM\|1\|D)|(kpr)|(kdp))" /e /r /s</v>
      </c>
      <c r="AG105" s="1" t="str">
        <f t="shared" si="43"/>
        <v>NW</v>
      </c>
      <c r="AH105" s="121" t="str">
        <f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"&amp;J105&amp;" &gt;&gt; "&amp;TEXT(Variables!$A$2,"yyyy-mm-dd")&amp;"-refined-runtimes.txt"</f>
        <v>"%USERPROFILE%\Documents\GitHub\eaglep3\Utilities\RefineRTDCRunTimes.py" --tripid 818-05 --locoid 4015 --swversion DE.1.0.7.0 --startMP 300:58634 --initTime 2016-08-05T11:35:59 --startdatetime 2016-08-05T11:37:26 --delay 1 --endMP 204:867 --enddatetime 2016-08-05T11:54:00 --enforcementcount 0 &gt;&gt; 2016-08-05-refined-runtimes.txt</v>
      </c>
    </row>
    <row r="106" spans="1:34" x14ac:dyDescent="0.25">
      <c r="A106" s="42" t="s">
        <v>778</v>
      </c>
      <c r="B106" s="7">
        <v>4016</v>
      </c>
      <c r="C106" s="25" t="s">
        <v>156</v>
      </c>
      <c r="D106" s="25" t="s">
        <v>779</v>
      </c>
      <c r="E106" s="16">
        <v>42587.509988425925</v>
      </c>
      <c r="F106" s="16">
        <v>42587.510879629626</v>
      </c>
      <c r="G106" s="7">
        <v>1</v>
      </c>
      <c r="H106" s="16" t="s">
        <v>780</v>
      </c>
      <c r="I106" s="16">
        <v>42587.523622685185</v>
      </c>
      <c r="J106" s="7">
        <v>0</v>
      </c>
      <c r="K106" s="111" t="str">
        <f t="shared" si="29"/>
        <v>4015/4016</v>
      </c>
      <c r="L106" s="25" t="e">
        <f>VLOOKUP(A106,'Trips&amp;Operators'!$C$1:$E$10000,3,FALSE)</f>
        <v>#N/A</v>
      </c>
      <c r="M106" s="6">
        <f t="shared" si="30"/>
        <v>1.2743055558530614E-2</v>
      </c>
      <c r="N106" s="7">
        <f t="shared" si="31"/>
        <v>18.350000004284084</v>
      </c>
      <c r="O106" s="7"/>
      <c r="P106" s="7"/>
      <c r="Q106" s="26"/>
      <c r="R106" s="26"/>
      <c r="S106" s="38">
        <f t="shared" si="32"/>
        <v>1</v>
      </c>
      <c r="T106" s="55" t="str">
        <f t="shared" si="33"/>
        <v>NorthBound</v>
      </c>
      <c r="U106" s="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</v>
      </c>
      <c r="V106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11:14:23-0600',mode:absolute,to:'2016-08-05 13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06" s="57" t="str">
        <f t="shared" si="35"/>
        <v>N</v>
      </c>
      <c r="X106" s="114">
        <f t="shared" si="36"/>
        <v>1</v>
      </c>
      <c r="Y106" s="72">
        <f t="shared" si="37"/>
        <v>0.1149</v>
      </c>
      <c r="Z106" s="72">
        <f t="shared" si="38"/>
        <v>5.8956</v>
      </c>
      <c r="AA106" s="72">
        <f t="shared" si="39"/>
        <v>5.7806999999999995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40"/>
        <v>0819-05</v>
      </c>
      <c r="AE106" s="120" t="str">
        <f t="shared" si="41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06" s="117" t="str">
        <f t="shared" si="42"/>
        <v>"C:\Program Files (x86)\AstroGrep\AstroGrep.exe" /spath="%USERPROFILE%\AppData\Local\Temp\OnboardLogs" /stypes="*4016*20160805*" /stext=" 18:.+((SYSTEM_STATE.+slice.+state.+changed )|(ment ac)|(system.+state.+changed )|(\|lc)|(penalty)|(\[timeout)|(PRM\|1\|D)|(kpr)|(kdp))" /e /r /s</v>
      </c>
      <c r="AG106" s="1" t="str">
        <f t="shared" si="43"/>
        <v>NW</v>
      </c>
      <c r="AH106" s="121" t="str">
        <f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"&amp;J106&amp;" &gt;&gt; "&amp;TEXT(Variables!$A$2,"yyyy-mm-dd")&amp;"-refined-runtimes.txt"</f>
        <v>"%USERPROFILE%\Documents\GitHub\eaglep3\Utilities\RefineRTDCRunTimes.py" --tripid 819-05 --locoid 4016 --swversion DE.1.0.7.0 --startMP 204:1149 --initTime 2016-08-05T12:14:23 --startdatetime 2016-08-05T12:15:40 --delay 1 --endMP 300:58956 --enddatetime 2016-08-05T12:34:01 --enforcementcount 0 &gt;&gt; 2016-08-05-refined-runtimes.txt</v>
      </c>
    </row>
    <row r="107" spans="1:34" x14ac:dyDescent="0.25">
      <c r="A107" s="42" t="s">
        <v>781</v>
      </c>
      <c r="B107" s="7">
        <v>4015</v>
      </c>
      <c r="C107" s="25" t="s">
        <v>156</v>
      </c>
      <c r="D107" s="25" t="s">
        <v>761</v>
      </c>
      <c r="E107" s="16">
        <v>42587.524756944447</v>
      </c>
      <c r="F107" s="16">
        <v>42587.52542824074</v>
      </c>
      <c r="G107" s="7">
        <v>0</v>
      </c>
      <c r="H107" s="16" t="s">
        <v>782</v>
      </c>
      <c r="I107" s="16">
        <v>42587.537465277775</v>
      </c>
      <c r="J107" s="7">
        <v>0</v>
      </c>
      <c r="K107" s="111" t="str">
        <f t="shared" si="29"/>
        <v>4015/4016</v>
      </c>
      <c r="L107" s="25" t="e">
        <f>VLOOKUP(A107,'Trips&amp;Operators'!$C$1:$E$10000,3,FALSE)</f>
        <v>#N/A</v>
      </c>
      <c r="M107" s="6">
        <f t="shared" si="30"/>
        <v>1.2037037035042886E-2</v>
      </c>
      <c r="N107" s="7">
        <f t="shared" si="31"/>
        <v>17.333333330461755</v>
      </c>
      <c r="O107" s="7"/>
      <c r="P107" s="7"/>
      <c r="Q107" s="26"/>
      <c r="R107" s="26"/>
      <c r="S107" s="38">
        <f t="shared" si="32"/>
        <v>1</v>
      </c>
      <c r="T107" s="55" t="str">
        <f t="shared" si="33"/>
        <v>Southbound</v>
      </c>
      <c r="U107" s="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</v>
      </c>
      <c r="V107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11:35:39-0600',mode:absolute,to:'2016-08-05 13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07" s="57" t="str">
        <f t="shared" si="35"/>
        <v>N</v>
      </c>
      <c r="X107" s="114">
        <f t="shared" si="36"/>
        <v>1</v>
      </c>
      <c r="Y107" s="72">
        <f t="shared" si="37"/>
        <v>5.8639999999999999</v>
      </c>
      <c r="Z107" s="72">
        <f t="shared" si="38"/>
        <v>7.9699999999999993E-2</v>
      </c>
      <c r="AA107" s="72">
        <f t="shared" si="39"/>
        <v>5.7843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40"/>
        <v>0820-05</v>
      </c>
      <c r="AE107" s="120" t="str">
        <f t="shared" si="41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07" s="117" t="str">
        <f t="shared" si="42"/>
        <v>"C:\Program Files (x86)\AstroGrep\AstroGrep.exe" /spath="%USERPROFILE%\AppData\Local\Temp\OnboardLogs" /stypes="*4015*20160805*" /stext=" 18:.+((SYSTEM_STATE.+slice.+state.+changed )|(ment ac)|(system.+state.+changed )|(\|lc)|(penalty)|(\[timeout)|(PRM\|1\|D)|(kpr)|(kdp))" /e /r /s</v>
      </c>
      <c r="AG107" s="1" t="str">
        <f t="shared" si="43"/>
        <v>NW</v>
      </c>
      <c r="AH107" s="121" t="str">
        <f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"&amp;J107&amp;" &gt;&gt; "&amp;TEXT(Variables!$A$2,"yyyy-mm-dd")&amp;"-refined-runtimes.txt"</f>
        <v>"%USERPROFILE%\Documents\GitHub\eaglep3\Utilities\RefineRTDCRunTimes.py" --tripid 820-05 --locoid 4015 --swversion DE.1.0.7.0 --startMP 300:58640 --initTime 2016-08-05T12:35:39 --startdatetime 2016-08-05T12:36:37 --delay 0 --endMP 204:797 --enddatetime 2016-08-05T12:53:57 --enforcementcount 0 &gt;&gt; 2016-08-05-refined-runtimes.txt</v>
      </c>
    </row>
    <row r="108" spans="1:34" x14ac:dyDescent="0.25">
      <c r="A108" s="42" t="s">
        <v>550</v>
      </c>
      <c r="B108" s="7">
        <v>4007</v>
      </c>
      <c r="C108" s="25" t="s">
        <v>156</v>
      </c>
      <c r="D108" s="25" t="s">
        <v>551</v>
      </c>
      <c r="E108" s="16">
        <v>42587.091157407405</v>
      </c>
      <c r="F108" s="16">
        <v>42587.092152777775</v>
      </c>
      <c r="G108" s="7">
        <v>1</v>
      </c>
      <c r="H108" s="16" t="s">
        <v>312</v>
      </c>
      <c r="I108" s="16">
        <v>42587.100266203706</v>
      </c>
      <c r="J108" s="7">
        <v>0</v>
      </c>
      <c r="K108" s="111" t="str">
        <f>IF(ISEVEN(B108),(B108-1)&amp;"/"&amp;B108,B108&amp;"/"&amp;(B108+1))</f>
        <v>4007/4008</v>
      </c>
      <c r="L108" s="25" t="str">
        <f>VLOOKUP(A108,'Trips&amp;Operators'!$C$1:$E$10000,3,FALSE)</f>
        <v>STURGEON</v>
      </c>
      <c r="M108" s="6">
        <f>I108-F108</f>
        <v>8.1134259307873435E-3</v>
      </c>
      <c r="N108" s="7">
        <f t="shared" si="31"/>
        <v>11.683333340333775</v>
      </c>
      <c r="O108" s="7"/>
      <c r="P108" s="7"/>
      <c r="Q108" s="26"/>
      <c r="R108" s="26"/>
      <c r="S108" s="38">
        <f>SUM(U108:U108)/IF(AG108="EC",12,1)</f>
        <v>1</v>
      </c>
      <c r="T108" s="55" t="str">
        <f>IF(ISEVEN(LEFT(AD108,4)),"Southbound","NorthBound")</f>
        <v>NorthBound</v>
      </c>
      <c r="U108" s="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</v>
      </c>
      <c r="V108" s="127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https://search-rtdc-monitor-bjffxe2xuh6vdkpspy63sjmuny.us-east-1.es.amazonaws.com/_plugin/kibana/#/discover/Steve-Slow-Train-Analysis-(2080s-and-2083s)?_g=(refreshInterval:(display:Off,section:0,value:0),time:(from:'2016-08-05 01:11:16-0600',mode:absolute,to:'2016-08-05 03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08" s="57" t="str">
        <f>IF(AA108&lt;IF(AG108="EC",23,5.65),"Y","N")</f>
        <v>Y</v>
      </c>
      <c r="X108" s="114">
        <f>VALUE(LEFT(AD108,4))-VALUE(LEFT(AD84,4))</f>
        <v>144</v>
      </c>
      <c r="Y108" s="72">
        <f>RIGHT(D108,LEN(D108)-4)/10000</f>
        <v>4.7100000000000003E-2</v>
      </c>
      <c r="Z108" s="72">
        <f>RIGHT(H108,LEN(H108)-4)/10000</f>
        <v>2.3304</v>
      </c>
      <c r="AA108" s="72">
        <f>ABS(Z108-Y108)</f>
        <v>2.2833000000000001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>IF(LEN(A108)=6,"0"&amp;A108,A108)</f>
        <v>0315-04</v>
      </c>
      <c r="AE108" s="120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</c>
      <c r="AF108" s="117" t="str">
        <f>astrogrep_path&amp;" /spath="&amp;search_path&amp;" /stypes=""*"&amp;B108&amp;"*"&amp;TEXT(I108-utc_offset/24,"YYYYMMDD")&amp;"*"" /stext="" "&amp;TEXT(I108-utc_offset/24,"HH")&amp;search_regexp&amp;""" /e /r /s"</f>
        <v>"C:\Program Files (x86)\AstroGrep\AstroGrep.exe" /spath="%USERPROFILE%\AppData\Local\Temp\OnboardLogs" /stypes="*4007*20160805*" /stext=" 08:.+((SYSTEM_STATE.+slice.+state.+changed )|(ment ac)|(system.+state.+changed )|(\|lc)|(penalty)|(\[timeout)|(PRM\|1\|D)|(kpr)|(kdp))" /e /r /s</v>
      </c>
      <c r="AG108" s="1" t="str">
        <f>IF(VALUE(LEFT(AD108,2))&lt;=2,"EC",IF(OR(VALUE(LEFT(AD108,2))=8,VALUE(LEFT(AD108,2))=18),"NW","GL"))</f>
        <v>GL</v>
      </c>
      <c r="AH108" s="121" t="str">
        <f>refinertdcruntimes&amp;" --tripid "&amp;A108&amp;" --locoid "&amp;B108&amp;" --swversion "&amp;C108&amp;" --startMP "&amp;D108&amp;" --initTime "&amp;TEXT(E108,"yyyy-mm-ddTHH:MM:SS")&amp;" --startdatetime "&amp;TEXT(F108,"yyyy-mm-ddTHH:MM:SS")&amp;" --delay "&amp;G108&amp;" --endMP "&amp;H108&amp;" --enddatetime "&amp;TEXT(I108,"yyyy-mm-ddTHH:MM:SS")&amp;" --enforcementcount "&amp;J108&amp;" &gt;&gt; "&amp;TEXT(Variables!$A$2,"yyyy-mm-dd")&amp;"-refined-runtimes.txt"</f>
        <v>"%USERPROFILE%\Documents\GitHub\eaglep3\Utilities\RefineRTDCRunTimes.py" --tripid 315-04 --locoid 4007 --swversion DE.1.0.7.0 --startMP 204:471 --initTime 2016-08-05T02:11:16 --startdatetime 2016-08-05T02:12:42 --delay 1 --endMP 300:23304 --enddatetime 2016-08-05T02:24:23 --enforcementcount 0 &gt;&gt; 2016-08-05-refined-runtimes.txt</v>
      </c>
    </row>
    <row r="109" spans="1:34" x14ac:dyDescent="0.25">
      <c r="A109" s="42" t="s">
        <v>603</v>
      </c>
      <c r="B109" s="7">
        <v>4018</v>
      </c>
      <c r="C109" s="25" t="s">
        <v>156</v>
      </c>
      <c r="D109" s="25" t="s">
        <v>783</v>
      </c>
      <c r="E109" s="16">
        <v>42587.197592592594</v>
      </c>
      <c r="F109" s="16">
        <v>42587.201504629629</v>
      </c>
      <c r="G109" s="7">
        <v>5</v>
      </c>
      <c r="H109" s="16" t="s">
        <v>784</v>
      </c>
      <c r="I109" s="16">
        <v>42587.202268518522</v>
      </c>
      <c r="J109" s="7">
        <v>0</v>
      </c>
      <c r="K109" s="111" t="str">
        <f t="shared" si="29"/>
        <v>4017/4018</v>
      </c>
      <c r="L109" s="25" t="str">
        <f>VLOOKUP(A109,'Trips&amp;Operators'!$C$1:$E$10000,3,FALSE)</f>
        <v>STRICKLAND</v>
      </c>
      <c r="M109" s="6">
        <f t="shared" si="30"/>
        <v>7.638888928340748E-4</v>
      </c>
      <c r="N109" s="7">
        <f t="shared" si="31"/>
        <v>1.1000000056810677</v>
      </c>
      <c r="O109" s="7"/>
      <c r="P109" s="7"/>
      <c r="Q109" s="26"/>
      <c r="R109" s="26"/>
      <c r="S109" s="38">
        <f t="shared" si="32"/>
        <v>0</v>
      </c>
      <c r="T109" s="55" t="str">
        <f t="shared" si="33"/>
        <v>NorthBound</v>
      </c>
      <c r="U109" s="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0</v>
      </c>
      <c r="V109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03:44:32-0600',mode:absolute,to:'2016-08-05 05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09" s="57" t="str">
        <f t="shared" si="35"/>
        <v>Y</v>
      </c>
      <c r="X109" s="114">
        <f>VALUE(LEFT(AD109,4))-VALUE(LEFT(AD107,4))</f>
        <v>81</v>
      </c>
      <c r="Y109" s="72">
        <f t="shared" si="37"/>
        <v>2.7252000000000001</v>
      </c>
      <c r="Z109" s="72">
        <f t="shared" si="38"/>
        <v>2.8188</v>
      </c>
      <c r="AA109" s="72">
        <f t="shared" si="39"/>
        <v>9.3599999999999905E-2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si="40"/>
        <v>0901-05</v>
      </c>
      <c r="AE109" s="120" t="str">
        <f t="shared" si="41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109" s="117" t="str">
        <f t="shared" si="42"/>
        <v>"C:\Program Files (x86)\AstroGrep\AstroGrep.exe" /spath="%USERPROFILE%\AppData\Local\Temp\OnboardLogs" /stypes="*4018*20160805*" /stext=" 10:.+((SYSTEM_STATE.+slice.+state.+changed )|(ment ac)|(system.+state.+changed )|(\|lc)|(penalty)|(\[timeout)|(PRM\|1\|D)|(kpr)|(kdp))" /e /r /s</v>
      </c>
      <c r="AG109" s="1" t="str">
        <f t="shared" si="43"/>
        <v>GL</v>
      </c>
      <c r="AH109" s="121" t="str">
        <f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"&amp;J109&amp;" &gt;&gt; "&amp;TEXT(Variables!$A$2,"yyyy-mm-dd")&amp;"-refined-runtimes.txt"</f>
        <v>"%USERPROFILE%\Documents\GitHub\eaglep3\Utilities\RefineRTDCRunTimes.py" --tripid 901-05 --locoid 4018 --swversion DE.1.0.7.0 --startMP 300:27252 --initTime 2016-08-05T04:44:32 --startdatetime 2016-08-05T04:50:10 --delay 5 --endMP 300:28188 --enddatetime 2016-08-05T04:51:16 --enforcementcount 0 &gt;&gt; 2016-08-05-refined-runtimes.txt</v>
      </c>
    </row>
    <row r="110" spans="1:34" x14ac:dyDescent="0.25">
      <c r="A110" s="42" t="s">
        <v>603</v>
      </c>
      <c r="B110" s="7">
        <v>4018</v>
      </c>
      <c r="C110" s="25" t="s">
        <v>156</v>
      </c>
      <c r="D110" s="25" t="s">
        <v>785</v>
      </c>
      <c r="E110" s="16">
        <v>42587.204988425925</v>
      </c>
      <c r="F110" s="16">
        <v>42587.205671296295</v>
      </c>
      <c r="G110" s="7">
        <v>0</v>
      </c>
      <c r="H110" s="16" t="s">
        <v>786</v>
      </c>
      <c r="I110" s="16">
        <v>42587.209675925929</v>
      </c>
      <c r="J110" s="7">
        <v>0</v>
      </c>
      <c r="K110" s="111" t="str">
        <f t="shared" si="29"/>
        <v>4017/4018</v>
      </c>
      <c r="L110" s="25" t="str">
        <f>VLOOKUP(A110,'Trips&amp;Operators'!$C$1:$E$10000,3,FALSE)</f>
        <v>STRICKLAND</v>
      </c>
      <c r="M110" s="6">
        <f t="shared" si="30"/>
        <v>4.0046296344371513E-3</v>
      </c>
      <c r="N110" s="7">
        <f t="shared" si="31"/>
        <v>5.7666666735894978</v>
      </c>
      <c r="O110" s="7"/>
      <c r="P110" s="7"/>
      <c r="Q110" s="26"/>
      <c r="R110" s="26"/>
      <c r="S110" s="38">
        <f t="shared" si="32"/>
        <v>0</v>
      </c>
      <c r="T110" s="55" t="str">
        <f t="shared" si="33"/>
        <v>NorthBound</v>
      </c>
      <c r="U110" s="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03:55:11-0600',mode:absolute,to:'2016-08-05 06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10" s="57" t="str">
        <f t="shared" si="35"/>
        <v>Y</v>
      </c>
      <c r="X110" s="114">
        <f t="shared" si="36"/>
        <v>0</v>
      </c>
      <c r="Y110" s="72">
        <f t="shared" si="37"/>
        <v>3.9479000000000002</v>
      </c>
      <c r="Z110" s="72">
        <f t="shared" si="38"/>
        <v>5.7743000000000002</v>
      </c>
      <c r="AA110" s="72">
        <f t="shared" si="39"/>
        <v>1.8264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40"/>
        <v>0901-05</v>
      </c>
      <c r="AE110" s="120" t="str">
        <f t="shared" si="41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110" s="117" t="str">
        <f t="shared" si="42"/>
        <v>"C:\Program Files (x86)\AstroGrep\AstroGrep.exe" /spath="%USERPROFILE%\AppData\Local\Temp\OnboardLogs" /stypes="*4018*20160805*" /stext=" 11:.+((SYSTEM_STATE.+slice.+state.+changed )|(ment ac)|(system.+state.+changed )|(\|lc)|(penalty)|(\[timeout)|(PRM\|1\|D)|(kpr)|(kdp))" /e /r /s</v>
      </c>
      <c r="AG110" s="1" t="str">
        <f t="shared" si="43"/>
        <v>GL</v>
      </c>
      <c r="AH110" s="121" t="str">
        <f>refinertdcruntimes&amp;" --tripid "&amp;A110&amp;" --locoid "&amp;B110&amp;" --swversion "&amp;C110&amp;" --startMP "&amp;D110&amp;" --initTime "&amp;TEXT(E110,"yyyy-mm-ddTHH:MM:SS")&amp;" --startdatetime "&amp;TEXT(F110,"yyyy-mm-ddTHH:MM:SS")&amp;" --delay "&amp;G110&amp;" --endMP "&amp;H110&amp;" --enddatetime "&amp;TEXT(I110,"yyyy-mm-ddTHH:MM:SS")&amp;" --enforcementcount "&amp;J110&amp;" &gt;&gt; "&amp;TEXT(Variables!$A$2,"yyyy-mm-dd")&amp;"-refined-runtimes.txt"</f>
        <v>"%USERPROFILE%\Documents\GitHub\eaglep3\Utilities\RefineRTDCRunTimes.py" --tripid 901-05 --locoid 4018 --swversion DE.1.0.7.0 --startMP 300:39479 --initTime 2016-08-05T04:55:11 --startdatetime 2016-08-05T04:56:10 --delay 0 --endMP 300:57743 --enddatetime 2016-08-05T05:01:56 --enforcementcount 0 &gt;&gt; 2016-08-05-refined-runtimes.txt</v>
      </c>
    </row>
    <row r="111" spans="1:34" x14ac:dyDescent="0.25">
      <c r="A111" s="42" t="s">
        <v>787</v>
      </c>
      <c r="B111" s="7">
        <v>4018</v>
      </c>
      <c r="C111" s="25" t="s">
        <v>156</v>
      </c>
      <c r="D111" s="25" t="s">
        <v>788</v>
      </c>
      <c r="E111" s="16">
        <v>42587.355578703704</v>
      </c>
      <c r="F111" s="16">
        <v>42587.356585648151</v>
      </c>
      <c r="G111" s="7">
        <v>1</v>
      </c>
      <c r="H111" s="16" t="s">
        <v>789</v>
      </c>
      <c r="I111" s="16">
        <v>42587.36378472222</v>
      </c>
      <c r="J111" s="7">
        <v>0</v>
      </c>
      <c r="K111" s="111" t="str">
        <f t="shared" si="29"/>
        <v>4017/4018</v>
      </c>
      <c r="L111" s="25" t="e">
        <f>VLOOKUP(A111,'Trips&amp;Operators'!$C$1:$E$10000,3,FALSE)</f>
        <v>#N/A</v>
      </c>
      <c r="M111" s="6">
        <f t="shared" si="30"/>
        <v>7.1990740689216182E-3</v>
      </c>
      <c r="N111" s="7">
        <f t="shared" si="31"/>
        <v>10.36666665924713</v>
      </c>
      <c r="O111" s="7"/>
      <c r="P111" s="7"/>
      <c r="Q111" s="26"/>
      <c r="R111" s="26"/>
      <c r="S111" s="38">
        <f t="shared" si="32"/>
        <v>1</v>
      </c>
      <c r="T111" s="55" t="str">
        <f t="shared" si="33"/>
        <v>NorthBound</v>
      </c>
      <c r="U111" s="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</v>
      </c>
      <c r="V111" s="127" t="str">
        <f t="shared" si="34"/>
        <v>https://search-rtdc-monitor-bjffxe2xuh6vdkpspy63sjmuny.us-east-1.es.amazonaws.com/_plugin/kibana/#/discover/Steve-Slow-Train-Analysis-(2080s-and-2083s)?_g=(refreshInterval:(display:Off,section:0,value:0),time:(from:'2016-08-05 07:32:02-0600',mode:absolute,to:'2016-08-05 09:43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11" s="57" t="str">
        <f t="shared" si="35"/>
        <v>Y</v>
      </c>
      <c r="X111" s="114">
        <f t="shared" si="36"/>
        <v>2</v>
      </c>
      <c r="Y111" s="72">
        <f t="shared" si="37"/>
        <v>0.10630000000000001</v>
      </c>
      <c r="Z111" s="72">
        <f t="shared" si="38"/>
        <v>2.4228999999999998</v>
      </c>
      <c r="AA111" s="72">
        <f t="shared" si="39"/>
        <v>2.3165999999999998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40"/>
        <v>0903-05</v>
      </c>
      <c r="AE111" s="120" t="str">
        <f t="shared" si="41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111" s="117" t="str">
        <f t="shared" si="42"/>
        <v>"C:\Program Files (x86)\AstroGrep\AstroGrep.exe" /spath="%USERPROFILE%\AppData\Local\Temp\OnboardLogs" /stypes="*4018*20160805*" /stext=" 14:.+((SYSTEM_STATE.+slice.+state.+changed )|(ment ac)|(system.+state.+changed )|(\|lc)|(penalty)|(\[timeout)|(PRM\|1\|D)|(kpr)|(kdp))" /e /r /s</v>
      </c>
      <c r="AG111" s="1" t="str">
        <f t="shared" si="43"/>
        <v>GL</v>
      </c>
      <c r="AH111" s="121" t="str">
        <f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"&amp;J111&amp;" &gt;&gt; "&amp;TEXT(Variables!$A$2,"yyyy-mm-dd")&amp;"-refined-runtimes.txt"</f>
        <v>"%USERPROFILE%\Documents\GitHub\eaglep3\Utilities\RefineRTDCRunTimes.py" --tripid 903-05 --locoid 4018 --swversion DE.1.0.7.0 --startMP 204:1063 --initTime 2016-08-05T08:32:02 --startdatetime 2016-08-05T08:33:29 --delay 1 --endMP 300:24229 --enddatetime 2016-08-05T08:43:51 --enforcementcount 0 &gt;&gt; 2016-08-05-refined-runtimes.txt</v>
      </c>
    </row>
  </sheetData>
  <autoFilter ref="A12:AG111"/>
  <sortState ref="A13:AC160">
    <sortCondition ref="A13:A160"/>
    <sortCondition ref="F13:F160"/>
  </sortState>
  <mergeCells count="1">
    <mergeCell ref="A11:P11"/>
  </mergeCells>
  <conditionalFormatting sqref="W11:W12 W13:X1048576">
    <cfRule type="cellIs" dxfId="8" priority="82" operator="equal">
      <formula>"Y"</formula>
    </cfRule>
  </conditionalFormatting>
  <conditionalFormatting sqref="X13:X1048576">
    <cfRule type="cellIs" dxfId="7" priority="65" operator="greaterThan">
      <formula>1</formula>
    </cfRule>
  </conditionalFormatting>
  <conditionalFormatting sqref="X12:X1048576">
    <cfRule type="cellIs" dxfId="6" priority="62" operator="equal">
      <formula>0</formula>
    </cfRule>
  </conditionalFormatting>
  <conditionalFormatting sqref="A13:S111">
    <cfRule type="expression" dxfId="5" priority="58">
      <formula>$O13&gt;0</formula>
    </cfRule>
  </conditionalFormatting>
  <conditionalFormatting sqref="A13:S111">
    <cfRule type="expression" dxfId="4" priority="57">
      <formula>$P13&gt;0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A13:S111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1"/>
  <sheetViews>
    <sheetView tabSelected="1" workbookViewId="0">
      <selection activeCell="A7" sqref="A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4.28515625" customWidth="1"/>
    <col min="14" max="14" width="24.140625" customWidth="1"/>
    <col min="15" max="15" width="5" hidden="1" customWidth="1"/>
    <col min="16" max="16" width="5.7109375" style="118" customWidth="1"/>
    <col min="17" max="17" width="5.7109375" style="132" customWidth="1"/>
    <col min="18" max="18" width="6" style="115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P1" s="118"/>
      <c r="Q1" s="132"/>
      <c r="R1" s="115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97</v>
      </c>
      <c r="L2" s="79"/>
      <c r="M2" s="81">
        <f>COUNTIF($M$7:$M$446,"=Y")</f>
        <v>17</v>
      </c>
      <c r="P2" s="118"/>
      <c r="Q2" s="132"/>
      <c r="R2" s="115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98</v>
      </c>
      <c r="L3" s="80"/>
      <c r="M3" s="82">
        <f>COUNTA($M$7:$M$446)-M2</f>
        <v>8</v>
      </c>
      <c r="P3" s="118"/>
      <c r="Q3" s="132"/>
      <c r="R3" s="115"/>
      <c r="T3" s="53"/>
    </row>
    <row r="4" spans="1:22" s="24" customFormat="1" x14ac:dyDescent="0.25">
      <c r="A4" s="8"/>
      <c r="F4" s="2"/>
      <c r="G4" s="2"/>
      <c r="H4" s="2"/>
      <c r="J4" s="2"/>
      <c r="L4" s="31"/>
      <c r="P4" s="118"/>
      <c r="Q4" s="132"/>
      <c r="R4" s="115"/>
      <c r="T4" s="53"/>
    </row>
    <row r="5" spans="1:22" s="12" customFormat="1" ht="15" customHeight="1" x14ac:dyDescent="0.25">
      <c r="A5" s="139" t="str">
        <f>"Eagle P3 Braking Events - "&amp;TEXT(Variables!$A$2,"YYYY-mm-dd")</f>
        <v>Eagle P3 Braking Events - 2016-08-05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"/>
      <c r="P5" s="129"/>
      <c r="Q5" s="133"/>
      <c r="R5" s="136"/>
      <c r="T5" s="54"/>
    </row>
    <row r="6" spans="1:22" s="1" customFormat="1" ht="135" x14ac:dyDescent="0.25">
      <c r="A6" s="11" t="s">
        <v>38</v>
      </c>
      <c r="B6" s="83" t="s">
        <v>37</v>
      </c>
      <c r="C6" s="83" t="s">
        <v>36</v>
      </c>
      <c r="D6" s="83" t="s">
        <v>35</v>
      </c>
      <c r="E6" s="83" t="s">
        <v>34</v>
      </c>
      <c r="F6" s="84" t="s">
        <v>33</v>
      </c>
      <c r="G6" s="84" t="s">
        <v>32</v>
      </c>
      <c r="H6" s="84" t="s">
        <v>31</v>
      </c>
      <c r="I6" s="83" t="s">
        <v>30</v>
      </c>
      <c r="J6" s="84" t="s">
        <v>29</v>
      </c>
      <c r="K6" s="83" t="s">
        <v>28</v>
      </c>
      <c r="L6" s="17" t="s">
        <v>47</v>
      </c>
      <c r="M6" s="83" t="s">
        <v>27</v>
      </c>
      <c r="N6" s="83" t="s">
        <v>24</v>
      </c>
      <c r="O6" s="55"/>
      <c r="P6" s="130" t="s">
        <v>123</v>
      </c>
      <c r="Q6" s="134" t="s">
        <v>65</v>
      </c>
      <c r="R6" s="137" t="s">
        <v>122</v>
      </c>
      <c r="S6" s="83" t="s">
        <v>117</v>
      </c>
      <c r="T6" s="85" t="s">
        <v>118</v>
      </c>
      <c r="U6" s="55" t="s">
        <v>134</v>
      </c>
      <c r="V6" s="55" t="s">
        <v>139</v>
      </c>
    </row>
    <row r="7" spans="1:22" s="1" customFormat="1" x14ac:dyDescent="0.25">
      <c r="A7" s="41">
        <v>42587.474942129629</v>
      </c>
      <c r="B7" s="34" t="s">
        <v>67</v>
      </c>
      <c r="C7" s="34" t="s">
        <v>645</v>
      </c>
      <c r="D7" s="34" t="s">
        <v>49</v>
      </c>
      <c r="E7" s="34" t="s">
        <v>130</v>
      </c>
      <c r="F7" s="52">
        <v>300</v>
      </c>
      <c r="G7" s="52">
        <v>383</v>
      </c>
      <c r="H7" s="52">
        <v>31514</v>
      </c>
      <c r="I7" s="34" t="s">
        <v>131</v>
      </c>
      <c r="J7" s="52">
        <v>33137</v>
      </c>
      <c r="K7" s="34" t="s">
        <v>52</v>
      </c>
      <c r="L7" s="112" t="e">
        <f>VLOOKUP(C7,'Trips&amp;Operators'!$C$1:$E$9999,3,0)</f>
        <v>#N/A</v>
      </c>
      <c r="M7" s="9" t="s">
        <v>95</v>
      </c>
      <c r="N7" s="10"/>
      <c r="O7" s="34"/>
      <c r="P7" s="131" t="str">
        <f>VLOOKUP(C7,'Train Runs'!$A$13:$AE$532,31,0)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Q7" s="135" t="str">
        <f>VLOOKUP(C7,'Train Runs'!$A$13:$AE$532,22,0)</f>
        <v>https://search-rtdc-monitor-bjffxe2xuh6vdkpspy63sjmuny.us-east-1.es.amazonaws.com/_plugin/kibana/#/discover/Steve-Slow-Train-Analysis-(2080s-and-2083s)?_g=(refreshInterval:(display:Off,section:0,value:0),time:(from:'2016-08-05 10:12:00-0600',mode:absolute,to:'2016-08-05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" s="138" t="str">
        <f t="shared" ref="R7:R31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/stypes="*4020*201608051*" /stext=" 17:.+((SYSTEM_STATE.+slice.+state.+changed )|(ment ac)|(system.+state.+changed )|(\|lc)|(penalty)|(\[timeout)|(PRM\|1\|D)|(kpr)|(kdp))" /e /r /s</v>
      </c>
      <c r="S7" s="9" t="str">
        <f t="shared" ref="S7:S31" si="1">MID(B7,13,4)</f>
        <v>4020</v>
      </c>
      <c r="T7" s="41">
        <f t="shared" ref="T7:T31" si="2">A7+6/24</f>
        <v>42587.724942129629</v>
      </c>
      <c r="U7" s="55" t="str">
        <f t="shared" ref="U7:U31" si="3">IF(VALUE(LEFT(IF(LEN(C7)=6,"0"&amp;C7,C7),2))&lt;=2,"EC",IF(OR(VALUE(LEFT(IF(LEN(C7)=6,"0"&amp;C7,C7),2))=8,VALUE(LEFT(IF(LEN(C7)=6,"0"&amp;C7,C7),2))=18),"NW","GL"))</f>
        <v>EC</v>
      </c>
      <c r="V7" s="55" t="str">
        <f t="shared" ref="V7:V31" si="4">IF(AND(E7="TRACK WARRANT AUTHORITY",G7&lt;10),"OMIT","KEEP")</f>
        <v>KEEP</v>
      </c>
    </row>
    <row r="8" spans="1:22" s="1" customFormat="1" x14ac:dyDescent="0.25">
      <c r="A8" s="41">
        <v>42587.494884259257</v>
      </c>
      <c r="B8" s="34" t="s">
        <v>100</v>
      </c>
      <c r="C8" s="34" t="s">
        <v>647</v>
      </c>
      <c r="D8" s="34" t="s">
        <v>49</v>
      </c>
      <c r="E8" s="34" t="s">
        <v>130</v>
      </c>
      <c r="F8" s="52">
        <v>0</v>
      </c>
      <c r="G8" s="52">
        <v>40</v>
      </c>
      <c r="H8" s="52">
        <v>108497</v>
      </c>
      <c r="I8" s="34" t="s">
        <v>131</v>
      </c>
      <c r="J8" s="52">
        <v>108954</v>
      </c>
      <c r="K8" s="34" t="s">
        <v>52</v>
      </c>
      <c r="L8" s="112" t="e">
        <f>VLOOKUP(C8,'Trips&amp;Operators'!$C$1:$E$9999,3,0)</f>
        <v>#N/A</v>
      </c>
      <c r="M8" s="9" t="s">
        <v>95</v>
      </c>
      <c r="N8" s="10"/>
      <c r="O8" s="34"/>
      <c r="P8" s="131" t="str">
        <f>VLOOKUP(C8,'Train Runs'!$A$13:$AE$532,31,0)</f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Q8" s="135" t="str">
        <f>VLOOKUP(C8,'Train Runs'!$A$13:$AE$532,22,0)</f>
        <v>https://search-rtdc-monitor-bjffxe2xuh6vdkpspy63sjmuny.us-east-1.es.amazonaws.com/_plugin/kibana/#/discover/Steve-Slow-Train-Analysis-(2080s-and-2083s)?_g=(refreshInterval:(display:Off,section:0,value:0),time:(from:'2016-08-05 10:26:30-0600',mode:absolute,to:'2016-08-05 13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8" s="138" t="str">
        <f t="shared" si="0"/>
        <v>"C:\Program Files (x86)\AstroGrep\AstroGrep.exe" /spath="%USERPROFILE%\AppData\Local\Temp\OnboardLogs" /stypes="*4038*201608051*" /stext=" 17:.+((SYSTEM_STATE.+slice.+state.+changed )|(ment ac)|(system.+state.+changed )|(\|lc)|(penalty)|(\[timeout)|(PRM\|1\|D)|(kpr)|(kdp))" /e /r /s</v>
      </c>
      <c r="S8" s="9" t="str">
        <f t="shared" si="1"/>
        <v>4038</v>
      </c>
      <c r="T8" s="41">
        <f t="shared" si="2"/>
        <v>42587.744884259257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42587.431967592594</v>
      </c>
      <c r="B9" s="34" t="s">
        <v>102</v>
      </c>
      <c r="C9" s="34" t="s">
        <v>643</v>
      </c>
      <c r="D9" s="34" t="s">
        <v>49</v>
      </c>
      <c r="E9" s="34" t="s">
        <v>56</v>
      </c>
      <c r="F9" s="52">
        <v>300</v>
      </c>
      <c r="G9" s="52">
        <v>384</v>
      </c>
      <c r="H9" s="52">
        <v>23166</v>
      </c>
      <c r="I9" s="34" t="s">
        <v>57</v>
      </c>
      <c r="J9" s="52">
        <v>21848</v>
      </c>
      <c r="K9" s="34" t="s">
        <v>53</v>
      </c>
      <c r="L9" s="112" t="e">
        <f>VLOOKUP(C9,'Trips&amp;Operators'!$C$1:$E$9999,3,0)</f>
        <v>#N/A</v>
      </c>
      <c r="M9" s="9" t="s">
        <v>96</v>
      </c>
      <c r="N9" s="10"/>
      <c r="O9" s="34"/>
      <c r="P9" s="131" t="str">
        <f>VLOOKUP(C9,'Train Runs'!$A$13:$AE$532,31,0)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9" s="135" t="str">
        <f>VLOOKUP(C9,'Train Runs'!$A$13:$AE$532,22,0)</f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9" s="138" t="str">
        <f t="shared" si="0"/>
        <v>"C:\Program Files (x86)\AstroGrep\AstroGrep.exe" /spath="%USERPROFILE%\AppData\Local\Temp\OnboardLogs" /stypes="*4026*201608051*" /stext=" 16:.+((SYSTEM_STATE.+slice.+state.+changed )|(ment ac)|(system.+state.+changed )|(\|lc)|(penalty)|(\[timeout)|(PRM\|1\|D)|(kpr)|(kdp))" /e /r /s</v>
      </c>
      <c r="S9" s="9" t="str">
        <f t="shared" si="1"/>
        <v>4026</v>
      </c>
      <c r="T9" s="41">
        <f t="shared" si="2"/>
        <v>42587.681967592594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42587.463263888887</v>
      </c>
      <c r="B10" s="34" t="s">
        <v>106</v>
      </c>
      <c r="C10" s="34" t="s">
        <v>644</v>
      </c>
      <c r="D10" s="34" t="s">
        <v>49</v>
      </c>
      <c r="E10" s="34" t="s">
        <v>56</v>
      </c>
      <c r="F10" s="52">
        <v>200</v>
      </c>
      <c r="G10" s="52">
        <v>435</v>
      </c>
      <c r="H10" s="52">
        <v>25628</v>
      </c>
      <c r="I10" s="34" t="s">
        <v>57</v>
      </c>
      <c r="J10" s="52">
        <v>27333</v>
      </c>
      <c r="K10" s="34" t="s">
        <v>52</v>
      </c>
      <c r="L10" s="112" t="e">
        <f>VLOOKUP(C10,'Trips&amp;Operators'!$C$1:$E$9999,3,0)</f>
        <v>#N/A</v>
      </c>
      <c r="M10" s="9" t="s">
        <v>96</v>
      </c>
      <c r="N10" s="10"/>
      <c r="O10" s="34"/>
      <c r="P10" s="131" t="str">
        <f>VLOOKUP(C10,'Train Runs'!$A$13:$AE$532,31,0)</f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Q10" s="135" t="str">
        <f>VLOOKUP(C10,'Train Runs'!$A$13:$AE$532,22,0)</f>
        <v>https://search-rtdc-monitor-bjffxe2xuh6vdkpspy63sjmuny.us-east-1.es.amazonaws.com/_plugin/kibana/#/discover/Steve-Slow-Train-Analysis-(2080s-and-2083s)?_g=(refreshInterval:(display:Off,section:0,value:0),time:(from:'2016-08-05 09:56:37-0600',mode:absolute,to:'2016-08-05 12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10" s="138" t="str">
        <f t="shared" si="0"/>
        <v>"C:\Program Files (x86)\AstroGrep\AstroGrep.exe" /spath="%USERPROFILE%\AppData\Local\Temp\OnboardLogs" /stypes="*4029*201608051*" /stext=" 17:.+((SYSTEM_STATE.+slice.+state.+changed )|(ment ac)|(system.+state.+changed )|(\|lc)|(penalty)|(\[timeout)|(PRM\|1\|D)|(kpr)|(kdp))" /e /r /s</v>
      </c>
      <c r="S10" s="9" t="str">
        <f t="shared" si="1"/>
        <v>4029</v>
      </c>
      <c r="T10" s="41">
        <f t="shared" si="2"/>
        <v>42587.713263888887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42587.429201388892</v>
      </c>
      <c r="B11" s="34" t="s">
        <v>107</v>
      </c>
      <c r="C11" s="34" t="s">
        <v>642</v>
      </c>
      <c r="D11" s="34" t="s">
        <v>140</v>
      </c>
      <c r="E11" s="34" t="s">
        <v>56</v>
      </c>
      <c r="F11" s="52">
        <v>600</v>
      </c>
      <c r="G11" s="52">
        <v>650</v>
      </c>
      <c r="H11" s="52">
        <v>184298</v>
      </c>
      <c r="I11" s="34" t="s">
        <v>57</v>
      </c>
      <c r="J11" s="52">
        <v>190834</v>
      </c>
      <c r="K11" s="34" t="s">
        <v>53</v>
      </c>
      <c r="L11" s="112" t="e">
        <f>VLOOKUP(C11,'Trips&amp;Operators'!$C$1:$E$9999,3,0)</f>
        <v>#N/A</v>
      </c>
      <c r="M11" s="9" t="s">
        <v>96</v>
      </c>
      <c r="N11" s="10"/>
      <c r="O11" s="34"/>
      <c r="P11" s="131" t="str">
        <f>VLOOKUP(C11,'Train Runs'!$A$13:$AE$532,31,0)</f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Q11" s="135" t="str">
        <f>VLOOKUP(C11,'Train Runs'!$A$13:$AE$532,22,0)</f>
        <v>https://search-rtdc-monitor-bjffxe2xuh6vdkpspy63sjmuny.us-east-1.es.amazonaws.com/_plugin/kibana/#/discover/Steve-Slow-Train-Analysis-(2080s-and-2083s)?_g=(refreshInterval:(display:Off,section:0,value:0),time:(from:'2016-08-05 09:01:25-0600',mode:absolute,to:'2016-08-05 11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11" s="138" t="str">
        <f t="shared" si="0"/>
        <v>"C:\Program Files (x86)\AstroGrep\AstroGrep.exe" /spath="%USERPROFILE%\AppData\Local\Temp\OnboardLogs" /stypes="*4030*201608051*" /stext=" 16:.+((SYSTEM_STATE.+slice.+state.+changed )|(ment ac)|(system.+state.+changed )|(\|lc)|(penalty)|(\[timeout)|(PRM\|1\|D)|(kpr)|(kdp))" /e /r /s</v>
      </c>
      <c r="S11" s="9" t="str">
        <f t="shared" si="1"/>
        <v>4030</v>
      </c>
      <c r="T11" s="41">
        <f t="shared" si="2"/>
        <v>42587.679201388892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42587.140601851854</v>
      </c>
      <c r="B12" s="34" t="s">
        <v>315</v>
      </c>
      <c r="C12" s="34" t="s">
        <v>583</v>
      </c>
      <c r="D12" s="34" t="s">
        <v>49</v>
      </c>
      <c r="E12" s="34" t="s">
        <v>54</v>
      </c>
      <c r="F12" s="52">
        <v>0</v>
      </c>
      <c r="G12" s="52">
        <v>19</v>
      </c>
      <c r="H12" s="52">
        <v>20580</v>
      </c>
      <c r="I12" s="34" t="s">
        <v>55</v>
      </c>
      <c r="J12" s="52">
        <v>20617</v>
      </c>
      <c r="K12" s="34" t="s">
        <v>52</v>
      </c>
      <c r="L12" s="112" t="str">
        <f>VLOOKUP(C12,'Trips&amp;Operators'!$C$1:$E$9999,3,0)</f>
        <v>MAELZER</v>
      </c>
      <c r="M12" s="9" t="s">
        <v>95</v>
      </c>
      <c r="N12" s="10" t="s">
        <v>790</v>
      </c>
      <c r="O12" s="34"/>
      <c r="P12" s="131" t="str">
        <f>VLOOKUP(C12,'Train Runs'!$A$13:$AE$532,31,0)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12" s="135" t="str">
        <f>VLOOKUP(C12,'Train Runs'!$A$13:$AE$532,22,0)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12" s="138" t="str">
        <f t="shared" si="0"/>
        <v>"C:\Program Files (x86)\AstroGrep\AstroGrep.exe" /spath="%USERPROFILE%\AppData\Local\Temp\OnboardLogs" /stypes="*4044*201608050*" /stext=" 09:.+((SYSTEM_STATE.+slice.+state.+changed )|(ment ac)|(system.+state.+changed )|(\|lc)|(penalty)|(\[timeout)|(PRM\|1\|D)|(kpr)|(kdp))" /e /r /s</v>
      </c>
      <c r="S12" s="9" t="str">
        <f t="shared" si="1"/>
        <v>4044</v>
      </c>
      <c r="T12" s="41">
        <f t="shared" si="2"/>
        <v>42587.390601851854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42587.146354166667</v>
      </c>
      <c r="B13" s="34" t="s">
        <v>315</v>
      </c>
      <c r="C13" s="34" t="s">
        <v>583</v>
      </c>
      <c r="D13" s="34" t="s">
        <v>49</v>
      </c>
      <c r="E13" s="34" t="s">
        <v>54</v>
      </c>
      <c r="F13" s="52">
        <v>0</v>
      </c>
      <c r="G13" s="52">
        <v>40</v>
      </c>
      <c r="H13" s="52">
        <v>43521</v>
      </c>
      <c r="I13" s="34" t="s">
        <v>55</v>
      </c>
      <c r="J13" s="52">
        <v>43651</v>
      </c>
      <c r="K13" s="34" t="s">
        <v>52</v>
      </c>
      <c r="L13" s="112" t="str">
        <f>VLOOKUP(C13,'Trips&amp;Operators'!$C$1:$E$9999,3,0)</f>
        <v>MAELZER</v>
      </c>
      <c r="M13" s="9" t="s">
        <v>95</v>
      </c>
      <c r="N13" s="10" t="s">
        <v>790</v>
      </c>
      <c r="O13" s="34"/>
      <c r="P13" s="131" t="str">
        <f>VLOOKUP(C13,'Train Runs'!$A$13:$AE$532,31,0)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13" s="135" t="str">
        <f>VLOOKUP(C13,'Train Runs'!$A$13:$AE$532,22,0)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13" s="138" t="str">
        <f t="shared" si="0"/>
        <v>"C:\Program Files (x86)\AstroGrep\AstroGrep.exe" /spath="%USERPROFILE%\AppData\Local\Temp\OnboardLogs" /stypes="*4044*201608050*" /stext=" 09:.+((SYSTEM_STATE.+slice.+state.+changed )|(ment ac)|(system.+state.+changed )|(\|lc)|(penalty)|(\[timeout)|(PRM\|1\|D)|(kpr)|(kdp))" /e /r /s</v>
      </c>
      <c r="S13" s="9" t="str">
        <f t="shared" si="1"/>
        <v>4044</v>
      </c>
      <c r="T13" s="41">
        <f t="shared" si="2"/>
        <v>42587.396354166667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42587.170810185184</v>
      </c>
      <c r="B14" s="34" t="s">
        <v>141</v>
      </c>
      <c r="C14" s="34" t="s">
        <v>592</v>
      </c>
      <c r="D14" s="34" t="s">
        <v>140</v>
      </c>
      <c r="E14" s="34" t="s">
        <v>54</v>
      </c>
      <c r="F14" s="52">
        <v>200</v>
      </c>
      <c r="G14" s="52">
        <v>258</v>
      </c>
      <c r="H14" s="52">
        <v>65457</v>
      </c>
      <c r="I14" s="34" t="s">
        <v>55</v>
      </c>
      <c r="J14" s="52">
        <v>63995</v>
      </c>
      <c r="K14" s="34" t="s">
        <v>52</v>
      </c>
      <c r="L14" s="112" t="str">
        <f>VLOOKUP(C14,'Trips&amp;Operators'!$C$1:$E$9999,3,0)</f>
        <v>DAVIS</v>
      </c>
      <c r="M14" s="9" t="s">
        <v>95</v>
      </c>
      <c r="N14" s="10" t="s">
        <v>790</v>
      </c>
      <c r="O14" s="34"/>
      <c r="P14" s="131" t="str">
        <f>VLOOKUP(C14,'Train Runs'!$A$13:$AE$532,31,0)</f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Q14" s="135" t="str">
        <f>VLOOKUP(C14,'Train Runs'!$A$13:$AE$532,22,0)</f>
        <v>https://search-rtdc-monitor-bjffxe2xuh6vdkpspy63sjmuny.us-east-1.es.amazonaws.com/_plugin/kibana/#/discover/Steve-Slow-Train-Analysis-(2080s-and-2083s)?_g=(refreshInterval:(display:Off,section:0,value:0),time:(from:'2016-08-05 03:04:11-0600',mode:absolute,to:'2016-08-05 05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14" s="138" t="str">
        <f t="shared" si="0"/>
        <v>"C:\Program Files (x86)\AstroGrep\AstroGrep.exe" /spath="%USERPROFILE%\AppData\Local\Temp\OnboardLogs" /stypes="*4009*201608051*" /stext=" 10:.+((SYSTEM_STATE.+slice.+state.+changed )|(ment ac)|(system.+state.+changed )|(\|lc)|(penalty)|(\[timeout)|(PRM\|1\|D)|(kpr)|(kdp))" /e /r /s</v>
      </c>
      <c r="S14" s="9" t="str">
        <f t="shared" si="1"/>
        <v>4009</v>
      </c>
      <c r="T14" s="41">
        <f t="shared" si="2"/>
        <v>42587.420810185184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42587.188252314816</v>
      </c>
      <c r="B15" s="34" t="s">
        <v>102</v>
      </c>
      <c r="C15" s="34" t="s">
        <v>611</v>
      </c>
      <c r="D15" s="34" t="s">
        <v>140</v>
      </c>
      <c r="E15" s="34" t="s">
        <v>54</v>
      </c>
      <c r="F15" s="52">
        <v>0</v>
      </c>
      <c r="G15" s="52">
        <v>74</v>
      </c>
      <c r="H15" s="52">
        <v>127554</v>
      </c>
      <c r="I15" s="34" t="s">
        <v>55</v>
      </c>
      <c r="J15" s="52">
        <v>127587</v>
      </c>
      <c r="K15" s="34" t="s">
        <v>53</v>
      </c>
      <c r="L15" s="112" t="str">
        <f>VLOOKUP(C15,'Trips&amp;Operators'!$C$1:$E$9999,3,0)</f>
        <v>MAELZER</v>
      </c>
      <c r="M15" s="9" t="s">
        <v>95</v>
      </c>
      <c r="N15" s="10" t="s">
        <v>790</v>
      </c>
      <c r="O15" s="34"/>
      <c r="P15" s="131" t="str">
        <f>VLOOKUP(C15,'Train Runs'!$A$13:$AE$532,31,0)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15" s="135" t="str">
        <f>VLOOKUP(C15,'Train Runs'!$A$13:$AE$532,22,0)</f>
        <v>https://search-rtdc-monitor-bjffxe2xuh6vdkpspy63sjmuny.us-east-1.es.amazonaws.com/_plugin/kibana/#/discover/Steve-Slow-Train-Analysis-(2080s-and-2083s)?_g=(refreshInterval:(display:Off,section:0,value:0),time:(from:'2016-08-05 03:29:01-0600',mode:absolute,to:'2016-08-05 05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5" s="138" t="str">
        <f t="shared" si="0"/>
        <v>"C:\Program Files (x86)\AstroGrep\AstroGrep.exe" /spath="%USERPROFILE%\AppData\Local\Temp\OnboardLogs" /stypes="*4026*201608051*" /stext=" 10:.+((SYSTEM_STATE.+slice.+state.+changed )|(ment ac)|(system.+state.+changed )|(\|lc)|(penalty)|(\[timeout)|(PRM\|1\|D)|(kpr)|(kdp))" /e /r /s</v>
      </c>
      <c r="S15" s="9" t="str">
        <f t="shared" si="1"/>
        <v>4026</v>
      </c>
      <c r="T15" s="41">
        <f t="shared" si="2"/>
        <v>42587.438252314816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42587.47693287037</v>
      </c>
      <c r="B16" s="34" t="s">
        <v>293</v>
      </c>
      <c r="C16" s="34" t="s">
        <v>646</v>
      </c>
      <c r="D16" s="34" t="s">
        <v>49</v>
      </c>
      <c r="E16" s="34" t="s">
        <v>54</v>
      </c>
      <c r="F16" s="52">
        <v>0</v>
      </c>
      <c r="G16" s="52">
        <v>403</v>
      </c>
      <c r="H16" s="52">
        <v>129467</v>
      </c>
      <c r="I16" s="34" t="s">
        <v>55</v>
      </c>
      <c r="J16" s="52">
        <v>127587</v>
      </c>
      <c r="K16" s="34" t="s">
        <v>53</v>
      </c>
      <c r="L16" s="112" t="e">
        <f>VLOOKUP(C16,'Trips&amp;Operators'!$C$1:$E$9999,3,0)</f>
        <v>#N/A</v>
      </c>
      <c r="M16" s="9" t="s">
        <v>95</v>
      </c>
      <c r="N16" s="10"/>
      <c r="O16" s="34"/>
      <c r="P16" s="131" t="str">
        <f>VLOOKUP(C16,'Train Runs'!$A$13:$AE$532,31,0)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Q16" s="135" t="str">
        <f>VLOOKUP(C16,'Train Runs'!$A$13:$AE$532,22,0)</f>
        <v>https://search-rtdc-monitor-bjffxe2xuh6vdkpspy63sjmuny.us-east-1.es.amazonaws.com/_plugin/kibana/#/discover/Steve-Slow-Train-Analysis-(2080s-and-2083s)?_g=(refreshInterval:(display:Off,section:0,value:0),time:(from:'2016-08-05 09:55:56-0600',mode:absolute,to:'2016-08-05 12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6" s="138" t="str">
        <f t="shared" si="0"/>
        <v>"C:\Program Files (x86)\AstroGrep\AstroGrep.exe" /spath="%USERPROFILE%\AppData\Local\Temp\OnboardLogs" /stypes="*4043*201608051*" /stext=" 17:.+((SYSTEM_STATE.+slice.+state.+changed )|(ment ac)|(system.+state.+changed )|(\|lc)|(penalty)|(\[timeout)|(PRM\|1\|D)|(kpr)|(kdp))" /e /r /s</v>
      </c>
      <c r="S16" s="9" t="str">
        <f t="shared" si="1"/>
        <v>4043</v>
      </c>
      <c r="T16" s="41">
        <f t="shared" si="2"/>
        <v>42587.72693287037</v>
      </c>
      <c r="U16" s="55" t="str">
        <f t="shared" si="3"/>
        <v>EC</v>
      </c>
      <c r="V16" s="55" t="str">
        <f t="shared" si="4"/>
        <v>KEEP</v>
      </c>
    </row>
    <row r="17" spans="1:22" s="1" customFormat="1" x14ac:dyDescent="0.25">
      <c r="A17" s="41">
        <v>42587.349618055552</v>
      </c>
      <c r="B17" s="34" t="s">
        <v>293</v>
      </c>
      <c r="C17" s="34" t="s">
        <v>626</v>
      </c>
      <c r="D17" s="34" t="s">
        <v>49</v>
      </c>
      <c r="E17" s="34" t="s">
        <v>50</v>
      </c>
      <c r="F17" s="52">
        <v>0</v>
      </c>
      <c r="G17" s="52">
        <v>40</v>
      </c>
      <c r="H17" s="52">
        <v>136</v>
      </c>
      <c r="I17" s="34" t="s">
        <v>51</v>
      </c>
      <c r="J17" s="52">
        <v>1</v>
      </c>
      <c r="K17" s="34" t="s">
        <v>53</v>
      </c>
      <c r="L17" s="112" t="str">
        <f>VLOOKUP(C17,'Trips&amp;Operators'!$C$1:$E$9999,3,0)</f>
        <v>SANTIZO</v>
      </c>
      <c r="M17" s="9" t="s">
        <v>96</v>
      </c>
      <c r="N17" s="10"/>
      <c r="O17" s="34"/>
      <c r="P17" s="131" t="str">
        <f>VLOOKUP(C17,'Train Runs'!$A$13:$AE$532,31,0)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Q17" s="135" t="str">
        <f>VLOOKUP(C17,'Train Runs'!$A$13:$AE$532,22,0)</f>
        <v>https://search-rtdc-monitor-bjffxe2xuh6vdkpspy63sjmuny.us-east-1.es.amazonaws.com/_plugin/kibana/#/discover/Steve-Slow-Train-Analysis-(2080s-and-2083s)?_g=(refreshInterval:(display:Off,section:0,value:0),time:(from:'2016-08-05 06:24:00-0600',mode:absolute,to:'2016-08-05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7" s="138" t="str">
        <f t="shared" si="0"/>
        <v>"C:\Program Files (x86)\AstroGrep\AstroGrep.exe" /spath="%USERPROFILE%\AppData\Local\Temp\OnboardLogs" /stypes="*4043*201608051*" /stext=" 14:.+((SYSTEM_STATE.+slice.+state.+changed )|(ment ac)|(system.+state.+changed )|(\|lc)|(penalty)|(\[timeout)|(PRM\|1\|D)|(kpr)|(kdp))" /e /r /s</v>
      </c>
      <c r="S17" s="9" t="str">
        <f t="shared" si="1"/>
        <v>4043</v>
      </c>
      <c r="T17" s="41">
        <f t="shared" si="2"/>
        <v>42587.599618055552</v>
      </c>
      <c r="U17" s="55" t="str">
        <f t="shared" si="3"/>
        <v>EC</v>
      </c>
      <c r="V17" s="55" t="str">
        <f t="shared" si="4"/>
        <v>KEEP</v>
      </c>
    </row>
    <row r="18" spans="1:22" s="1" customFormat="1" x14ac:dyDescent="0.25">
      <c r="A18" s="41">
        <v>42587.417210648149</v>
      </c>
      <c r="B18" s="34" t="s">
        <v>105</v>
      </c>
      <c r="C18" s="34" t="s">
        <v>640</v>
      </c>
      <c r="D18" s="34" t="s">
        <v>49</v>
      </c>
      <c r="E18" s="34" t="s">
        <v>50</v>
      </c>
      <c r="F18" s="52">
        <v>0</v>
      </c>
      <c r="G18" s="52">
        <v>39</v>
      </c>
      <c r="H18" s="52">
        <v>119</v>
      </c>
      <c r="I18" s="34" t="s">
        <v>51</v>
      </c>
      <c r="J18" s="52">
        <v>1</v>
      </c>
      <c r="K18" s="34" t="s">
        <v>53</v>
      </c>
      <c r="L18" s="112" t="e">
        <f>VLOOKUP(C18,'Trips&amp;Operators'!$C$1:$E$9999,3,0)</f>
        <v>#N/A</v>
      </c>
      <c r="M18" s="9" t="s">
        <v>96</v>
      </c>
      <c r="N18" s="10"/>
      <c r="O18" s="34"/>
      <c r="P18" s="131" t="str">
        <f>VLOOKUP(C18,'Train Runs'!$A$13:$AE$532,31,0)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Q18" s="135" t="str">
        <f>VLOOKUP(C18,'Train Runs'!$A$13:$AE$532,22,0)</f>
        <v>https://search-rtdc-monitor-bjffxe2xuh6vdkpspy63sjmuny.us-east-1.es.amazonaws.com/_plugin/kibana/#/discover/Steve-Slow-Train-Analysis-(2080s-and-2083s)?_g=(refreshInterval:(display:Off,section:0,value:0),time:(from:'2016-08-05 08:09:37-0600',mode:absolute,to:'2016-08-05 11:00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18" s="138" t="str">
        <f t="shared" si="0"/>
        <v>"C:\Program Files (x86)\AstroGrep\AstroGrep.exe" /spath="%USERPROFILE%\AppData\Local\Temp\OnboardLogs" /stypes="*4028*201608051*" /stext=" 16:.+((SYSTEM_STATE.+slice.+state.+changed )|(ment ac)|(system.+state.+changed )|(\|lc)|(penalty)|(\[timeout)|(PRM\|1\|D)|(kpr)|(kdp))" /e /r /s</v>
      </c>
      <c r="S18" s="9" t="str">
        <f t="shared" si="1"/>
        <v>4028</v>
      </c>
      <c r="T18" s="41">
        <f t="shared" si="2"/>
        <v>42587.667210648149</v>
      </c>
      <c r="U18" s="55" t="str">
        <f t="shared" si="3"/>
        <v>EC</v>
      </c>
      <c r="V18" s="55" t="str">
        <f t="shared" si="4"/>
        <v>KEEP</v>
      </c>
    </row>
    <row r="19" spans="1:22" s="1" customFormat="1" x14ac:dyDescent="0.25">
      <c r="A19" s="41">
        <v>42587.423449074071</v>
      </c>
      <c r="B19" s="34" t="s">
        <v>293</v>
      </c>
      <c r="C19" s="34" t="s">
        <v>641</v>
      </c>
      <c r="D19" s="34" t="s">
        <v>49</v>
      </c>
      <c r="E19" s="34" t="s">
        <v>50</v>
      </c>
      <c r="F19" s="52">
        <v>0</v>
      </c>
      <c r="G19" s="52">
        <v>47</v>
      </c>
      <c r="H19" s="52">
        <v>141</v>
      </c>
      <c r="I19" s="34" t="s">
        <v>51</v>
      </c>
      <c r="J19" s="52">
        <v>1</v>
      </c>
      <c r="K19" s="34" t="s">
        <v>53</v>
      </c>
      <c r="L19" s="112" t="e">
        <f>VLOOKUP(C19,'Trips&amp;Operators'!$C$1:$E$9999,3,0)</f>
        <v>#N/A</v>
      </c>
      <c r="M19" s="9" t="s">
        <v>96</v>
      </c>
      <c r="N19" s="10"/>
      <c r="O19" s="34"/>
      <c r="P19" s="131" t="str">
        <f>VLOOKUP(C19,'Train Runs'!$A$13:$AE$532,31,0)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Q19" s="135" t="str">
        <f>VLOOKUP(C19,'Train Runs'!$A$13:$AE$532,22,0)</f>
        <v>https://search-rtdc-monitor-bjffxe2xuh6vdkpspy63sjmuny.us-east-1.es.amazonaws.com/_plugin/kibana/#/discover/Steve-Slow-Train-Analysis-(2080s-and-2083s)?_g=(refreshInterval:(display:Off,section:0,value:0),time:(from:'2016-08-05 08:27:54-0600',mode:absolute,to:'2016-08-05 11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9" s="138" t="str">
        <f t="shared" si="0"/>
        <v>"C:\Program Files (x86)\AstroGrep\AstroGrep.exe" /spath="%USERPROFILE%\AppData\Local\Temp\OnboardLogs" /stypes="*4043*201608051*" /stext=" 16:.+((SYSTEM_STATE.+slice.+state.+changed )|(ment ac)|(system.+state.+changed )|(\|lc)|(penalty)|(\[timeout)|(PRM\|1\|D)|(kpr)|(kdp))" /e /r /s</v>
      </c>
      <c r="S19" s="9" t="str">
        <f t="shared" si="1"/>
        <v>4043</v>
      </c>
      <c r="T19" s="41">
        <f t="shared" si="2"/>
        <v>42587.673449074071</v>
      </c>
      <c r="U19" s="55" t="str">
        <f t="shared" si="3"/>
        <v>EC</v>
      </c>
      <c r="V19" s="55" t="str">
        <f t="shared" si="4"/>
        <v>KEEP</v>
      </c>
    </row>
    <row r="20" spans="1:22" s="1" customFormat="1" x14ac:dyDescent="0.25">
      <c r="A20" s="41">
        <v>42587.436585648145</v>
      </c>
      <c r="B20" s="34" t="s">
        <v>102</v>
      </c>
      <c r="C20" s="34" t="s">
        <v>643</v>
      </c>
      <c r="D20" s="34" t="s">
        <v>49</v>
      </c>
      <c r="E20" s="34" t="s">
        <v>50</v>
      </c>
      <c r="F20" s="52">
        <v>0</v>
      </c>
      <c r="G20" s="52">
        <v>44</v>
      </c>
      <c r="H20" s="52">
        <v>147</v>
      </c>
      <c r="I20" s="34" t="s">
        <v>51</v>
      </c>
      <c r="J20" s="52">
        <v>1</v>
      </c>
      <c r="K20" s="34" t="s">
        <v>53</v>
      </c>
      <c r="L20" s="112" t="e">
        <f>VLOOKUP(C20,'Trips&amp;Operators'!$C$1:$E$9999,3,0)</f>
        <v>#N/A</v>
      </c>
      <c r="M20" s="9" t="s">
        <v>96</v>
      </c>
      <c r="N20" s="10"/>
      <c r="O20" s="34"/>
      <c r="P20" s="131" t="str">
        <f>VLOOKUP(C20,'Train Runs'!$A$13:$AE$532,31,0)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20" s="135" t="str">
        <f>VLOOKUP(C20,'Train Runs'!$A$13:$AE$532,22,0)</f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0" s="138" t="str">
        <f t="shared" si="0"/>
        <v>"C:\Program Files (x86)\AstroGrep\AstroGrep.exe" /spath="%USERPROFILE%\AppData\Local\Temp\OnboardLogs" /stypes="*4026*201608051*" /stext=" 16:.+((SYSTEM_STATE.+slice.+state.+changed )|(ment ac)|(system.+state.+changed )|(\|lc)|(penalty)|(\[timeout)|(PRM\|1\|D)|(kpr)|(kdp))" /e /r /s</v>
      </c>
      <c r="S20" s="9" t="str">
        <f t="shared" si="1"/>
        <v>4026</v>
      </c>
      <c r="T20" s="41">
        <f t="shared" si="2"/>
        <v>42587.686585648145</v>
      </c>
      <c r="U20" s="55" t="str">
        <f t="shared" si="3"/>
        <v>EC</v>
      </c>
      <c r="V20" s="55" t="str">
        <f t="shared" si="4"/>
        <v>KEEP</v>
      </c>
    </row>
    <row r="21" spans="1:22" s="1" customFormat="1" x14ac:dyDescent="0.25">
      <c r="A21" s="41">
        <v>42587.249780092592</v>
      </c>
      <c r="B21" s="34" t="s">
        <v>68</v>
      </c>
      <c r="C21" s="34" t="s">
        <v>593</v>
      </c>
      <c r="D21" s="34" t="s">
        <v>49</v>
      </c>
      <c r="E21" s="34" t="s">
        <v>54</v>
      </c>
      <c r="F21" s="52">
        <v>0</v>
      </c>
      <c r="G21" s="52">
        <v>120</v>
      </c>
      <c r="H21" s="52">
        <v>16071</v>
      </c>
      <c r="I21" s="34" t="s">
        <v>55</v>
      </c>
      <c r="J21" s="52">
        <v>16577</v>
      </c>
      <c r="K21" s="34" t="s">
        <v>52</v>
      </c>
      <c r="L21" s="112" t="str">
        <f>VLOOKUP(C21,'Trips&amp;Operators'!$C$1:$E$9999,3,0)</f>
        <v>STRICKLAND</v>
      </c>
      <c r="M21" s="9" t="s">
        <v>95</v>
      </c>
      <c r="N21" s="10" t="s">
        <v>790</v>
      </c>
      <c r="O21" s="34"/>
      <c r="P21" s="131" t="str">
        <f>VLOOKUP(C21,'Train Runs'!$A$13:$AE$532,31,0)</f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Q21" s="135" t="str">
        <f>VLOOKUP(C21,'Train Runs'!$A$13:$AE$532,22,0)</f>
        <v>https://search-rtdc-monitor-bjffxe2xuh6vdkpspy63sjmuny.us-east-1.es.amazonaws.com/_plugin/kibana/#/discover/Steve-Slow-Train-Analysis-(2080s-and-2083s)?_g=(refreshInterval:(display:Off,section:0,value:0),time:(from:'2016-08-05 04:34:21-0600',mode:absolute,to:'2016-08-05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1" s="138" t="str">
        <f t="shared" si="0"/>
        <v>"C:\Program Files (x86)\AstroGrep\AstroGrep.exe" /spath="%USERPROFILE%\AppData\Local\Temp\OnboardLogs" /stypes="*4018*201608051*" /stext=" 11:.+((SYSTEM_STATE.+slice.+state.+changed )|(ment ac)|(system.+state.+changed )|(\|lc)|(penalty)|(\[timeout)|(PRM\|1\|D)|(kpr)|(kdp))" /e /r /s</v>
      </c>
      <c r="S21" s="9" t="str">
        <f t="shared" si="1"/>
        <v>4018</v>
      </c>
      <c r="T21" s="41">
        <f t="shared" si="2"/>
        <v>42587.499780092592</v>
      </c>
      <c r="U21" s="55" t="str">
        <f t="shared" si="3"/>
        <v>NW</v>
      </c>
      <c r="V21" s="55" t="str">
        <f t="shared" si="4"/>
        <v>KEEP</v>
      </c>
    </row>
    <row r="22" spans="1:22" s="1" customFormat="1" x14ac:dyDescent="0.25">
      <c r="A22" s="41">
        <v>42587.290543981479</v>
      </c>
      <c r="B22" s="34" t="s">
        <v>68</v>
      </c>
      <c r="C22" s="34" t="s">
        <v>616</v>
      </c>
      <c r="D22" s="34" t="s">
        <v>49</v>
      </c>
      <c r="E22" s="34" t="s">
        <v>54</v>
      </c>
      <c r="F22" s="52">
        <v>0</v>
      </c>
      <c r="G22" s="52">
        <v>214</v>
      </c>
      <c r="H22" s="52">
        <v>15650</v>
      </c>
      <c r="I22" s="34" t="s">
        <v>55</v>
      </c>
      <c r="J22" s="52">
        <v>16577</v>
      </c>
      <c r="K22" s="34" t="s">
        <v>52</v>
      </c>
      <c r="L22" s="112" t="str">
        <f>VLOOKUP(C22,'Trips&amp;Operators'!$C$1:$E$9999,3,0)</f>
        <v>STRICKLAND</v>
      </c>
      <c r="M22" s="9" t="s">
        <v>95</v>
      </c>
      <c r="N22" s="10" t="s">
        <v>790</v>
      </c>
      <c r="O22" s="34"/>
      <c r="P22" s="131" t="str">
        <f>VLOOKUP(C22,'Train Runs'!$A$13:$AE$532,31,0)</f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Q22" s="135" t="str">
        <f>VLOOKUP(C22,'Train Runs'!$A$13:$AE$532,22,0)</f>
        <v>https://search-rtdc-monitor-bjffxe2xuh6vdkpspy63sjmuny.us-east-1.es.amazonaws.com/_plugin/kibana/#/discover/Steve-Slow-Train-Analysis-(2080s-and-2083s)?_g=(refreshInterval:(display:Off,section:0,value:0),time:(from:'2016-08-05 05:42:35-0600',mode:absolute,to:'2016-08-05 07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2" s="138" t="str">
        <f t="shared" si="0"/>
        <v>"C:\Program Files (x86)\AstroGrep\AstroGrep.exe" /spath="%USERPROFILE%\AppData\Local\Temp\OnboardLogs" /stypes="*4018*201608051*" /stext=" 12:.+((SYSTEM_STATE.+slice.+state.+changed )|(ment ac)|(system.+state.+changed )|(\|lc)|(penalty)|(\[timeout)|(PRM\|1\|D)|(kpr)|(kdp))" /e /r /s</v>
      </c>
      <c r="S22" s="9" t="str">
        <f t="shared" si="1"/>
        <v>4018</v>
      </c>
      <c r="T22" s="41">
        <f t="shared" si="2"/>
        <v>42587.540543981479</v>
      </c>
      <c r="U22" s="55" t="str">
        <f t="shared" si="3"/>
        <v>NW</v>
      </c>
      <c r="V22" s="55" t="str">
        <f t="shared" si="4"/>
        <v>KEEP</v>
      </c>
    </row>
    <row r="23" spans="1:22" x14ac:dyDescent="0.25">
      <c r="A23" s="41">
        <v>42587.222395833334</v>
      </c>
      <c r="B23" s="34" t="s">
        <v>69</v>
      </c>
      <c r="C23" s="34" t="s">
        <v>601</v>
      </c>
      <c r="D23" s="34" t="s">
        <v>49</v>
      </c>
      <c r="E23" s="34" t="s">
        <v>54</v>
      </c>
      <c r="F23" s="52">
        <v>0</v>
      </c>
      <c r="G23" s="52">
        <v>120</v>
      </c>
      <c r="H23" s="52">
        <v>34922</v>
      </c>
      <c r="I23" s="34" t="s">
        <v>55</v>
      </c>
      <c r="J23" s="52">
        <v>34593</v>
      </c>
      <c r="K23" s="34" t="s">
        <v>53</v>
      </c>
      <c r="L23" s="112" t="str">
        <f>VLOOKUP(C23,'Trips&amp;Operators'!$C$1:$E$9999,3,0)</f>
        <v>STRICKLAND</v>
      </c>
      <c r="M23" s="9" t="s">
        <v>95</v>
      </c>
      <c r="N23" s="10" t="s">
        <v>790</v>
      </c>
      <c r="O23" s="34"/>
      <c r="P23" s="131" t="str">
        <f>VLOOKUP(C23,'Train Runs'!$A$13:$AE$532,31,0)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3" s="135" t="str">
        <f>VLOOKUP(C23,'Train Runs'!$A$13:$AE$532,22,0)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3" s="138" t="str">
        <f t="shared" si="0"/>
        <v>"C:\Program Files (x86)\AstroGrep\AstroGrep.exe" /spath="%USERPROFILE%\AppData\Local\Temp\OnboardLogs" /stypes="*4017*201608051*" /stext=" 11:.+((SYSTEM_STATE.+slice.+state.+changed )|(ment ac)|(system.+state.+changed )|(\|lc)|(penalty)|(\[timeout)|(PRM\|1\|D)|(kpr)|(kdp))" /e /r /s</v>
      </c>
      <c r="S23" s="9" t="str">
        <f t="shared" si="1"/>
        <v>4017</v>
      </c>
      <c r="T23" s="41">
        <f t="shared" si="2"/>
        <v>42587.472395833334</v>
      </c>
      <c r="U23" s="55" t="str">
        <f t="shared" si="3"/>
        <v>NW</v>
      </c>
      <c r="V23" s="55" t="str">
        <f t="shared" si="4"/>
        <v>KEEP</v>
      </c>
    </row>
    <row r="24" spans="1:22" s="1" customFormat="1" x14ac:dyDescent="0.25">
      <c r="A24" s="41">
        <v>42587.214375000003</v>
      </c>
      <c r="B24" s="34" t="s">
        <v>69</v>
      </c>
      <c r="C24" s="34" t="s">
        <v>601</v>
      </c>
      <c r="D24" s="34" t="s">
        <v>140</v>
      </c>
      <c r="E24" s="34" t="s">
        <v>54</v>
      </c>
      <c r="F24" s="52">
        <v>0</v>
      </c>
      <c r="G24" s="52">
        <v>54</v>
      </c>
      <c r="H24" s="52">
        <v>58435</v>
      </c>
      <c r="I24" s="34" t="s">
        <v>55</v>
      </c>
      <c r="J24" s="52">
        <v>58472</v>
      </c>
      <c r="K24" s="34" t="s">
        <v>53</v>
      </c>
      <c r="L24" s="112" t="str">
        <f>VLOOKUP(C24,'Trips&amp;Operators'!$C$1:$E$9999,3,0)</f>
        <v>STRICKLAND</v>
      </c>
      <c r="M24" s="9" t="s">
        <v>95</v>
      </c>
      <c r="N24" s="10" t="s">
        <v>790</v>
      </c>
      <c r="O24" s="34"/>
      <c r="P24" s="131" t="str">
        <f>VLOOKUP(C24,'Train Runs'!$A$13:$AE$532,31,0)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4" s="135" t="str">
        <f>VLOOKUP(C24,'Train Runs'!$A$13:$AE$532,22,0)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4" s="138" t="str">
        <f t="shared" si="0"/>
        <v>"C:\Program Files (x86)\AstroGrep\AstroGrep.exe" /spath="%USERPROFILE%\AppData\Local\Temp\OnboardLogs" /stypes="*4017*201608051*" /stext=" 11:.+((SYSTEM_STATE.+slice.+state.+changed )|(ment ac)|(system.+state.+changed )|(\|lc)|(penalty)|(\[timeout)|(PRM\|1\|D)|(kpr)|(kdp))" /e /r /s</v>
      </c>
      <c r="S24" s="9" t="str">
        <f t="shared" si="1"/>
        <v>4017</v>
      </c>
      <c r="T24" s="41">
        <f t="shared" si="2"/>
        <v>42587.464375000003</v>
      </c>
      <c r="U24" s="55" t="str">
        <f t="shared" si="3"/>
        <v>NW</v>
      </c>
      <c r="V24" s="55" t="str">
        <f t="shared" si="4"/>
        <v>KEEP</v>
      </c>
    </row>
    <row r="25" spans="1:22" x14ac:dyDescent="0.25">
      <c r="A25" s="41">
        <v>42587.214895833335</v>
      </c>
      <c r="B25" s="34" t="s">
        <v>69</v>
      </c>
      <c r="C25" s="34" t="s">
        <v>601</v>
      </c>
      <c r="D25" s="34" t="s">
        <v>140</v>
      </c>
      <c r="E25" s="34" t="s">
        <v>54</v>
      </c>
      <c r="F25" s="52">
        <v>0</v>
      </c>
      <c r="G25" s="52">
        <v>4</v>
      </c>
      <c r="H25" s="52">
        <v>58344</v>
      </c>
      <c r="I25" s="34" t="s">
        <v>55</v>
      </c>
      <c r="J25" s="52">
        <v>58472</v>
      </c>
      <c r="K25" s="34" t="s">
        <v>53</v>
      </c>
      <c r="L25" s="112" t="str">
        <f>VLOOKUP(C25,'Trips&amp;Operators'!$C$1:$E$9999,3,0)</f>
        <v>STRICKLAND</v>
      </c>
      <c r="M25" s="9" t="s">
        <v>95</v>
      </c>
      <c r="N25" s="10" t="s">
        <v>790</v>
      </c>
      <c r="O25" s="34"/>
      <c r="P25" s="131" t="str">
        <f>VLOOKUP(C25,'Train Runs'!$A$13:$AE$532,31,0)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5" s="135" t="str">
        <f>VLOOKUP(C25,'Train Runs'!$A$13:$AE$532,22,0)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5" s="138" t="str">
        <f t="shared" si="0"/>
        <v>"C:\Program Files (x86)\AstroGrep\AstroGrep.exe" /spath="%USERPROFILE%\AppData\Local\Temp\OnboardLogs" /stypes="*4017*201608051*" /stext=" 11:.+((SYSTEM_STATE.+slice.+state.+changed )|(ment ac)|(system.+state.+changed )|(\|lc)|(penalty)|(\[timeout)|(PRM\|1\|D)|(kpr)|(kdp))" /e /r /s</v>
      </c>
      <c r="S25" s="9" t="str">
        <f t="shared" si="1"/>
        <v>4017</v>
      </c>
      <c r="T25" s="41">
        <f t="shared" si="2"/>
        <v>42587.464895833335</v>
      </c>
      <c r="U25" s="55" t="str">
        <f t="shared" si="3"/>
        <v>NW</v>
      </c>
      <c r="V25" s="55" t="str">
        <f t="shared" si="4"/>
        <v>KEEP</v>
      </c>
    </row>
    <row r="26" spans="1:22" x14ac:dyDescent="0.25">
      <c r="A26" s="41">
        <v>42587.214942129627</v>
      </c>
      <c r="B26" s="34" t="s">
        <v>69</v>
      </c>
      <c r="C26" s="34" t="s">
        <v>601</v>
      </c>
      <c r="D26" s="34" t="s">
        <v>140</v>
      </c>
      <c r="E26" s="34" t="s">
        <v>54</v>
      </c>
      <c r="F26" s="52">
        <v>0</v>
      </c>
      <c r="G26" s="52">
        <v>14</v>
      </c>
      <c r="H26" s="52">
        <v>58335</v>
      </c>
      <c r="I26" s="34" t="s">
        <v>55</v>
      </c>
      <c r="J26" s="52">
        <v>58472</v>
      </c>
      <c r="K26" s="34" t="s">
        <v>53</v>
      </c>
      <c r="L26" s="112" t="str">
        <f>VLOOKUP(C26,'Trips&amp;Operators'!$C$1:$E$9999,3,0)</f>
        <v>STRICKLAND</v>
      </c>
      <c r="M26" s="9" t="s">
        <v>95</v>
      </c>
      <c r="N26" s="10" t="s">
        <v>790</v>
      </c>
      <c r="O26" s="34"/>
      <c r="P26" s="131" t="str">
        <f>VLOOKUP(C26,'Train Runs'!$A$13:$AE$532,31,0)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6" s="135" t="str">
        <f>VLOOKUP(C26,'Train Runs'!$A$13:$AE$532,22,0)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6" s="138" t="str">
        <f t="shared" si="0"/>
        <v>"C:\Program Files (x86)\AstroGrep\AstroGrep.exe" /spath="%USERPROFILE%\AppData\Local\Temp\OnboardLogs" /stypes="*4017*201608051*" /stext=" 11:.+((SYSTEM_STATE.+slice.+state.+changed )|(ment ac)|(system.+state.+changed )|(\|lc)|(penalty)|(\[timeout)|(PRM\|1\|D)|(kpr)|(kdp))" /e /r /s</v>
      </c>
      <c r="S26" s="9" t="str">
        <f t="shared" si="1"/>
        <v>4017</v>
      </c>
      <c r="T26" s="41">
        <f t="shared" si="2"/>
        <v>42587.464942129627</v>
      </c>
      <c r="U26" s="55" t="str">
        <f t="shared" si="3"/>
        <v>NW</v>
      </c>
      <c r="V26" s="55" t="str">
        <f t="shared" si="4"/>
        <v>KEEP</v>
      </c>
    </row>
    <row r="27" spans="1:22" x14ac:dyDescent="0.25">
      <c r="A27" s="41">
        <v>42587.25980324074</v>
      </c>
      <c r="B27" s="34" t="s">
        <v>69</v>
      </c>
      <c r="C27" s="34" t="s">
        <v>623</v>
      </c>
      <c r="D27" s="34" t="s">
        <v>140</v>
      </c>
      <c r="E27" s="34" t="s">
        <v>54</v>
      </c>
      <c r="F27" s="52">
        <v>0</v>
      </c>
      <c r="G27" s="52">
        <v>70</v>
      </c>
      <c r="H27" s="52">
        <v>58359</v>
      </c>
      <c r="I27" s="34" t="s">
        <v>55</v>
      </c>
      <c r="J27" s="52">
        <v>58472</v>
      </c>
      <c r="K27" s="34" t="s">
        <v>53</v>
      </c>
      <c r="L27" s="112" t="str">
        <f>VLOOKUP(C27,'Trips&amp;Operators'!$C$1:$E$9999,3,0)</f>
        <v>STRICKLAND</v>
      </c>
      <c r="M27" s="9" t="s">
        <v>95</v>
      </c>
      <c r="N27" s="10" t="s">
        <v>790</v>
      </c>
      <c r="O27" s="34"/>
      <c r="P27" s="131" t="str">
        <f>VLOOKUP(C27,'Train Runs'!$A$13:$AE$532,31,0)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7" s="135" t="str">
        <f>VLOOKUP(C27,'Train Runs'!$A$13:$AE$532,22,0)</f>
        <v>https://search-rtdc-monitor-bjffxe2xuh6vdkpspy63sjmuny.us-east-1.es.amazonaws.com/_plugin/kibana/#/discover/Steve-Slow-Train-Analysis-(2080s-and-2083s)?_g=(refreshInterval:(display:Off,section:0,value:0),time:(from:'2016-08-05 05:11:53-0600',mode:absolute,to:'2016-08-05 07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7" s="138" t="str">
        <f t="shared" si="0"/>
        <v>"C:\Program Files (x86)\AstroGrep\AstroGrep.exe" /spath="%USERPROFILE%\AppData\Local\Temp\OnboardLogs" /stypes="*4017*201608051*" /stext=" 12:.+((SYSTEM_STATE.+slice.+state.+changed )|(ment ac)|(system.+state.+changed )|(\|lc)|(penalty)|(\[timeout)|(PRM\|1\|D)|(kpr)|(kdp))" /e /r /s</v>
      </c>
      <c r="S27" s="9" t="str">
        <f t="shared" si="1"/>
        <v>4017</v>
      </c>
      <c r="T27" s="41">
        <f t="shared" si="2"/>
        <v>42587.50980324074</v>
      </c>
      <c r="U27" s="55" t="str">
        <f t="shared" si="3"/>
        <v>NW</v>
      </c>
      <c r="V27" s="55" t="str">
        <f t="shared" si="4"/>
        <v>KEEP</v>
      </c>
    </row>
    <row r="28" spans="1:22" x14ac:dyDescent="0.25">
      <c r="A28" s="41">
        <v>42587.276990740742</v>
      </c>
      <c r="B28" s="34" t="s">
        <v>132</v>
      </c>
      <c r="C28" s="34" t="s">
        <v>629</v>
      </c>
      <c r="D28" s="34" t="s">
        <v>140</v>
      </c>
      <c r="E28" s="34" t="s">
        <v>54</v>
      </c>
      <c r="F28" s="52">
        <v>0</v>
      </c>
      <c r="G28" s="52">
        <v>87</v>
      </c>
      <c r="H28" s="52">
        <v>58340</v>
      </c>
      <c r="I28" s="34" t="s">
        <v>55</v>
      </c>
      <c r="J28" s="52">
        <v>58472</v>
      </c>
      <c r="K28" s="34" t="s">
        <v>53</v>
      </c>
      <c r="L28" s="112" t="str">
        <f>VLOOKUP(C28,'Trips&amp;Operators'!$C$1:$E$9999,3,0)</f>
        <v>YORK</v>
      </c>
      <c r="M28" s="9" t="s">
        <v>95</v>
      </c>
      <c r="N28" s="10" t="s">
        <v>790</v>
      </c>
      <c r="O28" s="34"/>
      <c r="P28" s="131" t="str">
        <f>VLOOKUP(C28,'Train Runs'!$A$13:$AE$532,31,0)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28" s="135" t="str">
        <f>VLOOKUP(C28,'Train Runs'!$A$13:$AE$532,22,0)</f>
        <v>https://search-rtdc-monitor-bjffxe2xuh6vdkpspy63sjmuny.us-east-1.es.amazonaws.com/_plugin/kibana/#/discover/Steve-Slow-Train-Analysis-(2080s-and-2083s)?_g=(refreshInterval:(display:Off,section:0,value:0),time:(from:'2016-08-05 05:36:33-0600',mode:absolute,to:'2016-08-05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8" s="138" t="str">
        <f t="shared" si="0"/>
        <v>"C:\Program Files (x86)\AstroGrep\AstroGrep.exe" /spath="%USERPROFILE%\AppData\Local\Temp\OnboardLogs" /stypes="*4015*201608051*" /stext=" 12:.+((SYSTEM_STATE.+slice.+state.+changed )|(ment ac)|(system.+state.+changed )|(\|lc)|(penalty)|(\[timeout)|(PRM\|1\|D)|(kpr)|(kdp))" /e /r /s</v>
      </c>
      <c r="S28" s="9" t="str">
        <f t="shared" si="1"/>
        <v>4015</v>
      </c>
      <c r="T28" s="41">
        <f t="shared" si="2"/>
        <v>42587.526990740742</v>
      </c>
      <c r="U28" s="55" t="str">
        <f t="shared" si="3"/>
        <v>NW</v>
      </c>
      <c r="V28" s="55" t="str">
        <f t="shared" si="4"/>
        <v>KEEP</v>
      </c>
    </row>
    <row r="29" spans="1:22" x14ac:dyDescent="0.25">
      <c r="A29" s="41">
        <v>42587.302546296298</v>
      </c>
      <c r="B29" s="34" t="s">
        <v>69</v>
      </c>
      <c r="C29" s="34" t="s">
        <v>627</v>
      </c>
      <c r="D29" s="34" t="s">
        <v>140</v>
      </c>
      <c r="E29" s="34" t="s">
        <v>54</v>
      </c>
      <c r="F29" s="52">
        <v>0</v>
      </c>
      <c r="G29" s="52">
        <v>78</v>
      </c>
      <c r="H29" s="52">
        <v>58413</v>
      </c>
      <c r="I29" s="34" t="s">
        <v>55</v>
      </c>
      <c r="J29" s="52">
        <v>58472</v>
      </c>
      <c r="K29" s="34" t="s">
        <v>53</v>
      </c>
      <c r="L29" s="112" t="str">
        <f>VLOOKUP(C29,'Trips&amp;Operators'!$C$1:$E$9999,3,0)</f>
        <v>STRICKLAND</v>
      </c>
      <c r="M29" s="9" t="s">
        <v>95</v>
      </c>
      <c r="N29" s="10" t="s">
        <v>790</v>
      </c>
      <c r="O29" s="34"/>
      <c r="P29" s="131" t="str">
        <f>VLOOKUP(C29,'Train Runs'!$A$13:$AE$532,31,0)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9" s="135" t="str">
        <f>VLOOKUP(C29,'Train Runs'!$A$13:$AE$532,22,0)</f>
        <v>https://search-rtdc-monitor-bjffxe2xuh6vdkpspy63sjmuny.us-east-1.es.amazonaws.com/_plugin/kibana/#/discover/Steve-Slow-Train-Analysis-(2080s-and-2083s)?_g=(refreshInterval:(display:Off,section:0,value:0),time:(from:'2016-08-05 06:13:37-0600',mode:absolute,to:'2016-08-05 08:15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9" s="138" t="str">
        <f t="shared" si="0"/>
        <v>"C:\Program Files (x86)\AstroGrep\AstroGrep.exe" /spath="%USERPROFILE%\AppData\Local\Temp\OnboardLogs" /stypes="*4017*201608051*" /stext=" 13:.+((SYSTEM_STATE.+slice.+state.+changed )|(ment ac)|(system.+state.+changed )|(\|lc)|(penalty)|(\[timeout)|(PRM\|1\|D)|(kpr)|(kdp))" /e /r /s</v>
      </c>
      <c r="S29" s="9" t="str">
        <f t="shared" si="1"/>
        <v>4017</v>
      </c>
      <c r="T29" s="41">
        <f t="shared" si="2"/>
        <v>42587.552546296298</v>
      </c>
      <c r="U29" s="55" t="str">
        <f t="shared" si="3"/>
        <v>NW</v>
      </c>
      <c r="V29" s="55" t="str">
        <f t="shared" si="4"/>
        <v>KEEP</v>
      </c>
    </row>
    <row r="30" spans="1:22" x14ac:dyDescent="0.25">
      <c r="A30" s="41">
        <v>42587.319282407407</v>
      </c>
      <c r="B30" s="34" t="s">
        <v>132</v>
      </c>
      <c r="C30" s="34" t="s">
        <v>613</v>
      </c>
      <c r="D30" s="34" t="s">
        <v>140</v>
      </c>
      <c r="E30" s="34" t="s">
        <v>54</v>
      </c>
      <c r="F30" s="52">
        <v>0</v>
      </c>
      <c r="G30" s="52">
        <v>61</v>
      </c>
      <c r="H30" s="52">
        <v>58379</v>
      </c>
      <c r="I30" s="34" t="s">
        <v>55</v>
      </c>
      <c r="J30" s="52">
        <v>58472</v>
      </c>
      <c r="K30" s="34" t="s">
        <v>53</v>
      </c>
      <c r="L30" s="112" t="str">
        <f>VLOOKUP(C30,'Trips&amp;Operators'!$C$1:$E$9999,3,0)</f>
        <v>YORK</v>
      </c>
      <c r="M30" s="9" t="s">
        <v>95</v>
      </c>
      <c r="N30" s="10" t="s">
        <v>790</v>
      </c>
      <c r="O30" s="34"/>
      <c r="P30" s="131" t="str">
        <f>VLOOKUP(C30,'Train Runs'!$A$13:$AE$532,31,0)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30" s="135" t="str">
        <f>VLOOKUP(C30,'Train Runs'!$A$13:$AE$532,22,0)</f>
        <v>https://search-rtdc-monitor-bjffxe2xuh6vdkpspy63sjmuny.us-east-1.es.amazonaws.com/_plugin/kibana/#/discover/Steve-Slow-Train-Analysis-(2080s-and-2083s)?_g=(refreshInterval:(display:Off,section:0,value:0),time:(from:'2016-08-05 06:36:36-0600',mode:absolute,to:'2016-08-05 08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0" s="138" t="str">
        <f t="shared" si="0"/>
        <v>"C:\Program Files (x86)\AstroGrep\AstroGrep.exe" /spath="%USERPROFILE%\AppData\Local\Temp\OnboardLogs" /stypes="*4015*201608051*" /stext=" 13:.+((SYSTEM_STATE.+slice.+state.+changed )|(ment ac)|(system.+state.+changed )|(\|lc)|(penalty)|(\[timeout)|(PRM\|1\|D)|(kpr)|(kdp))" /e /r /s</v>
      </c>
      <c r="S30" s="9" t="str">
        <f t="shared" si="1"/>
        <v>4015</v>
      </c>
      <c r="T30" s="41">
        <f t="shared" si="2"/>
        <v>42587.569282407407</v>
      </c>
      <c r="U30" s="55" t="str">
        <f t="shared" si="3"/>
        <v>NW</v>
      </c>
      <c r="V30" s="55" t="str">
        <f t="shared" si="4"/>
        <v>KEEP</v>
      </c>
    </row>
    <row r="31" spans="1:22" x14ac:dyDescent="0.25">
      <c r="A31" s="41">
        <v>42587.391759259262</v>
      </c>
      <c r="B31" s="34" t="s">
        <v>133</v>
      </c>
      <c r="C31" s="34" t="s">
        <v>639</v>
      </c>
      <c r="D31" s="34" t="s">
        <v>49</v>
      </c>
      <c r="E31" s="34" t="s">
        <v>302</v>
      </c>
      <c r="F31" s="52">
        <v>100</v>
      </c>
      <c r="G31" s="52">
        <v>354</v>
      </c>
      <c r="H31" s="52">
        <v>9052</v>
      </c>
      <c r="I31" s="34" t="s">
        <v>131</v>
      </c>
      <c r="J31" s="52">
        <v>10701</v>
      </c>
      <c r="K31" s="34" t="s">
        <v>52</v>
      </c>
      <c r="L31" s="112" t="e">
        <f>VLOOKUP(C31,'Trips&amp;Operators'!$C$1:$E$9999,3,0)</f>
        <v>#N/A</v>
      </c>
      <c r="M31" s="9" t="s">
        <v>96</v>
      </c>
      <c r="N31" s="10"/>
      <c r="O31" s="34"/>
      <c r="P31" s="131" t="str">
        <f>VLOOKUP(C31,'Train Runs'!$A$13:$AE$532,31,0)</f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Q31" s="135" t="str">
        <f>VLOOKUP(C31,'Train Runs'!$A$13:$AE$532,22,0)</f>
        <v>https://search-rtdc-monitor-bjffxe2xuh6vdkpspy63sjmuny.us-east-1.es.amazonaws.com/_plugin/kibana/#/discover/Steve-Slow-Train-Analysis-(2080s-and-2083s)?_g=(refreshInterval:(display:Off,section:0,value:0),time:(from:'2016-08-05 07:55:56-0600',mode:absolute,to:'2016-08-05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31" s="138" t="str">
        <f t="shared" si="0"/>
        <v>"C:\Program Files (x86)\AstroGrep\AstroGrep.exe" /spath="%USERPROFILE%\AppData\Local\Temp\OnboardLogs" /stypes="*4016*201608051*" /stext=" 15:.+((SYSTEM_STATE.+slice.+state.+changed )|(ment ac)|(system.+state.+changed )|(\|lc)|(penalty)|(\[timeout)|(PRM\|1\|D)|(kpr)|(kdp))" /e /r /s</v>
      </c>
      <c r="S31" s="9" t="str">
        <f t="shared" si="1"/>
        <v>4016</v>
      </c>
      <c r="T31" s="41">
        <f t="shared" si="2"/>
        <v>42587.641759259262</v>
      </c>
      <c r="U31" s="55" t="str">
        <f t="shared" si="3"/>
        <v>NW</v>
      </c>
      <c r="V31" s="55" t="str">
        <f t="shared" si="4"/>
        <v>KEEP</v>
      </c>
    </row>
  </sheetData>
  <autoFilter ref="A6:V31">
    <sortState ref="A7:V31">
      <sortCondition ref="U7:U31"/>
      <sortCondition ref="E7:E31"/>
      <sortCondition ref="J7:J31"/>
      <sortCondition ref="F7:F31"/>
    </sortState>
  </autoFilter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31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2"/>
  <sheetViews>
    <sheetView workbookViewId="0">
      <selection activeCell="D3" sqref="D3"/>
    </sheetView>
  </sheetViews>
  <sheetFormatPr defaultRowHeight="15" x14ac:dyDescent="0.25"/>
  <cols>
    <col min="1" max="1" width="9.140625" style="75" customWidth="1"/>
    <col min="2" max="2" width="8" style="89" bestFit="1" customWidth="1"/>
    <col min="3" max="3" width="9.85546875" style="91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40" t="str">
        <f>"Trips that did not appear in PTC Data "&amp;TEXT(Variables!$A$2,"YYYY-mm-dd")</f>
        <v>Trips that did not appear in PTC Data 2016-08-05</v>
      </c>
      <c r="B1" s="140"/>
      <c r="C1" s="140"/>
      <c r="D1" s="140"/>
      <c r="E1" s="140"/>
    </row>
    <row r="2" spans="1:10" s="27" customFormat="1" ht="45" x14ac:dyDescent="0.25">
      <c r="A2" s="128" t="s">
        <v>72</v>
      </c>
      <c r="B2" s="87" t="s">
        <v>73</v>
      </c>
      <c r="C2" s="90" t="s">
        <v>74</v>
      </c>
      <c r="D2" s="27" t="s">
        <v>70</v>
      </c>
      <c r="E2" s="27" t="s">
        <v>71</v>
      </c>
      <c r="F2" s="27" t="s">
        <v>76</v>
      </c>
      <c r="G2" s="32" t="s">
        <v>77</v>
      </c>
      <c r="H2" s="32" t="s">
        <v>285</v>
      </c>
    </row>
    <row r="3" spans="1:10" x14ac:dyDescent="0.25">
      <c r="A3" s="77" t="s">
        <v>637</v>
      </c>
      <c r="B3" s="88"/>
      <c r="C3" s="88"/>
      <c r="D3" s="34" t="s">
        <v>638</v>
      </c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6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22846-04%22)),sort:!(Time,asc))</v>
      </c>
      <c r="I3" s="24"/>
      <c r="J3" s="24"/>
    </row>
    <row r="4" spans="1:10" x14ac:dyDescent="0.25">
      <c r="A4" s="88"/>
      <c r="B4" s="88"/>
      <c r="C4" s="88"/>
      <c r="D4" s="34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88"/>
      <c r="B5" s="88"/>
      <c r="C5" s="88"/>
      <c r="D5" s="34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8"/>
      <c r="B6" s="88"/>
      <c r="C6" s="88"/>
      <c r="D6" s="34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B7" s="75"/>
      <c r="C7" s="75"/>
      <c r="H7" s="24"/>
      <c r="I7" s="24"/>
      <c r="J7" s="24"/>
    </row>
    <row r="8" spans="1:10" x14ac:dyDescent="0.25">
      <c r="B8" s="75"/>
      <c r="C8" s="75"/>
      <c r="H8" s="24"/>
      <c r="I8" s="24"/>
      <c r="J8" s="24"/>
    </row>
    <row r="9" spans="1:10" x14ac:dyDescent="0.25">
      <c r="B9" s="75"/>
      <c r="C9" s="75"/>
      <c r="H9" s="24"/>
      <c r="I9" s="24"/>
      <c r="J9" s="24"/>
    </row>
    <row r="10" spans="1:10" x14ac:dyDescent="0.25">
      <c r="B10" s="75"/>
      <c r="C10" s="75"/>
      <c r="H10" s="24"/>
      <c r="I10" s="24"/>
      <c r="J10" s="24"/>
    </row>
    <row r="11" spans="1:10" x14ac:dyDescent="0.25">
      <c r="B11" s="75"/>
      <c r="C11" s="75"/>
      <c r="H11" s="24"/>
      <c r="I11" s="24"/>
      <c r="J11" s="24"/>
    </row>
    <row r="12" spans="1:10" x14ac:dyDescent="0.25">
      <c r="B12" s="75"/>
      <c r="C12" s="75"/>
      <c r="H12" s="24"/>
      <c r="I12" s="24"/>
      <c r="J12" s="24"/>
    </row>
    <row r="13" spans="1:10" x14ac:dyDescent="0.25">
      <c r="B13" s="75"/>
      <c r="C13" s="75"/>
      <c r="H13" s="24"/>
      <c r="I13" s="24"/>
      <c r="J13" s="24"/>
    </row>
    <row r="14" spans="1:10" x14ac:dyDescent="0.25">
      <c r="B14" s="75"/>
      <c r="C14" s="75"/>
      <c r="H14" s="24"/>
      <c r="I14" s="24"/>
      <c r="J14" s="24"/>
    </row>
    <row r="15" spans="1:10" x14ac:dyDescent="0.25">
      <c r="B15" s="75"/>
      <c r="C15" s="75"/>
      <c r="H15" s="24"/>
      <c r="I15" s="24"/>
      <c r="J15" s="24"/>
    </row>
    <row r="16" spans="1:10" x14ac:dyDescent="0.25">
      <c r="B16" s="75"/>
      <c r="C16" s="75"/>
      <c r="H16" s="24"/>
      <c r="I16" s="24"/>
      <c r="J16" s="24"/>
    </row>
    <row r="17" spans="2:10" x14ac:dyDescent="0.25">
      <c r="B17" s="75"/>
      <c r="C17" s="75"/>
      <c r="H17" s="24"/>
      <c r="I17" s="24"/>
      <c r="J17" s="24"/>
    </row>
    <row r="18" spans="2:10" x14ac:dyDescent="0.25">
      <c r="B18" s="75"/>
      <c r="C18" s="75"/>
      <c r="H18" s="24"/>
      <c r="I18" s="24"/>
      <c r="J18" s="24"/>
    </row>
    <row r="19" spans="2:10" x14ac:dyDescent="0.25">
      <c r="B19" s="75"/>
      <c r="C19" s="75"/>
      <c r="H19" s="24"/>
      <c r="I19" s="24"/>
      <c r="J19" s="24"/>
    </row>
    <row r="20" spans="2:10" x14ac:dyDescent="0.25">
      <c r="B20" s="75"/>
      <c r="C20" s="75"/>
      <c r="H20" s="24"/>
      <c r="I20" s="24"/>
      <c r="J20" s="24"/>
    </row>
    <row r="21" spans="2:10" x14ac:dyDescent="0.25">
      <c r="B21" s="75"/>
      <c r="C21" s="75"/>
      <c r="H21" s="24"/>
      <c r="I21" s="24"/>
      <c r="J21" s="24"/>
    </row>
    <row r="22" spans="2:10" x14ac:dyDescent="0.25">
      <c r="B22" s="75"/>
      <c r="C22" s="75"/>
      <c r="H22" s="24"/>
      <c r="I22" s="24"/>
      <c r="J22" s="24"/>
    </row>
    <row r="23" spans="2:10" x14ac:dyDescent="0.25">
      <c r="B23" s="75"/>
      <c r="C23" s="75"/>
      <c r="H23" s="24"/>
      <c r="I23" s="24"/>
      <c r="J23" s="24"/>
    </row>
    <row r="24" spans="2:10" x14ac:dyDescent="0.25">
      <c r="B24" s="75"/>
      <c r="C24" s="75"/>
      <c r="H24" s="24"/>
      <c r="I24" s="24"/>
      <c r="J24" s="24"/>
    </row>
    <row r="25" spans="2:10" x14ac:dyDescent="0.25">
      <c r="B25" s="75"/>
      <c r="C25" s="75"/>
      <c r="H25" s="24"/>
      <c r="I25" s="24"/>
      <c r="J25" s="24"/>
    </row>
    <row r="26" spans="2:10" x14ac:dyDescent="0.25">
      <c r="B26" s="75"/>
      <c r="C26" s="75"/>
      <c r="H26" s="24"/>
      <c r="I26" s="24"/>
      <c r="J26" s="24"/>
    </row>
    <row r="27" spans="2:10" x14ac:dyDescent="0.25">
      <c r="B27" s="75"/>
      <c r="C27" s="75"/>
      <c r="H27" s="24"/>
      <c r="I27" s="24"/>
      <c r="J27" s="24"/>
    </row>
    <row r="28" spans="2:10" x14ac:dyDescent="0.25">
      <c r="B28" s="75"/>
      <c r="C28" s="75"/>
      <c r="H28" s="24"/>
      <c r="I28" s="24"/>
      <c r="J28" s="24"/>
    </row>
    <row r="29" spans="2:10" x14ac:dyDescent="0.25">
      <c r="B29" s="75"/>
      <c r="C29" s="75"/>
      <c r="H29" s="24"/>
      <c r="I29" s="24"/>
      <c r="J29" s="24"/>
    </row>
    <row r="30" spans="2:10" x14ac:dyDescent="0.25">
      <c r="B30" s="75"/>
      <c r="C30" s="75"/>
      <c r="H30" s="24"/>
      <c r="I30" s="24"/>
      <c r="J30" s="24"/>
    </row>
    <row r="31" spans="2:10" x14ac:dyDescent="0.25">
      <c r="B31" s="75"/>
      <c r="C31" s="75"/>
      <c r="H31" s="24"/>
      <c r="I31" s="24"/>
      <c r="J31" s="24"/>
    </row>
    <row r="32" spans="2:10" x14ac:dyDescent="0.25">
      <c r="B32" s="75"/>
      <c r="C32" s="75"/>
      <c r="H32" s="24"/>
      <c r="I32" s="24"/>
      <c r="J32" s="24"/>
    </row>
    <row r="33" spans="2:10" x14ac:dyDescent="0.25">
      <c r="B33" s="75"/>
      <c r="C33" s="75"/>
      <c r="H33" s="24"/>
      <c r="I33" s="24"/>
      <c r="J33" s="24"/>
    </row>
    <row r="34" spans="2:10" x14ac:dyDescent="0.25">
      <c r="B34" s="75"/>
      <c r="C34" s="75"/>
      <c r="H34" s="24"/>
      <c r="I34" s="24"/>
      <c r="J34" s="24"/>
    </row>
    <row r="35" spans="2:10" x14ac:dyDescent="0.25">
      <c r="B35" s="75"/>
      <c r="C35" s="75"/>
      <c r="H35" s="24"/>
      <c r="I35" s="24"/>
      <c r="J35" s="24"/>
    </row>
    <row r="36" spans="2:10" x14ac:dyDescent="0.25">
      <c r="B36" s="75"/>
      <c r="C36" s="75"/>
      <c r="H36" s="24"/>
      <c r="I36" s="24"/>
      <c r="J36" s="24"/>
    </row>
    <row r="37" spans="2:10" x14ac:dyDescent="0.25">
      <c r="B37" s="75"/>
      <c r="C37" s="75"/>
      <c r="H37" s="24"/>
      <c r="I37" s="24"/>
      <c r="J37" s="24"/>
    </row>
    <row r="38" spans="2:10" x14ac:dyDescent="0.25">
      <c r="B38" s="75"/>
      <c r="C38" s="75"/>
      <c r="H38" s="24"/>
      <c r="I38" s="24"/>
      <c r="J38" s="24"/>
    </row>
    <row r="39" spans="2:10" x14ac:dyDescent="0.25">
      <c r="B39" s="75"/>
      <c r="C39" s="75"/>
      <c r="H39" s="24"/>
      <c r="I39" s="24"/>
      <c r="J39" s="24"/>
    </row>
    <row r="40" spans="2:10" x14ac:dyDescent="0.25">
      <c r="B40" s="75"/>
      <c r="C40" s="75"/>
      <c r="H40" s="24"/>
      <c r="I40" s="24"/>
      <c r="J40" s="24"/>
    </row>
    <row r="41" spans="2:10" x14ac:dyDescent="0.25">
      <c r="B41" s="75"/>
      <c r="C41" s="75"/>
      <c r="H41" s="24"/>
      <c r="I41" s="24"/>
      <c r="J41" s="24"/>
    </row>
    <row r="42" spans="2:10" x14ac:dyDescent="0.25">
      <c r="B42" s="75"/>
      <c r="C42" s="75"/>
      <c r="H42" s="24"/>
      <c r="I42" s="24"/>
      <c r="J42" s="24"/>
    </row>
    <row r="43" spans="2:10" x14ac:dyDescent="0.25">
      <c r="B43" s="75"/>
      <c r="C43" s="75"/>
      <c r="H43" s="24"/>
      <c r="I43" s="24"/>
      <c r="J43" s="24"/>
    </row>
    <row r="44" spans="2:10" x14ac:dyDescent="0.25">
      <c r="B44" s="75"/>
      <c r="C44" s="75"/>
      <c r="H44" s="24"/>
      <c r="I44" s="24"/>
      <c r="J44" s="24"/>
    </row>
    <row r="45" spans="2:10" x14ac:dyDescent="0.25">
      <c r="B45" s="75"/>
      <c r="C45" s="75"/>
      <c r="H45" s="24"/>
      <c r="I45" s="24"/>
      <c r="J45" s="24"/>
    </row>
    <row r="46" spans="2:10" x14ac:dyDescent="0.25">
      <c r="B46" s="75"/>
      <c r="C46" s="75"/>
      <c r="H46" s="24"/>
      <c r="I46" s="24"/>
      <c r="J46" s="24"/>
    </row>
    <row r="47" spans="2:10" x14ac:dyDescent="0.25">
      <c r="B47" s="75"/>
      <c r="C47" s="75"/>
      <c r="H47" s="24"/>
      <c r="I47" s="24"/>
      <c r="J47" s="24"/>
    </row>
    <row r="48" spans="2:10" x14ac:dyDescent="0.25">
      <c r="B48" s="75"/>
      <c r="C48" s="75"/>
      <c r="H48" s="24"/>
      <c r="I48" s="24"/>
      <c r="J48" s="24"/>
    </row>
    <row r="49" spans="2:10" x14ac:dyDescent="0.25">
      <c r="B49" s="75"/>
      <c r="C49" s="75"/>
      <c r="H49" s="24"/>
      <c r="I49" s="24"/>
      <c r="J49" s="24"/>
    </row>
    <row r="50" spans="2:10" x14ac:dyDescent="0.25">
      <c r="B50" s="75"/>
      <c r="C50" s="75"/>
      <c r="H50" s="24"/>
      <c r="I50" s="24"/>
      <c r="J50" s="24"/>
    </row>
    <row r="51" spans="2:10" x14ac:dyDescent="0.25">
      <c r="B51" s="75"/>
      <c r="C51" s="75"/>
      <c r="H51" s="24"/>
      <c r="I51" s="24"/>
      <c r="J51" s="24"/>
    </row>
    <row r="52" spans="2:10" x14ac:dyDescent="0.25">
      <c r="B52" s="75"/>
      <c r="C52" s="75"/>
      <c r="H52" s="24"/>
      <c r="I52" s="24"/>
      <c r="J52" s="24"/>
    </row>
    <row r="53" spans="2:10" x14ac:dyDescent="0.25">
      <c r="B53" s="75"/>
      <c r="C53" s="75"/>
      <c r="H53" s="24"/>
      <c r="I53" s="24"/>
      <c r="J53" s="24"/>
    </row>
    <row r="54" spans="2:10" x14ac:dyDescent="0.25">
      <c r="B54" s="75"/>
      <c r="C54" s="75"/>
      <c r="H54" s="24"/>
      <c r="I54" s="24"/>
      <c r="J54" s="24"/>
    </row>
    <row r="55" spans="2:10" x14ac:dyDescent="0.25">
      <c r="B55" s="75"/>
      <c r="C55" s="75"/>
      <c r="H55" s="24"/>
      <c r="I55" s="24"/>
      <c r="J55" s="24"/>
    </row>
    <row r="56" spans="2:10" x14ac:dyDescent="0.25">
      <c r="B56" s="75"/>
      <c r="C56" s="75"/>
      <c r="H56" s="24"/>
      <c r="I56" s="24"/>
      <c r="J56" s="24"/>
    </row>
    <row r="57" spans="2:10" x14ac:dyDescent="0.25">
      <c r="B57" s="75"/>
      <c r="C57" s="75"/>
      <c r="H57" s="24"/>
      <c r="I57" s="24"/>
      <c r="J57" s="24"/>
    </row>
    <row r="58" spans="2:10" x14ac:dyDescent="0.25">
      <c r="B58" s="75"/>
      <c r="C58" s="75"/>
      <c r="H58" s="24"/>
      <c r="I58" s="24"/>
      <c r="J58" s="24"/>
    </row>
    <row r="59" spans="2:10" x14ac:dyDescent="0.25">
      <c r="B59" s="75"/>
      <c r="C59" s="75"/>
      <c r="H59" s="24"/>
      <c r="I59" s="24"/>
      <c r="J59" s="24"/>
    </row>
    <row r="60" spans="2:10" x14ac:dyDescent="0.25">
      <c r="B60" s="75"/>
      <c r="C60" s="75"/>
      <c r="H60" s="24"/>
      <c r="I60" s="24"/>
      <c r="J60" s="24"/>
    </row>
    <row r="61" spans="2:10" x14ac:dyDescent="0.25">
      <c r="B61" s="75"/>
      <c r="C61" s="75"/>
      <c r="H61" s="24"/>
      <c r="I61" s="24"/>
      <c r="J61" s="24"/>
    </row>
    <row r="62" spans="2:10" x14ac:dyDescent="0.25">
      <c r="B62" s="75"/>
      <c r="C62" s="75"/>
      <c r="H62" s="24"/>
      <c r="I62" s="24"/>
      <c r="J62" s="24"/>
    </row>
    <row r="63" spans="2:10" x14ac:dyDescent="0.25">
      <c r="B63" s="75"/>
      <c r="C63" s="75"/>
      <c r="H63" s="24"/>
      <c r="I63" s="24"/>
      <c r="J63" s="24"/>
    </row>
    <row r="64" spans="2:10" x14ac:dyDescent="0.25">
      <c r="B64" s="75"/>
      <c r="C64" s="75"/>
      <c r="H64" s="24"/>
      <c r="I64" s="24"/>
      <c r="J64" s="24"/>
    </row>
    <row r="65" spans="2:10" x14ac:dyDescent="0.25">
      <c r="B65" s="75"/>
      <c r="C65" s="75"/>
      <c r="H65" s="24"/>
      <c r="I65" s="24"/>
      <c r="J65" s="24"/>
    </row>
    <row r="66" spans="2:10" x14ac:dyDescent="0.25">
      <c r="B66" s="75"/>
      <c r="C66" s="75"/>
      <c r="H66" s="24"/>
      <c r="I66" s="24"/>
      <c r="J66" s="24"/>
    </row>
    <row r="67" spans="2:10" x14ac:dyDescent="0.25">
      <c r="B67" s="75"/>
      <c r="C67" s="75"/>
      <c r="H67" s="24"/>
      <c r="I67" s="24"/>
      <c r="J67" s="24"/>
    </row>
    <row r="68" spans="2:10" x14ac:dyDescent="0.25">
      <c r="B68" s="75"/>
      <c r="C68" s="75"/>
      <c r="H68" s="24"/>
      <c r="I68" s="24"/>
      <c r="J68" s="24"/>
    </row>
    <row r="69" spans="2:10" x14ac:dyDescent="0.25">
      <c r="B69" s="75"/>
      <c r="C69" s="75"/>
      <c r="H69" s="24"/>
      <c r="I69" s="24"/>
      <c r="J69" s="24"/>
    </row>
    <row r="70" spans="2:10" x14ac:dyDescent="0.25">
      <c r="B70" s="75"/>
      <c r="C70" s="75"/>
      <c r="H70" s="24"/>
      <c r="I70" s="24"/>
      <c r="J70" s="24"/>
    </row>
    <row r="71" spans="2:10" x14ac:dyDescent="0.25">
      <c r="B71" s="75"/>
      <c r="C71" s="75"/>
      <c r="H71" s="24"/>
      <c r="I71" s="24"/>
      <c r="J71" s="24"/>
    </row>
    <row r="72" spans="2:10" x14ac:dyDescent="0.25">
      <c r="B72" s="75"/>
      <c r="C72" s="75"/>
      <c r="H72" s="24"/>
      <c r="I72" s="24"/>
      <c r="J72" s="24"/>
    </row>
    <row r="73" spans="2:10" x14ac:dyDescent="0.25">
      <c r="B73" s="75"/>
      <c r="C73" s="75"/>
      <c r="H73" s="24"/>
      <c r="I73" s="24"/>
      <c r="J73" s="24"/>
    </row>
    <row r="74" spans="2:10" x14ac:dyDescent="0.25">
      <c r="B74" s="75"/>
      <c r="C74" s="75"/>
      <c r="H74" s="24"/>
      <c r="I74" s="24"/>
      <c r="J74" s="24"/>
    </row>
    <row r="75" spans="2:10" x14ac:dyDescent="0.25">
      <c r="B75" s="75"/>
      <c r="C75" s="75"/>
      <c r="H75" s="24"/>
      <c r="I75" s="24"/>
      <c r="J75" s="24"/>
    </row>
    <row r="76" spans="2:10" x14ac:dyDescent="0.25">
      <c r="B76" s="75"/>
      <c r="C76" s="75"/>
      <c r="H76" s="24"/>
      <c r="I76" s="24"/>
      <c r="J76" s="24"/>
    </row>
    <row r="77" spans="2:10" x14ac:dyDescent="0.25">
      <c r="B77" s="75"/>
      <c r="C77" s="75"/>
      <c r="H77" s="24"/>
      <c r="I77" s="24"/>
      <c r="J77" s="24"/>
    </row>
    <row r="78" spans="2:10" x14ac:dyDescent="0.25">
      <c r="B78" s="75"/>
      <c r="C78" s="75"/>
      <c r="H78" s="24"/>
      <c r="I78" s="24"/>
      <c r="J78" s="24"/>
    </row>
    <row r="79" spans="2:10" x14ac:dyDescent="0.25">
      <c r="B79" s="75"/>
      <c r="C79" s="75"/>
      <c r="H79" s="24"/>
      <c r="I79" s="24"/>
      <c r="J79" s="24"/>
    </row>
    <row r="80" spans="2:10" x14ac:dyDescent="0.25">
      <c r="B80" s="75"/>
      <c r="C80" s="75"/>
      <c r="H80" s="24"/>
      <c r="I80" s="24"/>
      <c r="J80" s="24"/>
    </row>
    <row r="81" spans="2:10" x14ac:dyDescent="0.25">
      <c r="B81" s="75"/>
      <c r="C81" s="75"/>
      <c r="H81" s="24"/>
      <c r="I81" s="24"/>
      <c r="J81" s="24"/>
    </row>
    <row r="82" spans="2:10" x14ac:dyDescent="0.25">
      <c r="B82" s="75"/>
      <c r="C82" s="75"/>
      <c r="H82" s="24"/>
      <c r="I82" s="24"/>
      <c r="J82" s="24"/>
    </row>
    <row r="83" spans="2:10" x14ac:dyDescent="0.25">
      <c r="B83" s="75"/>
      <c r="C83" s="75"/>
      <c r="H83" s="24"/>
      <c r="I83" s="24"/>
      <c r="J83" s="24"/>
    </row>
    <row r="84" spans="2:10" x14ac:dyDescent="0.25">
      <c r="B84" s="75"/>
      <c r="C84" s="75"/>
      <c r="H84" s="24"/>
      <c r="I84" s="24"/>
      <c r="J84" s="24"/>
    </row>
    <row r="85" spans="2:10" x14ac:dyDescent="0.25">
      <c r="B85" s="75"/>
      <c r="C85" s="75"/>
      <c r="H85" s="24"/>
      <c r="I85" s="24"/>
      <c r="J85" s="24"/>
    </row>
    <row r="86" spans="2:10" x14ac:dyDescent="0.25">
      <c r="B86" s="75"/>
      <c r="C86" s="75"/>
      <c r="H86" s="24"/>
      <c r="I86" s="24"/>
      <c r="J86" s="24"/>
    </row>
    <row r="87" spans="2:10" x14ac:dyDescent="0.25">
      <c r="B87" s="75"/>
      <c r="C87" s="75"/>
      <c r="H87" s="24"/>
      <c r="I87" s="24"/>
      <c r="J87" s="24"/>
    </row>
    <row r="88" spans="2:10" x14ac:dyDescent="0.25">
      <c r="B88" s="75"/>
      <c r="C88" s="75"/>
      <c r="H88" s="24"/>
      <c r="I88" s="24"/>
      <c r="J88" s="24"/>
    </row>
    <row r="89" spans="2:10" x14ac:dyDescent="0.25">
      <c r="B89" s="75"/>
      <c r="C89" s="75"/>
      <c r="H89" s="24"/>
      <c r="I89" s="24"/>
      <c r="J89" s="24"/>
    </row>
    <row r="90" spans="2:10" x14ac:dyDescent="0.25">
      <c r="B90" s="75"/>
      <c r="C90" s="75"/>
      <c r="H90" s="24"/>
      <c r="I90" s="24"/>
      <c r="J90" s="24"/>
    </row>
    <row r="91" spans="2:10" x14ac:dyDescent="0.25">
      <c r="B91" s="75"/>
      <c r="C91" s="75"/>
      <c r="H91" s="24"/>
      <c r="I91" s="24"/>
      <c r="J91" s="24"/>
    </row>
    <row r="92" spans="2:10" x14ac:dyDescent="0.25">
      <c r="B92" s="75"/>
      <c r="C92" s="75"/>
      <c r="H92" s="24"/>
      <c r="I92" s="24"/>
      <c r="J92" s="24"/>
    </row>
    <row r="93" spans="2:10" x14ac:dyDescent="0.25">
      <c r="B93" s="75"/>
      <c r="C93" s="75"/>
      <c r="H93" s="24"/>
      <c r="I93" s="24"/>
      <c r="J93" s="24"/>
    </row>
    <row r="94" spans="2:10" x14ac:dyDescent="0.25">
      <c r="B94" s="75"/>
      <c r="C94" s="75"/>
      <c r="H94" s="24"/>
      <c r="I94" s="24"/>
      <c r="J94" s="24"/>
    </row>
    <row r="95" spans="2:10" x14ac:dyDescent="0.25">
      <c r="B95" s="75"/>
      <c r="C95" s="75"/>
      <c r="H95" s="24"/>
      <c r="I95" s="24"/>
      <c r="J95" s="24"/>
    </row>
    <row r="96" spans="2:10" x14ac:dyDescent="0.25">
      <c r="B96" s="75"/>
      <c r="C96" s="75"/>
      <c r="H96" s="24"/>
      <c r="I96" s="24"/>
      <c r="J96" s="24"/>
    </row>
    <row r="97" spans="2:10" x14ac:dyDescent="0.25">
      <c r="B97" s="75"/>
      <c r="C97" s="75"/>
      <c r="H97" s="24"/>
      <c r="I97" s="24"/>
      <c r="J97" s="24"/>
    </row>
    <row r="98" spans="2:10" x14ac:dyDescent="0.25">
      <c r="B98" s="75"/>
      <c r="C98" s="75"/>
      <c r="H98" s="24"/>
      <c r="I98" s="24"/>
      <c r="J98" s="24"/>
    </row>
    <row r="99" spans="2:10" x14ac:dyDescent="0.25">
      <c r="B99" s="75"/>
      <c r="C99" s="75"/>
      <c r="H99" s="24"/>
      <c r="I99" s="24"/>
      <c r="J99" s="24"/>
    </row>
    <row r="100" spans="2:10" x14ac:dyDescent="0.25">
      <c r="B100" s="75"/>
      <c r="C100" s="75"/>
      <c r="H100" s="24"/>
      <c r="I100" s="24"/>
      <c r="J100" s="24"/>
    </row>
    <row r="101" spans="2:10" x14ac:dyDescent="0.25">
      <c r="B101" s="75"/>
      <c r="C101" s="75"/>
      <c r="H101" s="24"/>
      <c r="I101" s="24"/>
      <c r="J101" s="24"/>
    </row>
    <row r="102" spans="2:10" x14ac:dyDescent="0.25">
      <c r="B102" s="75"/>
      <c r="C102" s="75"/>
      <c r="H102" s="24"/>
      <c r="I102" s="24"/>
      <c r="J102" s="24"/>
    </row>
    <row r="103" spans="2:10" x14ac:dyDescent="0.25">
      <c r="B103" s="75"/>
      <c r="C103" s="75"/>
      <c r="H103" s="24"/>
      <c r="I103" s="24"/>
      <c r="J103" s="24"/>
    </row>
    <row r="104" spans="2:10" x14ac:dyDescent="0.25">
      <c r="B104" s="75"/>
      <c r="C104" s="75"/>
      <c r="H104" s="24"/>
      <c r="I104" s="24"/>
      <c r="J104" s="24"/>
    </row>
    <row r="105" spans="2:10" x14ac:dyDescent="0.25">
      <c r="B105" s="75"/>
      <c r="C105" s="75"/>
      <c r="H105" s="24"/>
      <c r="I105" s="24"/>
      <c r="J105" s="24"/>
    </row>
    <row r="106" spans="2:10" x14ac:dyDescent="0.25">
      <c r="B106" s="75"/>
      <c r="C106" s="75"/>
      <c r="H106" s="24"/>
      <c r="I106" s="24"/>
      <c r="J106" s="24"/>
    </row>
    <row r="107" spans="2:10" x14ac:dyDescent="0.25">
      <c r="B107" s="75"/>
      <c r="C107" s="75"/>
      <c r="H107" s="24"/>
      <c r="I107" s="24"/>
      <c r="J107" s="24"/>
    </row>
    <row r="108" spans="2:10" x14ac:dyDescent="0.25">
      <c r="B108" s="75"/>
      <c r="C108" s="75"/>
      <c r="H108" s="24"/>
      <c r="I108" s="24"/>
      <c r="J108" s="24"/>
    </row>
    <row r="109" spans="2:10" x14ac:dyDescent="0.25">
      <c r="B109" s="75"/>
      <c r="C109" s="75"/>
      <c r="H109" s="24"/>
      <c r="I109" s="24"/>
      <c r="J109" s="24"/>
    </row>
    <row r="110" spans="2:10" x14ac:dyDescent="0.25">
      <c r="B110" s="75"/>
      <c r="C110" s="75"/>
      <c r="H110" s="24"/>
      <c r="I110" s="24"/>
      <c r="J110" s="24"/>
    </row>
    <row r="111" spans="2:10" x14ac:dyDescent="0.25">
      <c r="B111" s="75"/>
      <c r="C111" s="75"/>
      <c r="H111" s="24"/>
      <c r="I111" s="24"/>
      <c r="J111" s="24"/>
    </row>
    <row r="112" spans="2:10" x14ac:dyDescent="0.25">
      <c r="H112" s="24"/>
      <c r="I112" s="24"/>
      <c r="J112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42585.870486111111</v>
      </c>
      <c r="B1" s="24" t="s">
        <v>104</v>
      </c>
      <c r="C1" s="24" t="s">
        <v>338</v>
      </c>
      <c r="D1" s="24">
        <v>1480000</v>
      </c>
      <c r="E1" s="24" t="s">
        <v>101</v>
      </c>
      <c r="F1" s="24" t="str">
        <f>B1</f>
        <v>rtdc.l.rtdc.4025:itc</v>
      </c>
      <c r="G1" s="8">
        <f>A1</f>
        <v>42585.870486111111</v>
      </c>
    </row>
    <row r="2" spans="1:7" x14ac:dyDescent="0.25">
      <c r="A2" s="8">
        <v>42586.887569444443</v>
      </c>
      <c r="B2" s="24" t="s">
        <v>111</v>
      </c>
      <c r="C2" s="24" t="s">
        <v>527</v>
      </c>
      <c r="D2" s="24">
        <v>1480000</v>
      </c>
      <c r="E2" s="24" t="s">
        <v>101</v>
      </c>
      <c r="F2" s="24" t="str">
        <f t="shared" ref="F2:F65" si="0">B2</f>
        <v>rtdc.l.rtdc.4008:itc</v>
      </c>
      <c r="G2" s="8">
        <f t="shared" ref="G2:G65" si="1">A2</f>
        <v>42586.887569444443</v>
      </c>
    </row>
    <row r="3" spans="1:7" x14ac:dyDescent="0.25">
      <c r="A3" s="8">
        <v>42587.048067129632</v>
      </c>
      <c r="B3" s="24" t="s">
        <v>108</v>
      </c>
      <c r="C3" s="24" t="s">
        <v>581</v>
      </c>
      <c r="D3" s="24">
        <v>1290000</v>
      </c>
      <c r="E3" s="24" t="s">
        <v>148</v>
      </c>
      <c r="F3" s="24" t="str">
        <f t="shared" si="0"/>
        <v>rtdc.l.rtdc.4027:itc</v>
      </c>
      <c r="G3" s="8">
        <f t="shared" si="1"/>
        <v>42587.048067129632</v>
      </c>
    </row>
    <row r="4" spans="1:7" x14ac:dyDescent="0.25">
      <c r="A4" s="8">
        <v>42586.682928240742</v>
      </c>
      <c r="B4" s="24" t="s">
        <v>149</v>
      </c>
      <c r="C4" s="24" t="s">
        <v>506</v>
      </c>
      <c r="D4" s="24">
        <v>2020000</v>
      </c>
      <c r="E4" s="24" t="s">
        <v>582</v>
      </c>
      <c r="F4" s="24" t="str">
        <f t="shared" si="0"/>
        <v>rtdc.l.rtdc.4011:itc</v>
      </c>
      <c r="G4" s="8">
        <f t="shared" si="1"/>
        <v>42586.682928240742</v>
      </c>
    </row>
    <row r="5" spans="1:7" x14ac:dyDescent="0.25">
      <c r="A5" s="8">
        <v>42586.797847222224</v>
      </c>
      <c r="B5" s="24" t="s">
        <v>144</v>
      </c>
      <c r="C5" s="24" t="s">
        <v>579</v>
      </c>
      <c r="D5" s="24">
        <v>2090000</v>
      </c>
      <c r="E5" s="24" t="s">
        <v>313</v>
      </c>
      <c r="F5" s="24" t="str">
        <f t="shared" si="0"/>
        <v>rtdc.l.rtdc.4041:itc</v>
      </c>
      <c r="G5" s="8">
        <f t="shared" si="1"/>
        <v>42586.797847222224</v>
      </c>
    </row>
    <row r="6" spans="1:7" x14ac:dyDescent="0.25">
      <c r="A6" s="8">
        <v>42586.756874999999</v>
      </c>
      <c r="B6" s="24" t="s">
        <v>149</v>
      </c>
      <c r="C6" s="24" t="s">
        <v>516</v>
      </c>
      <c r="D6" s="24">
        <v>1300000</v>
      </c>
      <c r="E6" s="24" t="s">
        <v>145</v>
      </c>
      <c r="F6" s="24" t="str">
        <f t="shared" si="0"/>
        <v>rtdc.l.rtdc.4011:itc</v>
      </c>
      <c r="G6" s="8">
        <f t="shared" si="1"/>
        <v>42586.756874999999</v>
      </c>
    </row>
    <row r="7" spans="1:7" x14ac:dyDescent="0.25">
      <c r="A7" s="8">
        <v>42586.86010416667</v>
      </c>
      <c r="B7" s="24" t="s">
        <v>69</v>
      </c>
      <c r="C7" s="24" t="s">
        <v>433</v>
      </c>
      <c r="D7" s="24">
        <v>2030000</v>
      </c>
      <c r="E7" s="24" t="s">
        <v>365</v>
      </c>
      <c r="F7" s="24" t="str">
        <f t="shared" si="0"/>
        <v>rtdc.l.rtdc.4017:itc</v>
      </c>
      <c r="G7" s="8">
        <f t="shared" si="1"/>
        <v>42586.86010416667</v>
      </c>
    </row>
    <row r="8" spans="1:7" x14ac:dyDescent="0.25">
      <c r="A8" s="8">
        <v>42587.132789351854</v>
      </c>
      <c r="B8" s="24" t="s">
        <v>315</v>
      </c>
      <c r="C8" s="24" t="s">
        <v>583</v>
      </c>
      <c r="D8" s="24">
        <v>2010000</v>
      </c>
      <c r="E8" s="24" t="s">
        <v>274</v>
      </c>
      <c r="F8" s="24" t="str">
        <f t="shared" si="0"/>
        <v>rtdc.l.rtdc.4044:itc</v>
      </c>
      <c r="G8" s="8">
        <f t="shared" si="1"/>
        <v>42587.132789351854</v>
      </c>
    </row>
    <row r="9" spans="1:7" ht="15.75" thickBot="1" x14ac:dyDescent="0.3">
      <c r="A9" s="28">
        <v>42587.260775462964</v>
      </c>
      <c r="B9" s="24" t="s">
        <v>133</v>
      </c>
      <c r="C9" s="24" t="s">
        <v>584</v>
      </c>
      <c r="D9" s="24">
        <v>1830000</v>
      </c>
      <c r="E9" s="24" t="s">
        <v>292</v>
      </c>
      <c r="F9" s="24" t="str">
        <f t="shared" si="0"/>
        <v>rtdc.l.rtdc.4016:itc</v>
      </c>
      <c r="G9" s="8">
        <f t="shared" si="1"/>
        <v>42587.260775462964</v>
      </c>
    </row>
    <row r="10" spans="1:7" x14ac:dyDescent="0.25">
      <c r="A10" s="8">
        <v>42587.278773148151</v>
      </c>
      <c r="B10" s="24" t="s">
        <v>315</v>
      </c>
      <c r="C10" s="24" t="s">
        <v>585</v>
      </c>
      <c r="D10" s="24">
        <v>1360000</v>
      </c>
      <c r="E10" s="24" t="s">
        <v>272</v>
      </c>
      <c r="F10" s="24" t="str">
        <f t="shared" si="0"/>
        <v>rtdc.l.rtdc.4044:itc</v>
      </c>
      <c r="G10" s="8">
        <f t="shared" si="1"/>
        <v>42587.278773148151</v>
      </c>
    </row>
    <row r="11" spans="1:7" x14ac:dyDescent="0.25">
      <c r="A11" s="8">
        <v>42586.74728009259</v>
      </c>
      <c r="B11" s="24" t="s">
        <v>106</v>
      </c>
      <c r="C11" s="24" t="s">
        <v>515</v>
      </c>
      <c r="D11" s="24">
        <v>2150000</v>
      </c>
      <c r="E11" s="24" t="s">
        <v>291</v>
      </c>
      <c r="F11" s="24" t="str">
        <f t="shared" si="0"/>
        <v>rtdc.l.rtdc.4029:itc</v>
      </c>
      <c r="G11" s="8">
        <f t="shared" si="1"/>
        <v>42586.74728009259</v>
      </c>
    </row>
    <row r="12" spans="1:7" x14ac:dyDescent="0.25">
      <c r="A12" s="8">
        <v>42586.69222222222</v>
      </c>
      <c r="B12" s="24" t="s">
        <v>317</v>
      </c>
      <c r="C12" s="24" t="s">
        <v>511</v>
      </c>
      <c r="D12" s="24">
        <v>2140000</v>
      </c>
      <c r="E12" s="24" t="s">
        <v>318</v>
      </c>
      <c r="F12" s="24" t="str">
        <f t="shared" si="0"/>
        <v>rtdc.l.rtdc.4039:itc</v>
      </c>
      <c r="G12" s="8">
        <f t="shared" si="1"/>
        <v>42586.69222222222</v>
      </c>
    </row>
    <row r="13" spans="1:7" x14ac:dyDescent="0.25">
      <c r="A13" s="8">
        <v>42586.713553240741</v>
      </c>
      <c r="B13" s="24" t="s">
        <v>100</v>
      </c>
      <c r="C13" s="24" t="s">
        <v>511</v>
      </c>
      <c r="D13" s="24">
        <v>1540000</v>
      </c>
      <c r="E13" s="24" t="s">
        <v>172</v>
      </c>
      <c r="F13" s="24" t="str">
        <f t="shared" si="0"/>
        <v>rtdc.l.rtdc.4038:itc</v>
      </c>
      <c r="G13" s="8">
        <f t="shared" si="1"/>
        <v>42586.713553240741</v>
      </c>
    </row>
    <row r="14" spans="1:7" x14ac:dyDescent="0.25">
      <c r="A14" s="8">
        <v>42586.927824074075</v>
      </c>
      <c r="B14" s="24" t="s">
        <v>68</v>
      </c>
      <c r="C14" s="24" t="s">
        <v>578</v>
      </c>
      <c r="D14" s="24">
        <v>2000000</v>
      </c>
      <c r="E14" s="24" t="s">
        <v>305</v>
      </c>
      <c r="F14" s="24" t="str">
        <f t="shared" si="0"/>
        <v>rtdc.l.rtdc.4018:itc</v>
      </c>
      <c r="G14" s="8">
        <f t="shared" si="1"/>
        <v>42586.927824074075</v>
      </c>
    </row>
    <row r="15" spans="1:7" x14ac:dyDescent="0.25">
      <c r="A15" s="8">
        <v>42586.644293981481</v>
      </c>
      <c r="B15" s="24" t="s">
        <v>100</v>
      </c>
      <c r="C15" s="24" t="s">
        <v>497</v>
      </c>
      <c r="D15" s="24">
        <v>1540000</v>
      </c>
      <c r="E15" s="24" t="s">
        <v>172</v>
      </c>
      <c r="F15" s="24" t="str">
        <f t="shared" si="0"/>
        <v>rtdc.l.rtdc.4038:itc</v>
      </c>
      <c r="G15" s="8">
        <f t="shared" si="1"/>
        <v>42586.644293981481</v>
      </c>
    </row>
    <row r="16" spans="1:7" x14ac:dyDescent="0.25">
      <c r="A16" s="8">
        <v>42587.06863425926</v>
      </c>
      <c r="B16" s="24" t="s">
        <v>149</v>
      </c>
      <c r="C16" s="24" t="s">
        <v>549</v>
      </c>
      <c r="D16" s="24">
        <v>1300000</v>
      </c>
      <c r="E16" s="24" t="s">
        <v>145</v>
      </c>
      <c r="F16" s="24" t="str">
        <f t="shared" si="0"/>
        <v>rtdc.l.rtdc.4011:itc</v>
      </c>
      <c r="G16" s="8">
        <f t="shared" si="1"/>
        <v>42587.06863425926</v>
      </c>
    </row>
    <row r="17" spans="1:7" x14ac:dyDescent="0.25">
      <c r="A17" s="8">
        <v>42587.255960648145</v>
      </c>
      <c r="B17" s="24" t="s">
        <v>102</v>
      </c>
      <c r="C17" s="24" t="s">
        <v>586</v>
      </c>
      <c r="D17" s="24">
        <v>2010000</v>
      </c>
      <c r="E17" s="24" t="s">
        <v>274</v>
      </c>
      <c r="F17" s="24" t="str">
        <f t="shared" si="0"/>
        <v>rtdc.l.rtdc.4026:itc</v>
      </c>
      <c r="G17" s="8">
        <f t="shared" si="1"/>
        <v>42587.255960648145</v>
      </c>
    </row>
    <row r="18" spans="1:7" x14ac:dyDescent="0.25">
      <c r="A18" s="8">
        <v>42587.193240740744</v>
      </c>
      <c r="B18" s="24" t="s">
        <v>108</v>
      </c>
      <c r="C18" s="24" t="s">
        <v>587</v>
      </c>
      <c r="D18" s="24">
        <v>2100000</v>
      </c>
      <c r="E18" s="24" t="s">
        <v>314</v>
      </c>
      <c r="F18" s="24" t="str">
        <f t="shared" si="0"/>
        <v>rtdc.l.rtdc.4027:itc</v>
      </c>
      <c r="G18" s="8">
        <f t="shared" si="1"/>
        <v>42587.193240740744</v>
      </c>
    </row>
    <row r="19" spans="1:7" x14ac:dyDescent="0.25">
      <c r="A19" s="8">
        <v>42587.215497685182</v>
      </c>
      <c r="B19" s="24" t="s">
        <v>162</v>
      </c>
      <c r="C19" s="24" t="s">
        <v>588</v>
      </c>
      <c r="D19" s="24">
        <v>1310000</v>
      </c>
      <c r="E19" s="24" t="s">
        <v>371</v>
      </c>
      <c r="F19" s="24" t="str">
        <f t="shared" si="0"/>
        <v>rtdc.l.rtdc.4032:itc</v>
      </c>
      <c r="G19" s="8">
        <f t="shared" si="1"/>
        <v>42587.215497685182</v>
      </c>
    </row>
    <row r="20" spans="1:7" x14ac:dyDescent="0.25">
      <c r="A20" s="8">
        <v>42587.287442129629</v>
      </c>
      <c r="B20" s="24" t="s">
        <v>104</v>
      </c>
      <c r="C20" s="24" t="s">
        <v>589</v>
      </c>
      <c r="D20" s="24">
        <v>2010000</v>
      </c>
      <c r="E20" s="24" t="s">
        <v>274</v>
      </c>
      <c r="F20" s="24" t="str">
        <f t="shared" si="0"/>
        <v>rtdc.l.rtdc.4025:itc</v>
      </c>
      <c r="G20" s="8">
        <f t="shared" si="1"/>
        <v>42587.287442129629</v>
      </c>
    </row>
    <row r="21" spans="1:7" x14ac:dyDescent="0.25">
      <c r="A21" s="8">
        <v>42587.015543981484</v>
      </c>
      <c r="B21" s="24" t="s">
        <v>105</v>
      </c>
      <c r="C21" s="24" t="s">
        <v>539</v>
      </c>
      <c r="D21" s="24">
        <v>1290000</v>
      </c>
      <c r="E21" s="24" t="s">
        <v>148</v>
      </c>
      <c r="F21" s="24" t="str">
        <f t="shared" si="0"/>
        <v>rtdc.l.rtdc.4028:itc</v>
      </c>
      <c r="G21" s="8">
        <f t="shared" si="1"/>
        <v>42587.015543981484</v>
      </c>
    </row>
    <row r="22" spans="1:7" x14ac:dyDescent="0.25">
      <c r="A22" s="30">
        <v>42587.347187500003</v>
      </c>
      <c r="B22" s="24" t="s">
        <v>107</v>
      </c>
      <c r="C22" s="24" t="s">
        <v>590</v>
      </c>
      <c r="D22" s="24">
        <v>1990000</v>
      </c>
      <c r="E22" s="24" t="s">
        <v>192</v>
      </c>
      <c r="F22" s="24" t="str">
        <f t="shared" si="0"/>
        <v>rtdc.l.rtdc.4030:itc</v>
      </c>
      <c r="G22" s="8">
        <f t="shared" si="1"/>
        <v>42587.347187500003</v>
      </c>
    </row>
    <row r="23" spans="1:7" x14ac:dyDescent="0.25">
      <c r="A23" s="8">
        <v>42586.827314814815</v>
      </c>
      <c r="B23" s="24" t="s">
        <v>149</v>
      </c>
      <c r="C23" s="24" t="s">
        <v>524</v>
      </c>
      <c r="D23" s="24">
        <v>1300000</v>
      </c>
      <c r="E23" s="24" t="s">
        <v>145</v>
      </c>
      <c r="F23" s="24" t="str">
        <f t="shared" si="0"/>
        <v>rtdc.l.rtdc.4011:itc</v>
      </c>
      <c r="G23" s="8">
        <f t="shared" si="1"/>
        <v>42586.827314814815</v>
      </c>
    </row>
    <row r="24" spans="1:7" x14ac:dyDescent="0.25">
      <c r="A24" s="8">
        <v>42586.693344907406</v>
      </c>
      <c r="B24" s="24" t="s">
        <v>69</v>
      </c>
      <c r="C24" s="24" t="s">
        <v>567</v>
      </c>
      <c r="D24" s="24">
        <v>2030000</v>
      </c>
      <c r="E24" s="24" t="s">
        <v>365</v>
      </c>
      <c r="F24" s="24" t="str">
        <f t="shared" si="0"/>
        <v>rtdc.l.rtdc.4017:itc</v>
      </c>
      <c r="G24" s="8">
        <f t="shared" si="1"/>
        <v>42586.693344907406</v>
      </c>
    </row>
    <row r="25" spans="1:7" x14ac:dyDescent="0.25">
      <c r="A25" s="8">
        <v>42586.72047453704</v>
      </c>
      <c r="B25" s="24" t="s">
        <v>151</v>
      </c>
      <c r="C25" s="24" t="s">
        <v>507</v>
      </c>
      <c r="D25" s="24">
        <v>2020000</v>
      </c>
      <c r="E25" s="24" t="s">
        <v>582</v>
      </c>
      <c r="F25" s="24" t="str">
        <f t="shared" si="0"/>
        <v>rtdc.l.rtdc.4012:itc</v>
      </c>
      <c r="G25" s="8">
        <f t="shared" si="1"/>
        <v>42586.72047453704</v>
      </c>
    </row>
    <row r="26" spans="1:7" x14ac:dyDescent="0.25">
      <c r="A26" s="8">
        <v>42586.950601851851</v>
      </c>
      <c r="B26" s="24" t="s">
        <v>100</v>
      </c>
      <c r="C26" s="24" t="s">
        <v>536</v>
      </c>
      <c r="D26" s="24">
        <v>2140000</v>
      </c>
      <c r="E26" s="24" t="s">
        <v>318</v>
      </c>
      <c r="F26" s="24" t="str">
        <f t="shared" si="0"/>
        <v>rtdc.l.rtdc.4038:itc</v>
      </c>
      <c r="G26" s="8">
        <f t="shared" si="1"/>
        <v>42586.950601851851</v>
      </c>
    </row>
    <row r="27" spans="1:7" x14ac:dyDescent="0.25">
      <c r="A27" s="8">
        <v>42586.695439814815</v>
      </c>
      <c r="B27" s="24" t="s">
        <v>105</v>
      </c>
      <c r="C27" s="24" t="s">
        <v>502</v>
      </c>
      <c r="D27" s="24">
        <v>2150000</v>
      </c>
      <c r="E27" s="24" t="s">
        <v>291</v>
      </c>
      <c r="F27" s="24" t="str">
        <f t="shared" si="0"/>
        <v>rtdc.l.rtdc.4028:itc</v>
      </c>
      <c r="G27" s="8">
        <f t="shared" si="1"/>
        <v>42586.695439814815</v>
      </c>
    </row>
    <row r="28" spans="1:7" x14ac:dyDescent="0.25">
      <c r="A28" s="8">
        <v>42587.049479166664</v>
      </c>
      <c r="B28" s="24" t="s">
        <v>108</v>
      </c>
      <c r="C28" s="24" t="s">
        <v>581</v>
      </c>
      <c r="D28" s="24">
        <v>1290000</v>
      </c>
      <c r="E28" s="24" t="s">
        <v>148</v>
      </c>
      <c r="F28" s="24" t="str">
        <f t="shared" si="0"/>
        <v>rtdc.l.rtdc.4027:itc</v>
      </c>
      <c r="G28" s="8">
        <f t="shared" si="1"/>
        <v>42587.049479166664</v>
      </c>
    </row>
    <row r="29" spans="1:7" x14ac:dyDescent="0.25">
      <c r="A29" s="8">
        <v>42586.576157407406</v>
      </c>
      <c r="B29" s="24" t="s">
        <v>151</v>
      </c>
      <c r="C29" s="24" t="s">
        <v>419</v>
      </c>
      <c r="D29" s="24">
        <v>2020000</v>
      </c>
      <c r="E29" s="24" t="s">
        <v>582</v>
      </c>
      <c r="F29" s="24" t="str">
        <f t="shared" si="0"/>
        <v>rtdc.l.rtdc.4012:itc</v>
      </c>
      <c r="G29" s="8">
        <f t="shared" si="1"/>
        <v>42586.576157407406</v>
      </c>
    </row>
    <row r="30" spans="1:7" x14ac:dyDescent="0.25">
      <c r="A30" s="8">
        <v>42587.235671296294</v>
      </c>
      <c r="B30" s="24" t="s">
        <v>106</v>
      </c>
      <c r="C30" s="24" t="s">
        <v>591</v>
      </c>
      <c r="D30" s="24">
        <v>1990000</v>
      </c>
      <c r="E30" s="24" t="s">
        <v>192</v>
      </c>
      <c r="F30" s="24" t="str">
        <f t="shared" si="0"/>
        <v>rtdc.l.rtdc.4029:itc</v>
      </c>
      <c r="G30" s="8">
        <f t="shared" si="1"/>
        <v>42587.235671296294</v>
      </c>
    </row>
    <row r="31" spans="1:7" x14ac:dyDescent="0.25">
      <c r="A31" s="8">
        <v>42586.521493055552</v>
      </c>
      <c r="B31" s="24" t="s">
        <v>108</v>
      </c>
      <c r="C31" s="24" t="s">
        <v>475</v>
      </c>
      <c r="D31" s="24">
        <v>2150000</v>
      </c>
      <c r="E31" s="24" t="s">
        <v>291</v>
      </c>
      <c r="F31" s="24" t="str">
        <f t="shared" si="0"/>
        <v>rtdc.l.rtdc.4027:itc</v>
      </c>
      <c r="G31" s="8">
        <f t="shared" si="1"/>
        <v>42586.521493055552</v>
      </c>
    </row>
    <row r="32" spans="1:7" x14ac:dyDescent="0.25">
      <c r="A32" s="8">
        <v>42585.907326388886</v>
      </c>
      <c r="B32" s="24" t="s">
        <v>315</v>
      </c>
      <c r="C32" s="24" t="s">
        <v>342</v>
      </c>
      <c r="D32" s="24">
        <v>1300000</v>
      </c>
      <c r="E32" s="24" t="s">
        <v>145</v>
      </c>
      <c r="F32" s="24" t="str">
        <f t="shared" si="0"/>
        <v>rtdc.l.rtdc.4044:itc</v>
      </c>
      <c r="G32" s="8">
        <f t="shared" si="1"/>
        <v>42585.907326388886</v>
      </c>
    </row>
    <row r="33" spans="1:7" x14ac:dyDescent="0.25">
      <c r="A33" s="8">
        <v>42586.509328703702</v>
      </c>
      <c r="B33" s="24" t="s">
        <v>68</v>
      </c>
      <c r="C33" s="24" t="s">
        <v>561</v>
      </c>
      <c r="D33" s="24">
        <v>2100000</v>
      </c>
      <c r="E33" s="24" t="s">
        <v>314</v>
      </c>
      <c r="F33" s="24" t="str">
        <f t="shared" si="0"/>
        <v>rtdc.l.rtdc.4018:itc</v>
      </c>
      <c r="G33" s="8">
        <f t="shared" si="1"/>
        <v>42586.509328703702</v>
      </c>
    </row>
    <row r="34" spans="1:7" x14ac:dyDescent="0.25">
      <c r="A34" s="8">
        <v>42585.972280092596</v>
      </c>
      <c r="B34" s="24" t="s">
        <v>317</v>
      </c>
      <c r="C34" s="24" t="s">
        <v>344</v>
      </c>
      <c r="D34" s="24">
        <v>1290000</v>
      </c>
      <c r="E34" s="24" t="s">
        <v>148</v>
      </c>
      <c r="F34" s="24" t="str">
        <f t="shared" si="0"/>
        <v>rtdc.l.rtdc.4039:itc</v>
      </c>
      <c r="G34" s="8">
        <f t="shared" si="1"/>
        <v>42585.972280092596</v>
      </c>
    </row>
    <row r="35" spans="1:7" x14ac:dyDescent="0.25">
      <c r="A35" s="8">
        <v>42586.500243055554</v>
      </c>
      <c r="B35" s="24" t="s">
        <v>100</v>
      </c>
      <c r="C35" s="24" t="s">
        <v>471</v>
      </c>
      <c r="D35" s="24">
        <v>1540000</v>
      </c>
      <c r="E35" s="24" t="s">
        <v>172</v>
      </c>
      <c r="F35" s="24" t="str">
        <f t="shared" si="0"/>
        <v>rtdc.l.rtdc.4038:itc</v>
      </c>
      <c r="G35" s="8">
        <f t="shared" si="1"/>
        <v>42586.500243055554</v>
      </c>
    </row>
    <row r="36" spans="1:7" x14ac:dyDescent="0.25">
      <c r="A36" s="8">
        <v>42586.015104166669</v>
      </c>
      <c r="B36" s="24" t="s">
        <v>103</v>
      </c>
      <c r="C36" s="24" t="s">
        <v>349</v>
      </c>
      <c r="D36" s="24">
        <v>2090000</v>
      </c>
      <c r="E36" s="24" t="s">
        <v>313</v>
      </c>
      <c r="F36" s="24" t="str">
        <f t="shared" si="0"/>
        <v>rtdc.l.rtdc.4013:itc</v>
      </c>
      <c r="G36" s="8">
        <f t="shared" si="1"/>
        <v>42586.015104166669</v>
      </c>
    </row>
    <row r="37" spans="1:7" x14ac:dyDescent="0.25">
      <c r="A37" s="8">
        <v>42586.487696759257</v>
      </c>
      <c r="B37" s="24" t="s">
        <v>104</v>
      </c>
      <c r="C37" s="24" t="s">
        <v>468</v>
      </c>
      <c r="D37" s="24">
        <v>1810000</v>
      </c>
      <c r="E37" s="24" t="s">
        <v>166</v>
      </c>
      <c r="F37" s="24" t="str">
        <f t="shared" si="0"/>
        <v>rtdc.l.rtdc.4025:itc</v>
      </c>
      <c r="G37" s="8">
        <f t="shared" si="1"/>
        <v>42586.487696759257</v>
      </c>
    </row>
    <row r="38" spans="1:7" x14ac:dyDescent="0.25">
      <c r="A38" s="8">
        <v>42586.046388888892</v>
      </c>
      <c r="B38" s="24" t="s">
        <v>155</v>
      </c>
      <c r="C38" s="24" t="s">
        <v>355</v>
      </c>
      <c r="D38" s="24">
        <v>2090000</v>
      </c>
      <c r="E38" s="24" t="s">
        <v>313</v>
      </c>
      <c r="F38" s="24" t="str">
        <f t="shared" si="0"/>
        <v>rtdc.l.rtdc.4014:itc</v>
      </c>
      <c r="G38" s="8">
        <f t="shared" si="1"/>
        <v>42586.046388888892</v>
      </c>
    </row>
    <row r="39" spans="1:7" x14ac:dyDescent="0.25">
      <c r="A39" s="8">
        <v>42586.484502314815</v>
      </c>
      <c r="B39" s="24" t="s">
        <v>105</v>
      </c>
      <c r="C39" s="24" t="s">
        <v>416</v>
      </c>
      <c r="D39" s="24">
        <v>930000</v>
      </c>
      <c r="E39" s="24" t="s">
        <v>373</v>
      </c>
      <c r="F39" s="24" t="str">
        <f t="shared" si="0"/>
        <v>rtdc.l.rtdc.4028:itc</v>
      </c>
      <c r="G39" s="8">
        <f t="shared" si="1"/>
        <v>42586.484502314815</v>
      </c>
    </row>
    <row r="40" spans="1:7" x14ac:dyDescent="0.25">
      <c r="A40" s="8">
        <v>42586.067974537036</v>
      </c>
      <c r="B40" s="29" t="s">
        <v>315</v>
      </c>
      <c r="C40" s="24" t="s">
        <v>377</v>
      </c>
      <c r="D40" s="24">
        <v>1300000</v>
      </c>
      <c r="E40" s="24" t="s">
        <v>145</v>
      </c>
      <c r="F40" s="24" t="str">
        <f t="shared" si="0"/>
        <v>rtdc.l.rtdc.4044:itc</v>
      </c>
      <c r="G40" s="8">
        <f t="shared" si="1"/>
        <v>42586.067974537036</v>
      </c>
    </row>
    <row r="41" spans="1:7" x14ac:dyDescent="0.25">
      <c r="A41" s="8">
        <v>42586.46733796296</v>
      </c>
      <c r="B41" s="24" t="s">
        <v>68</v>
      </c>
      <c r="C41" s="24" t="s">
        <v>559</v>
      </c>
      <c r="D41" s="24">
        <v>2100000</v>
      </c>
      <c r="E41" s="24" t="s">
        <v>314</v>
      </c>
      <c r="F41" s="24" t="str">
        <f t="shared" si="0"/>
        <v>rtdc.l.rtdc.4018:itc</v>
      </c>
      <c r="G41" s="8">
        <f t="shared" si="1"/>
        <v>42586.46733796296</v>
      </c>
    </row>
    <row r="42" spans="1:7" x14ac:dyDescent="0.25">
      <c r="A42" s="8">
        <v>42586.239270833335</v>
      </c>
      <c r="B42" s="24" t="s">
        <v>108</v>
      </c>
      <c r="C42" s="24" t="s">
        <v>378</v>
      </c>
      <c r="D42" s="24">
        <v>1190000</v>
      </c>
      <c r="E42" s="24" t="s">
        <v>143</v>
      </c>
      <c r="F42" s="24" t="str">
        <f t="shared" si="0"/>
        <v>rtdc.l.rtdc.4027:itc</v>
      </c>
      <c r="G42" s="8">
        <f t="shared" si="1"/>
        <v>42586.239270833335</v>
      </c>
    </row>
    <row r="43" spans="1:7" x14ac:dyDescent="0.25">
      <c r="A43" s="8">
        <v>42586.466631944444</v>
      </c>
      <c r="B43" s="24" t="s">
        <v>149</v>
      </c>
      <c r="C43" s="24" t="s">
        <v>464</v>
      </c>
      <c r="D43" s="24">
        <v>2020000</v>
      </c>
      <c r="E43" s="24" t="s">
        <v>582</v>
      </c>
      <c r="F43" s="24" t="str">
        <f t="shared" si="0"/>
        <v>rtdc.l.rtdc.4011:itc</v>
      </c>
      <c r="G43" s="8">
        <f t="shared" si="1"/>
        <v>42586.466631944444</v>
      </c>
    </row>
    <row r="44" spans="1:7" x14ac:dyDescent="0.25">
      <c r="A44" s="8">
        <v>42586.248136574075</v>
      </c>
      <c r="B44" s="24" t="s">
        <v>149</v>
      </c>
      <c r="C44" s="24" t="s">
        <v>379</v>
      </c>
      <c r="D44" s="24">
        <v>1310000</v>
      </c>
      <c r="E44" s="24" t="s">
        <v>371</v>
      </c>
      <c r="F44" s="24" t="str">
        <f t="shared" si="0"/>
        <v>rtdc.l.rtdc.4011:itc</v>
      </c>
      <c r="G44" s="8">
        <f t="shared" si="1"/>
        <v>42586.248136574075</v>
      </c>
    </row>
    <row r="45" spans="1:7" x14ac:dyDescent="0.25">
      <c r="A45" s="8">
        <v>42586.440694444442</v>
      </c>
      <c r="B45" s="24" t="s">
        <v>111</v>
      </c>
      <c r="C45" s="24" t="s">
        <v>413</v>
      </c>
      <c r="D45" s="24">
        <v>1760000</v>
      </c>
      <c r="E45" s="24" t="s">
        <v>325</v>
      </c>
      <c r="F45" s="24" t="str">
        <f t="shared" si="0"/>
        <v>rtdc.l.rtdc.4008:itc</v>
      </c>
      <c r="G45" s="8">
        <f t="shared" si="1"/>
        <v>42586.440694444442</v>
      </c>
    </row>
    <row r="46" spans="1:7" x14ac:dyDescent="0.25">
      <c r="A46" s="8">
        <v>42586.254884259259</v>
      </c>
      <c r="B46" s="24" t="s">
        <v>144</v>
      </c>
      <c r="C46" s="24" t="s">
        <v>380</v>
      </c>
      <c r="D46" s="24">
        <v>1830000</v>
      </c>
      <c r="E46" s="24" t="s">
        <v>292</v>
      </c>
      <c r="F46" s="24" t="str">
        <f t="shared" si="0"/>
        <v>rtdc.l.rtdc.4041:itc</v>
      </c>
      <c r="G46" s="8">
        <f t="shared" si="1"/>
        <v>42586.254884259259</v>
      </c>
    </row>
    <row r="47" spans="1:7" x14ac:dyDescent="0.25">
      <c r="A47" s="8">
        <v>42586.433611111112</v>
      </c>
      <c r="B47" s="24" t="s">
        <v>151</v>
      </c>
      <c r="C47" s="24" t="s">
        <v>414</v>
      </c>
      <c r="D47" s="24">
        <v>1310000</v>
      </c>
      <c r="E47" s="24" t="s">
        <v>371</v>
      </c>
      <c r="F47" s="24" t="str">
        <f t="shared" si="0"/>
        <v>rtdc.l.rtdc.4012:itc</v>
      </c>
      <c r="G47" s="8">
        <f t="shared" si="1"/>
        <v>42586.433611111112</v>
      </c>
    </row>
    <row r="48" spans="1:7" x14ac:dyDescent="0.25">
      <c r="A48" s="8">
        <v>42586.296122685184</v>
      </c>
      <c r="B48" s="24" t="s">
        <v>111</v>
      </c>
      <c r="C48" s="24" t="s">
        <v>381</v>
      </c>
      <c r="D48" s="24">
        <v>1760000</v>
      </c>
      <c r="E48" s="24" t="s">
        <v>325</v>
      </c>
      <c r="F48" s="24" t="str">
        <f t="shared" si="0"/>
        <v>rtdc.l.rtdc.4008:itc</v>
      </c>
      <c r="G48" s="8">
        <f t="shared" si="1"/>
        <v>42586.296122685184</v>
      </c>
    </row>
    <row r="49" spans="1:7" x14ac:dyDescent="0.25">
      <c r="A49" s="8">
        <v>42586.425983796296</v>
      </c>
      <c r="B49" s="24" t="s">
        <v>68</v>
      </c>
      <c r="C49" s="24" t="s">
        <v>412</v>
      </c>
      <c r="D49" s="24">
        <v>2100000</v>
      </c>
      <c r="E49" s="24" t="s">
        <v>314</v>
      </c>
      <c r="F49" s="24" t="str">
        <f t="shared" si="0"/>
        <v>rtdc.l.rtdc.4018:itc</v>
      </c>
      <c r="G49" s="8">
        <f t="shared" si="1"/>
        <v>42586.425983796296</v>
      </c>
    </row>
    <row r="50" spans="1:7" x14ac:dyDescent="0.25">
      <c r="A50" s="8">
        <v>42586.322094907409</v>
      </c>
      <c r="B50" s="24" t="s">
        <v>149</v>
      </c>
      <c r="C50" s="24" t="s">
        <v>443</v>
      </c>
      <c r="D50" s="24">
        <v>1310000</v>
      </c>
      <c r="E50" s="24" t="s">
        <v>371</v>
      </c>
      <c r="F50" s="24" t="str">
        <f t="shared" si="0"/>
        <v>rtdc.l.rtdc.4011:itc</v>
      </c>
      <c r="G50" s="8">
        <f t="shared" si="1"/>
        <v>42586.322094907409</v>
      </c>
    </row>
    <row r="51" spans="1:7" x14ac:dyDescent="0.25">
      <c r="A51" s="8">
        <v>42586.418449074074</v>
      </c>
      <c r="B51" s="24" t="s">
        <v>107</v>
      </c>
      <c r="C51" s="24" t="s">
        <v>452</v>
      </c>
      <c r="D51" s="24">
        <v>1090000</v>
      </c>
      <c r="E51" s="24" t="s">
        <v>110</v>
      </c>
      <c r="F51" s="24" t="str">
        <f t="shared" si="0"/>
        <v>rtdc.l.rtdc.4030:itc</v>
      </c>
      <c r="G51" s="8">
        <f t="shared" si="1"/>
        <v>42586.418449074074</v>
      </c>
    </row>
    <row r="52" spans="1:7" x14ac:dyDescent="0.25">
      <c r="A52" s="8">
        <v>42586.394699074073</v>
      </c>
      <c r="B52" s="24" t="s">
        <v>149</v>
      </c>
      <c r="C52" s="24" t="s">
        <v>453</v>
      </c>
      <c r="D52" s="24">
        <v>1310000</v>
      </c>
      <c r="E52" s="24" t="s">
        <v>371</v>
      </c>
      <c r="F52" s="24" t="str">
        <f t="shared" si="0"/>
        <v>rtdc.l.rtdc.4011:itc</v>
      </c>
      <c r="G52" s="8">
        <f t="shared" si="1"/>
        <v>42586.394699074073</v>
      </c>
    </row>
    <row r="53" spans="1:7" x14ac:dyDescent="0.25">
      <c r="A53" s="8">
        <v>42586.399965277778</v>
      </c>
      <c r="B53" s="24" t="s">
        <v>162</v>
      </c>
      <c r="C53" s="24" t="s">
        <v>447</v>
      </c>
      <c r="D53" s="24">
        <v>2010000</v>
      </c>
      <c r="E53" s="24" t="s">
        <v>274</v>
      </c>
      <c r="F53" s="24" t="str">
        <f t="shared" si="0"/>
        <v>rtdc.l.rtdc.4032:itc</v>
      </c>
      <c r="G53" s="8">
        <f t="shared" si="1"/>
        <v>42586.399965277778</v>
      </c>
    </row>
    <row r="54" spans="1:7" x14ac:dyDescent="0.25">
      <c r="A54" s="8">
        <v>42586.413506944446</v>
      </c>
      <c r="B54" s="24" t="s">
        <v>104</v>
      </c>
      <c r="C54" s="24" t="s">
        <v>454</v>
      </c>
      <c r="D54" s="24">
        <v>1360000</v>
      </c>
      <c r="E54" s="24" t="s">
        <v>272</v>
      </c>
      <c r="F54" s="24" t="str">
        <f t="shared" si="0"/>
        <v>rtdc.l.rtdc.4025:itc</v>
      </c>
      <c r="G54" s="8">
        <f t="shared" si="1"/>
        <v>42586.413506944446</v>
      </c>
    </row>
    <row r="55" spans="1:7" x14ac:dyDescent="0.25">
      <c r="A55" s="8">
        <v>42586.371307870373</v>
      </c>
      <c r="B55" s="24" t="s">
        <v>108</v>
      </c>
      <c r="C55" s="24" t="s">
        <v>448</v>
      </c>
      <c r="D55" s="24">
        <v>930000</v>
      </c>
      <c r="E55" s="24" t="s">
        <v>373</v>
      </c>
      <c r="F55" s="24" t="str">
        <f t="shared" si="0"/>
        <v>rtdc.l.rtdc.4027:itc</v>
      </c>
      <c r="G55" s="8">
        <f t="shared" si="1"/>
        <v>42586.371307870373</v>
      </c>
    </row>
    <row r="56" spans="1:7" x14ac:dyDescent="0.25">
      <c r="A56" s="8">
        <v>42586.433715277781</v>
      </c>
      <c r="B56" s="24" t="s">
        <v>161</v>
      </c>
      <c r="C56" s="24" t="s">
        <v>459</v>
      </c>
      <c r="D56" s="24">
        <v>1830000</v>
      </c>
      <c r="E56" s="24" t="s">
        <v>292</v>
      </c>
      <c r="F56" s="24" t="str">
        <f t="shared" si="0"/>
        <v>rtdc.l.rtdc.4031:itc</v>
      </c>
      <c r="G56" s="8">
        <f t="shared" si="1"/>
        <v>42586.433715277781</v>
      </c>
    </row>
    <row r="57" spans="1:7" x14ac:dyDescent="0.25">
      <c r="A57" s="8">
        <v>42586.36042824074</v>
      </c>
      <c r="B57" s="24" t="s">
        <v>151</v>
      </c>
      <c r="C57" s="24" t="s">
        <v>406</v>
      </c>
      <c r="D57" s="24">
        <v>1310000</v>
      </c>
      <c r="E57" s="24" t="s">
        <v>371</v>
      </c>
      <c r="F57" s="24" t="str">
        <f t="shared" si="0"/>
        <v>rtdc.l.rtdc.4012:itc</v>
      </c>
      <c r="G57" s="8">
        <f t="shared" si="1"/>
        <v>42586.36042824074</v>
      </c>
    </row>
    <row r="58" spans="1:7" x14ac:dyDescent="0.25">
      <c r="A58" s="8">
        <v>42586.443668981483</v>
      </c>
      <c r="B58" s="24" t="s">
        <v>69</v>
      </c>
      <c r="C58" s="24" t="s">
        <v>558</v>
      </c>
      <c r="D58" s="24">
        <v>2100000</v>
      </c>
      <c r="E58" s="24" t="s">
        <v>314</v>
      </c>
      <c r="F58" s="24" t="str">
        <f t="shared" si="0"/>
        <v>rtdc.l.rtdc.4017:itc</v>
      </c>
      <c r="G58" s="8">
        <f t="shared" si="1"/>
        <v>42586.443668981483</v>
      </c>
    </row>
    <row r="59" spans="1:7" x14ac:dyDescent="0.25">
      <c r="A59" s="8">
        <v>42586.354953703703</v>
      </c>
      <c r="B59" s="24" t="s">
        <v>100</v>
      </c>
      <c r="C59" s="24" t="s">
        <v>405</v>
      </c>
      <c r="D59" s="24">
        <v>1110000</v>
      </c>
      <c r="E59" s="24" t="s">
        <v>116</v>
      </c>
      <c r="F59" s="24" t="str">
        <f t="shared" si="0"/>
        <v>rtdc.l.rtdc.4038:itc</v>
      </c>
      <c r="G59" s="8">
        <f t="shared" si="1"/>
        <v>42586.354953703703</v>
      </c>
    </row>
    <row r="60" spans="1:7" x14ac:dyDescent="0.25">
      <c r="A60" s="8">
        <v>42586.454421296294</v>
      </c>
      <c r="B60" s="24" t="s">
        <v>106</v>
      </c>
      <c r="C60" s="24" t="s">
        <v>415</v>
      </c>
      <c r="D60" s="24">
        <v>2110000</v>
      </c>
      <c r="E60" s="24" t="s">
        <v>316</v>
      </c>
      <c r="F60" s="24" t="str">
        <f t="shared" si="0"/>
        <v>rtdc.l.rtdc.4029:itc</v>
      </c>
      <c r="G60" s="8">
        <f t="shared" si="1"/>
        <v>42586.454421296294</v>
      </c>
    </row>
    <row r="61" spans="1:7" x14ac:dyDescent="0.25">
      <c r="A61" s="8">
        <v>42586.346574074072</v>
      </c>
      <c r="B61" s="24" t="s">
        <v>107</v>
      </c>
      <c r="C61" s="24" t="s">
        <v>441</v>
      </c>
      <c r="D61" s="24">
        <v>1090000</v>
      </c>
      <c r="E61" s="24" t="s">
        <v>110</v>
      </c>
      <c r="F61" s="24" t="str">
        <f t="shared" si="0"/>
        <v>rtdc.l.rtdc.4030:itc</v>
      </c>
      <c r="G61" s="8">
        <f t="shared" si="1"/>
        <v>42586.346574074072</v>
      </c>
    </row>
    <row r="62" spans="1:7" x14ac:dyDescent="0.25">
      <c r="A62" s="8">
        <v>42586.464305555557</v>
      </c>
      <c r="B62" s="24" t="s">
        <v>188</v>
      </c>
      <c r="C62" s="24" t="s">
        <v>458</v>
      </c>
      <c r="D62" s="24">
        <v>1110000</v>
      </c>
      <c r="E62" s="24" t="s">
        <v>116</v>
      </c>
      <c r="F62" s="24" t="str">
        <f t="shared" si="0"/>
        <v>rtdc.l.rtdc.4037:itc</v>
      </c>
      <c r="G62" s="8">
        <f t="shared" si="1"/>
        <v>42586.464305555557</v>
      </c>
    </row>
    <row r="63" spans="1:7" x14ac:dyDescent="0.25">
      <c r="A63" s="8">
        <v>42586.336365740739</v>
      </c>
      <c r="B63" s="24" t="s">
        <v>105</v>
      </c>
      <c r="C63" s="24" t="s">
        <v>439</v>
      </c>
      <c r="D63" s="24">
        <v>930000</v>
      </c>
      <c r="E63" s="24" t="s">
        <v>373</v>
      </c>
      <c r="F63" s="24" t="str">
        <f t="shared" si="0"/>
        <v>rtdc.l.rtdc.4028:itc</v>
      </c>
      <c r="G63" s="8">
        <f t="shared" si="1"/>
        <v>42586.336365740739</v>
      </c>
    </row>
    <row r="64" spans="1:7" x14ac:dyDescent="0.25">
      <c r="A64" s="30">
        <v>42586.466643518521</v>
      </c>
      <c r="B64" s="24" t="s">
        <v>162</v>
      </c>
      <c r="C64" s="24" t="s">
        <v>461</v>
      </c>
      <c r="D64" s="24">
        <v>1830000</v>
      </c>
      <c r="E64" s="24" t="s">
        <v>292</v>
      </c>
      <c r="F64" s="24" t="str">
        <f t="shared" si="0"/>
        <v>rtdc.l.rtdc.4032:itc</v>
      </c>
      <c r="G64" s="8">
        <f t="shared" si="1"/>
        <v>42586.466643518521</v>
      </c>
    </row>
    <row r="65" spans="1:7" x14ac:dyDescent="0.25">
      <c r="A65" s="8">
        <v>42586.329861111109</v>
      </c>
      <c r="B65" s="24" t="s">
        <v>113</v>
      </c>
      <c r="C65" s="24" t="s">
        <v>444</v>
      </c>
      <c r="D65" s="24">
        <v>1760000</v>
      </c>
      <c r="E65" s="24" t="s">
        <v>325</v>
      </c>
      <c r="F65" s="24" t="str">
        <f t="shared" si="0"/>
        <v>rtdc.l.rtdc.4007:itc</v>
      </c>
      <c r="G65" s="8">
        <f t="shared" si="1"/>
        <v>42586.329861111109</v>
      </c>
    </row>
    <row r="66" spans="1:7" x14ac:dyDescent="0.25">
      <c r="A66" s="8">
        <v>42586.588912037034</v>
      </c>
      <c r="B66" s="24" t="s">
        <v>102</v>
      </c>
      <c r="C66" s="24" t="s">
        <v>420</v>
      </c>
      <c r="D66" s="24">
        <v>1810000</v>
      </c>
      <c r="E66" s="24" t="s">
        <v>166</v>
      </c>
      <c r="F66" s="24" t="str">
        <f t="shared" ref="F66:F129" si="2">B66</f>
        <v>rtdc.l.rtdc.4026:itc</v>
      </c>
      <c r="G66" s="8">
        <f t="shared" ref="G66:G129" si="3">A66</f>
        <v>42586.588912037034</v>
      </c>
    </row>
    <row r="67" spans="1:7" x14ac:dyDescent="0.25">
      <c r="A67" s="8">
        <v>42586.323425925926</v>
      </c>
      <c r="B67" s="24" t="s">
        <v>162</v>
      </c>
      <c r="C67" s="24" t="s">
        <v>437</v>
      </c>
      <c r="D67" s="24">
        <v>2010000</v>
      </c>
      <c r="E67" s="24" t="s">
        <v>274</v>
      </c>
      <c r="F67" s="24" t="str">
        <f t="shared" si="2"/>
        <v>rtdc.l.rtdc.4032:itc</v>
      </c>
      <c r="G67" s="8">
        <f t="shared" si="3"/>
        <v>42586.323425925926</v>
      </c>
    </row>
    <row r="68" spans="1:7" x14ac:dyDescent="0.25">
      <c r="A68" s="8">
        <v>42586.799849537034</v>
      </c>
      <c r="B68" s="24" t="s">
        <v>68</v>
      </c>
      <c r="C68" s="24" t="s">
        <v>575</v>
      </c>
      <c r="D68" s="24">
        <v>2030000</v>
      </c>
      <c r="E68" s="24" t="s">
        <v>365</v>
      </c>
      <c r="F68" s="24" t="str">
        <f t="shared" si="2"/>
        <v>rtdc.l.rtdc.4018:itc</v>
      </c>
      <c r="G68" s="8">
        <f t="shared" si="3"/>
        <v>42586.799849537034</v>
      </c>
    </row>
    <row r="69" spans="1:7" x14ac:dyDescent="0.25">
      <c r="A69" s="8">
        <v>42586.307986111111</v>
      </c>
      <c r="B69" s="24" t="s">
        <v>102</v>
      </c>
      <c r="C69" s="24" t="s">
        <v>402</v>
      </c>
      <c r="D69" s="24">
        <v>1360000</v>
      </c>
      <c r="E69" s="24" t="s">
        <v>272</v>
      </c>
      <c r="F69" s="24" t="str">
        <f t="shared" si="2"/>
        <v>rtdc.l.rtdc.4026:itc</v>
      </c>
      <c r="G69" s="8">
        <f t="shared" si="3"/>
        <v>42586.307986111111</v>
      </c>
    </row>
    <row r="70" spans="1:7" x14ac:dyDescent="0.25">
      <c r="A70" s="8">
        <v>42586.81832175926</v>
      </c>
      <c r="B70" s="24" t="s">
        <v>69</v>
      </c>
      <c r="C70" s="24" t="s">
        <v>432</v>
      </c>
      <c r="D70" s="24">
        <v>2030000</v>
      </c>
      <c r="E70" s="24" t="s">
        <v>365</v>
      </c>
      <c r="F70" s="24" t="str">
        <f t="shared" si="2"/>
        <v>rtdc.l.rtdc.4017:itc</v>
      </c>
      <c r="G70" s="8">
        <f t="shared" si="3"/>
        <v>42586.81832175926</v>
      </c>
    </row>
    <row r="71" spans="1:7" x14ac:dyDescent="0.25">
      <c r="A71" s="8">
        <v>42586.287534722222</v>
      </c>
      <c r="B71" s="24" t="s">
        <v>151</v>
      </c>
      <c r="C71" s="24" t="s">
        <v>370</v>
      </c>
      <c r="D71" s="24">
        <v>1310000</v>
      </c>
      <c r="E71" s="24" t="s">
        <v>371</v>
      </c>
      <c r="F71" s="24" t="str">
        <f t="shared" si="2"/>
        <v>rtdc.l.rtdc.4012:itc</v>
      </c>
      <c r="G71" s="8">
        <f t="shared" si="3"/>
        <v>42586.287534722222</v>
      </c>
    </row>
    <row r="72" spans="1:7" x14ac:dyDescent="0.25">
      <c r="A72" s="8">
        <v>42586.838773148149</v>
      </c>
      <c r="B72" s="24" t="s">
        <v>68</v>
      </c>
      <c r="C72" s="24" t="s">
        <v>576</v>
      </c>
      <c r="D72" s="24">
        <v>2030000</v>
      </c>
      <c r="E72" s="24" t="s">
        <v>365</v>
      </c>
      <c r="F72" s="24" t="str">
        <f t="shared" si="2"/>
        <v>rtdc.l.rtdc.4018:itc</v>
      </c>
      <c r="G72" s="8">
        <f t="shared" si="3"/>
        <v>42586.838773148149</v>
      </c>
    </row>
    <row r="73" spans="1:7" x14ac:dyDescent="0.25">
      <c r="A73" s="8">
        <v>42586.286423611113</v>
      </c>
      <c r="B73" s="24" t="s">
        <v>151</v>
      </c>
      <c r="C73" s="24" t="s">
        <v>370</v>
      </c>
      <c r="D73" s="24">
        <v>1310000</v>
      </c>
      <c r="E73" s="24" t="s">
        <v>371</v>
      </c>
      <c r="F73" s="24" t="str">
        <f t="shared" si="2"/>
        <v>rtdc.l.rtdc.4012:itc</v>
      </c>
      <c r="G73" s="8">
        <f t="shared" si="3"/>
        <v>42586.286423611113</v>
      </c>
    </row>
    <row r="74" spans="1:7" x14ac:dyDescent="0.25">
      <c r="A74" s="8">
        <v>42587.169965277775</v>
      </c>
      <c r="B74" s="24" t="s">
        <v>141</v>
      </c>
      <c r="C74" s="24" t="s">
        <v>592</v>
      </c>
      <c r="D74" s="24">
        <v>1990000</v>
      </c>
      <c r="E74" s="24" t="s">
        <v>192</v>
      </c>
      <c r="F74" s="24" t="str">
        <f t="shared" si="2"/>
        <v>rtdc.l.rtdc.4009:itc</v>
      </c>
      <c r="G74" s="8">
        <f t="shared" si="3"/>
        <v>42587.169965277775</v>
      </c>
    </row>
    <row r="75" spans="1:7" x14ac:dyDescent="0.25">
      <c r="A75" s="8">
        <v>42586.278657407405</v>
      </c>
      <c r="B75" s="24" t="s">
        <v>107</v>
      </c>
      <c r="C75" s="24" t="s">
        <v>369</v>
      </c>
      <c r="D75" s="24">
        <v>1090000</v>
      </c>
      <c r="E75" s="24" t="s">
        <v>110</v>
      </c>
      <c r="F75" s="24" t="str">
        <f t="shared" si="2"/>
        <v>rtdc.l.rtdc.4030:itc</v>
      </c>
      <c r="G75" s="8">
        <f t="shared" si="3"/>
        <v>42586.278657407405</v>
      </c>
    </row>
    <row r="76" spans="1:7" x14ac:dyDescent="0.25">
      <c r="A76" s="8">
        <v>42587.240439814814</v>
      </c>
      <c r="B76" s="24" t="s">
        <v>68</v>
      </c>
      <c r="C76" s="24" t="s">
        <v>593</v>
      </c>
      <c r="D76" s="24">
        <v>1760000</v>
      </c>
      <c r="E76" s="24" t="s">
        <v>325</v>
      </c>
      <c r="F76" s="24" t="str">
        <f t="shared" si="2"/>
        <v>rtdc.l.rtdc.4018:itc</v>
      </c>
      <c r="G76" s="8">
        <f t="shared" si="3"/>
        <v>42587.240439814814</v>
      </c>
    </row>
    <row r="77" spans="1:7" x14ac:dyDescent="0.25">
      <c r="A77" s="8">
        <v>42586.267581018517</v>
      </c>
      <c r="B77" s="24" t="s">
        <v>104</v>
      </c>
      <c r="C77" s="24" t="s">
        <v>368</v>
      </c>
      <c r="D77" s="24">
        <v>1360000</v>
      </c>
      <c r="E77" s="24" t="s">
        <v>272</v>
      </c>
      <c r="F77" s="24" t="str">
        <f t="shared" si="2"/>
        <v>rtdc.l.rtdc.4025:itc</v>
      </c>
      <c r="G77" s="8">
        <f t="shared" si="3"/>
        <v>42586.267581018517</v>
      </c>
    </row>
    <row r="78" spans="1:7" x14ac:dyDescent="0.25">
      <c r="A78" s="8">
        <v>42587.288206018522</v>
      </c>
      <c r="B78" s="24" t="s">
        <v>66</v>
      </c>
      <c r="C78" s="24" t="s">
        <v>594</v>
      </c>
      <c r="D78" s="24">
        <v>1310000</v>
      </c>
      <c r="E78" s="24" t="s">
        <v>371</v>
      </c>
      <c r="F78" s="24" t="str">
        <f t="shared" si="2"/>
        <v>rtdc.l.rtdc.4019:itc</v>
      </c>
      <c r="G78" s="8">
        <f t="shared" si="3"/>
        <v>42587.288206018522</v>
      </c>
    </row>
    <row r="79" spans="1:7" x14ac:dyDescent="0.25">
      <c r="A79" s="8">
        <v>42586.264907407407</v>
      </c>
      <c r="B79" s="24" t="s">
        <v>68</v>
      </c>
      <c r="C79" s="24" t="s">
        <v>367</v>
      </c>
      <c r="D79" s="24">
        <v>2100000</v>
      </c>
      <c r="E79" s="24" t="s">
        <v>314</v>
      </c>
      <c r="F79" s="24" t="str">
        <f t="shared" si="2"/>
        <v>rtdc.l.rtdc.4018:itc</v>
      </c>
      <c r="G79" s="8">
        <f t="shared" si="3"/>
        <v>42586.264907407407</v>
      </c>
    </row>
    <row r="80" spans="1:7" x14ac:dyDescent="0.25">
      <c r="A80" s="8">
        <v>42587.291527777779</v>
      </c>
      <c r="B80" s="24" t="s">
        <v>133</v>
      </c>
      <c r="C80" s="24" t="s">
        <v>595</v>
      </c>
      <c r="D80" s="24">
        <v>1830000</v>
      </c>
      <c r="E80" s="24" t="s">
        <v>292</v>
      </c>
      <c r="F80" s="24" t="str">
        <f t="shared" si="2"/>
        <v>rtdc.l.rtdc.4016:itc</v>
      </c>
      <c r="G80" s="8">
        <f t="shared" si="3"/>
        <v>42587.291527777779</v>
      </c>
    </row>
    <row r="81" spans="1:7" x14ac:dyDescent="0.25">
      <c r="A81" s="8">
        <v>42586.216168981482</v>
      </c>
      <c r="B81" s="24" t="s">
        <v>161</v>
      </c>
      <c r="C81" s="24" t="s">
        <v>366</v>
      </c>
      <c r="D81" s="24">
        <v>2010000</v>
      </c>
      <c r="E81" s="24" t="s">
        <v>274</v>
      </c>
      <c r="F81" s="24" t="str">
        <f t="shared" si="2"/>
        <v>rtdc.l.rtdc.4031:itc</v>
      </c>
      <c r="G81" s="8">
        <f t="shared" si="3"/>
        <v>42586.216168981482</v>
      </c>
    </row>
    <row r="82" spans="1:7" x14ac:dyDescent="0.25">
      <c r="A82" s="8">
        <v>42587.344224537039</v>
      </c>
      <c r="B82" s="24" t="s">
        <v>133</v>
      </c>
      <c r="C82" s="24" t="s">
        <v>596</v>
      </c>
      <c r="D82" s="24">
        <v>1830000</v>
      </c>
      <c r="E82" s="24" t="s">
        <v>292</v>
      </c>
      <c r="F82" s="24" t="str">
        <f t="shared" si="2"/>
        <v>rtdc.l.rtdc.4016:itc</v>
      </c>
      <c r="G82" s="8">
        <f t="shared" si="3"/>
        <v>42587.344224537039</v>
      </c>
    </row>
    <row r="83" spans="1:7" x14ac:dyDescent="0.25">
      <c r="A83" s="8">
        <v>42586.169305555559</v>
      </c>
      <c r="B83" s="24" t="s">
        <v>111</v>
      </c>
      <c r="C83" s="24" t="s">
        <v>364</v>
      </c>
      <c r="D83" s="24">
        <v>1760000</v>
      </c>
      <c r="E83" s="24" t="s">
        <v>325</v>
      </c>
      <c r="F83" s="24" t="str">
        <f t="shared" si="2"/>
        <v>rtdc.l.rtdc.4008:itc</v>
      </c>
      <c r="G83" s="8">
        <f t="shared" si="3"/>
        <v>42586.169305555559</v>
      </c>
    </row>
    <row r="84" spans="1:7" x14ac:dyDescent="0.25">
      <c r="A84" s="8">
        <v>42586.5075</v>
      </c>
      <c r="B84" s="24" t="s">
        <v>161</v>
      </c>
      <c r="C84" s="24" t="s">
        <v>474</v>
      </c>
      <c r="D84" s="24">
        <v>910000</v>
      </c>
      <c r="E84" s="24" t="s">
        <v>597</v>
      </c>
      <c r="F84" s="24" t="str">
        <f t="shared" si="2"/>
        <v>rtdc.l.rtdc.4031:itc</v>
      </c>
      <c r="G84" s="8">
        <f t="shared" si="3"/>
        <v>42586.5075</v>
      </c>
    </row>
    <row r="85" spans="1:7" x14ac:dyDescent="0.25">
      <c r="A85" s="8">
        <v>42586.057812500003</v>
      </c>
      <c r="B85" s="24" t="s">
        <v>317</v>
      </c>
      <c r="C85" s="24" t="s">
        <v>353</v>
      </c>
      <c r="D85" s="24">
        <v>1290000</v>
      </c>
      <c r="E85" s="24" t="s">
        <v>148</v>
      </c>
      <c r="F85" s="24" t="str">
        <f t="shared" si="2"/>
        <v>rtdc.l.rtdc.4039:itc</v>
      </c>
      <c r="G85" s="8">
        <f t="shared" si="3"/>
        <v>42586.057812500003</v>
      </c>
    </row>
    <row r="86" spans="1:7" x14ac:dyDescent="0.25">
      <c r="A86" s="8">
        <v>42586.768263888887</v>
      </c>
      <c r="B86" s="24" t="s">
        <v>113</v>
      </c>
      <c r="C86" s="24" t="s">
        <v>518</v>
      </c>
      <c r="D86" s="24">
        <v>1480000</v>
      </c>
      <c r="E86" s="24" t="s">
        <v>101</v>
      </c>
      <c r="F86" s="24" t="str">
        <f t="shared" si="2"/>
        <v>rtdc.l.rtdc.4007:itc</v>
      </c>
      <c r="G86" s="8">
        <f t="shared" si="3"/>
        <v>42586.768263888887</v>
      </c>
    </row>
    <row r="87" spans="1:7" x14ac:dyDescent="0.25">
      <c r="A87" s="8">
        <v>42586.028287037036</v>
      </c>
      <c r="B87" s="24" t="s">
        <v>104</v>
      </c>
      <c r="C87" s="24" t="s">
        <v>354</v>
      </c>
      <c r="D87" s="24">
        <v>1480000</v>
      </c>
      <c r="E87" s="24" t="s">
        <v>101</v>
      </c>
      <c r="F87" s="24" t="str">
        <f t="shared" si="2"/>
        <v>rtdc.l.rtdc.4025:itc</v>
      </c>
      <c r="G87" s="8">
        <f t="shared" si="3"/>
        <v>42586.028287037036</v>
      </c>
    </row>
    <row r="88" spans="1:7" x14ac:dyDescent="0.25">
      <c r="A88" s="8">
        <v>42586.944872685184</v>
      </c>
      <c r="B88" s="24" t="s">
        <v>69</v>
      </c>
      <c r="C88" s="24" t="s">
        <v>580</v>
      </c>
      <c r="D88" s="24">
        <v>2000000</v>
      </c>
      <c r="E88" s="24" t="s">
        <v>305</v>
      </c>
      <c r="F88" s="24" t="str">
        <f t="shared" si="2"/>
        <v>rtdc.l.rtdc.4017:itc</v>
      </c>
      <c r="G88" s="8">
        <f t="shared" si="3"/>
        <v>42586.944872685184</v>
      </c>
    </row>
    <row r="89" spans="1:7" x14ac:dyDescent="0.25">
      <c r="A89" s="8">
        <v>42585.988067129627</v>
      </c>
      <c r="B89" s="24" t="s">
        <v>315</v>
      </c>
      <c r="C89" s="24" t="s">
        <v>350</v>
      </c>
      <c r="D89" s="24">
        <v>1300000</v>
      </c>
      <c r="E89" s="24" t="s">
        <v>145</v>
      </c>
      <c r="F89" s="24" t="str">
        <f t="shared" si="2"/>
        <v>rtdc.l.rtdc.4044:itc</v>
      </c>
      <c r="G89" s="8">
        <f t="shared" si="3"/>
        <v>42585.988067129627</v>
      </c>
    </row>
    <row r="90" spans="1:7" x14ac:dyDescent="0.25">
      <c r="A90" s="8">
        <v>42587.01662037037</v>
      </c>
      <c r="B90" s="24" t="s">
        <v>113</v>
      </c>
      <c r="C90" s="24" t="s">
        <v>542</v>
      </c>
      <c r="D90" s="24">
        <v>1480000</v>
      </c>
      <c r="E90" s="24" t="s">
        <v>101</v>
      </c>
      <c r="F90" s="24" t="str">
        <f t="shared" si="2"/>
        <v>rtdc.l.rtdc.4007:itc</v>
      </c>
      <c r="G90" s="8">
        <f t="shared" si="3"/>
        <v>42587.01662037037</v>
      </c>
    </row>
    <row r="91" spans="1:7" x14ac:dyDescent="0.25">
      <c r="A91" s="8">
        <v>42585.950983796298</v>
      </c>
      <c r="B91" s="24" t="s">
        <v>104</v>
      </c>
      <c r="C91" s="24" t="s">
        <v>345</v>
      </c>
      <c r="D91" s="24">
        <v>1480000</v>
      </c>
      <c r="E91" s="24" t="s">
        <v>101</v>
      </c>
      <c r="F91" s="24" t="str">
        <f t="shared" si="2"/>
        <v>rtdc.l.rtdc.4025:itc</v>
      </c>
      <c r="G91" s="8">
        <f t="shared" si="3"/>
        <v>42585.950983796298</v>
      </c>
    </row>
    <row r="92" spans="1:7" x14ac:dyDescent="0.25">
      <c r="A92" s="8">
        <v>42587.234375</v>
      </c>
      <c r="B92" s="24" t="s">
        <v>106</v>
      </c>
      <c r="C92" s="24" t="s">
        <v>591</v>
      </c>
      <c r="D92" s="24">
        <v>1990000</v>
      </c>
      <c r="E92" s="24" t="s">
        <v>192</v>
      </c>
      <c r="F92" s="24" t="str">
        <f t="shared" si="2"/>
        <v>rtdc.l.rtdc.4029:itc</v>
      </c>
      <c r="G92" s="8">
        <f t="shared" si="3"/>
        <v>42587.234375</v>
      </c>
    </row>
    <row r="93" spans="1:7" x14ac:dyDescent="0.25">
      <c r="A93" s="8">
        <v>42585.945567129631</v>
      </c>
      <c r="B93" s="24" t="s">
        <v>111</v>
      </c>
      <c r="C93" s="24" t="s">
        <v>361</v>
      </c>
      <c r="D93" s="24">
        <v>2140000</v>
      </c>
      <c r="E93" s="24" t="s">
        <v>318</v>
      </c>
      <c r="F93" s="24" t="str">
        <f t="shared" si="2"/>
        <v>rtdc.l.rtdc.4008:itc</v>
      </c>
      <c r="G93" s="8">
        <f t="shared" si="3"/>
        <v>42585.945567129631</v>
      </c>
    </row>
    <row r="94" spans="1:7" x14ac:dyDescent="0.25">
      <c r="A94" s="8">
        <v>42587.301030092596</v>
      </c>
      <c r="B94" s="24" t="s">
        <v>105</v>
      </c>
      <c r="C94" s="24" t="s">
        <v>598</v>
      </c>
      <c r="D94" s="24">
        <v>2100000</v>
      </c>
      <c r="E94" s="24" t="s">
        <v>314</v>
      </c>
      <c r="F94" s="24" t="str">
        <f t="shared" si="2"/>
        <v>rtdc.l.rtdc.4028:itc</v>
      </c>
      <c r="G94" s="8">
        <f t="shared" si="3"/>
        <v>42587.301030092596</v>
      </c>
    </row>
    <row r="95" spans="1:7" x14ac:dyDescent="0.25">
      <c r="A95" s="8">
        <v>42585.930706018517</v>
      </c>
      <c r="B95" s="24" t="s">
        <v>103</v>
      </c>
      <c r="C95" s="24" t="s">
        <v>341</v>
      </c>
      <c r="D95" s="24">
        <v>2090000</v>
      </c>
      <c r="E95" s="24" t="s">
        <v>313</v>
      </c>
      <c r="F95" s="24" t="str">
        <f t="shared" si="2"/>
        <v>rtdc.l.rtdc.4013:itc</v>
      </c>
      <c r="G95" s="8">
        <f t="shared" si="3"/>
        <v>42585.930706018517</v>
      </c>
    </row>
    <row r="96" spans="1:7" x14ac:dyDescent="0.25">
      <c r="A96" s="8">
        <v>42587.31045138889</v>
      </c>
      <c r="B96" s="24" t="s">
        <v>106</v>
      </c>
      <c r="C96" s="24" t="s">
        <v>599</v>
      </c>
      <c r="D96" s="24">
        <v>1990000</v>
      </c>
      <c r="E96" s="24" t="s">
        <v>192</v>
      </c>
      <c r="F96" s="24" t="str">
        <f t="shared" si="2"/>
        <v>rtdc.l.rtdc.4029:itc</v>
      </c>
      <c r="G96" s="8">
        <f t="shared" si="3"/>
        <v>42587.31045138889</v>
      </c>
    </row>
    <row r="97" spans="1:7" x14ac:dyDescent="0.25">
      <c r="A97" s="8">
        <v>42585.892835648148</v>
      </c>
      <c r="B97" s="24" t="s">
        <v>155</v>
      </c>
      <c r="C97" s="24" t="s">
        <v>340</v>
      </c>
      <c r="D97" s="24">
        <v>2090000</v>
      </c>
      <c r="E97" s="24" t="s">
        <v>313</v>
      </c>
      <c r="F97" s="24" t="str">
        <f t="shared" si="2"/>
        <v>rtdc.l.rtdc.4014:itc</v>
      </c>
      <c r="G97" s="8">
        <f t="shared" si="3"/>
        <v>42585.892835648148</v>
      </c>
    </row>
    <row r="98" spans="1:7" x14ac:dyDescent="0.25">
      <c r="A98" s="8">
        <v>42586.65252314815</v>
      </c>
      <c r="B98" s="24" t="s">
        <v>69</v>
      </c>
      <c r="C98" s="24" t="s">
        <v>565</v>
      </c>
      <c r="D98" s="24">
        <v>2030000</v>
      </c>
      <c r="E98" s="24" t="s">
        <v>365</v>
      </c>
      <c r="F98" s="24" t="str">
        <f t="shared" si="2"/>
        <v>rtdc.l.rtdc.4017:itc</v>
      </c>
      <c r="G98" s="8">
        <f t="shared" si="3"/>
        <v>42586.65252314815</v>
      </c>
    </row>
    <row r="99" spans="1:7" x14ac:dyDescent="0.25">
      <c r="A99" s="8">
        <v>42587.339409722219</v>
      </c>
      <c r="B99" s="24" t="s">
        <v>108</v>
      </c>
      <c r="C99" s="24" t="s">
        <v>600</v>
      </c>
      <c r="D99" s="24">
        <v>2100000</v>
      </c>
      <c r="E99" s="24" t="s">
        <v>314</v>
      </c>
      <c r="F99" s="24" t="str">
        <f t="shared" si="2"/>
        <v>rtdc.l.rtdc.4027:itc</v>
      </c>
      <c r="G99" s="8">
        <f t="shared" si="3"/>
        <v>42587.339409722219</v>
      </c>
    </row>
    <row r="100" spans="1:7" x14ac:dyDescent="0.25">
      <c r="A100" s="8">
        <v>42586.661793981482</v>
      </c>
      <c r="B100" s="24" t="s">
        <v>108</v>
      </c>
      <c r="C100" s="24" t="s">
        <v>501</v>
      </c>
      <c r="D100" s="24">
        <v>2150000</v>
      </c>
      <c r="E100" s="24" t="s">
        <v>291</v>
      </c>
      <c r="F100" s="24" t="str">
        <f t="shared" si="2"/>
        <v>rtdc.l.rtdc.4027:itc</v>
      </c>
      <c r="G100" s="8">
        <f t="shared" si="3"/>
        <v>42586.661793981482</v>
      </c>
    </row>
    <row r="101" spans="1:7" x14ac:dyDescent="0.25">
      <c r="A101" s="8">
        <v>42587.212951388887</v>
      </c>
      <c r="B101" s="24" t="s">
        <v>69</v>
      </c>
      <c r="C101" s="24" t="s">
        <v>601</v>
      </c>
      <c r="D101" s="24">
        <v>1760000</v>
      </c>
      <c r="E101" s="24" t="s">
        <v>325</v>
      </c>
      <c r="F101" s="24" t="str">
        <f t="shared" si="2"/>
        <v>rtdc.l.rtdc.4017:itc</v>
      </c>
      <c r="G101" s="8">
        <f t="shared" si="3"/>
        <v>42587.212951388887</v>
      </c>
    </row>
    <row r="102" spans="1:7" x14ac:dyDescent="0.25">
      <c r="A102" s="8">
        <v>42586.770266203705</v>
      </c>
      <c r="B102" s="24" t="s">
        <v>68</v>
      </c>
      <c r="C102" s="24" t="s">
        <v>573</v>
      </c>
      <c r="D102" s="24">
        <v>2030000</v>
      </c>
      <c r="E102" s="24" t="s">
        <v>365</v>
      </c>
      <c r="F102" s="24" t="str">
        <f t="shared" si="2"/>
        <v>rtdc.l.rtdc.4018:itc</v>
      </c>
      <c r="G102" s="8">
        <f t="shared" si="3"/>
        <v>42586.770266203705</v>
      </c>
    </row>
    <row r="103" spans="1:7" x14ac:dyDescent="0.25">
      <c r="A103" s="8">
        <v>42586.973391203705</v>
      </c>
      <c r="B103" s="24" t="s">
        <v>111</v>
      </c>
      <c r="C103" s="24" t="s">
        <v>535</v>
      </c>
      <c r="D103" s="24">
        <v>1480000</v>
      </c>
      <c r="E103" s="24" t="s">
        <v>101</v>
      </c>
      <c r="F103" s="24" t="str">
        <f t="shared" si="2"/>
        <v>rtdc.l.rtdc.4008:itc</v>
      </c>
      <c r="G103" s="8">
        <f t="shared" si="3"/>
        <v>42586.973391203705</v>
      </c>
    </row>
    <row r="104" spans="1:7" x14ac:dyDescent="0.25">
      <c r="A104" s="8">
        <v>42586.776736111111</v>
      </c>
      <c r="B104" s="24" t="s">
        <v>104</v>
      </c>
      <c r="C104" s="24" t="s">
        <v>544</v>
      </c>
      <c r="D104" s="24">
        <v>1810000</v>
      </c>
      <c r="E104" s="24" t="s">
        <v>166</v>
      </c>
      <c r="F104" s="24" t="str">
        <f t="shared" si="2"/>
        <v>rtdc.l.rtdc.4025:itc</v>
      </c>
      <c r="G104" s="8">
        <f t="shared" si="3"/>
        <v>42586.776736111111</v>
      </c>
    </row>
    <row r="105" spans="1:7" x14ac:dyDescent="0.25">
      <c r="A105" s="8">
        <v>42586.763599537036</v>
      </c>
      <c r="B105" s="24" t="s">
        <v>162</v>
      </c>
      <c r="C105" s="24" t="s">
        <v>513</v>
      </c>
      <c r="D105" s="24">
        <v>1540000</v>
      </c>
      <c r="E105" s="24" t="s">
        <v>172</v>
      </c>
      <c r="F105" s="24" t="str">
        <f t="shared" si="2"/>
        <v>rtdc.l.rtdc.4032:itc</v>
      </c>
      <c r="G105" s="8">
        <f t="shared" si="3"/>
        <v>42586.763599537036</v>
      </c>
    </row>
    <row r="106" spans="1:7" x14ac:dyDescent="0.25">
      <c r="A106" s="8">
        <v>42586.782488425924</v>
      </c>
      <c r="B106" s="24" t="s">
        <v>107</v>
      </c>
      <c r="C106" s="24" t="s">
        <v>431</v>
      </c>
      <c r="D106" s="24">
        <v>2150000</v>
      </c>
      <c r="E106" s="24" t="s">
        <v>291</v>
      </c>
      <c r="F106" s="24" t="str">
        <f t="shared" si="2"/>
        <v>rtdc.l.rtdc.4030:itc</v>
      </c>
      <c r="G106" s="8">
        <f t="shared" si="3"/>
        <v>42586.782488425924</v>
      </c>
    </row>
    <row r="107" spans="1:7" x14ac:dyDescent="0.25">
      <c r="A107" s="8">
        <v>42586.709780092591</v>
      </c>
      <c r="B107" s="24" t="s">
        <v>68</v>
      </c>
      <c r="C107" s="24" t="s">
        <v>426</v>
      </c>
      <c r="D107" s="24">
        <v>2030000</v>
      </c>
      <c r="E107" s="24" t="s">
        <v>365</v>
      </c>
      <c r="F107" s="24" t="str">
        <f t="shared" si="2"/>
        <v>rtdc.l.rtdc.4018:itc</v>
      </c>
      <c r="G107" s="8">
        <f t="shared" si="3"/>
        <v>42586.709780092591</v>
      </c>
    </row>
    <row r="108" spans="1:7" x14ac:dyDescent="0.25">
      <c r="A108" s="8">
        <v>42586.783564814818</v>
      </c>
      <c r="B108" s="24" t="s">
        <v>69</v>
      </c>
      <c r="C108" s="24" t="s">
        <v>429</v>
      </c>
      <c r="D108" s="24">
        <v>2030000</v>
      </c>
      <c r="E108" s="24" t="s">
        <v>365</v>
      </c>
      <c r="F108" s="24" t="str">
        <f t="shared" si="2"/>
        <v>rtdc.l.rtdc.4017:itc</v>
      </c>
      <c r="G108" s="8">
        <f t="shared" si="3"/>
        <v>42586.783564814818</v>
      </c>
    </row>
    <row r="109" spans="1:7" x14ac:dyDescent="0.25">
      <c r="A109" s="8">
        <v>42586.4768287037</v>
      </c>
      <c r="B109" s="24" t="s">
        <v>113</v>
      </c>
      <c r="C109" s="24" t="s">
        <v>466</v>
      </c>
      <c r="D109" s="24">
        <v>2040000</v>
      </c>
      <c r="E109" s="24" t="s">
        <v>362</v>
      </c>
      <c r="F109" s="24" t="str">
        <f t="shared" si="2"/>
        <v>rtdc.l.rtdc.4007:itc</v>
      </c>
      <c r="G109" s="8">
        <f t="shared" si="3"/>
        <v>42586.4768287037</v>
      </c>
    </row>
    <row r="110" spans="1:7" x14ac:dyDescent="0.25">
      <c r="A110" s="8">
        <v>42586.796666666669</v>
      </c>
      <c r="B110" s="24" t="s">
        <v>161</v>
      </c>
      <c r="C110" s="24" t="s">
        <v>546</v>
      </c>
      <c r="D110" s="24">
        <v>1540000</v>
      </c>
      <c r="E110" s="24" t="s">
        <v>172</v>
      </c>
      <c r="F110" s="24" t="str">
        <f t="shared" si="2"/>
        <v>rtdc.l.rtdc.4031:itc</v>
      </c>
      <c r="G110" s="8">
        <f t="shared" si="3"/>
        <v>42586.796666666669</v>
      </c>
    </row>
    <row r="111" spans="1:7" x14ac:dyDescent="0.25">
      <c r="A111" s="8">
        <v>42586.317361111112</v>
      </c>
      <c r="B111" s="24" t="s">
        <v>66</v>
      </c>
      <c r="C111" s="24" t="s">
        <v>403</v>
      </c>
      <c r="D111" s="24">
        <v>1110000</v>
      </c>
      <c r="E111" s="24" t="s">
        <v>116</v>
      </c>
      <c r="F111" s="24" t="str">
        <f t="shared" si="2"/>
        <v>rtdc.l.rtdc.4019:itc</v>
      </c>
      <c r="G111" s="8">
        <f t="shared" si="3"/>
        <v>42586.317361111112</v>
      </c>
    </row>
    <row r="112" spans="1:7" x14ac:dyDescent="0.25">
      <c r="A112" s="8">
        <v>42586.866620370369</v>
      </c>
      <c r="B112" s="24" t="s">
        <v>151</v>
      </c>
      <c r="C112" s="24" t="s">
        <v>525</v>
      </c>
      <c r="D112" s="24">
        <v>1300000</v>
      </c>
      <c r="E112" s="24" t="s">
        <v>145</v>
      </c>
      <c r="F112" s="24" t="str">
        <f t="shared" si="2"/>
        <v>rtdc.l.rtdc.4012:itc</v>
      </c>
      <c r="G112" s="8">
        <f t="shared" si="3"/>
        <v>42586.866620370369</v>
      </c>
    </row>
    <row r="113" spans="1:7" x14ac:dyDescent="0.25">
      <c r="A113" s="8">
        <v>42587.257789351854</v>
      </c>
      <c r="B113" s="24" t="s">
        <v>100</v>
      </c>
      <c r="C113" s="24" t="s">
        <v>602</v>
      </c>
      <c r="D113" s="24">
        <v>1240000</v>
      </c>
      <c r="E113" s="24" t="s">
        <v>112</v>
      </c>
      <c r="F113" s="24" t="str">
        <f t="shared" si="2"/>
        <v>rtdc.l.rtdc.4038:itc</v>
      </c>
      <c r="G113" s="8">
        <f t="shared" si="3"/>
        <v>42587.257789351854</v>
      </c>
    </row>
    <row r="114" spans="1:7" x14ac:dyDescent="0.25">
      <c r="A114" s="8">
        <v>42587.198796296296</v>
      </c>
      <c r="B114" s="24" t="s">
        <v>68</v>
      </c>
      <c r="C114" s="24" t="s">
        <v>603</v>
      </c>
      <c r="D114" s="24">
        <v>1760000</v>
      </c>
      <c r="E114" s="24" t="s">
        <v>325</v>
      </c>
      <c r="F114" s="24" t="str">
        <f t="shared" si="2"/>
        <v>rtdc.l.rtdc.4018:itc</v>
      </c>
      <c r="G114" s="8">
        <f t="shared" si="3"/>
        <v>42587.198796296296</v>
      </c>
    </row>
    <row r="115" spans="1:7" x14ac:dyDescent="0.25">
      <c r="A115" s="8">
        <v>42587.210219907407</v>
      </c>
      <c r="B115" s="24" t="s">
        <v>315</v>
      </c>
      <c r="C115" s="24" t="s">
        <v>604</v>
      </c>
      <c r="D115" s="24">
        <v>1360000</v>
      </c>
      <c r="E115" s="24" t="s">
        <v>272</v>
      </c>
      <c r="F115" s="24" t="str">
        <f t="shared" si="2"/>
        <v>rtdc.l.rtdc.4044:itc</v>
      </c>
      <c r="G115" s="8">
        <f t="shared" si="3"/>
        <v>42587.210219907407</v>
      </c>
    </row>
    <row r="116" spans="1:7" x14ac:dyDescent="0.25">
      <c r="A116" s="8">
        <v>42587.322256944448</v>
      </c>
      <c r="B116" s="24" t="s">
        <v>102</v>
      </c>
      <c r="C116" s="24" t="s">
        <v>605</v>
      </c>
      <c r="D116" s="24">
        <v>2010000</v>
      </c>
      <c r="E116" s="24" t="s">
        <v>274</v>
      </c>
      <c r="F116" s="24" t="str">
        <f t="shared" si="2"/>
        <v>rtdc.l.rtdc.4026:itc</v>
      </c>
      <c r="G116" s="8">
        <f t="shared" si="3"/>
        <v>42587.322256944448</v>
      </c>
    </row>
    <row r="117" spans="1:7" x14ac:dyDescent="0.25">
      <c r="A117" s="8">
        <v>42587.028252314813</v>
      </c>
      <c r="B117" s="24" t="s">
        <v>100</v>
      </c>
      <c r="C117" s="24" t="s">
        <v>548</v>
      </c>
      <c r="D117" s="24">
        <v>2140000</v>
      </c>
      <c r="E117" s="24" t="s">
        <v>318</v>
      </c>
      <c r="F117" s="24" t="str">
        <f t="shared" si="2"/>
        <v>rtdc.l.rtdc.4038:itc</v>
      </c>
      <c r="G117" s="8">
        <f t="shared" si="3"/>
        <v>42587.028252314813</v>
      </c>
    </row>
    <row r="118" spans="1:7" x14ac:dyDescent="0.25">
      <c r="A118" s="8">
        <v>42587.322222222225</v>
      </c>
      <c r="B118" s="24" t="s">
        <v>67</v>
      </c>
      <c r="C118" s="24" t="s">
        <v>606</v>
      </c>
      <c r="D118" s="24">
        <v>1310000</v>
      </c>
      <c r="E118" s="24" t="s">
        <v>371</v>
      </c>
      <c r="F118" s="24" t="str">
        <f t="shared" si="2"/>
        <v>rtdc.l.rtdc.4020:itc</v>
      </c>
      <c r="G118" s="8">
        <f t="shared" si="3"/>
        <v>42587.322222222225</v>
      </c>
    </row>
    <row r="119" spans="1:7" x14ac:dyDescent="0.25">
      <c r="A119" s="8">
        <v>42586.817083333335</v>
      </c>
      <c r="B119" s="24" t="s">
        <v>106</v>
      </c>
      <c r="C119" s="24" t="s">
        <v>547</v>
      </c>
      <c r="D119" s="24">
        <v>2150000</v>
      </c>
      <c r="E119" s="24" t="s">
        <v>291</v>
      </c>
      <c r="F119" s="24" t="str">
        <f t="shared" si="2"/>
        <v>rtdc.l.rtdc.4029:itc</v>
      </c>
      <c r="G119" s="8">
        <f t="shared" si="3"/>
        <v>42586.817083333335</v>
      </c>
    </row>
    <row r="120" spans="1:7" x14ac:dyDescent="0.25">
      <c r="A120" s="8">
        <v>42586.590891203705</v>
      </c>
      <c r="B120" s="24" t="s">
        <v>108</v>
      </c>
      <c r="C120" s="24" t="s">
        <v>487</v>
      </c>
      <c r="D120" s="24">
        <v>2150000</v>
      </c>
      <c r="E120" s="24" t="s">
        <v>291</v>
      </c>
      <c r="F120" s="24" t="str">
        <f t="shared" si="2"/>
        <v>rtdc.l.rtdc.4027:itc</v>
      </c>
      <c r="G120" s="8">
        <f t="shared" si="3"/>
        <v>42586.590891203705</v>
      </c>
    </row>
    <row r="121" spans="1:7" x14ac:dyDescent="0.25">
      <c r="A121" s="8">
        <v>42586.781921296293</v>
      </c>
      <c r="B121" s="24" t="s">
        <v>75</v>
      </c>
      <c r="C121" s="24" t="s">
        <v>574</v>
      </c>
      <c r="D121" s="24">
        <v>2090000</v>
      </c>
      <c r="E121" s="24" t="s">
        <v>313</v>
      </c>
      <c r="F121" s="24" t="str">
        <f t="shared" si="2"/>
        <v>rtdc.l.rtdc.4042:itc</v>
      </c>
      <c r="G121" s="8">
        <f t="shared" si="3"/>
        <v>42586.781921296293</v>
      </c>
    </row>
    <row r="122" spans="1:7" x14ac:dyDescent="0.25">
      <c r="A122" s="8">
        <v>42586.609166666669</v>
      </c>
      <c r="B122" s="29" t="s">
        <v>188</v>
      </c>
      <c r="C122" s="24" t="s">
        <v>484</v>
      </c>
      <c r="D122" s="24">
        <v>1540000</v>
      </c>
      <c r="E122" s="24" t="s">
        <v>172</v>
      </c>
      <c r="F122" s="24" t="str">
        <f t="shared" si="2"/>
        <v>rtdc.l.rtdc.4037:itc</v>
      </c>
      <c r="G122" s="8">
        <f t="shared" si="3"/>
        <v>42586.609166666669</v>
      </c>
    </row>
    <row r="123" spans="1:7" x14ac:dyDescent="0.25">
      <c r="A123" s="8">
        <v>42586.588935185187</v>
      </c>
      <c r="B123" s="24" t="s">
        <v>111</v>
      </c>
      <c r="C123" s="24" t="s">
        <v>481</v>
      </c>
      <c r="D123" s="24">
        <v>2040000</v>
      </c>
      <c r="E123" s="24" t="s">
        <v>362</v>
      </c>
      <c r="F123" s="24" t="str">
        <f t="shared" si="2"/>
        <v>rtdc.l.rtdc.4008:itc</v>
      </c>
      <c r="G123" s="8">
        <f t="shared" si="3"/>
        <v>42586.588935185187</v>
      </c>
    </row>
    <row r="124" spans="1:7" x14ac:dyDescent="0.25">
      <c r="A124" s="8">
        <v>42586.711539351854</v>
      </c>
      <c r="B124" s="24" t="s">
        <v>107</v>
      </c>
      <c r="C124" s="24" t="s">
        <v>505</v>
      </c>
      <c r="D124" s="24">
        <v>2110000</v>
      </c>
      <c r="E124" s="24" t="s">
        <v>316</v>
      </c>
      <c r="F124" s="24" t="str">
        <f t="shared" si="2"/>
        <v>rtdc.l.rtdc.4030:itc</v>
      </c>
      <c r="G124" s="8">
        <f t="shared" si="3"/>
        <v>42586.711539351854</v>
      </c>
    </row>
    <row r="125" spans="1:7" x14ac:dyDescent="0.25">
      <c r="A125" s="8">
        <v>42586.565844907411</v>
      </c>
      <c r="B125" s="24" t="s">
        <v>107</v>
      </c>
      <c r="C125" s="24" t="s">
        <v>478</v>
      </c>
      <c r="D125" s="24">
        <v>2110000</v>
      </c>
      <c r="E125" s="24" t="s">
        <v>316</v>
      </c>
      <c r="F125" s="24" t="str">
        <f t="shared" si="2"/>
        <v>rtdc.l.rtdc.4030:itc</v>
      </c>
      <c r="G125" s="8">
        <f t="shared" si="3"/>
        <v>42586.565844907411</v>
      </c>
    </row>
    <row r="126" spans="1:7" x14ac:dyDescent="0.25">
      <c r="A126" s="8">
        <v>42587.090451388889</v>
      </c>
      <c r="B126" s="24" t="s">
        <v>113</v>
      </c>
      <c r="C126" s="24" t="s">
        <v>550</v>
      </c>
      <c r="D126" s="24">
        <v>1480000</v>
      </c>
      <c r="E126" s="24" t="s">
        <v>101</v>
      </c>
      <c r="F126" s="24" t="str">
        <f t="shared" si="2"/>
        <v>rtdc.l.rtdc.4007:itc</v>
      </c>
      <c r="G126" s="8">
        <f t="shared" si="3"/>
        <v>42587.090451388889</v>
      </c>
    </row>
    <row r="127" spans="1:7" x14ac:dyDescent="0.25">
      <c r="A127" s="8">
        <v>42586.302129629628</v>
      </c>
      <c r="B127" s="24" t="s">
        <v>108</v>
      </c>
      <c r="C127" s="24" t="s">
        <v>372</v>
      </c>
      <c r="D127" s="24">
        <v>930000</v>
      </c>
      <c r="E127" s="24" t="s">
        <v>373</v>
      </c>
      <c r="F127" s="24" t="str">
        <f t="shared" si="2"/>
        <v>rtdc.l.rtdc.4027:itc</v>
      </c>
      <c r="G127" s="8">
        <f t="shared" si="3"/>
        <v>42586.302129629628</v>
      </c>
    </row>
    <row r="128" spans="1:7" x14ac:dyDescent="0.25">
      <c r="A128" s="8">
        <v>42587.105567129627</v>
      </c>
      <c r="B128" s="24" t="s">
        <v>607</v>
      </c>
      <c r="C128" s="24" t="s">
        <v>608</v>
      </c>
      <c r="D128" s="24">
        <v>1410000</v>
      </c>
      <c r="E128" s="24" t="s">
        <v>609</v>
      </c>
      <c r="F128" s="24" t="str">
        <f t="shared" si="2"/>
        <v>rtdc.l.rtdc.4006:itc</v>
      </c>
      <c r="G128" s="8">
        <f t="shared" si="3"/>
        <v>42587.105567129627</v>
      </c>
    </row>
    <row r="129" spans="1:7" x14ac:dyDescent="0.25">
      <c r="A129" s="8">
        <v>42587.235069444447</v>
      </c>
      <c r="B129" s="24" t="s">
        <v>105</v>
      </c>
      <c r="C129" s="24" t="s">
        <v>610</v>
      </c>
      <c r="D129" s="24">
        <v>2100000</v>
      </c>
      <c r="E129" s="24" t="s">
        <v>314</v>
      </c>
      <c r="F129" s="24" t="str">
        <f t="shared" si="2"/>
        <v>rtdc.l.rtdc.4028:itc</v>
      </c>
      <c r="G129" s="8">
        <f t="shared" si="3"/>
        <v>42587.235069444447</v>
      </c>
    </row>
    <row r="130" spans="1:7" x14ac:dyDescent="0.25">
      <c r="A130" s="8">
        <v>42587.171805555554</v>
      </c>
      <c r="B130" s="24" t="s">
        <v>102</v>
      </c>
      <c r="C130" s="24" t="s">
        <v>611</v>
      </c>
      <c r="D130" s="24">
        <v>2010000</v>
      </c>
      <c r="E130" s="24" t="s">
        <v>274</v>
      </c>
      <c r="F130" s="24" t="str">
        <f t="shared" ref="F130:F193" si="4">B130</f>
        <v>rtdc.l.rtdc.4026:itc</v>
      </c>
      <c r="G130" s="8">
        <f t="shared" ref="G130:G193" si="5">A130</f>
        <v>42587.171805555554</v>
      </c>
    </row>
    <row r="131" spans="1:7" x14ac:dyDescent="0.25">
      <c r="A131" s="8">
        <v>42587.195439814815</v>
      </c>
      <c r="B131" s="24" t="s">
        <v>107</v>
      </c>
      <c r="C131" s="24" t="s">
        <v>612</v>
      </c>
      <c r="D131" s="24">
        <v>1990000</v>
      </c>
      <c r="E131" s="24" t="s">
        <v>192</v>
      </c>
      <c r="F131" s="24" t="str">
        <f t="shared" si="4"/>
        <v>rtdc.l.rtdc.4030:itc</v>
      </c>
      <c r="G131" s="8">
        <f t="shared" si="5"/>
        <v>42587.195439814815</v>
      </c>
    </row>
    <row r="132" spans="1:7" x14ac:dyDescent="0.25">
      <c r="A132" s="8">
        <v>42587.317418981482</v>
      </c>
      <c r="B132" s="24" t="s">
        <v>132</v>
      </c>
      <c r="C132" s="24" t="s">
        <v>613</v>
      </c>
      <c r="D132" s="24">
        <v>1830000</v>
      </c>
      <c r="E132" s="24" t="s">
        <v>292</v>
      </c>
      <c r="F132" s="24" t="str">
        <f t="shared" si="4"/>
        <v>rtdc.l.rtdc.4015:itc</v>
      </c>
      <c r="G132" s="8">
        <f t="shared" si="5"/>
        <v>42587.317418981482</v>
      </c>
    </row>
    <row r="133" spans="1:7" x14ac:dyDescent="0.25">
      <c r="A133" s="8">
        <v>42587.184791666667</v>
      </c>
      <c r="B133" s="24" t="s">
        <v>100</v>
      </c>
      <c r="C133" s="24" t="s">
        <v>614</v>
      </c>
      <c r="D133" s="24">
        <v>1240000</v>
      </c>
      <c r="E133" s="24" t="s">
        <v>112</v>
      </c>
      <c r="F133" s="24" t="str">
        <f t="shared" si="4"/>
        <v>rtdc.l.rtdc.4038:itc</v>
      </c>
      <c r="G133" s="8">
        <f t="shared" si="5"/>
        <v>42587.184791666667</v>
      </c>
    </row>
    <row r="134" spans="1:7" x14ac:dyDescent="0.25">
      <c r="A134" s="8">
        <v>42586.676064814812</v>
      </c>
      <c r="B134" s="24" t="s">
        <v>144</v>
      </c>
      <c r="C134" s="24" t="s">
        <v>424</v>
      </c>
      <c r="D134" s="24">
        <v>2090000</v>
      </c>
      <c r="E134" s="24" t="s">
        <v>313</v>
      </c>
      <c r="F134" s="24" t="str">
        <f t="shared" si="4"/>
        <v>rtdc.l.rtdc.4041:itc</v>
      </c>
      <c r="G134" s="8">
        <f t="shared" si="5"/>
        <v>42586.676064814812</v>
      </c>
    </row>
    <row r="135" spans="1:7" x14ac:dyDescent="0.25">
      <c r="A135" s="8">
        <v>42587.033460648148</v>
      </c>
      <c r="B135" s="24" t="s">
        <v>151</v>
      </c>
      <c r="C135" s="24" t="s">
        <v>541</v>
      </c>
      <c r="D135" s="24">
        <v>1300000</v>
      </c>
      <c r="E135" s="24" t="s">
        <v>145</v>
      </c>
      <c r="F135" s="24" t="str">
        <f t="shared" si="4"/>
        <v>rtdc.l.rtdc.4012:itc</v>
      </c>
      <c r="G135" s="8">
        <f t="shared" si="5"/>
        <v>42587.033460648148</v>
      </c>
    </row>
    <row r="136" spans="1:7" x14ac:dyDescent="0.25">
      <c r="A136" s="8">
        <v>42586.72457175926</v>
      </c>
      <c r="B136" s="24" t="s">
        <v>161</v>
      </c>
      <c r="C136" s="24" t="s">
        <v>512</v>
      </c>
      <c r="D136" s="24">
        <v>1540000</v>
      </c>
      <c r="E136" s="24" t="s">
        <v>172</v>
      </c>
      <c r="F136" s="24" t="str">
        <f t="shared" si="4"/>
        <v>rtdc.l.rtdc.4031:itc</v>
      </c>
      <c r="G136" s="8">
        <f t="shared" si="5"/>
        <v>42586.72457175926</v>
      </c>
    </row>
    <row r="137" spans="1:7" x14ac:dyDescent="0.25">
      <c r="A137" s="8">
        <v>42586.669189814813</v>
      </c>
      <c r="B137" s="24" t="s">
        <v>68</v>
      </c>
      <c r="C137" s="24" t="s">
        <v>566</v>
      </c>
      <c r="D137" s="24">
        <v>2030000</v>
      </c>
      <c r="E137" s="24" t="s">
        <v>365</v>
      </c>
      <c r="F137" s="24" t="str">
        <f t="shared" si="4"/>
        <v>rtdc.l.rtdc.4018:itc</v>
      </c>
      <c r="G137" s="8">
        <f t="shared" si="5"/>
        <v>42586.669189814813</v>
      </c>
    </row>
    <row r="138" spans="1:7" x14ac:dyDescent="0.25">
      <c r="A138" s="8">
        <v>42586.844837962963</v>
      </c>
      <c r="B138" s="24" t="s">
        <v>113</v>
      </c>
      <c r="C138" s="24" t="s">
        <v>526</v>
      </c>
      <c r="D138" s="24">
        <v>1480000</v>
      </c>
      <c r="E138" s="24" t="s">
        <v>101</v>
      </c>
      <c r="F138" s="24" t="str">
        <f t="shared" si="4"/>
        <v>rtdc.l.rtdc.4007:itc</v>
      </c>
      <c r="G138" s="8">
        <f t="shared" si="5"/>
        <v>42586.844837962963</v>
      </c>
    </row>
    <row r="139" spans="1:7" x14ac:dyDescent="0.25">
      <c r="A139" s="8">
        <v>42586.659398148149</v>
      </c>
      <c r="B139" s="24" t="s">
        <v>75</v>
      </c>
      <c r="C139" s="24" t="s">
        <v>423</v>
      </c>
      <c r="D139" s="24">
        <v>2090000</v>
      </c>
      <c r="E139" s="24" t="s">
        <v>313</v>
      </c>
      <c r="F139" s="24" t="str">
        <f t="shared" si="4"/>
        <v>rtdc.l.rtdc.4042:itc</v>
      </c>
      <c r="G139" s="8">
        <f t="shared" si="5"/>
        <v>42586.659398148149</v>
      </c>
    </row>
    <row r="140" spans="1:7" x14ac:dyDescent="0.25">
      <c r="A140" s="8">
        <v>42586.894618055558</v>
      </c>
      <c r="B140" s="24" t="s">
        <v>108</v>
      </c>
      <c r="C140" s="24" t="s">
        <v>530</v>
      </c>
      <c r="D140" s="24">
        <v>1290000</v>
      </c>
      <c r="E140" s="24" t="s">
        <v>148</v>
      </c>
      <c r="F140" s="24" t="str">
        <f t="shared" si="4"/>
        <v>rtdc.l.rtdc.4027:itc</v>
      </c>
      <c r="G140" s="8">
        <f t="shared" si="5"/>
        <v>42586.894618055558</v>
      </c>
    </row>
    <row r="141" spans="1:7" x14ac:dyDescent="0.25">
      <c r="A141" s="8">
        <v>42586.542881944442</v>
      </c>
      <c r="B141" s="24" t="s">
        <v>68</v>
      </c>
      <c r="C141" s="24" t="s">
        <v>563</v>
      </c>
      <c r="D141" s="24">
        <v>2030000</v>
      </c>
      <c r="E141" s="24" t="s">
        <v>365</v>
      </c>
      <c r="F141" s="24" t="str">
        <f t="shared" si="4"/>
        <v>rtdc.l.rtdc.4018:itc</v>
      </c>
      <c r="G141" s="8">
        <f t="shared" si="5"/>
        <v>42586.542881944442</v>
      </c>
    </row>
    <row r="142" spans="1:7" x14ac:dyDescent="0.25">
      <c r="A142" s="8">
        <v>42586.907939814817</v>
      </c>
      <c r="B142" s="24" t="s">
        <v>188</v>
      </c>
      <c r="C142" s="24" t="s">
        <v>529</v>
      </c>
      <c r="D142" s="24">
        <v>2140000</v>
      </c>
      <c r="E142" s="24" t="s">
        <v>318</v>
      </c>
      <c r="F142" s="24" t="str">
        <f t="shared" si="4"/>
        <v>rtdc.l.rtdc.4037:itc</v>
      </c>
      <c r="G142" s="8">
        <f t="shared" si="5"/>
        <v>42586.907939814817</v>
      </c>
    </row>
    <row r="143" spans="1:7" x14ac:dyDescent="0.25">
      <c r="A143" s="8">
        <v>42586.491030092591</v>
      </c>
      <c r="B143" s="24" t="s">
        <v>107</v>
      </c>
      <c r="C143" s="24" t="s">
        <v>463</v>
      </c>
      <c r="D143" s="24">
        <v>2110000</v>
      </c>
      <c r="E143" s="24" t="s">
        <v>316</v>
      </c>
      <c r="F143" s="24" t="str">
        <f t="shared" si="4"/>
        <v>rtdc.l.rtdc.4030:itc</v>
      </c>
      <c r="G143" s="8">
        <f t="shared" si="5"/>
        <v>42586.491030092591</v>
      </c>
    </row>
    <row r="144" spans="1:7" x14ac:dyDescent="0.25">
      <c r="A144" s="8">
        <v>42587.248761574076</v>
      </c>
      <c r="B144" s="24" t="s">
        <v>67</v>
      </c>
      <c r="C144" s="24" t="s">
        <v>615</v>
      </c>
      <c r="D144" s="24">
        <v>1310000</v>
      </c>
      <c r="E144" s="24" t="s">
        <v>371</v>
      </c>
      <c r="F144" s="24" t="str">
        <f t="shared" si="4"/>
        <v>rtdc.l.rtdc.4020:itc</v>
      </c>
      <c r="G144" s="8">
        <f t="shared" si="5"/>
        <v>42587.248761574076</v>
      </c>
    </row>
    <row r="145" spans="1:7" x14ac:dyDescent="0.25">
      <c r="A145" s="8">
        <v>42586.338356481479</v>
      </c>
      <c r="B145" s="24" t="s">
        <v>144</v>
      </c>
      <c r="C145" s="24" t="s">
        <v>555</v>
      </c>
      <c r="D145" s="24">
        <v>1830000</v>
      </c>
      <c r="E145" s="24" t="s">
        <v>292</v>
      </c>
      <c r="F145" s="24" t="str">
        <f t="shared" si="4"/>
        <v>rtdc.l.rtdc.4041:itc</v>
      </c>
      <c r="G145" s="8">
        <f t="shared" si="5"/>
        <v>42586.338356481479</v>
      </c>
    </row>
    <row r="146" spans="1:7" x14ac:dyDescent="0.25">
      <c r="A146" s="8">
        <v>42587.280381944445</v>
      </c>
      <c r="B146" s="24" t="s">
        <v>68</v>
      </c>
      <c r="C146" s="24" t="s">
        <v>616</v>
      </c>
      <c r="D146" s="24">
        <v>1760000</v>
      </c>
      <c r="E146" s="24" t="s">
        <v>325</v>
      </c>
      <c r="F146" s="24" t="str">
        <f t="shared" si="4"/>
        <v>rtdc.l.rtdc.4018:itc</v>
      </c>
      <c r="G146" s="8">
        <f t="shared" si="5"/>
        <v>42587.280381944445</v>
      </c>
    </row>
    <row r="147" spans="1:7" x14ac:dyDescent="0.25">
      <c r="A147" s="8">
        <v>42586.335532407407</v>
      </c>
      <c r="B147" s="24" t="s">
        <v>105</v>
      </c>
      <c r="C147" s="24" t="s">
        <v>439</v>
      </c>
      <c r="D147" s="24">
        <v>930000</v>
      </c>
      <c r="E147" s="24" t="s">
        <v>373</v>
      </c>
      <c r="F147" s="24" t="str">
        <f t="shared" si="4"/>
        <v>rtdc.l.rtdc.4028:itc</v>
      </c>
      <c r="G147" s="8">
        <f t="shared" si="5"/>
        <v>42586.335532407407</v>
      </c>
    </row>
    <row r="148" spans="1:7" x14ac:dyDescent="0.25">
      <c r="A148" s="8">
        <v>42586.648854166669</v>
      </c>
      <c r="B148" s="24" t="s">
        <v>151</v>
      </c>
      <c r="C148" s="24" t="s">
        <v>492</v>
      </c>
      <c r="D148" s="24">
        <v>2020000</v>
      </c>
      <c r="E148" s="24" t="s">
        <v>582</v>
      </c>
      <c r="F148" s="24" t="str">
        <f t="shared" si="4"/>
        <v>rtdc.l.rtdc.4012:itc</v>
      </c>
      <c r="G148" s="8">
        <f t="shared" si="5"/>
        <v>42586.648854166669</v>
      </c>
    </row>
    <row r="149" spans="1:7" x14ac:dyDescent="0.25">
      <c r="A149" s="8">
        <v>42586.278414351851</v>
      </c>
      <c r="B149" s="24" t="s">
        <v>69</v>
      </c>
      <c r="C149" s="24" t="s">
        <v>374</v>
      </c>
      <c r="D149" s="24">
        <v>2100000</v>
      </c>
      <c r="E149" s="24" t="s">
        <v>314</v>
      </c>
      <c r="F149" s="24" t="str">
        <f t="shared" si="4"/>
        <v>rtdc.l.rtdc.4017:itc</v>
      </c>
      <c r="G149" s="8">
        <f t="shared" si="5"/>
        <v>42586.278414351851</v>
      </c>
    </row>
    <row r="150" spans="1:7" x14ac:dyDescent="0.25">
      <c r="A150" s="8">
        <v>42586.662141203706</v>
      </c>
      <c r="B150" s="24" t="s">
        <v>102</v>
      </c>
      <c r="C150" s="24" t="s">
        <v>496</v>
      </c>
      <c r="D150" s="24">
        <v>1810000</v>
      </c>
      <c r="E150" s="24" t="s">
        <v>166</v>
      </c>
      <c r="F150" s="24" t="str">
        <f t="shared" si="4"/>
        <v>rtdc.l.rtdc.4026:itc</v>
      </c>
      <c r="G150" s="8">
        <f t="shared" si="5"/>
        <v>42586.662141203706</v>
      </c>
    </row>
    <row r="151" spans="1:7" x14ac:dyDescent="0.25">
      <c r="A151" s="8">
        <v>42587.069780092592</v>
      </c>
      <c r="B151" s="24" t="s">
        <v>149</v>
      </c>
      <c r="C151" s="24" t="s">
        <v>549</v>
      </c>
      <c r="D151" s="24">
        <v>1300000</v>
      </c>
      <c r="E151" s="24" t="s">
        <v>145</v>
      </c>
      <c r="F151" s="24" t="str">
        <f t="shared" si="4"/>
        <v>rtdc.l.rtdc.4011:itc</v>
      </c>
      <c r="G151" s="8">
        <f t="shared" si="5"/>
        <v>42587.069780092592</v>
      </c>
    </row>
    <row r="152" spans="1:7" x14ac:dyDescent="0.25">
      <c r="A152" s="8">
        <v>42586.754212962966</v>
      </c>
      <c r="B152" s="24" t="s">
        <v>69</v>
      </c>
      <c r="C152" s="24" t="s">
        <v>427</v>
      </c>
      <c r="D152" s="24">
        <v>2030000</v>
      </c>
      <c r="E152" s="24" t="s">
        <v>365</v>
      </c>
      <c r="F152" s="24" t="str">
        <f t="shared" si="4"/>
        <v>rtdc.l.rtdc.4017:itc</v>
      </c>
      <c r="G152" s="8">
        <f t="shared" si="5"/>
        <v>42586.754212962966</v>
      </c>
    </row>
    <row r="153" spans="1:7" x14ac:dyDescent="0.25">
      <c r="A153" s="8">
        <v>42586.975868055553</v>
      </c>
      <c r="B153" s="24" t="s">
        <v>108</v>
      </c>
      <c r="C153" s="24" t="s">
        <v>538</v>
      </c>
      <c r="D153" s="24">
        <v>1290000</v>
      </c>
      <c r="E153" s="24" t="s">
        <v>148</v>
      </c>
      <c r="F153" s="24" t="str">
        <f t="shared" si="4"/>
        <v>rtdc.l.rtdc.4027:itc</v>
      </c>
      <c r="G153" s="8">
        <f t="shared" si="5"/>
        <v>42586.975868055553</v>
      </c>
    </row>
    <row r="154" spans="1:7" x14ac:dyDescent="0.25">
      <c r="A154" s="8">
        <v>42586.793182870373</v>
      </c>
      <c r="B154" s="24" t="s">
        <v>151</v>
      </c>
      <c r="C154" s="24" t="s">
        <v>517</v>
      </c>
      <c r="D154" s="24">
        <v>1300000</v>
      </c>
      <c r="E154" s="24" t="s">
        <v>145</v>
      </c>
      <c r="F154" s="24" t="str">
        <f t="shared" si="4"/>
        <v>rtdc.l.rtdc.4012:itc</v>
      </c>
      <c r="G154" s="8">
        <f t="shared" si="5"/>
        <v>42586.793182870373</v>
      </c>
    </row>
    <row r="155" spans="1:7" x14ac:dyDescent="0.25">
      <c r="A155" s="8">
        <v>42586.787928240738</v>
      </c>
      <c r="B155" s="24" t="s">
        <v>100</v>
      </c>
      <c r="C155" s="24" t="s">
        <v>520</v>
      </c>
      <c r="D155" s="24">
        <v>1540000</v>
      </c>
      <c r="E155" s="24" t="s">
        <v>172</v>
      </c>
      <c r="F155" s="24" t="str">
        <f t="shared" si="4"/>
        <v>rtdc.l.rtdc.4038:itc</v>
      </c>
      <c r="G155" s="8">
        <f t="shared" si="5"/>
        <v>42586.787928240738</v>
      </c>
    </row>
    <row r="156" spans="1:7" x14ac:dyDescent="0.25">
      <c r="A156" s="8">
        <v>42587.229687500003</v>
      </c>
      <c r="B156" s="24" t="s">
        <v>141</v>
      </c>
      <c r="C156" s="24" t="s">
        <v>617</v>
      </c>
      <c r="D156" s="24">
        <v>900000</v>
      </c>
      <c r="E156" s="24" t="s">
        <v>189</v>
      </c>
      <c r="F156" s="24" t="str">
        <f t="shared" si="4"/>
        <v>rtdc.l.rtdc.4009:itc</v>
      </c>
      <c r="G156" s="8">
        <f t="shared" si="5"/>
        <v>42587.229687500003</v>
      </c>
    </row>
    <row r="157" spans="1:7" x14ac:dyDescent="0.25">
      <c r="A157" s="8">
        <v>42587.340358796297</v>
      </c>
      <c r="B157" s="24" t="s">
        <v>142</v>
      </c>
      <c r="C157" s="24" t="s">
        <v>618</v>
      </c>
      <c r="D157" s="24">
        <v>900000</v>
      </c>
      <c r="E157" s="24" t="s">
        <v>189</v>
      </c>
      <c r="F157" s="24" t="str">
        <f t="shared" si="4"/>
        <v>rtdc.l.rtdc.4010:itc</v>
      </c>
      <c r="G157" s="8">
        <f t="shared" si="5"/>
        <v>42587.340358796297</v>
      </c>
    </row>
    <row r="158" spans="1:7" x14ac:dyDescent="0.25">
      <c r="A158" s="8">
        <v>42587.295937499999</v>
      </c>
      <c r="B158" s="24" t="s">
        <v>141</v>
      </c>
      <c r="C158" s="24" t="s">
        <v>619</v>
      </c>
      <c r="D158" s="24">
        <v>900000</v>
      </c>
      <c r="E158" s="24" t="s">
        <v>189</v>
      </c>
      <c r="F158" s="24" t="str">
        <f t="shared" si="4"/>
        <v>rtdc.l.rtdc.4009:itc</v>
      </c>
      <c r="G158" s="8">
        <f t="shared" si="5"/>
        <v>42587.295937499999</v>
      </c>
    </row>
    <row r="159" spans="1:7" x14ac:dyDescent="0.25">
      <c r="A159" s="8">
        <v>42587.267881944441</v>
      </c>
      <c r="B159" s="24" t="s">
        <v>142</v>
      </c>
      <c r="C159" s="24" t="s">
        <v>620</v>
      </c>
      <c r="D159" s="24">
        <v>900000</v>
      </c>
      <c r="E159" s="24" t="s">
        <v>189</v>
      </c>
      <c r="F159" s="24" t="str">
        <f t="shared" si="4"/>
        <v>rtdc.l.rtdc.4010:itc</v>
      </c>
      <c r="G159" s="8">
        <f t="shared" si="5"/>
        <v>42587.267881944441</v>
      </c>
    </row>
    <row r="160" spans="1:7" x14ac:dyDescent="0.25">
      <c r="A160" s="8">
        <v>42585.861689814818</v>
      </c>
      <c r="B160" s="24" t="s">
        <v>111</v>
      </c>
      <c r="C160" s="24" t="s">
        <v>329</v>
      </c>
      <c r="D160" s="24">
        <v>2040000</v>
      </c>
      <c r="E160" s="24" t="s">
        <v>362</v>
      </c>
      <c r="F160" s="24" t="str">
        <f t="shared" si="4"/>
        <v>rtdc.l.rtdc.4008:itc</v>
      </c>
      <c r="G160" s="8">
        <f t="shared" si="5"/>
        <v>42585.861689814818</v>
      </c>
    </row>
    <row r="161" spans="1:7" x14ac:dyDescent="0.25">
      <c r="A161" s="8">
        <v>42587.232812499999</v>
      </c>
      <c r="B161" s="24" t="s">
        <v>68</v>
      </c>
      <c r="C161" s="24" t="s">
        <v>593</v>
      </c>
      <c r="D161" s="24">
        <v>1760000</v>
      </c>
      <c r="E161" s="24" t="s">
        <v>325</v>
      </c>
      <c r="F161" s="24" t="str">
        <f t="shared" si="4"/>
        <v>rtdc.l.rtdc.4018:itc</v>
      </c>
      <c r="G161" s="8">
        <f t="shared" si="5"/>
        <v>42587.232812499999</v>
      </c>
    </row>
    <row r="162" spans="1:7" x14ac:dyDescent="0.25">
      <c r="A162" s="8">
        <v>42585.879641203705</v>
      </c>
      <c r="B162" s="24" t="s">
        <v>113</v>
      </c>
      <c r="C162" s="24" t="s">
        <v>359</v>
      </c>
      <c r="D162" s="24">
        <v>2140000</v>
      </c>
      <c r="E162" s="24" t="s">
        <v>318</v>
      </c>
      <c r="F162" s="24" t="str">
        <f t="shared" si="4"/>
        <v>rtdc.l.rtdc.4007:itc</v>
      </c>
      <c r="G162" s="8">
        <f t="shared" si="5"/>
        <v>42585.879641203705</v>
      </c>
    </row>
    <row r="163" spans="1:7" x14ac:dyDescent="0.25">
      <c r="A163" s="8">
        <v>42587.216215277775</v>
      </c>
      <c r="B163" s="24" t="s">
        <v>69</v>
      </c>
      <c r="C163" s="24" t="s">
        <v>601</v>
      </c>
      <c r="D163" s="24">
        <v>1760000</v>
      </c>
      <c r="E163" s="24" t="s">
        <v>325</v>
      </c>
      <c r="F163" s="24" t="str">
        <f t="shared" si="4"/>
        <v>rtdc.l.rtdc.4017:itc</v>
      </c>
      <c r="G163" s="8">
        <f t="shared" si="5"/>
        <v>42587.216215277775</v>
      </c>
    </row>
    <row r="164" spans="1:7" x14ac:dyDescent="0.25">
      <c r="A164" s="8">
        <v>42585.902731481481</v>
      </c>
      <c r="B164" s="24" t="s">
        <v>111</v>
      </c>
      <c r="C164" s="24" t="s">
        <v>358</v>
      </c>
      <c r="D164" s="24">
        <v>2140000</v>
      </c>
      <c r="E164" s="24" t="s">
        <v>318</v>
      </c>
      <c r="F164" s="24" t="str">
        <f t="shared" si="4"/>
        <v>rtdc.l.rtdc.4008:itc</v>
      </c>
      <c r="G164" s="8">
        <f t="shared" si="5"/>
        <v>42585.902731481481</v>
      </c>
    </row>
    <row r="165" spans="1:7" x14ac:dyDescent="0.25">
      <c r="A165" s="8">
        <v>42586.91033564815</v>
      </c>
      <c r="B165" s="24" t="s">
        <v>149</v>
      </c>
      <c r="C165" s="24" t="s">
        <v>532</v>
      </c>
      <c r="D165" s="24">
        <v>1300000</v>
      </c>
      <c r="E165" s="24" t="s">
        <v>145</v>
      </c>
      <c r="F165" s="24" t="str">
        <f t="shared" si="4"/>
        <v>rtdc.l.rtdc.4011:itc</v>
      </c>
      <c r="G165" s="8">
        <f t="shared" si="5"/>
        <v>42586.91033564815</v>
      </c>
    </row>
    <row r="166" spans="1:7" x14ac:dyDescent="0.25">
      <c r="A166" s="8">
        <v>42585.924641203703</v>
      </c>
      <c r="B166" s="24" t="s">
        <v>113</v>
      </c>
      <c r="C166" s="24" t="s">
        <v>360</v>
      </c>
      <c r="D166" s="24">
        <v>2140000</v>
      </c>
      <c r="E166" s="24" t="s">
        <v>318</v>
      </c>
      <c r="F166" s="24" t="str">
        <f t="shared" si="4"/>
        <v>rtdc.l.rtdc.4007:itc</v>
      </c>
      <c r="G166" s="8">
        <f t="shared" si="5"/>
        <v>42585.924641203703</v>
      </c>
    </row>
    <row r="167" spans="1:7" x14ac:dyDescent="0.25">
      <c r="A167" s="8">
        <v>42586.734814814816</v>
      </c>
      <c r="B167" s="24" t="s">
        <v>102</v>
      </c>
      <c r="C167" s="24" t="s">
        <v>510</v>
      </c>
      <c r="D167" s="24">
        <v>1810000</v>
      </c>
      <c r="E167" s="24" t="s">
        <v>166</v>
      </c>
      <c r="F167" s="24" t="str">
        <f t="shared" si="4"/>
        <v>rtdc.l.rtdc.4026:itc</v>
      </c>
      <c r="G167" s="8">
        <f t="shared" si="5"/>
        <v>42586.734814814816</v>
      </c>
    </row>
    <row r="168" spans="1:7" x14ac:dyDescent="0.25">
      <c r="A168" s="8">
        <v>42585.991574074076</v>
      </c>
      <c r="B168" s="24" t="s">
        <v>102</v>
      </c>
      <c r="C168" s="24" t="s">
        <v>346</v>
      </c>
      <c r="D168" s="24">
        <v>1480000</v>
      </c>
      <c r="E168" s="24" t="s">
        <v>101</v>
      </c>
      <c r="F168" s="24" t="str">
        <f t="shared" si="4"/>
        <v>rtdc.l.rtdc.4026:itc</v>
      </c>
      <c r="G168" s="8">
        <f t="shared" si="5"/>
        <v>42585.991574074076</v>
      </c>
    </row>
    <row r="169" spans="1:7" x14ac:dyDescent="0.25">
      <c r="A169" s="8">
        <v>42586.696493055555</v>
      </c>
      <c r="B169" s="24" t="s">
        <v>75</v>
      </c>
      <c r="C169" s="24" t="s">
        <v>568</v>
      </c>
      <c r="D169" s="24">
        <v>2090000</v>
      </c>
      <c r="E169" s="24" t="s">
        <v>313</v>
      </c>
      <c r="F169" s="24" t="str">
        <f t="shared" si="4"/>
        <v>rtdc.l.rtdc.4042:itc</v>
      </c>
      <c r="G169" s="8">
        <f t="shared" si="5"/>
        <v>42586.696493055555</v>
      </c>
    </row>
    <row r="170" spans="1:7" x14ac:dyDescent="0.25">
      <c r="A170" s="8">
        <v>42586.031111111108</v>
      </c>
      <c r="B170" s="24" t="s">
        <v>293</v>
      </c>
      <c r="C170" s="24" t="s">
        <v>351</v>
      </c>
      <c r="D170" s="24">
        <v>1300000</v>
      </c>
      <c r="E170" s="24" t="s">
        <v>145</v>
      </c>
      <c r="F170" s="24" t="str">
        <f t="shared" si="4"/>
        <v>rtdc.l.rtdc.4043:itc</v>
      </c>
      <c r="G170" s="8">
        <f t="shared" si="5"/>
        <v>42586.031111111108</v>
      </c>
    </row>
    <row r="171" spans="1:7" x14ac:dyDescent="0.25">
      <c r="A171" s="8">
        <v>42586.610636574071</v>
      </c>
      <c r="B171" s="24" t="s">
        <v>149</v>
      </c>
      <c r="C171" s="24" t="s">
        <v>491</v>
      </c>
      <c r="D171" s="24">
        <v>2020000</v>
      </c>
      <c r="E171" s="24" t="s">
        <v>582</v>
      </c>
      <c r="F171" s="24" t="str">
        <f t="shared" si="4"/>
        <v>rtdc.l.rtdc.4011:itc</v>
      </c>
      <c r="G171" s="8">
        <f t="shared" si="5"/>
        <v>42586.610636574071</v>
      </c>
    </row>
    <row r="172" spans="1:7" x14ac:dyDescent="0.25">
      <c r="A172" s="8">
        <v>42586.068969907406</v>
      </c>
      <c r="B172" s="24" t="s">
        <v>315</v>
      </c>
      <c r="C172" s="24" t="s">
        <v>377</v>
      </c>
      <c r="D172" s="24">
        <v>1300000</v>
      </c>
      <c r="E172" s="24" t="s">
        <v>145</v>
      </c>
      <c r="F172" s="24" t="str">
        <f t="shared" si="4"/>
        <v>rtdc.l.rtdc.4044:itc</v>
      </c>
      <c r="G172" s="8">
        <f t="shared" si="5"/>
        <v>42586.068969907406</v>
      </c>
    </row>
    <row r="173" spans="1:7" x14ac:dyDescent="0.25">
      <c r="A173" s="8">
        <v>42586.443680555552</v>
      </c>
      <c r="B173" s="24" t="s">
        <v>102</v>
      </c>
      <c r="C173" s="24" t="s">
        <v>455</v>
      </c>
      <c r="D173" s="24">
        <v>1360000</v>
      </c>
      <c r="E173" s="24" t="s">
        <v>272</v>
      </c>
      <c r="F173" s="24" t="str">
        <f t="shared" si="4"/>
        <v>rtdc.l.rtdc.4026:itc</v>
      </c>
      <c r="G173" s="8">
        <f t="shared" si="5"/>
        <v>42586.443680555552</v>
      </c>
    </row>
    <row r="174" spans="1:7" x14ac:dyDescent="0.25">
      <c r="A174" s="8">
        <v>42586.118738425925</v>
      </c>
      <c r="B174" s="24" t="s">
        <v>162</v>
      </c>
      <c r="C174" s="24" t="s">
        <v>385</v>
      </c>
      <c r="D174" s="24">
        <v>2010000</v>
      </c>
      <c r="E174" s="24" t="s">
        <v>274</v>
      </c>
      <c r="F174" s="24" t="str">
        <f t="shared" si="4"/>
        <v>rtdc.l.rtdc.4032:itc</v>
      </c>
      <c r="G174" s="8">
        <f t="shared" si="5"/>
        <v>42586.118738425925</v>
      </c>
    </row>
    <row r="175" spans="1:7" x14ac:dyDescent="0.25">
      <c r="A175" s="8">
        <v>42587.322222222225</v>
      </c>
      <c r="B175" s="24" t="s">
        <v>68</v>
      </c>
      <c r="C175" s="24" t="s">
        <v>621</v>
      </c>
      <c r="D175" s="24">
        <v>1760000</v>
      </c>
      <c r="E175" s="24" t="s">
        <v>325</v>
      </c>
      <c r="F175" s="24" t="str">
        <f t="shared" si="4"/>
        <v>rtdc.l.rtdc.4018:itc</v>
      </c>
      <c r="G175" s="8">
        <f t="shared" si="5"/>
        <v>42587.322222222225</v>
      </c>
    </row>
    <row r="176" spans="1:7" x14ac:dyDescent="0.25">
      <c r="A176" s="8">
        <v>42586.133726851855</v>
      </c>
      <c r="B176" s="24" t="s">
        <v>67</v>
      </c>
      <c r="C176" s="24" t="s">
        <v>384</v>
      </c>
      <c r="D176" s="24">
        <v>2010000</v>
      </c>
      <c r="E176" s="24" t="s">
        <v>274</v>
      </c>
      <c r="F176" s="24" t="str">
        <f t="shared" si="4"/>
        <v>rtdc.l.rtdc.4020:itc</v>
      </c>
      <c r="G176" s="8">
        <f t="shared" si="5"/>
        <v>42586.133726851855</v>
      </c>
    </row>
    <row r="177" spans="1:7" x14ac:dyDescent="0.25">
      <c r="A177" s="8">
        <v>42586.869305555556</v>
      </c>
      <c r="B177" s="24" t="s">
        <v>100</v>
      </c>
      <c r="C177" s="24" t="s">
        <v>528</v>
      </c>
      <c r="D177" s="24">
        <v>1540000</v>
      </c>
      <c r="E177" s="24" t="s">
        <v>172</v>
      </c>
      <c r="F177" s="24" t="str">
        <f t="shared" si="4"/>
        <v>rtdc.l.rtdc.4038:itc</v>
      </c>
      <c r="G177" s="8">
        <f t="shared" si="5"/>
        <v>42586.869305555556</v>
      </c>
    </row>
    <row r="178" spans="1:7" x14ac:dyDescent="0.25">
      <c r="A178" s="8">
        <v>42586.170023148145</v>
      </c>
      <c r="B178" s="24" t="s">
        <v>162</v>
      </c>
      <c r="C178" s="24" t="s">
        <v>386</v>
      </c>
      <c r="D178" s="24">
        <v>2010000</v>
      </c>
      <c r="E178" s="24" t="s">
        <v>274</v>
      </c>
      <c r="F178" s="24" t="str">
        <f t="shared" si="4"/>
        <v>rtdc.l.rtdc.4032:itc</v>
      </c>
      <c r="G178" s="8">
        <f t="shared" si="5"/>
        <v>42586.170023148145</v>
      </c>
    </row>
    <row r="179" spans="1:7" x14ac:dyDescent="0.25">
      <c r="A179" s="8">
        <v>42586.516585648147</v>
      </c>
      <c r="B179" s="24" t="s">
        <v>102</v>
      </c>
      <c r="C179" s="24" t="s">
        <v>469</v>
      </c>
      <c r="D179" s="24">
        <v>1810000</v>
      </c>
      <c r="E179" s="24" t="s">
        <v>166</v>
      </c>
      <c r="F179" s="24" t="str">
        <f t="shared" si="4"/>
        <v>rtdc.l.rtdc.4026:itc</v>
      </c>
      <c r="G179" s="8">
        <f t="shared" si="5"/>
        <v>42586.516585648147</v>
      </c>
    </row>
    <row r="180" spans="1:7" x14ac:dyDescent="0.25">
      <c r="A180" s="8">
        <v>42586.185196759259</v>
      </c>
      <c r="B180" s="24" t="s">
        <v>113</v>
      </c>
      <c r="C180" s="24" t="s">
        <v>387</v>
      </c>
      <c r="D180" s="24">
        <v>1760000</v>
      </c>
      <c r="E180" s="24" t="s">
        <v>325</v>
      </c>
      <c r="F180" s="24" t="str">
        <f t="shared" si="4"/>
        <v>rtdc.l.rtdc.4007:itc</v>
      </c>
      <c r="G180" s="8">
        <f t="shared" si="5"/>
        <v>42586.185196759259</v>
      </c>
    </row>
    <row r="181" spans="1:7" x14ac:dyDescent="0.25">
      <c r="A181" s="8">
        <v>42586.484432870369</v>
      </c>
      <c r="B181" s="24" t="s">
        <v>69</v>
      </c>
      <c r="C181" s="24" t="s">
        <v>560</v>
      </c>
      <c r="D181" s="24">
        <v>2100000</v>
      </c>
      <c r="E181" s="24" t="s">
        <v>314</v>
      </c>
      <c r="F181" s="24" t="str">
        <f t="shared" si="4"/>
        <v>rtdc.l.rtdc.4017:itc</v>
      </c>
      <c r="G181" s="8">
        <f t="shared" si="5"/>
        <v>42586.484432870369</v>
      </c>
    </row>
    <row r="182" spans="1:7" x14ac:dyDescent="0.25">
      <c r="A182" s="8">
        <v>42586.194004629629</v>
      </c>
      <c r="B182" s="24" t="s">
        <v>104</v>
      </c>
      <c r="C182" s="24" t="s">
        <v>388</v>
      </c>
      <c r="D182" s="24">
        <v>1360000</v>
      </c>
      <c r="E182" s="24" t="s">
        <v>272</v>
      </c>
      <c r="F182" s="24" t="str">
        <f t="shared" si="4"/>
        <v>rtdc.l.rtdc.4025:itc</v>
      </c>
      <c r="G182" s="8">
        <f t="shared" si="5"/>
        <v>42586.194004629629</v>
      </c>
    </row>
    <row r="183" spans="1:7" x14ac:dyDescent="0.25">
      <c r="A183" s="8">
        <v>42586.381979166668</v>
      </c>
      <c r="B183" s="24" t="s">
        <v>106</v>
      </c>
      <c r="C183" s="24" t="s">
        <v>450</v>
      </c>
      <c r="D183" s="24">
        <v>1090000</v>
      </c>
      <c r="E183" s="24" t="s">
        <v>110</v>
      </c>
      <c r="F183" s="24" t="str">
        <f t="shared" si="4"/>
        <v>rtdc.l.rtdc.4029:itc</v>
      </c>
      <c r="G183" s="8">
        <f t="shared" si="5"/>
        <v>42586.381979166668</v>
      </c>
    </row>
    <row r="184" spans="1:7" x14ac:dyDescent="0.25">
      <c r="A184" s="8">
        <v>42586.19771990741</v>
      </c>
      <c r="B184" s="24" t="s">
        <v>107</v>
      </c>
      <c r="C184" s="24" t="s">
        <v>376</v>
      </c>
      <c r="D184" s="24">
        <v>1090000</v>
      </c>
      <c r="E184" s="24" t="s">
        <v>110</v>
      </c>
      <c r="F184" s="24" t="str">
        <f t="shared" si="4"/>
        <v>rtdc.l.rtdc.4030:itc</v>
      </c>
      <c r="G184" s="8">
        <f t="shared" si="5"/>
        <v>42586.19771990741</v>
      </c>
    </row>
    <row r="185" spans="1:7" x14ac:dyDescent="0.25">
      <c r="A185" s="8">
        <v>42586.317731481482</v>
      </c>
      <c r="B185" s="24" t="s">
        <v>69</v>
      </c>
      <c r="C185" s="24" t="s">
        <v>552</v>
      </c>
      <c r="D185" s="24">
        <v>2100000</v>
      </c>
      <c r="E185" s="24" t="s">
        <v>314</v>
      </c>
      <c r="F185" s="24" t="str">
        <f t="shared" si="4"/>
        <v>rtdc.l.rtdc.4017:itc</v>
      </c>
      <c r="G185" s="8">
        <f t="shared" si="5"/>
        <v>42586.317731481482</v>
      </c>
    </row>
    <row r="186" spans="1:7" x14ac:dyDescent="0.25">
      <c r="A186" s="8">
        <v>42586.21199074074</v>
      </c>
      <c r="B186" s="24" t="s">
        <v>67</v>
      </c>
      <c r="C186" s="24" t="s">
        <v>389</v>
      </c>
      <c r="D186" s="24">
        <v>1110000</v>
      </c>
      <c r="E186" s="24" t="s">
        <v>116</v>
      </c>
      <c r="F186" s="24" t="str">
        <f t="shared" si="4"/>
        <v>rtdc.l.rtdc.4020:itc</v>
      </c>
      <c r="G186" s="8">
        <f t="shared" si="5"/>
        <v>42586.21199074074</v>
      </c>
    </row>
    <row r="187" spans="1:7" x14ac:dyDescent="0.25">
      <c r="A187" s="8">
        <v>42586.214849537035</v>
      </c>
      <c r="B187" s="24" t="s">
        <v>144</v>
      </c>
      <c r="C187" s="24" t="s">
        <v>375</v>
      </c>
      <c r="D187" s="24">
        <v>1830000</v>
      </c>
      <c r="E187" s="24" t="s">
        <v>292</v>
      </c>
      <c r="F187" s="24" t="str">
        <f t="shared" si="4"/>
        <v>rtdc.l.rtdc.4041:itc</v>
      </c>
      <c r="G187" s="8">
        <f t="shared" si="5"/>
        <v>42586.214849537035</v>
      </c>
    </row>
    <row r="188" spans="1:7" x14ac:dyDescent="0.25">
      <c r="A188" s="8">
        <v>42586.215057870373</v>
      </c>
      <c r="B188" s="24" t="s">
        <v>161</v>
      </c>
      <c r="C188" s="24" t="s">
        <v>366</v>
      </c>
      <c r="D188" s="24">
        <v>2010000</v>
      </c>
      <c r="E188" s="24" t="s">
        <v>274</v>
      </c>
      <c r="F188" s="24" t="str">
        <f t="shared" si="4"/>
        <v>rtdc.l.rtdc.4031:itc</v>
      </c>
      <c r="G188" s="8">
        <f t="shared" si="5"/>
        <v>42586.215057870373</v>
      </c>
    </row>
    <row r="189" spans="1:7" x14ac:dyDescent="0.25">
      <c r="A189" s="8">
        <v>42586.196331018517</v>
      </c>
      <c r="B189" s="24" t="s">
        <v>107</v>
      </c>
      <c r="C189" s="24" t="s">
        <v>376</v>
      </c>
      <c r="D189" s="24">
        <v>1090000</v>
      </c>
      <c r="E189" s="24" t="s">
        <v>110</v>
      </c>
      <c r="F189" s="24" t="str">
        <f t="shared" si="4"/>
        <v>rtdc.l.rtdc.4030:itc</v>
      </c>
      <c r="G189" s="8">
        <f t="shared" si="5"/>
        <v>42586.196331018517</v>
      </c>
    </row>
    <row r="190" spans="1:7" x14ac:dyDescent="0.25">
      <c r="A190" s="8">
        <v>42586.223854166667</v>
      </c>
      <c r="B190" s="24" t="s">
        <v>111</v>
      </c>
      <c r="C190" s="24" t="s">
        <v>390</v>
      </c>
      <c r="D190" s="24">
        <v>1760000</v>
      </c>
      <c r="E190" s="24" t="s">
        <v>325</v>
      </c>
      <c r="F190" s="24" t="str">
        <f t="shared" si="4"/>
        <v>rtdc.l.rtdc.4008:itc</v>
      </c>
      <c r="G190" s="8">
        <f t="shared" si="5"/>
        <v>42586.223854166667</v>
      </c>
    </row>
    <row r="191" spans="1:7" x14ac:dyDescent="0.25">
      <c r="A191" s="8">
        <v>42585.977048611108</v>
      </c>
      <c r="B191" s="24" t="s">
        <v>155</v>
      </c>
      <c r="C191" s="24" t="s">
        <v>348</v>
      </c>
      <c r="D191" s="24">
        <v>2090000</v>
      </c>
      <c r="E191" s="24" t="s">
        <v>313</v>
      </c>
      <c r="F191" s="24" t="str">
        <f t="shared" si="4"/>
        <v>rtdc.l.rtdc.4014:itc</v>
      </c>
      <c r="G191" s="8">
        <f t="shared" si="5"/>
        <v>42585.977048611108</v>
      </c>
    </row>
    <row r="192" spans="1:7" x14ac:dyDescent="0.25">
      <c r="A192" s="8">
        <v>42586.225787037038</v>
      </c>
      <c r="B192" s="24" t="s">
        <v>102</v>
      </c>
      <c r="C192" s="24" t="s">
        <v>391</v>
      </c>
      <c r="D192" s="24">
        <v>1360000</v>
      </c>
      <c r="E192" s="24" t="s">
        <v>272</v>
      </c>
      <c r="F192" s="24" t="str">
        <f t="shared" si="4"/>
        <v>rtdc.l.rtdc.4026:itc</v>
      </c>
      <c r="G192" s="8">
        <f t="shared" si="5"/>
        <v>42586.225787037038</v>
      </c>
    </row>
    <row r="193" spans="1:7" x14ac:dyDescent="0.25">
      <c r="A193" s="8">
        <v>42585.949560185189</v>
      </c>
      <c r="B193" s="24" t="s">
        <v>293</v>
      </c>
      <c r="C193" s="24" t="s">
        <v>330</v>
      </c>
      <c r="D193" s="24">
        <v>1300000</v>
      </c>
      <c r="E193" s="24" t="s">
        <v>145</v>
      </c>
      <c r="F193" s="24" t="str">
        <f t="shared" si="4"/>
        <v>rtdc.l.rtdc.4043:itc</v>
      </c>
      <c r="G193" s="8">
        <f t="shared" si="5"/>
        <v>42585.949560185189</v>
      </c>
    </row>
    <row r="194" spans="1:7" x14ac:dyDescent="0.25">
      <c r="A194" s="8">
        <v>42586.230671296296</v>
      </c>
      <c r="B194" s="24" t="s">
        <v>75</v>
      </c>
      <c r="C194" s="24" t="s">
        <v>392</v>
      </c>
      <c r="D194" s="24">
        <v>1830000</v>
      </c>
      <c r="E194" s="24" t="s">
        <v>292</v>
      </c>
      <c r="F194" s="24" t="str">
        <f t="shared" ref="F194:F235" si="6">B194</f>
        <v>rtdc.l.rtdc.4042:itc</v>
      </c>
      <c r="G194" s="8">
        <f t="shared" ref="G194:G235" si="7">A194</f>
        <v>42586.230671296296</v>
      </c>
    </row>
    <row r="195" spans="1:7" x14ac:dyDescent="0.25">
      <c r="A195" s="8">
        <v>42585.865254629629</v>
      </c>
      <c r="B195" s="24" t="s">
        <v>293</v>
      </c>
      <c r="C195" s="24" t="s">
        <v>336</v>
      </c>
      <c r="D195" s="24">
        <v>1300000</v>
      </c>
      <c r="E195" s="24" t="s">
        <v>145</v>
      </c>
      <c r="F195" s="24" t="str">
        <f t="shared" si="6"/>
        <v>rtdc.l.rtdc.4043:itc</v>
      </c>
      <c r="G195" s="8">
        <f t="shared" si="7"/>
        <v>42585.865254629629</v>
      </c>
    </row>
    <row r="196" spans="1:7" x14ac:dyDescent="0.25">
      <c r="A196" s="8">
        <v>42586.236793981479</v>
      </c>
      <c r="B196" s="24" t="s">
        <v>106</v>
      </c>
      <c r="C196" s="24" t="s">
        <v>393</v>
      </c>
      <c r="D196" s="24">
        <v>1090000</v>
      </c>
      <c r="E196" s="24" t="s">
        <v>110</v>
      </c>
      <c r="F196" s="24" t="str">
        <f t="shared" si="6"/>
        <v>rtdc.l.rtdc.4029:itc</v>
      </c>
      <c r="G196" s="8">
        <f t="shared" si="7"/>
        <v>42586.236793981479</v>
      </c>
    </row>
    <row r="197" spans="1:7" x14ac:dyDescent="0.25">
      <c r="A197" s="8">
        <v>42587.34170138889</v>
      </c>
      <c r="B197" s="24" t="s">
        <v>69</v>
      </c>
      <c r="C197" s="24" t="s">
        <v>622</v>
      </c>
      <c r="D197" s="24">
        <v>1760000</v>
      </c>
      <c r="E197" s="24" t="s">
        <v>325</v>
      </c>
      <c r="F197" s="24" t="str">
        <f t="shared" si="6"/>
        <v>rtdc.l.rtdc.4017:itc</v>
      </c>
      <c r="G197" s="8">
        <f t="shared" si="7"/>
        <v>42587.34170138889</v>
      </c>
    </row>
    <row r="198" spans="1:7" x14ac:dyDescent="0.25">
      <c r="A198" s="8">
        <v>42586.245740740742</v>
      </c>
      <c r="B198" s="24" t="s">
        <v>66</v>
      </c>
      <c r="C198" s="24" t="s">
        <v>394</v>
      </c>
      <c r="D198" s="24">
        <v>1110000</v>
      </c>
      <c r="E198" s="24" t="s">
        <v>116</v>
      </c>
      <c r="F198" s="24" t="str">
        <f t="shared" si="6"/>
        <v>rtdc.l.rtdc.4019:itc</v>
      </c>
      <c r="G198" s="8">
        <f t="shared" si="7"/>
        <v>42586.245740740742</v>
      </c>
    </row>
    <row r="199" spans="1:7" x14ac:dyDescent="0.25">
      <c r="A199" s="8">
        <v>42587.258773148147</v>
      </c>
      <c r="B199" s="24" t="s">
        <v>69</v>
      </c>
      <c r="C199" s="24" t="s">
        <v>623</v>
      </c>
      <c r="D199" s="24">
        <v>1760000</v>
      </c>
      <c r="E199" s="24" t="s">
        <v>325</v>
      </c>
      <c r="F199" s="24" t="str">
        <f t="shared" si="6"/>
        <v>rtdc.l.rtdc.4017:itc</v>
      </c>
      <c r="G199" s="8">
        <f t="shared" si="7"/>
        <v>42587.258773148147</v>
      </c>
    </row>
    <row r="200" spans="1:7" x14ac:dyDescent="0.25">
      <c r="A200" s="8">
        <v>42586.251805555556</v>
      </c>
      <c r="B200" s="24" t="s">
        <v>162</v>
      </c>
      <c r="C200" s="24" t="s">
        <v>395</v>
      </c>
      <c r="D200" s="24">
        <v>2010000</v>
      </c>
      <c r="E200" s="24" t="s">
        <v>274</v>
      </c>
      <c r="F200" s="24" t="str">
        <f t="shared" si="6"/>
        <v>rtdc.l.rtdc.4032:itc</v>
      </c>
      <c r="G200" s="8">
        <f t="shared" si="7"/>
        <v>42586.251805555556</v>
      </c>
    </row>
    <row r="201" spans="1:7" x14ac:dyDescent="0.25">
      <c r="A201" s="8">
        <v>42587.233530092592</v>
      </c>
      <c r="B201" s="24" t="s">
        <v>106</v>
      </c>
      <c r="C201" s="24" t="s">
        <v>591</v>
      </c>
      <c r="D201" s="24">
        <v>1990000</v>
      </c>
      <c r="E201" s="24" t="s">
        <v>192</v>
      </c>
      <c r="F201" s="24" t="str">
        <f t="shared" si="6"/>
        <v>rtdc.l.rtdc.4029:itc</v>
      </c>
      <c r="G201" s="8">
        <f t="shared" si="7"/>
        <v>42587.233530092592</v>
      </c>
    </row>
    <row r="202" spans="1:7" x14ac:dyDescent="0.25">
      <c r="A202" s="30">
        <v>42586.258761574078</v>
      </c>
      <c r="B202" s="24" t="s">
        <v>113</v>
      </c>
      <c r="C202" s="24" t="s">
        <v>396</v>
      </c>
      <c r="D202" s="24">
        <v>1760000</v>
      </c>
      <c r="E202" s="24" t="s">
        <v>325</v>
      </c>
      <c r="F202" s="24" t="str">
        <f t="shared" si="6"/>
        <v>rtdc.l.rtdc.4007:itc</v>
      </c>
      <c r="G202" s="8">
        <f t="shared" si="7"/>
        <v>42586.258761574078</v>
      </c>
    </row>
    <row r="203" spans="1:7" x14ac:dyDescent="0.25">
      <c r="A203" s="8">
        <v>42586.704930555556</v>
      </c>
      <c r="B203" s="24" t="s">
        <v>104</v>
      </c>
      <c r="C203" s="24" t="s">
        <v>509</v>
      </c>
      <c r="D203" s="24">
        <v>1810000</v>
      </c>
      <c r="E203" s="24" t="s">
        <v>166</v>
      </c>
      <c r="F203" s="24" t="str">
        <f t="shared" si="6"/>
        <v>rtdc.l.rtdc.4025:itc</v>
      </c>
      <c r="G203" s="8">
        <f t="shared" si="7"/>
        <v>42586.704930555556</v>
      </c>
    </row>
    <row r="204" spans="1:7" x14ac:dyDescent="0.25">
      <c r="A204" s="8">
        <v>42586.269976851851</v>
      </c>
      <c r="B204" s="24" t="s">
        <v>105</v>
      </c>
      <c r="C204" s="24" t="s">
        <v>398</v>
      </c>
      <c r="D204" s="24">
        <v>930000</v>
      </c>
      <c r="E204" s="24" t="s">
        <v>373</v>
      </c>
      <c r="F204" s="24" t="str">
        <f t="shared" si="6"/>
        <v>rtdc.l.rtdc.4028:itc</v>
      </c>
      <c r="G204" s="8">
        <f t="shared" si="7"/>
        <v>42586.269976851851</v>
      </c>
    </row>
    <row r="205" spans="1:7" x14ac:dyDescent="0.25">
      <c r="A205" s="8">
        <v>42586.695821759262</v>
      </c>
      <c r="B205" s="24" t="s">
        <v>113</v>
      </c>
      <c r="C205" s="24" t="s">
        <v>425</v>
      </c>
      <c r="D205" s="24">
        <v>2040000</v>
      </c>
      <c r="E205" s="24" t="s">
        <v>362</v>
      </c>
      <c r="F205" s="24" t="str">
        <f t="shared" si="6"/>
        <v>rtdc.l.rtdc.4007:itc</v>
      </c>
      <c r="G205" s="8">
        <f t="shared" si="7"/>
        <v>42586.695821759262</v>
      </c>
    </row>
    <row r="206" spans="1:7" x14ac:dyDescent="0.25">
      <c r="A206" s="8">
        <v>42586.269548611112</v>
      </c>
      <c r="B206" s="24" t="s">
        <v>75</v>
      </c>
      <c r="C206" s="24" t="s">
        <v>397</v>
      </c>
      <c r="D206" s="24">
        <v>1830000</v>
      </c>
      <c r="E206" s="24" t="s">
        <v>292</v>
      </c>
      <c r="F206" s="24" t="str">
        <f t="shared" si="6"/>
        <v>rtdc.l.rtdc.4042:itc</v>
      </c>
      <c r="G206" s="8">
        <f t="shared" si="7"/>
        <v>42586.269548611112</v>
      </c>
    </row>
    <row r="207" spans="1:7" x14ac:dyDescent="0.25">
      <c r="A207" s="8">
        <v>42586.444178240738</v>
      </c>
      <c r="B207" s="24" t="s">
        <v>108</v>
      </c>
      <c r="C207" s="24" t="s">
        <v>462</v>
      </c>
      <c r="D207" s="24">
        <v>930000</v>
      </c>
      <c r="E207" s="24" t="s">
        <v>373</v>
      </c>
      <c r="F207" s="24" t="str">
        <f t="shared" si="6"/>
        <v>rtdc.l.rtdc.4027:itc</v>
      </c>
      <c r="G207" s="8">
        <f t="shared" si="7"/>
        <v>42586.444178240738</v>
      </c>
    </row>
    <row r="208" spans="1:7" x14ac:dyDescent="0.25">
      <c r="A208" s="8">
        <v>42586.279050925928</v>
      </c>
      <c r="B208" s="24" t="s">
        <v>67</v>
      </c>
      <c r="C208" s="24" t="s">
        <v>399</v>
      </c>
      <c r="D208" s="24">
        <v>1110000</v>
      </c>
      <c r="E208" s="24" t="s">
        <v>116</v>
      </c>
      <c r="F208" s="24" t="str">
        <f t="shared" si="6"/>
        <v>rtdc.l.rtdc.4020:itc</v>
      </c>
      <c r="G208" s="8">
        <f t="shared" si="7"/>
        <v>42586.279050925928</v>
      </c>
    </row>
    <row r="209" spans="1:7" x14ac:dyDescent="0.25">
      <c r="A209" s="8">
        <v>42587.296493055554</v>
      </c>
      <c r="B209" s="24" t="s">
        <v>188</v>
      </c>
      <c r="C209" s="24" t="s">
        <v>624</v>
      </c>
      <c r="D209" s="24">
        <v>1240000</v>
      </c>
      <c r="E209" s="24" t="s">
        <v>112</v>
      </c>
      <c r="F209" s="24" t="str">
        <f t="shared" si="6"/>
        <v>rtdc.l.rtdc.4037:itc</v>
      </c>
      <c r="G209" s="8">
        <f t="shared" si="7"/>
        <v>42587.296493055554</v>
      </c>
    </row>
    <row r="210" spans="1:7" x14ac:dyDescent="0.25">
      <c r="A210" s="8">
        <v>42586.28979166667</v>
      </c>
      <c r="B210" s="24" t="s">
        <v>161</v>
      </c>
      <c r="C210" s="24" t="s">
        <v>400</v>
      </c>
      <c r="D210" s="24">
        <v>2010000</v>
      </c>
      <c r="E210" s="24" t="s">
        <v>274</v>
      </c>
      <c r="F210" s="24" t="str">
        <f t="shared" si="6"/>
        <v>rtdc.l.rtdc.4031:itc</v>
      </c>
      <c r="G210" s="8">
        <f t="shared" si="7"/>
        <v>42586.28979166667</v>
      </c>
    </row>
    <row r="211" spans="1:7" x14ac:dyDescent="0.25">
      <c r="A211" s="8">
        <v>42587.214930555558</v>
      </c>
      <c r="B211" s="24" t="s">
        <v>104</v>
      </c>
      <c r="C211" s="24" t="s">
        <v>625</v>
      </c>
      <c r="D211" s="24">
        <v>2010000</v>
      </c>
      <c r="E211" s="24" t="s">
        <v>274</v>
      </c>
      <c r="F211" s="24" t="str">
        <f t="shared" si="6"/>
        <v>rtdc.l.rtdc.4025:itc</v>
      </c>
      <c r="G211" s="8">
        <f t="shared" si="7"/>
        <v>42587.214930555558</v>
      </c>
    </row>
    <row r="212" spans="1:7" x14ac:dyDescent="0.25">
      <c r="A212" s="8">
        <v>42586.30190972222</v>
      </c>
      <c r="B212" s="24" t="s">
        <v>68</v>
      </c>
      <c r="C212" s="24" t="s">
        <v>401</v>
      </c>
      <c r="D212" s="24">
        <v>2100000</v>
      </c>
      <c r="E212" s="24" t="s">
        <v>314</v>
      </c>
      <c r="F212" s="24" t="str">
        <f t="shared" si="6"/>
        <v>rtdc.l.rtdc.4018:itc</v>
      </c>
      <c r="G212" s="8">
        <f t="shared" si="7"/>
        <v>42586.30190972222</v>
      </c>
    </row>
    <row r="213" spans="1:7" x14ac:dyDescent="0.25">
      <c r="A213" s="8">
        <v>42587.091585648152</v>
      </c>
      <c r="B213" s="24" t="s">
        <v>113</v>
      </c>
      <c r="C213" s="24" t="s">
        <v>550</v>
      </c>
      <c r="D213" s="24">
        <v>1480000</v>
      </c>
      <c r="E213" s="24" t="s">
        <v>101</v>
      </c>
      <c r="F213" s="24" t="str">
        <f t="shared" si="6"/>
        <v>rtdc.l.rtdc.4007:itc</v>
      </c>
      <c r="G213" s="8">
        <f t="shared" si="7"/>
        <v>42587.091585648152</v>
      </c>
    </row>
    <row r="214" spans="1:7" x14ac:dyDescent="0.25">
      <c r="A214" s="8">
        <v>42586.310567129629</v>
      </c>
      <c r="B214" s="24" t="s">
        <v>75</v>
      </c>
      <c r="C214" s="24" t="s">
        <v>553</v>
      </c>
      <c r="D214" s="24">
        <v>1830000</v>
      </c>
      <c r="E214" s="24" t="s">
        <v>292</v>
      </c>
      <c r="F214" s="24" t="str">
        <f t="shared" si="6"/>
        <v>rtdc.l.rtdc.4042:itc</v>
      </c>
      <c r="G214" s="8">
        <f t="shared" si="7"/>
        <v>42586.310567129629</v>
      </c>
    </row>
    <row r="215" spans="1:7" x14ac:dyDescent="0.25">
      <c r="A215" s="8">
        <v>42586.639710648145</v>
      </c>
      <c r="B215" s="24" t="s">
        <v>107</v>
      </c>
      <c r="C215" s="24" t="s">
        <v>490</v>
      </c>
      <c r="D215" s="24">
        <v>2110000</v>
      </c>
      <c r="E215" s="24" t="s">
        <v>316</v>
      </c>
      <c r="F215" s="24" t="str">
        <f t="shared" si="6"/>
        <v>rtdc.l.rtdc.4030:itc</v>
      </c>
      <c r="G215" s="8">
        <f t="shared" si="7"/>
        <v>42586.639710648145</v>
      </c>
    </row>
    <row r="216" spans="1:7" x14ac:dyDescent="0.25">
      <c r="A216" s="8">
        <v>42586.341423611113</v>
      </c>
      <c r="B216" s="24" t="s">
        <v>104</v>
      </c>
      <c r="C216" s="24" t="s">
        <v>445</v>
      </c>
      <c r="D216" s="24">
        <v>1360000</v>
      </c>
      <c r="E216" s="24" t="s">
        <v>272</v>
      </c>
      <c r="F216" s="24" t="str">
        <f t="shared" si="6"/>
        <v>rtdc.l.rtdc.4025:itc</v>
      </c>
      <c r="G216" s="8">
        <f t="shared" si="7"/>
        <v>42586.341423611113</v>
      </c>
    </row>
    <row r="217" spans="1:7" x14ac:dyDescent="0.25">
      <c r="A217" s="8">
        <v>42586.600081018521</v>
      </c>
      <c r="B217" s="24" t="s">
        <v>106</v>
      </c>
      <c r="C217" s="24" t="s">
        <v>489</v>
      </c>
      <c r="D217" s="24">
        <v>2110000</v>
      </c>
      <c r="E217" s="24" t="s">
        <v>316</v>
      </c>
      <c r="F217" s="24" t="str">
        <f t="shared" si="6"/>
        <v>rtdc.l.rtdc.4029:itc</v>
      </c>
      <c r="G217" s="8">
        <f t="shared" si="7"/>
        <v>42586.600081018521</v>
      </c>
    </row>
    <row r="218" spans="1:7" x14ac:dyDescent="0.25">
      <c r="A218" s="8">
        <v>42586.342685185184</v>
      </c>
      <c r="B218" s="24" t="s">
        <v>68</v>
      </c>
      <c r="C218" s="24" t="s">
        <v>556</v>
      </c>
      <c r="D218" s="24">
        <v>2100000</v>
      </c>
      <c r="E218" s="24" t="s">
        <v>314</v>
      </c>
      <c r="F218" s="24" t="str">
        <f t="shared" si="6"/>
        <v>rtdc.l.rtdc.4018:itc</v>
      </c>
      <c r="G218" s="8">
        <f t="shared" si="7"/>
        <v>42586.342685185184</v>
      </c>
    </row>
    <row r="219" spans="1:7" x14ac:dyDescent="0.25">
      <c r="A219" s="8">
        <v>42586.401782407411</v>
      </c>
      <c r="B219" s="24" t="s">
        <v>69</v>
      </c>
      <c r="C219" s="24" t="s">
        <v>557</v>
      </c>
      <c r="D219" s="24">
        <v>2100000</v>
      </c>
      <c r="E219" s="24" t="s">
        <v>314</v>
      </c>
      <c r="F219" s="24" t="str">
        <f t="shared" si="6"/>
        <v>rtdc.l.rtdc.4017:itc</v>
      </c>
      <c r="G219" s="8">
        <f t="shared" si="7"/>
        <v>42586.401782407411</v>
      </c>
    </row>
    <row r="220" spans="1:7" x14ac:dyDescent="0.25">
      <c r="A220" s="8">
        <v>42586.383657407408</v>
      </c>
      <c r="B220" s="24" t="s">
        <v>68</v>
      </c>
      <c r="C220" s="24" t="s">
        <v>409</v>
      </c>
      <c r="D220" s="24">
        <v>2100000</v>
      </c>
      <c r="E220" s="24" t="s">
        <v>314</v>
      </c>
      <c r="F220" s="24" t="str">
        <f t="shared" si="6"/>
        <v>rtdc.l.rtdc.4018:itc</v>
      </c>
      <c r="G220" s="8">
        <f t="shared" si="7"/>
        <v>42586.383657407408</v>
      </c>
    </row>
    <row r="221" spans="1:7" x14ac:dyDescent="0.25">
      <c r="A221" s="8">
        <v>42586.366006944445</v>
      </c>
      <c r="B221" s="24" t="s">
        <v>111</v>
      </c>
      <c r="C221" s="24" t="s">
        <v>408</v>
      </c>
      <c r="D221" s="24">
        <v>1760000</v>
      </c>
      <c r="E221" s="24" t="s">
        <v>325</v>
      </c>
      <c r="F221" s="24" t="str">
        <f t="shared" si="6"/>
        <v>rtdc.l.rtdc.4008:itc</v>
      </c>
      <c r="G221" s="8">
        <f t="shared" si="7"/>
        <v>42586.366006944445</v>
      </c>
    </row>
    <row r="222" spans="1:7" x14ac:dyDescent="0.25">
      <c r="A222" s="8">
        <v>42586.550752314812</v>
      </c>
      <c r="B222" s="24" t="s">
        <v>113</v>
      </c>
      <c r="C222" s="24" t="s">
        <v>480</v>
      </c>
      <c r="D222" s="24">
        <v>2040000</v>
      </c>
      <c r="E222" s="24" t="s">
        <v>362</v>
      </c>
      <c r="F222" s="24" t="str">
        <f t="shared" si="6"/>
        <v>rtdc.l.rtdc.4007:itc</v>
      </c>
      <c r="G222" s="8">
        <f t="shared" si="7"/>
        <v>42586.550752314812</v>
      </c>
    </row>
    <row r="223" spans="1:7" x14ac:dyDescent="0.25">
      <c r="A223" s="8">
        <v>42587.308738425927</v>
      </c>
      <c r="B223" s="24" t="s">
        <v>293</v>
      </c>
      <c r="C223" s="24" t="s">
        <v>626</v>
      </c>
      <c r="D223" s="24">
        <v>1360000</v>
      </c>
      <c r="E223" s="24" t="s">
        <v>272</v>
      </c>
      <c r="F223" s="24" t="str">
        <f t="shared" si="6"/>
        <v>rtdc.l.rtdc.4043:itc</v>
      </c>
      <c r="G223" s="8">
        <f t="shared" si="7"/>
        <v>42587.308738425927</v>
      </c>
    </row>
    <row r="224" spans="1:7" x14ac:dyDescent="0.25">
      <c r="A224" s="8">
        <v>42586.570532407408</v>
      </c>
      <c r="B224" t="s">
        <v>100</v>
      </c>
      <c r="C224" t="s">
        <v>483</v>
      </c>
      <c r="D224">
        <v>1540000</v>
      </c>
      <c r="E224" t="s">
        <v>172</v>
      </c>
      <c r="F224" s="24" t="str">
        <f t="shared" si="6"/>
        <v>rtdc.l.rtdc.4038:itc</v>
      </c>
      <c r="G224" s="8">
        <f t="shared" si="7"/>
        <v>42586.570532407408</v>
      </c>
    </row>
    <row r="225" spans="1:7" x14ac:dyDescent="0.25">
      <c r="A225" s="8">
        <v>42586.809594907405</v>
      </c>
      <c r="B225" t="s">
        <v>108</v>
      </c>
      <c r="C225" t="s">
        <v>522</v>
      </c>
      <c r="D225">
        <v>1290000</v>
      </c>
      <c r="E225" t="s">
        <v>148</v>
      </c>
      <c r="F225" s="24" t="str">
        <f t="shared" si="6"/>
        <v>rtdc.l.rtdc.4027:itc</v>
      </c>
      <c r="G225" s="8">
        <f t="shared" si="7"/>
        <v>42586.809594907405</v>
      </c>
    </row>
    <row r="226" spans="1:7" x14ac:dyDescent="0.25">
      <c r="A226" s="8">
        <v>42586.616180555553</v>
      </c>
      <c r="B226" t="s">
        <v>162</v>
      </c>
      <c r="C226" t="s">
        <v>486</v>
      </c>
      <c r="D226">
        <v>910000</v>
      </c>
      <c r="E226" t="s">
        <v>597</v>
      </c>
      <c r="F226" s="24" t="str">
        <f t="shared" si="6"/>
        <v>rtdc.l.rtdc.4032:itc</v>
      </c>
      <c r="G226" s="8">
        <f t="shared" si="7"/>
        <v>42586.616180555553</v>
      </c>
    </row>
    <row r="227" spans="1:7" x14ac:dyDescent="0.25">
      <c r="A227" s="8">
        <v>42586.687384259261</v>
      </c>
      <c r="B227" t="s">
        <v>162</v>
      </c>
      <c r="C227" t="s">
        <v>500</v>
      </c>
      <c r="D227">
        <v>910000</v>
      </c>
      <c r="E227" t="s">
        <v>597</v>
      </c>
      <c r="F227" s="24" t="str">
        <f t="shared" si="6"/>
        <v>rtdc.l.rtdc.4032:itc</v>
      </c>
      <c r="G227" s="8">
        <f t="shared" si="7"/>
        <v>42586.687384259261</v>
      </c>
    </row>
    <row r="228" spans="1:7" x14ac:dyDescent="0.25">
      <c r="A228" s="8">
        <v>42586.902291666665</v>
      </c>
      <c r="B228" t="s">
        <v>69</v>
      </c>
      <c r="C228" t="s">
        <v>434</v>
      </c>
      <c r="D228">
        <v>2000000</v>
      </c>
      <c r="E228" t="s">
        <v>305</v>
      </c>
      <c r="F228" s="24" t="str">
        <f t="shared" si="6"/>
        <v>rtdc.l.rtdc.4017:itc</v>
      </c>
      <c r="G228" s="8">
        <f t="shared" si="7"/>
        <v>42586.902291666665</v>
      </c>
    </row>
    <row r="229" spans="1:7" x14ac:dyDescent="0.25">
      <c r="A229" s="8">
        <v>42586.672118055554</v>
      </c>
      <c r="B229" t="s">
        <v>102</v>
      </c>
      <c r="C229" t="s">
        <v>496</v>
      </c>
      <c r="D229">
        <v>1810000</v>
      </c>
      <c r="E229" t="s">
        <v>166</v>
      </c>
      <c r="F229" s="24" t="str">
        <f t="shared" si="6"/>
        <v>rtdc.l.rtdc.4026:itc</v>
      </c>
      <c r="G229" s="8">
        <f t="shared" si="7"/>
        <v>42586.672118055554</v>
      </c>
    </row>
    <row r="230" spans="1:7" x14ac:dyDescent="0.25">
      <c r="A230" s="8">
        <v>42587.157835648148</v>
      </c>
      <c r="B230" t="s">
        <v>141</v>
      </c>
      <c r="C230" t="s">
        <v>592</v>
      </c>
      <c r="D230">
        <v>1990000</v>
      </c>
      <c r="E230" t="s">
        <v>192</v>
      </c>
      <c r="F230" s="24" t="str">
        <f t="shared" si="6"/>
        <v>rtdc.l.rtdc.4009:itc</v>
      </c>
      <c r="G230" s="8">
        <f t="shared" si="7"/>
        <v>42587.157835648148</v>
      </c>
    </row>
    <row r="231" spans="1:7" x14ac:dyDescent="0.25">
      <c r="A231" s="8">
        <v>42586.660914351851</v>
      </c>
      <c r="B231" t="s">
        <v>111</v>
      </c>
      <c r="C231" t="s">
        <v>494</v>
      </c>
      <c r="D231">
        <v>2040000</v>
      </c>
      <c r="E231" t="s">
        <v>362</v>
      </c>
      <c r="F231" s="24" t="str">
        <f t="shared" si="6"/>
        <v>rtdc.l.rtdc.4008:itc</v>
      </c>
      <c r="G231" s="8">
        <f t="shared" si="7"/>
        <v>42586.660914351851</v>
      </c>
    </row>
    <row r="232" spans="1:7" x14ac:dyDescent="0.25">
      <c r="A232" s="8">
        <v>42587.205150462964</v>
      </c>
      <c r="B232" t="s">
        <v>68</v>
      </c>
      <c r="C232" t="s">
        <v>603</v>
      </c>
      <c r="D232">
        <v>1760000</v>
      </c>
      <c r="E232" t="s">
        <v>325</v>
      </c>
      <c r="F232" s="24" t="str">
        <f t="shared" si="6"/>
        <v>rtdc.l.rtdc.4018:itc</v>
      </c>
      <c r="G232" s="8">
        <f t="shared" si="7"/>
        <v>42587.205150462964</v>
      </c>
    </row>
    <row r="233" spans="1:7" x14ac:dyDescent="0.25">
      <c r="A233" s="8">
        <v>42586.359594907408</v>
      </c>
      <c r="B233" t="s">
        <v>69</v>
      </c>
      <c r="C233" t="s">
        <v>404</v>
      </c>
      <c r="D233">
        <v>2100000</v>
      </c>
      <c r="E233" t="s">
        <v>314</v>
      </c>
      <c r="F233" s="24" t="str">
        <f t="shared" si="6"/>
        <v>rtdc.l.rtdc.4017:itc</v>
      </c>
      <c r="G233" s="8">
        <f t="shared" si="7"/>
        <v>42586.359594907408</v>
      </c>
    </row>
    <row r="234" spans="1:7" x14ac:dyDescent="0.25">
      <c r="A234" s="8">
        <v>42586.363877314812</v>
      </c>
      <c r="B234" t="s">
        <v>161</v>
      </c>
      <c r="C234" t="s">
        <v>407</v>
      </c>
      <c r="D234">
        <v>2010000</v>
      </c>
      <c r="E234" t="s">
        <v>274</v>
      </c>
      <c r="F234" s="24" t="str">
        <f t="shared" si="6"/>
        <v>rtdc.l.rtdc.4031:itc</v>
      </c>
      <c r="G234" s="8">
        <f t="shared" si="7"/>
        <v>42586.363877314812</v>
      </c>
    </row>
    <row r="235" spans="1:7" x14ac:dyDescent="0.25">
      <c r="A235" s="8">
        <v>42587.186990740738</v>
      </c>
      <c r="B235" t="s">
        <v>102</v>
      </c>
      <c r="C235" t="s">
        <v>611</v>
      </c>
      <c r="D235">
        <v>2010000</v>
      </c>
      <c r="E235" t="s">
        <v>274</v>
      </c>
      <c r="F235" s="24" t="str">
        <f t="shared" si="6"/>
        <v>rtdc.l.rtdc.4026:itc</v>
      </c>
      <c r="G235" s="8">
        <f t="shared" si="7"/>
        <v>42587.186990740738</v>
      </c>
    </row>
    <row r="236" spans="1:7" x14ac:dyDescent="0.25">
      <c r="A236" s="8">
        <v>42586.392233796294</v>
      </c>
      <c r="B236" t="s">
        <v>188</v>
      </c>
      <c r="C236" t="s">
        <v>410</v>
      </c>
      <c r="D236">
        <v>1110000</v>
      </c>
      <c r="E236" t="s">
        <v>116</v>
      </c>
      <c r="F236" s="24" t="str">
        <f t="shared" ref="F236:F265" si="8">B236</f>
        <v>rtdc.l.rtdc.4037:itc</v>
      </c>
      <c r="G236" s="8">
        <f t="shared" ref="G236:G265" si="9">A236</f>
        <v>42586.392233796294</v>
      </c>
    </row>
    <row r="237" spans="1:7" x14ac:dyDescent="0.25">
      <c r="A237" s="8">
        <v>42586.948703703703</v>
      </c>
      <c r="B237" t="s">
        <v>151</v>
      </c>
      <c r="C237" t="s">
        <v>533</v>
      </c>
      <c r="D237">
        <v>1300000</v>
      </c>
      <c r="E237" t="s">
        <v>145</v>
      </c>
      <c r="F237" s="24" t="str">
        <f t="shared" si="8"/>
        <v>rtdc.l.rtdc.4012:itc</v>
      </c>
      <c r="G237" s="8">
        <f t="shared" si="9"/>
        <v>42586.948703703703</v>
      </c>
    </row>
    <row r="238" spans="1:7" x14ac:dyDescent="0.25">
      <c r="A238" s="8">
        <v>42586.515625</v>
      </c>
      <c r="B238" t="s">
        <v>111</v>
      </c>
      <c r="C238" t="s">
        <v>467</v>
      </c>
      <c r="D238">
        <v>2040000</v>
      </c>
      <c r="E238" t="s">
        <v>362</v>
      </c>
      <c r="F238" s="24" t="str">
        <f t="shared" si="8"/>
        <v>rtdc.l.rtdc.4008:itc</v>
      </c>
      <c r="G238" s="8">
        <f t="shared" si="9"/>
        <v>42586.515625</v>
      </c>
    </row>
    <row r="239" spans="1:7" x14ac:dyDescent="0.25">
      <c r="A239" s="8">
        <v>42586.848460648151</v>
      </c>
      <c r="B239" t="s">
        <v>105</v>
      </c>
      <c r="C239" t="s">
        <v>523</v>
      </c>
      <c r="D239">
        <v>1290000</v>
      </c>
      <c r="E239" t="s">
        <v>148</v>
      </c>
      <c r="F239" s="24" t="str">
        <f t="shared" si="8"/>
        <v>rtdc.l.rtdc.4028:itc</v>
      </c>
      <c r="G239" s="8">
        <f t="shared" si="9"/>
        <v>42586.848460648151</v>
      </c>
    </row>
    <row r="240" spans="1:7" x14ac:dyDescent="0.25">
      <c r="A240" s="8">
        <v>42586.621759259258</v>
      </c>
      <c r="B240" t="s">
        <v>113</v>
      </c>
      <c r="C240" t="s">
        <v>493</v>
      </c>
      <c r="D240">
        <v>2040000</v>
      </c>
      <c r="E240" t="s">
        <v>362</v>
      </c>
      <c r="F240" s="24" t="str">
        <f t="shared" si="8"/>
        <v>rtdc.l.rtdc.4007:itc</v>
      </c>
      <c r="G240" s="8">
        <f t="shared" si="9"/>
        <v>42586.621759259258</v>
      </c>
    </row>
    <row r="241" spans="1:7" x14ac:dyDescent="0.25">
      <c r="A241" s="8">
        <v>42586.626261574071</v>
      </c>
      <c r="B241" t="s">
        <v>68</v>
      </c>
      <c r="C241" t="s">
        <v>422</v>
      </c>
      <c r="D241">
        <v>2030000</v>
      </c>
      <c r="E241" t="s">
        <v>365</v>
      </c>
      <c r="F241" s="24" t="str">
        <f t="shared" si="8"/>
        <v>rtdc.l.rtdc.4018:itc</v>
      </c>
      <c r="G241" s="8">
        <f t="shared" si="9"/>
        <v>42586.626261574071</v>
      </c>
    </row>
    <row r="242" spans="1:7" x14ac:dyDescent="0.25">
      <c r="A242" s="8">
        <v>42586.80296296296</v>
      </c>
      <c r="B242" t="s">
        <v>111</v>
      </c>
      <c r="C242" t="s">
        <v>519</v>
      </c>
      <c r="D242">
        <v>1480000</v>
      </c>
      <c r="E242" t="s">
        <v>101</v>
      </c>
      <c r="F242" s="24" t="str">
        <f t="shared" si="8"/>
        <v>rtdc.l.rtdc.4008:itc</v>
      </c>
      <c r="G242" s="8">
        <f t="shared" si="9"/>
        <v>42586.80296296296</v>
      </c>
    </row>
    <row r="243" spans="1:7" x14ac:dyDescent="0.25">
      <c r="A243" s="8">
        <v>42586.579027777778</v>
      </c>
      <c r="B243" t="s">
        <v>161</v>
      </c>
      <c r="C243" t="s">
        <v>485</v>
      </c>
      <c r="D243">
        <v>910000</v>
      </c>
      <c r="E243" t="s">
        <v>597</v>
      </c>
      <c r="F243" s="24" t="str">
        <f t="shared" si="8"/>
        <v>rtdc.l.rtdc.4031:itc</v>
      </c>
      <c r="G243" s="8">
        <f t="shared" si="9"/>
        <v>42586.579027777778</v>
      </c>
    </row>
    <row r="244" spans="1:7" x14ac:dyDescent="0.25">
      <c r="A244" s="8">
        <v>42586.808969907404</v>
      </c>
      <c r="B244" t="s">
        <v>108</v>
      </c>
      <c r="C244" t="s">
        <v>430</v>
      </c>
      <c r="D244">
        <v>1290000</v>
      </c>
      <c r="E244" t="s">
        <v>148</v>
      </c>
      <c r="F244" s="24" t="str">
        <f t="shared" si="8"/>
        <v>rtdc.l.rtdc.4027:itc</v>
      </c>
      <c r="G244" s="8">
        <f t="shared" si="9"/>
        <v>42586.808969907404</v>
      </c>
    </row>
    <row r="245" spans="1:7" x14ac:dyDescent="0.25">
      <c r="A245" s="8">
        <v>42586.410937499997</v>
      </c>
      <c r="B245" t="s">
        <v>105</v>
      </c>
      <c r="C245" t="s">
        <v>449</v>
      </c>
      <c r="D245">
        <v>930000</v>
      </c>
      <c r="E245" t="s">
        <v>373</v>
      </c>
      <c r="F245" s="24" t="str">
        <f t="shared" si="8"/>
        <v>rtdc.l.rtdc.4028:itc</v>
      </c>
      <c r="G245" s="8">
        <f t="shared" si="9"/>
        <v>42586.410937499997</v>
      </c>
    </row>
    <row r="246" spans="1:7" x14ac:dyDescent="0.25">
      <c r="A246" s="8">
        <v>42586.995289351849</v>
      </c>
      <c r="B246" t="s">
        <v>149</v>
      </c>
      <c r="C246" t="s">
        <v>540</v>
      </c>
      <c r="D246">
        <v>1300000</v>
      </c>
      <c r="E246" t="s">
        <v>145</v>
      </c>
      <c r="F246" s="24" t="str">
        <f t="shared" si="8"/>
        <v>rtdc.l.rtdc.4011:itc</v>
      </c>
      <c r="G246" s="8">
        <f t="shared" si="9"/>
        <v>42586.995289351849</v>
      </c>
    </row>
    <row r="247" spans="1:7" x14ac:dyDescent="0.25">
      <c r="A247" s="8">
        <v>42587.301562499997</v>
      </c>
      <c r="B247" t="s">
        <v>69</v>
      </c>
      <c r="C247" t="s">
        <v>627</v>
      </c>
      <c r="D247">
        <v>1760000</v>
      </c>
      <c r="E247" t="s">
        <v>325</v>
      </c>
      <c r="F247" s="24" t="str">
        <f t="shared" si="8"/>
        <v>rtdc.l.rtdc.4017:itc</v>
      </c>
      <c r="G247" s="8">
        <f t="shared" si="9"/>
        <v>42587.301562499997</v>
      </c>
    </row>
    <row r="248" spans="1:7" x14ac:dyDescent="0.25">
      <c r="A248" s="8">
        <v>42587.238576388889</v>
      </c>
      <c r="B248" t="s">
        <v>293</v>
      </c>
      <c r="C248" t="s">
        <v>628</v>
      </c>
      <c r="D248">
        <v>1360000</v>
      </c>
      <c r="E248" t="s">
        <v>272</v>
      </c>
      <c r="F248" s="24" t="str">
        <f t="shared" si="8"/>
        <v>rtdc.l.rtdc.4043:itc</v>
      </c>
      <c r="G248" s="8">
        <f t="shared" si="9"/>
        <v>42587.238576388889</v>
      </c>
    </row>
    <row r="249" spans="1:7" x14ac:dyDescent="0.25">
      <c r="A249" s="8">
        <v>42587.27579861111</v>
      </c>
      <c r="B249" t="s">
        <v>132</v>
      </c>
      <c r="C249" t="s">
        <v>629</v>
      </c>
      <c r="D249">
        <v>1830000</v>
      </c>
      <c r="E249" t="s">
        <v>292</v>
      </c>
      <c r="F249" s="24" t="str">
        <f t="shared" si="8"/>
        <v>rtdc.l.rtdc.4015:itc</v>
      </c>
      <c r="G249" s="8">
        <f t="shared" si="9"/>
        <v>42587.27579861111</v>
      </c>
    </row>
    <row r="250" spans="1:7" x14ac:dyDescent="0.25">
      <c r="A250" s="8">
        <v>42586.370787037034</v>
      </c>
      <c r="B250" t="s">
        <v>102</v>
      </c>
      <c r="C250" t="s">
        <v>446</v>
      </c>
      <c r="D250">
        <v>1360000</v>
      </c>
      <c r="E250" t="s">
        <v>272</v>
      </c>
      <c r="F250" s="24" t="str">
        <f t="shared" si="8"/>
        <v>rtdc.l.rtdc.4026:itc</v>
      </c>
      <c r="G250" s="8">
        <f t="shared" si="9"/>
        <v>42586.370787037034</v>
      </c>
    </row>
    <row r="251" spans="1:7" x14ac:dyDescent="0.25">
      <c r="A251" s="8">
        <v>42587.224293981482</v>
      </c>
      <c r="B251" t="s">
        <v>188</v>
      </c>
      <c r="C251" t="s">
        <v>630</v>
      </c>
      <c r="D251">
        <v>1240000</v>
      </c>
      <c r="E251" t="s">
        <v>112</v>
      </c>
      <c r="F251" s="24" t="str">
        <f t="shared" si="8"/>
        <v>rtdc.l.rtdc.4037:itc</v>
      </c>
      <c r="G251" s="8">
        <f t="shared" si="9"/>
        <v>42587.224293981482</v>
      </c>
    </row>
    <row r="252" spans="1:7" x14ac:dyDescent="0.25">
      <c r="A252" s="8">
        <v>42586.525879629633</v>
      </c>
      <c r="B252" t="s">
        <v>106</v>
      </c>
      <c r="C252" t="s">
        <v>477</v>
      </c>
      <c r="D252">
        <v>2110000</v>
      </c>
      <c r="E252" t="s">
        <v>316</v>
      </c>
      <c r="F252" s="24" t="str">
        <f t="shared" si="8"/>
        <v>rtdc.l.rtdc.4029:itc</v>
      </c>
      <c r="G252" s="8">
        <f t="shared" si="9"/>
        <v>42586.525879629633</v>
      </c>
    </row>
    <row r="253" spans="1:7" x14ac:dyDescent="0.25">
      <c r="A253" s="8">
        <v>42586.929224537038</v>
      </c>
      <c r="B253" t="s">
        <v>113</v>
      </c>
      <c r="C253" t="s">
        <v>534</v>
      </c>
      <c r="D253">
        <v>1480000</v>
      </c>
      <c r="E253" t="s">
        <v>101</v>
      </c>
      <c r="F253" s="24" t="str">
        <f t="shared" si="8"/>
        <v>rtdc.l.rtdc.4007:itc</v>
      </c>
      <c r="G253" s="8">
        <f t="shared" si="9"/>
        <v>42586.929224537038</v>
      </c>
    </row>
    <row r="254" spans="1:7" x14ac:dyDescent="0.25">
      <c r="A254" s="8">
        <v>42586.526307870372</v>
      </c>
      <c r="B254" t="s">
        <v>69</v>
      </c>
      <c r="C254" t="s">
        <v>562</v>
      </c>
      <c r="D254">
        <v>2100000</v>
      </c>
      <c r="E254" t="s">
        <v>314</v>
      </c>
      <c r="F254" s="24" t="str">
        <f t="shared" si="8"/>
        <v>rtdc.l.rtdc.4017:itc</v>
      </c>
      <c r="G254" s="8">
        <f t="shared" si="9"/>
        <v>42586.526307870372</v>
      </c>
    </row>
    <row r="255" spans="1:7" x14ac:dyDescent="0.25">
      <c r="A255" s="8">
        <v>42586.751342592594</v>
      </c>
      <c r="B255" t="s">
        <v>188</v>
      </c>
      <c r="C255" t="s">
        <v>428</v>
      </c>
      <c r="D255">
        <v>2140000</v>
      </c>
      <c r="E255" t="s">
        <v>318</v>
      </c>
      <c r="F255" s="24" t="str">
        <f t="shared" si="8"/>
        <v>rtdc.l.rtdc.4037:itc</v>
      </c>
      <c r="G255" s="8">
        <f t="shared" si="9"/>
        <v>42586.751342592594</v>
      </c>
    </row>
    <row r="256" spans="1:7" x14ac:dyDescent="0.25">
      <c r="A256" s="8">
        <v>42586.534942129627</v>
      </c>
      <c r="B256" t="s">
        <v>188</v>
      </c>
      <c r="C256" t="s">
        <v>473</v>
      </c>
      <c r="D256">
        <v>1540000</v>
      </c>
      <c r="E256" t="s">
        <v>172</v>
      </c>
      <c r="F256" s="24" t="str">
        <f t="shared" si="8"/>
        <v>rtdc.l.rtdc.4037:itc</v>
      </c>
      <c r="G256" s="8">
        <f t="shared" si="9"/>
        <v>42586.534942129627</v>
      </c>
    </row>
    <row r="257" spans="1:7" x14ac:dyDescent="0.25">
      <c r="A257" s="8">
        <v>42586.675000000003</v>
      </c>
      <c r="B257" t="s">
        <v>106</v>
      </c>
      <c r="C257" t="s">
        <v>503</v>
      </c>
      <c r="D257">
        <v>2110000</v>
      </c>
      <c r="E257" t="s">
        <v>316</v>
      </c>
      <c r="F257" s="24" t="str">
        <f t="shared" si="8"/>
        <v>rtdc.l.rtdc.4029:itc</v>
      </c>
      <c r="G257" s="8">
        <f t="shared" si="9"/>
        <v>42586.675000000003</v>
      </c>
    </row>
    <row r="258" spans="1:7" x14ac:dyDescent="0.25">
      <c r="A258" s="8">
        <v>42586.568854166668</v>
      </c>
      <c r="B258" t="s">
        <v>69</v>
      </c>
      <c r="C258" t="s">
        <v>418</v>
      </c>
      <c r="D258">
        <v>2030000</v>
      </c>
      <c r="E258" t="s">
        <v>365</v>
      </c>
      <c r="F258" s="24" t="str">
        <f t="shared" si="8"/>
        <v>rtdc.l.rtdc.4017:itc</v>
      </c>
      <c r="G258" s="8">
        <f t="shared" si="9"/>
        <v>42586.568854166668</v>
      </c>
    </row>
    <row r="259" spans="1:7" x14ac:dyDescent="0.25">
      <c r="A259" s="8">
        <v>42586.652384259258</v>
      </c>
      <c r="B259" t="s">
        <v>161</v>
      </c>
      <c r="C259" t="s">
        <v>499</v>
      </c>
      <c r="D259">
        <v>910000</v>
      </c>
      <c r="E259" t="s">
        <v>597</v>
      </c>
      <c r="F259" s="24" t="str">
        <f t="shared" si="8"/>
        <v>rtdc.l.rtdc.4031:itc</v>
      </c>
      <c r="G259" s="8">
        <f t="shared" si="9"/>
        <v>42586.652384259258</v>
      </c>
    </row>
    <row r="260" spans="1:7" x14ac:dyDescent="0.25">
      <c r="A260" s="8">
        <v>42587.144016203703</v>
      </c>
      <c r="B260" t="s">
        <v>315</v>
      </c>
      <c r="C260" t="s">
        <v>583</v>
      </c>
      <c r="D260">
        <v>2010000</v>
      </c>
      <c r="E260" t="s">
        <v>274</v>
      </c>
      <c r="F260" s="24" t="str">
        <f t="shared" si="8"/>
        <v>rtdc.l.rtdc.4044:itc</v>
      </c>
      <c r="G260" s="8">
        <f t="shared" si="9"/>
        <v>42587.144016203703</v>
      </c>
    </row>
    <row r="261" spans="1:7" x14ac:dyDescent="0.25">
      <c r="A261" s="8">
        <v>42586.586076388892</v>
      </c>
      <c r="B261" t="s">
        <v>68</v>
      </c>
      <c r="C261" t="s">
        <v>564</v>
      </c>
      <c r="D261">
        <v>2030000</v>
      </c>
      <c r="E261" t="s">
        <v>365</v>
      </c>
      <c r="F261" s="24" t="str">
        <f t="shared" si="8"/>
        <v>rtdc.l.rtdc.4018:itc</v>
      </c>
      <c r="G261" s="8">
        <f t="shared" si="9"/>
        <v>42586.586076388892</v>
      </c>
    </row>
    <row r="262" spans="1:7" x14ac:dyDescent="0.25">
      <c r="A262" s="8">
        <v>42587.196192129632</v>
      </c>
      <c r="B262" t="s">
        <v>107</v>
      </c>
      <c r="C262" t="s">
        <v>612</v>
      </c>
      <c r="D262">
        <v>1990000</v>
      </c>
      <c r="E262" t="s">
        <v>192</v>
      </c>
      <c r="F262" s="24" t="str">
        <f t="shared" si="8"/>
        <v>rtdc.l.rtdc.4030:itc</v>
      </c>
      <c r="G262" s="8">
        <f t="shared" si="9"/>
        <v>42587.196192129632</v>
      </c>
    </row>
    <row r="263" spans="1:7" x14ac:dyDescent="0.25">
      <c r="A263" s="8">
        <v>42587.33017361111</v>
      </c>
      <c r="B263" t="s">
        <v>100</v>
      </c>
      <c r="C263" t="s">
        <v>631</v>
      </c>
      <c r="D263">
        <v>1240000</v>
      </c>
      <c r="E263" t="s">
        <v>112</v>
      </c>
      <c r="F263" s="24" t="str">
        <f t="shared" si="8"/>
        <v>rtdc.l.rtdc.4038:itc</v>
      </c>
      <c r="G263" s="8">
        <f t="shared" si="9"/>
        <v>42587.33017361111</v>
      </c>
    </row>
    <row r="264" spans="1:7" x14ac:dyDescent="0.25">
      <c r="A264" s="8">
        <v>42587.266736111109</v>
      </c>
      <c r="B264" t="s">
        <v>108</v>
      </c>
      <c r="C264" t="s">
        <v>632</v>
      </c>
      <c r="D264">
        <v>2100000</v>
      </c>
      <c r="E264" t="s">
        <v>314</v>
      </c>
      <c r="F264" s="24" t="str">
        <f t="shared" si="8"/>
        <v>rtdc.l.rtdc.4027:itc</v>
      </c>
      <c r="G264" s="8">
        <f t="shared" si="9"/>
        <v>42587.266736111109</v>
      </c>
    </row>
    <row r="265" spans="1:7" x14ac:dyDescent="0.25">
      <c r="A265" s="8">
        <v>42587.271793981483</v>
      </c>
      <c r="B265" t="s">
        <v>107</v>
      </c>
      <c r="C265" t="s">
        <v>633</v>
      </c>
      <c r="D265">
        <v>1990000</v>
      </c>
      <c r="E265" t="s">
        <v>192</v>
      </c>
      <c r="F265" s="24" t="str">
        <f t="shared" si="8"/>
        <v>rtdc.l.rtdc.4030:itc</v>
      </c>
      <c r="G265" s="8">
        <f t="shared" si="9"/>
        <v>42587.271793981483</v>
      </c>
    </row>
    <row r="266" spans="1:7" x14ac:dyDescent="0.25">
      <c r="A266" s="8">
        <v>42586.538032407407</v>
      </c>
      <c r="B266" t="s">
        <v>149</v>
      </c>
      <c r="C266" t="s">
        <v>479</v>
      </c>
      <c r="D266">
        <v>2020000</v>
      </c>
      <c r="E266" t="s">
        <v>582</v>
      </c>
      <c r="F266" s="24" t="str">
        <f t="shared" ref="F266:F281" si="10">B266</f>
        <v>rtdc.l.rtdc.4011:itc</v>
      </c>
      <c r="G266" s="8">
        <f t="shared" ref="G266:G281" si="11">A266</f>
        <v>42586.538032407407</v>
      </c>
    </row>
    <row r="267" spans="1:7" x14ac:dyDescent="0.25">
      <c r="A267" s="8">
        <v>42587.131689814814</v>
      </c>
      <c r="B267" t="s">
        <v>315</v>
      </c>
      <c r="C267" t="s">
        <v>634</v>
      </c>
      <c r="D267">
        <v>2010000</v>
      </c>
      <c r="E267" t="s">
        <v>274</v>
      </c>
      <c r="F267" s="24" t="str">
        <f t="shared" si="10"/>
        <v>rtdc.l.rtdc.4044:itc</v>
      </c>
      <c r="G267" s="8">
        <f t="shared" si="11"/>
        <v>42587.131689814814</v>
      </c>
    </row>
    <row r="268" spans="1:7" x14ac:dyDescent="0.25">
      <c r="A268" s="8">
        <v>42586.558472222219</v>
      </c>
      <c r="B268" t="s">
        <v>104</v>
      </c>
      <c r="C268" t="s">
        <v>482</v>
      </c>
      <c r="D268">
        <v>1810000</v>
      </c>
      <c r="E268" t="s">
        <v>166</v>
      </c>
      <c r="F268" s="24" t="str">
        <f t="shared" si="10"/>
        <v>rtdc.l.rtdc.4025:itc</v>
      </c>
      <c r="G268" s="8">
        <f t="shared" si="11"/>
        <v>42586.558472222219</v>
      </c>
    </row>
    <row r="269" spans="1:7" x14ac:dyDescent="0.25">
      <c r="A269" s="8">
        <v>42586.992071759261</v>
      </c>
      <c r="B269" t="s">
        <v>188</v>
      </c>
      <c r="C269" t="s">
        <v>537</v>
      </c>
      <c r="D269">
        <v>2140000</v>
      </c>
      <c r="E269" t="s">
        <v>318</v>
      </c>
      <c r="F269" s="24" t="str">
        <f t="shared" si="10"/>
        <v>rtdc.l.rtdc.4037:itc</v>
      </c>
      <c r="G269" s="8">
        <f t="shared" si="11"/>
        <v>42586.992071759261</v>
      </c>
    </row>
    <row r="270" spans="1:7" x14ac:dyDescent="0.25">
      <c r="A270" s="8">
        <v>42586.611319444448</v>
      </c>
      <c r="B270" t="s">
        <v>69</v>
      </c>
      <c r="C270" t="s">
        <v>421</v>
      </c>
      <c r="D270">
        <v>2030000</v>
      </c>
      <c r="E270" t="s">
        <v>365</v>
      </c>
      <c r="F270" s="24" t="str">
        <f t="shared" si="10"/>
        <v>rtdc.l.rtdc.4017:itc</v>
      </c>
      <c r="G270" s="8">
        <f t="shared" si="11"/>
        <v>42586.611319444448</v>
      </c>
    </row>
    <row r="271" spans="1:7" x14ac:dyDescent="0.25">
      <c r="A271" s="8">
        <v>42586.823564814818</v>
      </c>
      <c r="B271" t="s">
        <v>188</v>
      </c>
      <c r="C271" t="s">
        <v>521</v>
      </c>
      <c r="D271">
        <v>2140000</v>
      </c>
      <c r="E271" t="s">
        <v>318</v>
      </c>
      <c r="F271" s="24" t="str">
        <f t="shared" si="10"/>
        <v>rtdc.l.rtdc.4037:itc</v>
      </c>
      <c r="G271" s="8">
        <f t="shared" si="11"/>
        <v>42586.823564814818</v>
      </c>
    </row>
    <row r="272" spans="1:7" x14ac:dyDescent="0.25">
      <c r="A272" s="8">
        <v>42586.424178240741</v>
      </c>
      <c r="B272" t="s">
        <v>100</v>
      </c>
      <c r="C272" t="s">
        <v>456</v>
      </c>
      <c r="D272">
        <v>1110000</v>
      </c>
      <c r="E272" t="s">
        <v>116</v>
      </c>
      <c r="F272" s="24" t="str">
        <f t="shared" si="10"/>
        <v>rtdc.l.rtdc.4038:itc</v>
      </c>
      <c r="G272" s="8">
        <f t="shared" si="11"/>
        <v>42586.424178240741</v>
      </c>
    </row>
    <row r="273" spans="1:7" x14ac:dyDescent="0.25">
      <c r="A273" s="8">
        <v>42586.775393518517</v>
      </c>
      <c r="B273" t="s">
        <v>105</v>
      </c>
      <c r="C273" t="s">
        <v>430</v>
      </c>
      <c r="D273">
        <v>1290000</v>
      </c>
      <c r="E273" t="s">
        <v>148</v>
      </c>
      <c r="F273" s="24" t="str">
        <f t="shared" si="10"/>
        <v>rtdc.l.rtdc.4028:itc</v>
      </c>
      <c r="G273" s="8">
        <f t="shared" si="11"/>
        <v>42586.775393518517</v>
      </c>
    </row>
    <row r="274" spans="1:7" x14ac:dyDescent="0.25">
      <c r="A274" s="8">
        <v>42586.502916666665</v>
      </c>
      <c r="B274" t="s">
        <v>151</v>
      </c>
      <c r="C274" t="s">
        <v>465</v>
      </c>
      <c r="D274">
        <v>2020000</v>
      </c>
      <c r="E274" t="s">
        <v>582</v>
      </c>
      <c r="F274" s="24" t="str">
        <f t="shared" si="10"/>
        <v>rtdc.l.rtdc.4012:itc</v>
      </c>
      <c r="G274" s="8">
        <f t="shared" si="11"/>
        <v>42586.502916666665</v>
      </c>
    </row>
    <row r="275" spans="1:7" x14ac:dyDescent="0.25">
      <c r="A275" s="8">
        <v>42586.735891203702</v>
      </c>
      <c r="B275" t="s">
        <v>108</v>
      </c>
      <c r="C275" t="s">
        <v>514</v>
      </c>
      <c r="D275">
        <v>1290000</v>
      </c>
      <c r="E275" t="s">
        <v>148</v>
      </c>
      <c r="F275" s="24" t="str">
        <f t="shared" si="10"/>
        <v>rtdc.l.rtdc.4027:itc</v>
      </c>
      <c r="G275" s="8">
        <f t="shared" si="11"/>
        <v>42586.735891203702</v>
      </c>
    </row>
    <row r="276" spans="1:7" x14ac:dyDescent="0.25">
      <c r="A276" s="8">
        <v>42586.621979166666</v>
      </c>
      <c r="B276" t="s">
        <v>105</v>
      </c>
      <c r="C276" t="s">
        <v>488</v>
      </c>
      <c r="D276">
        <v>2150000</v>
      </c>
      <c r="E276" t="s">
        <v>291</v>
      </c>
      <c r="F276" s="24" t="str">
        <f t="shared" si="10"/>
        <v>rtdc.l.rtdc.4028:itc</v>
      </c>
      <c r="G276" s="8">
        <f t="shared" si="11"/>
        <v>42586.621979166666</v>
      </c>
    </row>
    <row r="277" spans="1:7" x14ac:dyDescent="0.25">
      <c r="A277" s="8">
        <v>42586.673819444448</v>
      </c>
      <c r="B277" t="s">
        <v>106</v>
      </c>
      <c r="C277" t="s">
        <v>503</v>
      </c>
      <c r="D277">
        <v>2110000</v>
      </c>
      <c r="E277" t="s">
        <v>316</v>
      </c>
      <c r="F277" s="24" t="str">
        <f t="shared" si="10"/>
        <v>rtdc.l.rtdc.4029:itc</v>
      </c>
      <c r="G277" s="8">
        <f t="shared" si="11"/>
        <v>42586.673819444448</v>
      </c>
    </row>
    <row r="278" spans="1:7" x14ac:dyDescent="0.25">
      <c r="A278" s="8">
        <v>42586.682060185187</v>
      </c>
      <c r="B278" t="s">
        <v>188</v>
      </c>
      <c r="C278" t="s">
        <v>498</v>
      </c>
      <c r="D278">
        <v>1540000</v>
      </c>
      <c r="E278" t="s">
        <v>172</v>
      </c>
      <c r="F278" s="24" t="str">
        <f t="shared" si="10"/>
        <v>rtdc.l.rtdc.4037:itc</v>
      </c>
      <c r="G278" s="8">
        <f t="shared" si="11"/>
        <v>42586.682060185187</v>
      </c>
    </row>
    <row r="279" spans="1:7" x14ac:dyDescent="0.25">
      <c r="A279" s="8">
        <v>42586.661736111113</v>
      </c>
      <c r="B279" t="s">
        <v>75</v>
      </c>
      <c r="C279" t="s">
        <v>423</v>
      </c>
      <c r="D279">
        <v>2090000</v>
      </c>
      <c r="E279" t="s">
        <v>313</v>
      </c>
      <c r="F279" s="24" t="str">
        <f t="shared" si="10"/>
        <v>rtdc.l.rtdc.4042:itc</v>
      </c>
      <c r="G279" s="8">
        <f t="shared" si="11"/>
        <v>42586.661736111113</v>
      </c>
    </row>
    <row r="280" spans="1:7" x14ac:dyDescent="0.25">
      <c r="A280" s="8">
        <v>42586.766342592593</v>
      </c>
      <c r="B280" t="s">
        <v>144</v>
      </c>
      <c r="C280" t="s">
        <v>572</v>
      </c>
      <c r="D280">
        <v>2090000</v>
      </c>
      <c r="E280" t="s">
        <v>313</v>
      </c>
      <c r="F280" s="24" t="str">
        <f t="shared" si="10"/>
        <v>rtdc.l.rtdc.4041:itc</v>
      </c>
      <c r="G280" s="8">
        <f t="shared" si="11"/>
        <v>42586.766342592593</v>
      </c>
    </row>
    <row r="281" spans="1:7" x14ac:dyDescent="0.25">
      <c r="A281" s="8">
        <v>42586.54173611111</v>
      </c>
      <c r="B281" t="s">
        <v>162</v>
      </c>
      <c r="C281" t="s">
        <v>417</v>
      </c>
      <c r="D281">
        <v>910000</v>
      </c>
      <c r="E281" t="s">
        <v>597</v>
      </c>
      <c r="F281" s="24" t="str">
        <f t="shared" si="10"/>
        <v>rtdc.l.rtdc.4032:itc</v>
      </c>
      <c r="G281" s="8">
        <f t="shared" si="11"/>
        <v>42586.54173611111</v>
      </c>
    </row>
    <row r="282" spans="1:7" x14ac:dyDescent="0.25">
      <c r="A282" s="8">
        <v>42587.039178240739</v>
      </c>
      <c r="B282" t="s">
        <v>151</v>
      </c>
      <c r="C282" t="s">
        <v>541</v>
      </c>
      <c r="D282">
        <v>1300000</v>
      </c>
      <c r="E282" t="s">
        <v>145</v>
      </c>
      <c r="F282" s="24" t="str">
        <f t="shared" ref="F282:F345" si="12">B282</f>
        <v>rtdc.l.rtdc.4012:itc</v>
      </c>
      <c r="G282" s="8">
        <f t="shared" ref="G282:G345" si="13">A282</f>
        <v>42587.039178240739</v>
      </c>
    </row>
    <row r="283" spans="1:7" x14ac:dyDescent="0.25">
      <c r="A283" s="8">
        <v>42586.309953703705</v>
      </c>
      <c r="B283" t="s">
        <v>106</v>
      </c>
      <c r="C283" t="s">
        <v>440</v>
      </c>
      <c r="D283">
        <v>1090000</v>
      </c>
      <c r="E283" t="s">
        <v>110</v>
      </c>
      <c r="F283" s="24" t="str">
        <f t="shared" si="12"/>
        <v>rtdc.l.rtdc.4029:itc</v>
      </c>
      <c r="G283" s="8">
        <f t="shared" si="13"/>
        <v>42586.309953703705</v>
      </c>
    </row>
    <row r="284" spans="1:7" x14ac:dyDescent="0.25">
      <c r="A284" s="8">
        <v>42587.187071759261</v>
      </c>
      <c r="B284" t="s">
        <v>67</v>
      </c>
      <c r="C284" t="s">
        <v>635</v>
      </c>
      <c r="D284">
        <v>1310000</v>
      </c>
      <c r="E284" t="s">
        <v>371</v>
      </c>
      <c r="F284" s="24" t="str">
        <f t="shared" si="12"/>
        <v>rtdc.l.rtdc.4020:itc</v>
      </c>
      <c r="G284" s="8">
        <f t="shared" si="13"/>
        <v>42587.187071759261</v>
      </c>
    </row>
    <row r="285" spans="1:7" x14ac:dyDescent="0.25">
      <c r="A285" s="8">
        <v>42586.296631944446</v>
      </c>
      <c r="B285" t="s">
        <v>144</v>
      </c>
      <c r="C285" t="s">
        <v>382</v>
      </c>
      <c r="D285">
        <v>1830000</v>
      </c>
      <c r="E285" t="s">
        <v>292</v>
      </c>
      <c r="F285" s="24" t="str">
        <f t="shared" si="12"/>
        <v>rtdc.l.rtdc.4041:itc</v>
      </c>
      <c r="G285" s="8">
        <f t="shared" si="13"/>
        <v>42586.296631944446</v>
      </c>
    </row>
    <row r="286" spans="1:7" x14ac:dyDescent="0.25">
      <c r="A286" s="8">
        <v>42586.404467592591</v>
      </c>
      <c r="B286" t="s">
        <v>113</v>
      </c>
      <c r="C286" t="s">
        <v>411</v>
      </c>
      <c r="D286">
        <v>1760000</v>
      </c>
      <c r="E286" t="s">
        <v>325</v>
      </c>
      <c r="F286" s="24" t="str">
        <f t="shared" si="12"/>
        <v>rtdc.l.rtdc.4007:itc</v>
      </c>
      <c r="G286" s="8">
        <f t="shared" si="13"/>
        <v>42586.404467592591</v>
      </c>
    </row>
    <row r="287" spans="1:7" x14ac:dyDescent="0.25">
      <c r="A287" s="8">
        <v>42586.21702546296</v>
      </c>
      <c r="B287" t="s">
        <v>161</v>
      </c>
      <c r="C287" t="s">
        <v>366</v>
      </c>
      <c r="D287">
        <v>2010000</v>
      </c>
      <c r="E287" t="s">
        <v>274</v>
      </c>
      <c r="F287" s="24" t="str">
        <f t="shared" si="12"/>
        <v>rtdc.l.rtdc.4031:itc</v>
      </c>
      <c r="G287" s="8">
        <f t="shared" si="13"/>
        <v>42586.21702546296</v>
      </c>
    </row>
    <row r="288" spans="1:7" x14ac:dyDescent="0.25">
      <c r="A288" s="8">
        <v>42586.551099537035</v>
      </c>
      <c r="B288" t="s">
        <v>105</v>
      </c>
      <c r="C288" t="s">
        <v>476</v>
      </c>
      <c r="D288">
        <v>2150000</v>
      </c>
      <c r="E288" t="s">
        <v>291</v>
      </c>
      <c r="F288" s="24" t="str">
        <f t="shared" si="12"/>
        <v>rtdc.l.rtdc.4028:itc</v>
      </c>
      <c r="G288" s="8">
        <f t="shared" si="13"/>
        <v>42586.551099537035</v>
      </c>
    </row>
    <row r="289" spans="1:7" x14ac:dyDescent="0.25">
      <c r="A289" s="8">
        <v>42586.214467592596</v>
      </c>
      <c r="B289" t="s">
        <v>188</v>
      </c>
      <c r="C289" t="s">
        <v>383</v>
      </c>
      <c r="D289">
        <v>1310000</v>
      </c>
      <c r="E289" t="s">
        <v>371</v>
      </c>
      <c r="F289" s="24" t="str">
        <f t="shared" si="12"/>
        <v>rtdc.l.rtdc.4037:itc</v>
      </c>
      <c r="G289" s="8">
        <f t="shared" si="13"/>
        <v>42586.214467592596</v>
      </c>
    </row>
    <row r="290" spans="1:7" x14ac:dyDescent="0.25">
      <c r="A290" s="8">
        <v>42586.63208333333</v>
      </c>
      <c r="B290" t="s">
        <v>104</v>
      </c>
      <c r="C290" t="s">
        <v>495</v>
      </c>
      <c r="D290">
        <v>1810000</v>
      </c>
      <c r="E290" t="s">
        <v>166</v>
      </c>
      <c r="F290" s="24" t="str">
        <f t="shared" si="12"/>
        <v>rtdc.l.rtdc.4025:itc</v>
      </c>
      <c r="G290" s="8">
        <f t="shared" si="13"/>
        <v>42586.63208333333</v>
      </c>
    </row>
    <row r="291" spans="1:7" x14ac:dyDescent="0.25">
      <c r="A291" s="8">
        <v>42586.213865740741</v>
      </c>
      <c r="B291" t="s">
        <v>188</v>
      </c>
      <c r="C291" t="s">
        <v>383</v>
      </c>
      <c r="D291">
        <v>1310000</v>
      </c>
      <c r="E291" t="s">
        <v>371</v>
      </c>
      <c r="F291" s="24" t="str">
        <f t="shared" si="12"/>
        <v>rtdc.l.rtdc.4037:itc</v>
      </c>
      <c r="G291" s="8">
        <f t="shared" si="13"/>
        <v>42586.213865740741</v>
      </c>
    </row>
    <row r="292" spans="1:7" x14ac:dyDescent="0.25">
      <c r="A292" s="8">
        <v>42586.735763888886</v>
      </c>
      <c r="B292" t="s">
        <v>111</v>
      </c>
      <c r="C292" t="s">
        <v>508</v>
      </c>
      <c r="D292">
        <v>2040000</v>
      </c>
      <c r="E292" t="s">
        <v>362</v>
      </c>
      <c r="F292" s="24" t="str">
        <f t="shared" si="12"/>
        <v>rtdc.l.rtdc.4008:itc</v>
      </c>
      <c r="G292" s="8">
        <f t="shared" si="13"/>
        <v>42586.735763888886</v>
      </c>
    </row>
    <row r="293" spans="1:7" x14ac:dyDescent="0.25">
      <c r="A293" s="8">
        <v>42586.13212962963</v>
      </c>
      <c r="B293" t="s">
        <v>67</v>
      </c>
      <c r="C293" t="s">
        <v>384</v>
      </c>
      <c r="D293">
        <v>2010000</v>
      </c>
      <c r="E293" t="s">
        <v>274</v>
      </c>
      <c r="F293" s="24" t="str">
        <f t="shared" si="12"/>
        <v>rtdc.l.rtdc.4020:itc</v>
      </c>
      <c r="G293" s="8">
        <f t="shared" si="13"/>
        <v>42586.13212962963</v>
      </c>
    </row>
    <row r="294" spans="1:7" x14ac:dyDescent="0.25">
      <c r="A294" s="8">
        <v>42586.743715277778</v>
      </c>
      <c r="B294" t="s">
        <v>75</v>
      </c>
      <c r="C294" t="s">
        <v>571</v>
      </c>
      <c r="D294">
        <v>2090000</v>
      </c>
      <c r="E294" t="s">
        <v>313</v>
      </c>
      <c r="F294" s="24" t="str">
        <f t="shared" si="12"/>
        <v>rtdc.l.rtdc.4042:itc</v>
      </c>
      <c r="G294" s="8">
        <f t="shared" si="13"/>
        <v>42586.743715277778</v>
      </c>
    </row>
    <row r="295" spans="1:7" x14ac:dyDescent="0.25">
      <c r="A295" s="8">
        <v>42586.089085648149</v>
      </c>
      <c r="B295" t="s">
        <v>363</v>
      </c>
      <c r="C295" t="s">
        <v>356</v>
      </c>
      <c r="D295">
        <v>1290000</v>
      </c>
      <c r="E295" t="s">
        <v>148</v>
      </c>
      <c r="F295" s="24" t="str">
        <f t="shared" si="12"/>
        <v>rtdc.l.rtdc.4040:itc</v>
      </c>
      <c r="G295" s="8">
        <f t="shared" si="13"/>
        <v>42586.089085648149</v>
      </c>
    </row>
    <row r="296" spans="1:7" x14ac:dyDescent="0.25">
      <c r="A296" s="8">
        <v>42586.74386574074</v>
      </c>
      <c r="B296" t="s">
        <v>68</v>
      </c>
      <c r="C296" t="s">
        <v>426</v>
      </c>
      <c r="D296">
        <v>2030000</v>
      </c>
      <c r="E296" t="s">
        <v>365</v>
      </c>
      <c r="F296" s="24" t="str">
        <f t="shared" si="12"/>
        <v>rtdc.l.rtdc.4018:itc</v>
      </c>
      <c r="G296" s="8">
        <f t="shared" si="13"/>
        <v>42586.74386574074</v>
      </c>
    </row>
    <row r="297" spans="1:7" x14ac:dyDescent="0.25">
      <c r="A297" s="8">
        <v>42586.047453703701</v>
      </c>
      <c r="B297" t="s">
        <v>155</v>
      </c>
      <c r="C297" t="s">
        <v>355</v>
      </c>
      <c r="D297">
        <v>2090000</v>
      </c>
      <c r="E297" t="s">
        <v>313</v>
      </c>
      <c r="F297" s="24" t="str">
        <f t="shared" si="12"/>
        <v>rtdc.l.rtdc.4014:itc</v>
      </c>
      <c r="G297" s="8">
        <f t="shared" si="13"/>
        <v>42586.047453703701</v>
      </c>
    </row>
    <row r="298" spans="1:7" x14ac:dyDescent="0.25">
      <c r="A298" s="8">
        <v>42586.883356481485</v>
      </c>
      <c r="B298" t="s">
        <v>68</v>
      </c>
      <c r="C298" t="s">
        <v>577</v>
      </c>
      <c r="D298">
        <v>2000000</v>
      </c>
      <c r="E298" t="s">
        <v>305</v>
      </c>
      <c r="F298" s="24" t="str">
        <f t="shared" si="12"/>
        <v>rtdc.l.rtdc.4018:itc</v>
      </c>
      <c r="G298" s="8">
        <f t="shared" si="13"/>
        <v>42586.883356481485</v>
      </c>
    </row>
    <row r="299" spans="1:7" x14ac:dyDescent="0.25">
      <c r="A299" s="8">
        <v>42586.017835648148</v>
      </c>
      <c r="B299" t="s">
        <v>363</v>
      </c>
      <c r="C299" t="s">
        <v>352</v>
      </c>
      <c r="D299">
        <v>1290000</v>
      </c>
      <c r="E299" t="s">
        <v>148</v>
      </c>
      <c r="F299" s="24" t="str">
        <f t="shared" si="12"/>
        <v>rtdc.l.rtdc.4040:itc</v>
      </c>
      <c r="G299" s="8">
        <f t="shared" si="13"/>
        <v>42586.017835648148</v>
      </c>
    </row>
    <row r="300" spans="1:7" x14ac:dyDescent="0.25">
      <c r="A300" s="8">
        <v>42586.932256944441</v>
      </c>
      <c r="B300" t="s">
        <v>105</v>
      </c>
      <c r="C300" t="s">
        <v>531</v>
      </c>
      <c r="D300">
        <v>1290000</v>
      </c>
      <c r="E300" t="s">
        <v>148</v>
      </c>
      <c r="F300" s="24" t="str">
        <f t="shared" si="12"/>
        <v>rtdc.l.rtdc.4028:itc</v>
      </c>
      <c r="G300" s="8">
        <f t="shared" si="13"/>
        <v>42586.932256944441</v>
      </c>
    </row>
    <row r="301" spans="1:7" x14ac:dyDescent="0.25">
      <c r="A301" s="8">
        <v>42585.93472222222</v>
      </c>
      <c r="B301" t="s">
        <v>363</v>
      </c>
      <c r="C301" t="s">
        <v>343</v>
      </c>
      <c r="D301">
        <v>1290000</v>
      </c>
      <c r="E301" t="s">
        <v>148</v>
      </c>
      <c r="F301" s="24" t="str">
        <f t="shared" si="12"/>
        <v>rtdc.l.rtdc.4040:itc</v>
      </c>
      <c r="G301" s="8">
        <f t="shared" si="13"/>
        <v>42585.93472222222</v>
      </c>
    </row>
    <row r="302" spans="1:7" x14ac:dyDescent="0.25">
      <c r="A302" s="8">
        <v>42587.055300925924</v>
      </c>
      <c r="B302" t="s">
        <v>111</v>
      </c>
      <c r="C302" t="s">
        <v>543</v>
      </c>
      <c r="D302">
        <v>1480000</v>
      </c>
      <c r="E302" t="s">
        <v>101</v>
      </c>
      <c r="F302" s="24" t="str">
        <f t="shared" si="12"/>
        <v>rtdc.l.rtdc.4008:itc</v>
      </c>
      <c r="G302" s="8">
        <f t="shared" si="13"/>
        <v>42587.055300925924</v>
      </c>
    </row>
    <row r="303" spans="1:7" x14ac:dyDescent="0.25">
      <c r="A303" s="8">
        <v>42585.908206018517</v>
      </c>
      <c r="B303" t="s">
        <v>102</v>
      </c>
      <c r="C303" t="s">
        <v>339</v>
      </c>
      <c r="D303">
        <v>1480000</v>
      </c>
      <c r="E303" t="s">
        <v>101</v>
      </c>
      <c r="F303" s="24" t="str">
        <f t="shared" si="12"/>
        <v>rtdc.l.rtdc.4026:itc</v>
      </c>
      <c r="G303" s="8">
        <f t="shared" si="13"/>
        <v>42585.908206018517</v>
      </c>
    </row>
    <row r="304" spans="1:7" x14ac:dyDescent="0.25">
      <c r="A304" s="8">
        <v>42587.176805555559</v>
      </c>
      <c r="B304" t="s">
        <v>67</v>
      </c>
      <c r="C304" t="s">
        <v>635</v>
      </c>
      <c r="D304">
        <v>1310000</v>
      </c>
      <c r="E304" t="s">
        <v>371</v>
      </c>
      <c r="F304" s="24" t="str">
        <f t="shared" si="12"/>
        <v>rtdc.l.rtdc.4020:itc</v>
      </c>
      <c r="G304" s="8">
        <f t="shared" si="13"/>
        <v>42587.176805555559</v>
      </c>
    </row>
    <row r="305" spans="1:7" x14ac:dyDescent="0.25">
      <c r="A305" s="8">
        <v>42585.889525462961</v>
      </c>
      <c r="B305" t="s">
        <v>317</v>
      </c>
      <c r="C305" t="s">
        <v>337</v>
      </c>
      <c r="D305">
        <v>1290000</v>
      </c>
      <c r="E305" t="s">
        <v>148</v>
      </c>
      <c r="F305" s="24" t="str">
        <f t="shared" si="12"/>
        <v>rtdc.l.rtdc.4039:itc</v>
      </c>
      <c r="G305" s="8">
        <f t="shared" si="13"/>
        <v>42585.889525462961</v>
      </c>
    </row>
    <row r="306" spans="1:7" x14ac:dyDescent="0.25">
      <c r="A306" s="8">
        <v>42587.35328703704</v>
      </c>
      <c r="B306" t="s">
        <v>315</v>
      </c>
      <c r="C306" t="s">
        <v>636</v>
      </c>
      <c r="D306">
        <v>1360000</v>
      </c>
      <c r="E306" t="s">
        <v>272</v>
      </c>
      <c r="F306" s="24" t="str">
        <f t="shared" si="12"/>
        <v>rtdc.l.rtdc.4044:itc</v>
      </c>
      <c r="G306" s="8">
        <f t="shared" si="13"/>
        <v>42587.35328703704</v>
      </c>
    </row>
    <row r="307" spans="1:7" x14ac:dyDescent="0.25">
      <c r="A307" s="8">
        <v>42586.715601851851</v>
      </c>
      <c r="B307" t="s">
        <v>144</v>
      </c>
      <c r="C307" t="s">
        <v>569</v>
      </c>
      <c r="D307">
        <v>2090000</v>
      </c>
      <c r="E307" t="s">
        <v>313</v>
      </c>
      <c r="F307" s="24" t="str">
        <f t="shared" si="12"/>
        <v>rtdc.l.rtdc.4041:itc</v>
      </c>
      <c r="G307" s="8">
        <f t="shared" si="13"/>
        <v>42586.715601851851</v>
      </c>
    </row>
    <row r="308" spans="1:7" x14ac:dyDescent="0.25">
      <c r="F308" s="24">
        <f t="shared" si="12"/>
        <v>0</v>
      </c>
      <c r="G308" s="8">
        <f t="shared" si="13"/>
        <v>0</v>
      </c>
    </row>
    <row r="309" spans="1:7" x14ac:dyDescent="0.25">
      <c r="A309" s="8">
        <v>42579.120023148149</v>
      </c>
      <c r="B309" t="s">
        <v>293</v>
      </c>
      <c r="C309" t="s">
        <v>294</v>
      </c>
      <c r="D309">
        <v>2010000</v>
      </c>
      <c r="E309" t="s">
        <v>274</v>
      </c>
      <c r="F309" s="24" t="str">
        <f t="shared" si="12"/>
        <v>rtdc.l.rtdc.4043:itc</v>
      </c>
      <c r="G309" s="8">
        <f t="shared" si="13"/>
        <v>42579.120023148149</v>
      </c>
    </row>
    <row r="310" spans="1:7" x14ac:dyDescent="0.25">
      <c r="A310" s="8">
        <v>42577.944664351853</v>
      </c>
      <c r="B310" t="s">
        <v>188</v>
      </c>
      <c r="C310" t="s">
        <v>268</v>
      </c>
      <c r="D310">
        <v>1480000</v>
      </c>
      <c r="E310" t="s">
        <v>101</v>
      </c>
      <c r="F310" s="24" t="str">
        <f t="shared" si="12"/>
        <v>rtdc.l.rtdc.4037:itc</v>
      </c>
      <c r="G310" s="8">
        <f t="shared" si="13"/>
        <v>42577.944664351853</v>
      </c>
    </row>
    <row r="311" spans="1:7" x14ac:dyDescent="0.25">
      <c r="A311" s="8">
        <v>42579.134675925925</v>
      </c>
      <c r="B311" t="s">
        <v>68</v>
      </c>
      <c r="C311" t="s">
        <v>295</v>
      </c>
      <c r="D311">
        <v>2010000</v>
      </c>
      <c r="E311" t="s">
        <v>274</v>
      </c>
      <c r="F311" s="24" t="str">
        <f t="shared" si="12"/>
        <v>rtdc.l.rtdc.4018:itc</v>
      </c>
      <c r="G311" s="8">
        <f t="shared" si="13"/>
        <v>42579.134675925925</v>
      </c>
    </row>
    <row r="312" spans="1:7" x14ac:dyDescent="0.25">
      <c r="A312" s="8">
        <v>42577.909143518518</v>
      </c>
      <c r="B312" t="s">
        <v>69</v>
      </c>
      <c r="C312" t="s">
        <v>246</v>
      </c>
      <c r="D312">
        <v>1180000</v>
      </c>
      <c r="E312" t="s">
        <v>191</v>
      </c>
      <c r="F312" s="24" t="str">
        <f t="shared" si="12"/>
        <v>rtdc.l.rtdc.4017:itc</v>
      </c>
      <c r="G312" s="8">
        <f t="shared" si="13"/>
        <v>42577.909143518518</v>
      </c>
    </row>
    <row r="313" spans="1:7" x14ac:dyDescent="0.25">
      <c r="A313" s="8">
        <v>42579.169074074074</v>
      </c>
      <c r="B313" t="s">
        <v>293</v>
      </c>
      <c r="C313" t="s">
        <v>296</v>
      </c>
      <c r="D313">
        <v>2010000</v>
      </c>
      <c r="E313" t="s">
        <v>274</v>
      </c>
      <c r="F313" s="24" t="str">
        <f t="shared" si="12"/>
        <v>rtdc.l.rtdc.4043:itc</v>
      </c>
      <c r="G313" s="8">
        <f t="shared" si="13"/>
        <v>42579.169074074074</v>
      </c>
    </row>
    <row r="314" spans="1:7" x14ac:dyDescent="0.25">
      <c r="A314" s="8">
        <v>42577.903113425928</v>
      </c>
      <c r="B314" t="s">
        <v>188</v>
      </c>
      <c r="C314" t="s">
        <v>265</v>
      </c>
      <c r="D314">
        <v>1480000</v>
      </c>
      <c r="E314" t="s">
        <v>101</v>
      </c>
      <c r="F314" s="24" t="str">
        <f t="shared" si="12"/>
        <v>rtdc.l.rtdc.4037:itc</v>
      </c>
      <c r="G314" s="8">
        <f t="shared" si="13"/>
        <v>42577.903113425928</v>
      </c>
    </row>
    <row r="315" spans="1:7" x14ac:dyDescent="0.25">
      <c r="A315" s="8">
        <v>42579.25509259259</v>
      </c>
      <c r="B315" t="s">
        <v>66</v>
      </c>
      <c r="C315" t="s">
        <v>297</v>
      </c>
      <c r="D315">
        <v>1830000</v>
      </c>
      <c r="E315" t="s">
        <v>292</v>
      </c>
      <c r="F315" s="24" t="str">
        <f t="shared" si="12"/>
        <v>rtdc.l.rtdc.4019:itc</v>
      </c>
      <c r="G315" s="8">
        <f t="shared" si="13"/>
        <v>42579.25509259259</v>
      </c>
    </row>
    <row r="316" spans="1:7" x14ac:dyDescent="0.25">
      <c r="A316" s="8">
        <v>42577.821203703701</v>
      </c>
      <c r="B316" t="s">
        <v>106</v>
      </c>
      <c r="C316" t="s">
        <v>249</v>
      </c>
      <c r="D316">
        <v>950000</v>
      </c>
      <c r="E316" t="s">
        <v>269</v>
      </c>
      <c r="F316" s="24" t="str">
        <f t="shared" si="12"/>
        <v>rtdc.l.rtdc.4029:itc</v>
      </c>
      <c r="G316" s="8">
        <f t="shared" si="13"/>
        <v>42577.821203703701</v>
      </c>
    </row>
    <row r="317" spans="1:7" x14ac:dyDescent="0.25">
      <c r="A317" s="8">
        <v>42579.297511574077</v>
      </c>
      <c r="B317" t="s">
        <v>66</v>
      </c>
      <c r="C317" t="s">
        <v>298</v>
      </c>
      <c r="D317">
        <v>1830000</v>
      </c>
      <c r="E317" t="s">
        <v>292</v>
      </c>
      <c r="F317" s="24" t="str">
        <f t="shared" si="12"/>
        <v>rtdc.l.rtdc.4019:itc</v>
      </c>
      <c r="G317" s="8">
        <f t="shared" si="13"/>
        <v>42579.297511574077</v>
      </c>
    </row>
    <row r="318" spans="1:7" x14ac:dyDescent="0.25">
      <c r="A318" s="8">
        <v>42578.473680555559</v>
      </c>
      <c r="B318" t="s">
        <v>142</v>
      </c>
      <c r="C318" t="s">
        <v>289</v>
      </c>
      <c r="D318">
        <v>1110000</v>
      </c>
      <c r="E318" t="s">
        <v>116</v>
      </c>
      <c r="F318" s="24" t="str">
        <f t="shared" si="12"/>
        <v>rtdc.l.rtdc.4010:itc</v>
      </c>
      <c r="G318" s="8">
        <f t="shared" si="13"/>
        <v>42578.473680555559</v>
      </c>
    </row>
    <row r="319" spans="1:7" x14ac:dyDescent="0.25">
      <c r="F319" s="24">
        <f t="shared" si="12"/>
        <v>0</v>
      </c>
      <c r="G319" s="8">
        <f t="shared" si="13"/>
        <v>0</v>
      </c>
    </row>
    <row r="320" spans="1:7" x14ac:dyDescent="0.25">
      <c r="A320" s="8">
        <v>42577.30159722222</v>
      </c>
      <c r="B320" t="s">
        <v>100</v>
      </c>
      <c r="C320" t="s">
        <v>251</v>
      </c>
      <c r="D320">
        <v>1300000</v>
      </c>
      <c r="E320" t="s">
        <v>145</v>
      </c>
      <c r="F320" s="24" t="str">
        <f t="shared" si="12"/>
        <v>rtdc.l.rtdc.4038:itc</v>
      </c>
      <c r="G320" s="8">
        <f t="shared" si="13"/>
        <v>42577.30159722222</v>
      </c>
    </row>
    <row r="321" spans="1:7" x14ac:dyDescent="0.25">
      <c r="A321" s="8">
        <v>42578.120092592595</v>
      </c>
      <c r="B321" t="s">
        <v>162</v>
      </c>
      <c r="C321" t="s">
        <v>273</v>
      </c>
      <c r="D321">
        <v>2010000</v>
      </c>
      <c r="E321" t="s">
        <v>274</v>
      </c>
      <c r="F321" s="24" t="str">
        <f t="shared" si="12"/>
        <v>rtdc.l.rtdc.4032:itc</v>
      </c>
      <c r="G321" s="8">
        <f t="shared" si="13"/>
        <v>42578.120092592595</v>
      </c>
    </row>
    <row r="322" spans="1:7" x14ac:dyDescent="0.25">
      <c r="A322" s="8">
        <v>42577.302418981482</v>
      </c>
      <c r="B322" t="s">
        <v>162</v>
      </c>
      <c r="C322" t="s">
        <v>220</v>
      </c>
      <c r="D322">
        <v>1750000</v>
      </c>
      <c r="E322" t="s">
        <v>171</v>
      </c>
      <c r="F322" s="24" t="str">
        <f t="shared" si="12"/>
        <v>rtdc.l.rtdc.4032:itc</v>
      </c>
      <c r="G322" s="8">
        <f t="shared" si="13"/>
        <v>42577.302418981482</v>
      </c>
    </row>
    <row r="323" spans="1:7" x14ac:dyDescent="0.25">
      <c r="A323" s="8">
        <v>42577.993136574078</v>
      </c>
      <c r="B323" t="s">
        <v>69</v>
      </c>
      <c r="C323" t="s">
        <v>247</v>
      </c>
      <c r="D323">
        <v>1180000</v>
      </c>
      <c r="E323" t="s">
        <v>191</v>
      </c>
      <c r="F323" s="24" t="str">
        <f t="shared" si="12"/>
        <v>rtdc.l.rtdc.4017:itc</v>
      </c>
      <c r="G323" s="8">
        <f t="shared" si="13"/>
        <v>42577.993136574078</v>
      </c>
    </row>
    <row r="324" spans="1:7" x14ac:dyDescent="0.25">
      <c r="A324" s="8">
        <v>42577.313171296293</v>
      </c>
      <c r="B324" t="s">
        <v>105</v>
      </c>
      <c r="C324" t="s">
        <v>203</v>
      </c>
      <c r="D324">
        <v>1100000</v>
      </c>
      <c r="E324" t="s">
        <v>154</v>
      </c>
      <c r="F324" s="24" t="str">
        <f t="shared" si="12"/>
        <v>rtdc.l.rtdc.4028:itc</v>
      </c>
      <c r="G324" s="8">
        <f t="shared" si="13"/>
        <v>42577.313171296293</v>
      </c>
    </row>
    <row r="325" spans="1:7" x14ac:dyDescent="0.25">
      <c r="A325" s="8">
        <v>42577.944664351853</v>
      </c>
      <c r="B325" t="s">
        <v>188</v>
      </c>
      <c r="C325" t="s">
        <v>268</v>
      </c>
      <c r="D325">
        <v>1480000</v>
      </c>
      <c r="E325" t="s">
        <v>101</v>
      </c>
      <c r="F325" s="24" t="str">
        <f t="shared" si="12"/>
        <v>rtdc.l.rtdc.4037:itc</v>
      </c>
      <c r="G325" s="8">
        <f t="shared" si="13"/>
        <v>42577.944664351853</v>
      </c>
    </row>
    <row r="326" spans="1:7" x14ac:dyDescent="0.25">
      <c r="A326" s="8">
        <v>42577.338888888888</v>
      </c>
      <c r="B326" t="s">
        <v>161</v>
      </c>
      <c r="C326" t="s">
        <v>221</v>
      </c>
      <c r="D326">
        <v>1750000</v>
      </c>
      <c r="E326" t="s">
        <v>171</v>
      </c>
      <c r="F326" s="24" t="str">
        <f t="shared" si="12"/>
        <v>rtdc.l.rtdc.4031:itc</v>
      </c>
      <c r="G326" s="8">
        <f t="shared" si="13"/>
        <v>42577.338888888888</v>
      </c>
    </row>
    <row r="327" spans="1:7" x14ac:dyDescent="0.25">
      <c r="A327" s="8">
        <v>42577.909143518518</v>
      </c>
      <c r="B327" t="s">
        <v>69</v>
      </c>
      <c r="C327" t="s">
        <v>246</v>
      </c>
      <c r="D327">
        <v>1180000</v>
      </c>
      <c r="E327" t="s">
        <v>191</v>
      </c>
      <c r="F327" s="24" t="str">
        <f t="shared" si="12"/>
        <v>rtdc.l.rtdc.4017:itc</v>
      </c>
      <c r="G327" s="8">
        <f t="shared" si="13"/>
        <v>42577.909143518518</v>
      </c>
    </row>
    <row r="328" spans="1:7" x14ac:dyDescent="0.25">
      <c r="A328" s="8">
        <v>42577.349826388891</v>
      </c>
      <c r="B328" t="s">
        <v>107</v>
      </c>
      <c r="C328" t="s">
        <v>204</v>
      </c>
      <c r="D328">
        <v>1260000</v>
      </c>
      <c r="E328" t="s">
        <v>170</v>
      </c>
      <c r="F328" s="24" t="str">
        <f t="shared" si="12"/>
        <v>rtdc.l.rtdc.4030:itc</v>
      </c>
      <c r="G328" s="8">
        <f t="shared" si="13"/>
        <v>42577.349826388891</v>
      </c>
    </row>
    <row r="329" spans="1:7" x14ac:dyDescent="0.25">
      <c r="A329" s="8">
        <v>42577.903113425928</v>
      </c>
      <c r="B329" t="s">
        <v>188</v>
      </c>
      <c r="C329" t="s">
        <v>265</v>
      </c>
      <c r="D329">
        <v>1480000</v>
      </c>
      <c r="E329" t="s">
        <v>101</v>
      </c>
      <c r="F329" s="24" t="str">
        <f t="shared" si="12"/>
        <v>rtdc.l.rtdc.4037:itc</v>
      </c>
      <c r="G329" s="8">
        <f t="shared" si="13"/>
        <v>42577.903113425928</v>
      </c>
    </row>
    <row r="330" spans="1:7" x14ac:dyDescent="0.25">
      <c r="A330" s="8">
        <v>42577.352326388886</v>
      </c>
      <c r="B330" t="s">
        <v>107</v>
      </c>
      <c r="C330" t="s">
        <v>204</v>
      </c>
      <c r="D330">
        <v>1260000</v>
      </c>
      <c r="E330" t="s">
        <v>170</v>
      </c>
      <c r="F330" s="24" t="str">
        <f t="shared" si="12"/>
        <v>rtdc.l.rtdc.4030:itc</v>
      </c>
      <c r="G330" s="8">
        <f t="shared" si="13"/>
        <v>42577.352326388886</v>
      </c>
    </row>
    <row r="331" spans="1:7" x14ac:dyDescent="0.25">
      <c r="A331" s="8">
        <v>42577.821203703701</v>
      </c>
      <c r="B331" t="s">
        <v>106</v>
      </c>
      <c r="C331" t="s">
        <v>249</v>
      </c>
      <c r="D331">
        <v>950000</v>
      </c>
      <c r="E331" t="s">
        <v>269</v>
      </c>
      <c r="F331" s="24" t="str">
        <f t="shared" si="12"/>
        <v>rtdc.l.rtdc.4029:itc</v>
      </c>
      <c r="G331" s="8">
        <f t="shared" si="13"/>
        <v>42577.821203703701</v>
      </c>
    </row>
    <row r="332" spans="1:7" x14ac:dyDescent="0.25">
      <c r="A332" s="8">
        <v>42577.359351851854</v>
      </c>
      <c r="B332" t="s">
        <v>102</v>
      </c>
      <c r="C332" t="s">
        <v>206</v>
      </c>
      <c r="D332">
        <v>1990000</v>
      </c>
      <c r="E332" t="s">
        <v>192</v>
      </c>
      <c r="F332" s="24" t="str">
        <f t="shared" si="12"/>
        <v>rtdc.l.rtdc.4026:itc</v>
      </c>
      <c r="G332" s="8">
        <f t="shared" si="13"/>
        <v>42577.359351851854</v>
      </c>
    </row>
    <row r="333" spans="1:7" x14ac:dyDescent="0.25">
      <c r="A333" s="8">
        <v>42577.819699074076</v>
      </c>
      <c r="B333" t="s">
        <v>188</v>
      </c>
      <c r="C333" t="s">
        <v>262</v>
      </c>
      <c r="D333">
        <v>1770000</v>
      </c>
      <c r="E333" t="s">
        <v>165</v>
      </c>
      <c r="F333" s="24" t="str">
        <f t="shared" si="12"/>
        <v>rtdc.l.rtdc.4037:itc</v>
      </c>
      <c r="G333" s="8">
        <f t="shared" si="13"/>
        <v>42577.819699074076</v>
      </c>
    </row>
    <row r="334" spans="1:7" x14ac:dyDescent="0.25">
      <c r="A334" s="8">
        <v>42577.360810185186</v>
      </c>
      <c r="B334" t="s">
        <v>141</v>
      </c>
      <c r="C334" t="s">
        <v>223</v>
      </c>
      <c r="D334">
        <v>1540000</v>
      </c>
      <c r="E334" t="s">
        <v>172</v>
      </c>
      <c r="F334" s="24" t="str">
        <f t="shared" si="12"/>
        <v>rtdc.l.rtdc.4009:itc</v>
      </c>
      <c r="G334" s="8">
        <f t="shared" si="13"/>
        <v>42577.360810185186</v>
      </c>
    </row>
    <row r="335" spans="1:7" x14ac:dyDescent="0.25">
      <c r="A335" s="8">
        <v>42577.757962962962</v>
      </c>
      <c r="B335" t="s">
        <v>104</v>
      </c>
      <c r="C335" t="s">
        <v>245</v>
      </c>
      <c r="D335">
        <v>1780000</v>
      </c>
      <c r="E335" t="s">
        <v>276</v>
      </c>
      <c r="F335" s="24" t="str">
        <f t="shared" si="12"/>
        <v>rtdc.l.rtdc.4025:itc</v>
      </c>
      <c r="G335" s="8">
        <f t="shared" si="13"/>
        <v>42577.757962962962</v>
      </c>
    </row>
    <row r="336" spans="1:7" x14ac:dyDescent="0.25">
      <c r="A336" s="8">
        <v>42577.382928240739</v>
      </c>
      <c r="B336" t="s">
        <v>100</v>
      </c>
      <c r="C336" t="s">
        <v>253</v>
      </c>
      <c r="D336">
        <v>1300000</v>
      </c>
      <c r="E336" t="s">
        <v>145</v>
      </c>
      <c r="F336" s="24" t="str">
        <f t="shared" si="12"/>
        <v>rtdc.l.rtdc.4038:itc</v>
      </c>
      <c r="G336" s="8">
        <f t="shared" si="13"/>
        <v>42577.382928240739</v>
      </c>
    </row>
    <row r="337" spans="1:7" x14ac:dyDescent="0.25">
      <c r="A337" s="8">
        <v>42577.73809027778</v>
      </c>
      <c r="B337" t="s">
        <v>155</v>
      </c>
      <c r="C337" t="s">
        <v>261</v>
      </c>
      <c r="D337">
        <v>1480000</v>
      </c>
      <c r="E337" t="s">
        <v>101</v>
      </c>
      <c r="F337" s="24" t="str">
        <f t="shared" si="12"/>
        <v>rtdc.l.rtdc.4014:itc</v>
      </c>
      <c r="G337" s="8">
        <f t="shared" si="13"/>
        <v>42577.73809027778</v>
      </c>
    </row>
    <row r="338" spans="1:7" x14ac:dyDescent="0.25">
      <c r="A338" s="8">
        <v>42577.400347222225</v>
      </c>
      <c r="B338" t="s">
        <v>188</v>
      </c>
      <c r="C338" t="s">
        <v>254</v>
      </c>
      <c r="D338">
        <v>1300000</v>
      </c>
      <c r="E338" t="s">
        <v>145</v>
      </c>
      <c r="F338" s="24" t="str">
        <f t="shared" si="12"/>
        <v>rtdc.l.rtdc.4037:itc</v>
      </c>
      <c r="G338" s="8">
        <f t="shared" si="13"/>
        <v>42577.400347222225</v>
      </c>
    </row>
    <row r="339" spans="1:7" x14ac:dyDescent="0.25">
      <c r="A339" s="8">
        <v>42577.714189814818</v>
      </c>
      <c r="B339" t="s">
        <v>100</v>
      </c>
      <c r="C339" t="s">
        <v>260</v>
      </c>
      <c r="D339">
        <v>1770000</v>
      </c>
      <c r="E339" t="s">
        <v>165</v>
      </c>
      <c r="F339" s="24" t="str">
        <f t="shared" si="12"/>
        <v>rtdc.l.rtdc.4038:itc</v>
      </c>
      <c r="G339" s="8">
        <f t="shared" si="13"/>
        <v>42577.714189814818</v>
      </c>
    </row>
    <row r="340" spans="1:7" x14ac:dyDescent="0.25">
      <c r="A340" s="8">
        <v>42577.402118055557</v>
      </c>
      <c r="B340" t="s">
        <v>75</v>
      </c>
      <c r="C340" t="s">
        <v>207</v>
      </c>
      <c r="D340">
        <v>1090000</v>
      </c>
      <c r="E340" t="s">
        <v>110</v>
      </c>
      <c r="F340" s="24" t="str">
        <f t="shared" si="12"/>
        <v>rtdc.l.rtdc.4042:itc</v>
      </c>
      <c r="G340" s="8">
        <f t="shared" si="13"/>
        <v>42577.402118055557</v>
      </c>
    </row>
    <row r="341" spans="1:7" x14ac:dyDescent="0.25">
      <c r="A341" s="8">
        <v>42577.705046296294</v>
      </c>
      <c r="B341" t="s">
        <v>161</v>
      </c>
      <c r="C341" t="s">
        <v>243</v>
      </c>
      <c r="D341">
        <v>940000</v>
      </c>
      <c r="E341" t="s">
        <v>194</v>
      </c>
      <c r="F341" s="24" t="str">
        <f t="shared" si="12"/>
        <v>rtdc.l.rtdc.4031:itc</v>
      </c>
      <c r="G341" s="8">
        <f t="shared" si="13"/>
        <v>42577.705046296294</v>
      </c>
    </row>
    <row r="342" spans="1:7" x14ac:dyDescent="0.25">
      <c r="A342" s="8">
        <v>42577.411493055559</v>
      </c>
      <c r="B342" t="s">
        <v>161</v>
      </c>
      <c r="C342" t="s">
        <v>208</v>
      </c>
      <c r="D342">
        <v>1750000</v>
      </c>
      <c r="E342" t="s">
        <v>171</v>
      </c>
      <c r="F342" s="24" t="str">
        <f t="shared" si="12"/>
        <v>rtdc.l.rtdc.4031:itc</v>
      </c>
      <c r="G342" s="8">
        <f t="shared" si="13"/>
        <v>42577.411493055559</v>
      </c>
    </row>
    <row r="343" spans="1:7" x14ac:dyDescent="0.25">
      <c r="A343" s="8">
        <v>42577.692337962966</v>
      </c>
      <c r="B343" t="s">
        <v>155</v>
      </c>
      <c r="C343" t="s">
        <v>259</v>
      </c>
      <c r="D343">
        <v>1480000</v>
      </c>
      <c r="E343" t="s">
        <v>101</v>
      </c>
      <c r="F343" s="24" t="str">
        <f t="shared" si="12"/>
        <v>rtdc.l.rtdc.4014:itc</v>
      </c>
      <c r="G343" s="8">
        <f t="shared" si="13"/>
        <v>42577.692337962966</v>
      </c>
    </row>
    <row r="344" spans="1:7" x14ac:dyDescent="0.25">
      <c r="A344" s="8">
        <v>42577.42597222222</v>
      </c>
      <c r="B344" t="s">
        <v>100</v>
      </c>
      <c r="C344" t="s">
        <v>255</v>
      </c>
      <c r="D344">
        <v>1300000</v>
      </c>
      <c r="E344" t="s">
        <v>145</v>
      </c>
      <c r="F344" s="24" t="str">
        <f t="shared" si="12"/>
        <v>rtdc.l.rtdc.4038:itc</v>
      </c>
      <c r="G344" s="8">
        <f t="shared" si="13"/>
        <v>42577.42597222222</v>
      </c>
    </row>
    <row r="345" spans="1:7" x14ac:dyDescent="0.25">
      <c r="A345" s="8">
        <v>42577.685925925929</v>
      </c>
      <c r="B345" t="s">
        <v>142</v>
      </c>
      <c r="C345" t="s">
        <v>241</v>
      </c>
      <c r="D345">
        <v>1520000</v>
      </c>
      <c r="E345" t="s">
        <v>163</v>
      </c>
      <c r="F345" s="24" t="str">
        <f t="shared" si="12"/>
        <v>rtdc.l.rtdc.4010:itc</v>
      </c>
      <c r="G345" s="8">
        <f t="shared" si="13"/>
        <v>42577.685925925929</v>
      </c>
    </row>
    <row r="346" spans="1:7" x14ac:dyDescent="0.25">
      <c r="A346" s="8">
        <v>42577.449594907404</v>
      </c>
      <c r="B346" t="s">
        <v>162</v>
      </c>
      <c r="C346" t="s">
        <v>226</v>
      </c>
      <c r="D346">
        <v>1750000</v>
      </c>
      <c r="E346" t="s">
        <v>171</v>
      </c>
      <c r="F346" s="24" t="str">
        <f t="shared" ref="F346:F409" si="14">B346</f>
        <v>rtdc.l.rtdc.4032:itc</v>
      </c>
      <c r="G346" s="8">
        <f t="shared" ref="G346:G409" si="15">A346</f>
        <v>42577.449594907404</v>
      </c>
    </row>
    <row r="347" spans="1:7" x14ac:dyDescent="0.25">
      <c r="A347" s="8">
        <v>42577.684976851851</v>
      </c>
      <c r="B347" t="s">
        <v>104</v>
      </c>
      <c r="C347" t="s">
        <v>219</v>
      </c>
      <c r="D347">
        <v>880000</v>
      </c>
      <c r="E347" t="s">
        <v>167</v>
      </c>
      <c r="F347" s="24" t="str">
        <f t="shared" si="14"/>
        <v>rtdc.l.rtdc.4025:itc</v>
      </c>
      <c r="G347" s="8">
        <f t="shared" si="15"/>
        <v>42577.684976851851</v>
      </c>
    </row>
    <row r="348" spans="1:7" x14ac:dyDescent="0.25">
      <c r="A348" s="8">
        <v>42577.460543981484</v>
      </c>
      <c r="B348" t="s">
        <v>106</v>
      </c>
      <c r="C348" t="s">
        <v>228</v>
      </c>
      <c r="D348">
        <v>1280000</v>
      </c>
      <c r="E348" t="s">
        <v>169</v>
      </c>
      <c r="F348" s="24" t="str">
        <f t="shared" si="14"/>
        <v>rtdc.l.rtdc.4029:itc</v>
      </c>
      <c r="G348" s="8">
        <f t="shared" si="15"/>
        <v>42577.460543981484</v>
      </c>
    </row>
    <row r="349" spans="1:7" x14ac:dyDescent="0.25">
      <c r="A349" s="8">
        <v>42577.664375</v>
      </c>
      <c r="B349" t="s">
        <v>67</v>
      </c>
      <c r="C349" t="s">
        <v>242</v>
      </c>
      <c r="D349">
        <v>950000</v>
      </c>
      <c r="E349" t="s">
        <v>269</v>
      </c>
      <c r="F349" s="24" t="str">
        <f t="shared" si="14"/>
        <v>rtdc.l.rtdc.4020:itc</v>
      </c>
      <c r="G349" s="8">
        <f t="shared" si="15"/>
        <v>42577.664375</v>
      </c>
    </row>
    <row r="350" spans="1:7" x14ac:dyDescent="0.25">
      <c r="A350" s="8">
        <v>42577.483263888891</v>
      </c>
      <c r="B350" t="s">
        <v>66</v>
      </c>
      <c r="C350" t="s">
        <v>210</v>
      </c>
      <c r="D350">
        <v>1240000</v>
      </c>
      <c r="E350" t="s">
        <v>112</v>
      </c>
      <c r="F350" s="24" t="str">
        <f t="shared" si="14"/>
        <v>rtdc.l.rtdc.4019:itc</v>
      </c>
      <c r="G350" s="8">
        <f t="shared" si="15"/>
        <v>42577.483263888891</v>
      </c>
    </row>
    <row r="351" spans="1:7" x14ac:dyDescent="0.25">
      <c r="A351" s="8">
        <v>42577.654421296298</v>
      </c>
      <c r="B351" t="s">
        <v>141</v>
      </c>
      <c r="C351" t="s">
        <v>240</v>
      </c>
      <c r="D351">
        <v>1520000</v>
      </c>
      <c r="E351" t="s">
        <v>163</v>
      </c>
      <c r="F351" s="24" t="str">
        <f t="shared" si="14"/>
        <v>rtdc.l.rtdc.4009:itc</v>
      </c>
      <c r="G351" s="8">
        <f t="shared" si="15"/>
        <v>42577.654421296298</v>
      </c>
    </row>
    <row r="352" spans="1:7" x14ac:dyDescent="0.25">
      <c r="A352" s="8">
        <v>42577.525312500002</v>
      </c>
      <c r="B352" t="s">
        <v>67</v>
      </c>
      <c r="C352" t="s">
        <v>230</v>
      </c>
      <c r="D352">
        <v>950000</v>
      </c>
      <c r="E352" t="s">
        <v>269</v>
      </c>
      <c r="F352" s="24" t="str">
        <f t="shared" si="14"/>
        <v>rtdc.l.rtdc.4020:itc</v>
      </c>
      <c r="G352" s="8">
        <f t="shared" si="15"/>
        <v>42577.525312500002</v>
      </c>
    </row>
    <row r="353" spans="1:7" x14ac:dyDescent="0.25">
      <c r="A353" s="8">
        <v>42577.654097222221</v>
      </c>
      <c r="B353" t="s">
        <v>155</v>
      </c>
      <c r="C353" t="s">
        <v>257</v>
      </c>
      <c r="D353">
        <v>1480000</v>
      </c>
      <c r="E353" t="s">
        <v>101</v>
      </c>
      <c r="F353" s="24" t="str">
        <f t="shared" si="14"/>
        <v>rtdc.l.rtdc.4014:itc</v>
      </c>
      <c r="G353" s="8">
        <f t="shared" si="15"/>
        <v>42577.654097222221</v>
      </c>
    </row>
    <row r="354" spans="1:7" x14ac:dyDescent="0.25">
      <c r="A354" s="8">
        <v>42577.527569444443</v>
      </c>
      <c r="B354" t="s">
        <v>106</v>
      </c>
      <c r="C354" t="s">
        <v>231</v>
      </c>
      <c r="D354">
        <v>1280000</v>
      </c>
      <c r="E354" t="s">
        <v>169</v>
      </c>
      <c r="F354" s="24" t="str">
        <f t="shared" si="14"/>
        <v>rtdc.l.rtdc.4029:itc</v>
      </c>
      <c r="G354" s="8">
        <f t="shared" si="15"/>
        <v>42577.527569444443</v>
      </c>
    </row>
    <row r="355" spans="1:7" x14ac:dyDescent="0.25">
      <c r="A355" s="8">
        <v>42577.646643518521</v>
      </c>
      <c r="B355" t="s">
        <v>68</v>
      </c>
      <c r="C355" t="s">
        <v>239</v>
      </c>
      <c r="D355">
        <v>1140000</v>
      </c>
      <c r="E355" t="s">
        <v>164</v>
      </c>
      <c r="F355" s="24" t="str">
        <f t="shared" si="14"/>
        <v>rtdc.l.rtdc.4018:itc</v>
      </c>
      <c r="G355" s="8">
        <f t="shared" si="15"/>
        <v>42577.646643518521</v>
      </c>
    </row>
    <row r="356" spans="1:7" x14ac:dyDescent="0.25">
      <c r="A356" s="8">
        <v>42577.549317129633</v>
      </c>
      <c r="B356" t="s">
        <v>100</v>
      </c>
      <c r="C356" t="s">
        <v>214</v>
      </c>
      <c r="D356">
        <v>1770000</v>
      </c>
      <c r="E356" t="s">
        <v>165</v>
      </c>
      <c r="F356" s="24" t="str">
        <f t="shared" si="14"/>
        <v>rtdc.l.rtdc.4038:itc</v>
      </c>
      <c r="G356" s="8">
        <f t="shared" si="15"/>
        <v>42577.549317129633</v>
      </c>
    </row>
    <row r="357" spans="1:7" x14ac:dyDescent="0.25">
      <c r="A357" s="8">
        <v>42577.565370370372</v>
      </c>
      <c r="B357" t="s">
        <v>161</v>
      </c>
      <c r="C357" t="s">
        <v>215</v>
      </c>
      <c r="D357">
        <v>940000</v>
      </c>
      <c r="E357" t="s">
        <v>194</v>
      </c>
      <c r="F357" s="24" t="str">
        <f t="shared" si="14"/>
        <v>rtdc.l.rtdc.4031:itc</v>
      </c>
      <c r="G357" s="8">
        <f t="shared" si="15"/>
        <v>42577.565370370372</v>
      </c>
    </row>
    <row r="358" spans="1:7" x14ac:dyDescent="0.25">
      <c r="A358" s="8">
        <v>42577.569039351853</v>
      </c>
      <c r="B358" t="s">
        <v>188</v>
      </c>
      <c r="C358" t="s">
        <v>216</v>
      </c>
      <c r="D358">
        <v>1770000</v>
      </c>
      <c r="E358" t="s">
        <v>165</v>
      </c>
      <c r="F358" s="24" t="str">
        <f t="shared" si="14"/>
        <v>rtdc.l.rtdc.4037:itc</v>
      </c>
      <c r="G358" s="8">
        <f t="shared" si="15"/>
        <v>42577.569039351853</v>
      </c>
    </row>
    <row r="359" spans="1:7" x14ac:dyDescent="0.25">
      <c r="A359" s="8">
        <v>42577.55027777778</v>
      </c>
      <c r="B359" t="s">
        <v>75</v>
      </c>
      <c r="C359" t="s">
        <v>234</v>
      </c>
      <c r="D359">
        <v>1120000</v>
      </c>
      <c r="E359" t="s">
        <v>190</v>
      </c>
      <c r="F359" s="24" t="str">
        <f t="shared" si="14"/>
        <v>rtdc.l.rtdc.4042:itc</v>
      </c>
      <c r="G359" s="8">
        <f t="shared" si="15"/>
        <v>42577.55027777778</v>
      </c>
    </row>
    <row r="360" spans="1:7" x14ac:dyDescent="0.25">
      <c r="A360" s="8">
        <v>42577.572812500002</v>
      </c>
      <c r="B360" t="s">
        <v>68</v>
      </c>
      <c r="C360" t="s">
        <v>235</v>
      </c>
      <c r="D360">
        <v>1140000</v>
      </c>
      <c r="E360" t="s">
        <v>164</v>
      </c>
      <c r="F360" s="24" t="str">
        <f t="shared" si="14"/>
        <v>rtdc.l.rtdc.4018:itc</v>
      </c>
      <c r="G360" s="8">
        <f t="shared" si="15"/>
        <v>42577.572812500002</v>
      </c>
    </row>
    <row r="361" spans="1:7" x14ac:dyDescent="0.25">
      <c r="A361" s="8">
        <v>42577.540868055556</v>
      </c>
      <c r="B361" t="s">
        <v>104</v>
      </c>
      <c r="C361" t="s">
        <v>232</v>
      </c>
      <c r="D361">
        <v>880000</v>
      </c>
      <c r="E361" t="s">
        <v>167</v>
      </c>
      <c r="F361" s="24" t="str">
        <f t="shared" si="14"/>
        <v>rtdc.l.rtdc.4025:itc</v>
      </c>
      <c r="G361" s="8">
        <f t="shared" si="15"/>
        <v>42577.540868055556</v>
      </c>
    </row>
    <row r="362" spans="1:7" x14ac:dyDescent="0.25">
      <c r="A362" s="8">
        <v>42577.577905092592</v>
      </c>
      <c r="B362" t="s">
        <v>102</v>
      </c>
      <c r="C362" t="s">
        <v>233</v>
      </c>
      <c r="D362">
        <v>880000</v>
      </c>
      <c r="E362" t="s">
        <v>167</v>
      </c>
      <c r="F362" s="24" t="str">
        <f t="shared" si="14"/>
        <v>rtdc.l.rtdc.4026:itc</v>
      </c>
      <c r="G362" s="8">
        <f t="shared" si="15"/>
        <v>42577.577905092592</v>
      </c>
    </row>
    <row r="363" spans="1:7" x14ac:dyDescent="0.25">
      <c r="A363" s="8">
        <v>42577.539606481485</v>
      </c>
      <c r="B363" t="s">
        <v>142</v>
      </c>
      <c r="C363" t="s">
        <v>213</v>
      </c>
      <c r="D363">
        <v>1520000</v>
      </c>
      <c r="E363" t="s">
        <v>163</v>
      </c>
      <c r="F363" s="24" t="str">
        <f t="shared" si="14"/>
        <v>rtdc.l.rtdc.4010:itc</v>
      </c>
      <c r="G363" s="8">
        <f t="shared" si="15"/>
        <v>42577.539606481485</v>
      </c>
    </row>
    <row r="364" spans="1:7" x14ac:dyDescent="0.25">
      <c r="A364" s="8">
        <v>42577.581134259257</v>
      </c>
      <c r="B364" t="s">
        <v>141</v>
      </c>
      <c r="C364" t="s">
        <v>236</v>
      </c>
      <c r="D364">
        <v>1520000</v>
      </c>
      <c r="E364" t="s">
        <v>163</v>
      </c>
      <c r="F364" s="24" t="str">
        <f t="shared" si="14"/>
        <v>rtdc.l.rtdc.4009:itc</v>
      </c>
      <c r="G364" s="8">
        <f t="shared" si="15"/>
        <v>42577.581134259257</v>
      </c>
    </row>
    <row r="365" spans="1:7" x14ac:dyDescent="0.25">
      <c r="A365" s="8">
        <v>42577.507789351854</v>
      </c>
      <c r="B365" t="s">
        <v>100</v>
      </c>
      <c r="C365" t="s">
        <v>256</v>
      </c>
      <c r="D365">
        <v>1300000</v>
      </c>
      <c r="E365" t="s">
        <v>145</v>
      </c>
      <c r="F365" s="24" t="str">
        <f t="shared" si="14"/>
        <v>rtdc.l.rtdc.4038:itc</v>
      </c>
      <c r="G365" s="8">
        <f t="shared" si="15"/>
        <v>42577.507789351854</v>
      </c>
    </row>
    <row r="366" spans="1:7" x14ac:dyDescent="0.25">
      <c r="A366" s="8">
        <v>42577.588090277779</v>
      </c>
      <c r="B366" t="s">
        <v>144</v>
      </c>
      <c r="C366" t="s">
        <v>217</v>
      </c>
      <c r="D366">
        <v>1120000</v>
      </c>
      <c r="E366" t="s">
        <v>190</v>
      </c>
      <c r="F366" s="24" t="str">
        <f t="shared" si="14"/>
        <v>rtdc.l.rtdc.4041:itc</v>
      </c>
      <c r="G366" s="8">
        <f t="shared" si="15"/>
        <v>42577.588090277779</v>
      </c>
    </row>
    <row r="367" spans="1:7" x14ac:dyDescent="0.25">
      <c r="A367" s="8">
        <v>42577.505787037036</v>
      </c>
      <c r="B367" t="s">
        <v>102</v>
      </c>
      <c r="C367" t="s">
        <v>212</v>
      </c>
      <c r="D367">
        <v>880000</v>
      </c>
      <c r="E367" t="s">
        <v>167</v>
      </c>
      <c r="F367" s="24" t="str">
        <f t="shared" si="14"/>
        <v>rtdc.l.rtdc.4026:itc</v>
      </c>
      <c r="G367" s="8">
        <f t="shared" si="15"/>
        <v>42577.505787037036</v>
      </c>
    </row>
    <row r="368" spans="1:7" x14ac:dyDescent="0.25">
      <c r="A368" s="8">
        <v>42577.599224537036</v>
      </c>
      <c r="B368" t="s">
        <v>162</v>
      </c>
      <c r="C368" t="s">
        <v>218</v>
      </c>
      <c r="D368">
        <v>940000</v>
      </c>
      <c r="E368" t="s">
        <v>194</v>
      </c>
      <c r="F368" s="24" t="str">
        <f t="shared" si="14"/>
        <v>rtdc.l.rtdc.4032:itc</v>
      </c>
      <c r="G368" s="8">
        <f t="shared" si="15"/>
        <v>42577.599224537036</v>
      </c>
    </row>
    <row r="369" spans="1:7" x14ac:dyDescent="0.25">
      <c r="A369" s="8">
        <v>42577.477210648147</v>
      </c>
      <c r="B369" t="s">
        <v>75</v>
      </c>
      <c r="C369" t="s">
        <v>229</v>
      </c>
      <c r="D369">
        <v>1120000</v>
      </c>
      <c r="E369" t="s">
        <v>190</v>
      </c>
      <c r="F369" s="24" t="str">
        <f t="shared" si="14"/>
        <v>rtdc.l.rtdc.4042:itc</v>
      </c>
      <c r="G369" s="8">
        <f t="shared" si="15"/>
        <v>42577.477210648147</v>
      </c>
    </row>
    <row r="370" spans="1:7" x14ac:dyDescent="0.25">
      <c r="A370" s="8">
        <v>42577.601527777777</v>
      </c>
      <c r="B370" t="s">
        <v>106</v>
      </c>
      <c r="C370" t="s">
        <v>237</v>
      </c>
      <c r="D370">
        <v>1280000</v>
      </c>
      <c r="E370" t="s">
        <v>169</v>
      </c>
      <c r="F370" s="24" t="str">
        <f t="shared" si="14"/>
        <v>rtdc.l.rtdc.4029:itc</v>
      </c>
      <c r="G370" s="8">
        <f t="shared" si="15"/>
        <v>42577.601527777777</v>
      </c>
    </row>
    <row r="371" spans="1:7" x14ac:dyDescent="0.25">
      <c r="A371" s="8">
        <v>42577.445729166669</v>
      </c>
      <c r="B371" t="s">
        <v>67</v>
      </c>
      <c r="C371" t="s">
        <v>227</v>
      </c>
      <c r="D371">
        <v>1240000</v>
      </c>
      <c r="E371" t="s">
        <v>112</v>
      </c>
      <c r="F371" s="24" t="str">
        <f t="shared" si="14"/>
        <v>rtdc.l.rtdc.4020:itc</v>
      </c>
      <c r="G371" s="8">
        <f t="shared" si="15"/>
        <v>42577.445729166669</v>
      </c>
    </row>
    <row r="372" spans="1:7" x14ac:dyDescent="0.25">
      <c r="A372" s="8">
        <v>42577.639097222222</v>
      </c>
      <c r="B372" t="s">
        <v>107</v>
      </c>
      <c r="C372" t="s">
        <v>238</v>
      </c>
      <c r="D372">
        <v>1280000</v>
      </c>
      <c r="E372" t="s">
        <v>169</v>
      </c>
      <c r="F372" s="24" t="str">
        <f t="shared" si="14"/>
        <v>rtdc.l.rtdc.4030:itc</v>
      </c>
      <c r="G372" s="8">
        <f t="shared" si="15"/>
        <v>42577.639097222222</v>
      </c>
    </row>
    <row r="373" spans="1:7" x14ac:dyDescent="0.25">
      <c r="A373" s="8">
        <v>42577.442326388889</v>
      </c>
      <c r="B373" t="s">
        <v>188</v>
      </c>
      <c r="C373" t="s">
        <v>209</v>
      </c>
      <c r="D373">
        <v>1300000</v>
      </c>
      <c r="E373" t="s">
        <v>145</v>
      </c>
      <c r="F373" s="24" t="str">
        <f t="shared" si="14"/>
        <v>rtdc.l.rtdc.4037:itc</v>
      </c>
      <c r="G373" s="8">
        <f t="shared" si="15"/>
        <v>42577.442326388889</v>
      </c>
    </row>
    <row r="374" spans="1:7" x14ac:dyDescent="0.25">
      <c r="A374" s="8">
        <v>42577.692824074074</v>
      </c>
      <c r="B374" t="s">
        <v>188</v>
      </c>
      <c r="C374" t="s">
        <v>258</v>
      </c>
      <c r="D374">
        <v>1770000</v>
      </c>
      <c r="E374" t="s">
        <v>165</v>
      </c>
      <c r="F374" s="24" t="str">
        <f t="shared" si="14"/>
        <v>rtdc.l.rtdc.4037:itc</v>
      </c>
      <c r="G374" s="8">
        <f t="shared" si="15"/>
        <v>42577.692824074074</v>
      </c>
    </row>
    <row r="375" spans="1:7" x14ac:dyDescent="0.25">
      <c r="A375" s="8">
        <v>42577.410821759258</v>
      </c>
      <c r="B375" t="s">
        <v>66</v>
      </c>
      <c r="C375" t="s">
        <v>224</v>
      </c>
      <c r="D375">
        <v>1240000</v>
      </c>
      <c r="E375" t="s">
        <v>112</v>
      </c>
      <c r="F375" s="24" t="str">
        <f t="shared" si="14"/>
        <v>rtdc.l.rtdc.4019:itc</v>
      </c>
      <c r="G375" s="8">
        <f t="shared" si="15"/>
        <v>42577.410821759258</v>
      </c>
    </row>
    <row r="376" spans="1:7" x14ac:dyDescent="0.25">
      <c r="A376" s="8">
        <v>42577.719259259262</v>
      </c>
      <c r="B376" t="s">
        <v>68</v>
      </c>
      <c r="C376" t="s">
        <v>244</v>
      </c>
      <c r="D376">
        <v>1180000</v>
      </c>
      <c r="E376" t="s">
        <v>191</v>
      </c>
      <c r="F376" s="24" t="str">
        <f t="shared" si="14"/>
        <v>rtdc.l.rtdc.4018:itc</v>
      </c>
      <c r="G376" s="8">
        <f t="shared" si="15"/>
        <v>42577.719259259262</v>
      </c>
    </row>
    <row r="377" spans="1:7" x14ac:dyDescent="0.25">
      <c r="A377" s="8">
        <v>42577.390567129631</v>
      </c>
      <c r="B377" t="s">
        <v>105</v>
      </c>
      <c r="C377" t="s">
        <v>222</v>
      </c>
      <c r="D377">
        <v>1100000</v>
      </c>
      <c r="E377" t="s">
        <v>154</v>
      </c>
      <c r="F377" s="24" t="str">
        <f t="shared" si="14"/>
        <v>rtdc.l.rtdc.4028:itc</v>
      </c>
      <c r="G377" s="8">
        <f t="shared" si="15"/>
        <v>42577.390567129631</v>
      </c>
    </row>
    <row r="378" spans="1:7" x14ac:dyDescent="0.25">
      <c r="A378" s="8">
        <v>42577.79420138889</v>
      </c>
      <c r="B378" t="s">
        <v>155</v>
      </c>
      <c r="C378" t="s">
        <v>267</v>
      </c>
      <c r="D378">
        <v>1480000</v>
      </c>
      <c r="E378" t="s">
        <v>101</v>
      </c>
      <c r="F378" s="24" t="str">
        <f t="shared" si="14"/>
        <v>rtdc.l.rtdc.4014:itc</v>
      </c>
      <c r="G378" s="8">
        <f t="shared" si="15"/>
        <v>42577.79420138889</v>
      </c>
    </row>
    <row r="379" spans="1:7" x14ac:dyDescent="0.25">
      <c r="A379" s="8">
        <v>42577.361331018517</v>
      </c>
      <c r="B379" t="s">
        <v>102</v>
      </c>
      <c r="C379" t="s">
        <v>206</v>
      </c>
      <c r="D379">
        <v>1990000</v>
      </c>
      <c r="E379" t="s">
        <v>192</v>
      </c>
      <c r="F379" s="24" t="str">
        <f t="shared" si="14"/>
        <v>rtdc.l.rtdc.4026:itc</v>
      </c>
      <c r="G379" s="8">
        <f t="shared" si="15"/>
        <v>42577.361331018517</v>
      </c>
    </row>
    <row r="380" spans="1:7" x14ac:dyDescent="0.25">
      <c r="A380" s="8">
        <v>42577.843425925923</v>
      </c>
      <c r="B380" t="s">
        <v>100</v>
      </c>
      <c r="C380" t="s">
        <v>264</v>
      </c>
      <c r="D380">
        <v>1770000</v>
      </c>
      <c r="E380" t="s">
        <v>165</v>
      </c>
      <c r="F380" s="24" t="str">
        <f t="shared" si="14"/>
        <v>rtdc.l.rtdc.4038:itc</v>
      </c>
      <c r="G380" s="8">
        <f t="shared" si="15"/>
        <v>42577.843425925923</v>
      </c>
    </row>
    <row r="381" spans="1:7" x14ac:dyDescent="0.25">
      <c r="A381" s="8">
        <v>42577.359178240738</v>
      </c>
      <c r="B381" t="s">
        <v>188</v>
      </c>
      <c r="C381" t="s">
        <v>205</v>
      </c>
      <c r="D381">
        <v>1300000</v>
      </c>
      <c r="E381" t="s">
        <v>145</v>
      </c>
      <c r="F381" s="24" t="str">
        <f t="shared" si="14"/>
        <v>rtdc.l.rtdc.4037:itc</v>
      </c>
      <c r="G381" s="8">
        <f t="shared" si="15"/>
        <v>42577.359178240738</v>
      </c>
    </row>
    <row r="382" spans="1:7" x14ac:dyDescent="0.25">
      <c r="A382" s="8">
        <v>42577.859699074077</v>
      </c>
      <c r="B382" t="s">
        <v>188</v>
      </c>
      <c r="C382" t="s">
        <v>263</v>
      </c>
      <c r="D382">
        <v>1770000</v>
      </c>
      <c r="E382" t="s">
        <v>165</v>
      </c>
      <c r="F382" s="24" t="str">
        <f t="shared" si="14"/>
        <v>rtdc.l.rtdc.4037:itc</v>
      </c>
      <c r="G382" s="8">
        <f t="shared" si="15"/>
        <v>42577.859699074077</v>
      </c>
    </row>
    <row r="383" spans="1:7" x14ac:dyDescent="0.25">
      <c r="A383" s="8">
        <v>42577.324791666666</v>
      </c>
      <c r="B383" t="s">
        <v>155</v>
      </c>
      <c r="C383" t="s">
        <v>252</v>
      </c>
      <c r="D383">
        <v>1110000</v>
      </c>
      <c r="E383" t="s">
        <v>116</v>
      </c>
      <c r="F383" s="24" t="str">
        <f t="shared" si="14"/>
        <v>rtdc.l.rtdc.4014:itc</v>
      </c>
      <c r="G383" s="8">
        <f t="shared" si="15"/>
        <v>42577.324791666666</v>
      </c>
    </row>
    <row r="384" spans="1:7" x14ac:dyDescent="0.25">
      <c r="A384" s="8">
        <v>42577.878252314818</v>
      </c>
      <c r="B384" t="s">
        <v>100</v>
      </c>
      <c r="C384" t="s">
        <v>266</v>
      </c>
      <c r="D384">
        <v>1480000</v>
      </c>
      <c r="E384" t="s">
        <v>101</v>
      </c>
      <c r="F384" s="24" t="str">
        <f t="shared" si="14"/>
        <v>rtdc.l.rtdc.4038:itc</v>
      </c>
      <c r="G384" s="8">
        <f t="shared" si="15"/>
        <v>42577.878252314818</v>
      </c>
    </row>
    <row r="385" spans="1:7" x14ac:dyDescent="0.25">
      <c r="A385" s="8">
        <v>42577.288622685184</v>
      </c>
      <c r="B385" t="s">
        <v>102</v>
      </c>
      <c r="C385" t="s">
        <v>195</v>
      </c>
      <c r="D385">
        <v>1990000</v>
      </c>
      <c r="E385" t="s">
        <v>192</v>
      </c>
      <c r="F385" s="24" t="str">
        <f t="shared" si="14"/>
        <v>rtdc.l.rtdc.4026:itc</v>
      </c>
      <c r="G385" s="8">
        <f t="shared" si="15"/>
        <v>42577.288622685184</v>
      </c>
    </row>
    <row r="386" spans="1:7" x14ac:dyDescent="0.25">
      <c r="A386" s="8">
        <v>42577.983703703707</v>
      </c>
      <c r="B386" t="s">
        <v>104</v>
      </c>
      <c r="C386" t="s">
        <v>248</v>
      </c>
      <c r="D386">
        <v>1230000</v>
      </c>
      <c r="E386" t="s">
        <v>150</v>
      </c>
      <c r="F386" s="24" t="str">
        <f t="shared" si="14"/>
        <v>rtdc.l.rtdc.4025:itc</v>
      </c>
      <c r="G386" s="8">
        <f t="shared" si="15"/>
        <v>42577.983703703707</v>
      </c>
    </row>
    <row r="387" spans="1:7" x14ac:dyDescent="0.25">
      <c r="A387" s="8">
        <v>42577.276747685188</v>
      </c>
      <c r="B387" t="s">
        <v>188</v>
      </c>
      <c r="C387" t="s">
        <v>196</v>
      </c>
      <c r="D387">
        <v>1300000</v>
      </c>
      <c r="E387" t="s">
        <v>145</v>
      </c>
      <c r="F387" s="24" t="str">
        <f t="shared" si="14"/>
        <v>rtdc.l.rtdc.4037:itc</v>
      </c>
      <c r="G387" s="8">
        <f t="shared" si="15"/>
        <v>42577.276747685188</v>
      </c>
    </row>
    <row r="388" spans="1:7" x14ac:dyDescent="0.25">
      <c r="A388" s="8">
        <v>42578.094305555554</v>
      </c>
      <c r="B388" t="s">
        <v>75</v>
      </c>
      <c r="C388" t="s">
        <v>250</v>
      </c>
      <c r="D388">
        <v>1800000</v>
      </c>
      <c r="E388" t="s">
        <v>168</v>
      </c>
      <c r="F388" s="24" t="str">
        <f t="shared" si="14"/>
        <v>rtdc.l.rtdc.4042:itc</v>
      </c>
      <c r="G388" s="8">
        <f t="shared" si="15"/>
        <v>42578.094305555554</v>
      </c>
    </row>
    <row r="389" spans="1:7" x14ac:dyDescent="0.25">
      <c r="A389" s="8">
        <v>42577.220706018517</v>
      </c>
      <c r="B389" t="s">
        <v>144</v>
      </c>
      <c r="C389" t="s">
        <v>193</v>
      </c>
      <c r="D389">
        <v>1090000</v>
      </c>
      <c r="E389" t="s">
        <v>110</v>
      </c>
      <c r="F389" s="24" t="str">
        <f t="shared" si="14"/>
        <v>rtdc.l.rtdc.4041:itc</v>
      </c>
      <c r="G389" s="8">
        <f t="shared" si="15"/>
        <v>42577.220706018517</v>
      </c>
    </row>
    <row r="390" spans="1:7" x14ac:dyDescent="0.25">
      <c r="A390" s="8">
        <v>42578.187083333331</v>
      </c>
      <c r="B390" t="s">
        <v>162</v>
      </c>
      <c r="C390" t="s">
        <v>277</v>
      </c>
      <c r="D390">
        <v>2010000</v>
      </c>
      <c r="E390" t="s">
        <v>274</v>
      </c>
      <c r="F390" s="24" t="str">
        <f t="shared" si="14"/>
        <v>rtdc.l.rtdc.4032:itc</v>
      </c>
      <c r="G390" s="8">
        <f t="shared" si="15"/>
        <v>42578.187083333331</v>
      </c>
    </row>
    <row r="391" spans="1:7" x14ac:dyDescent="0.25">
      <c r="A391" s="8">
        <v>42576.956053240741</v>
      </c>
      <c r="B391" t="s">
        <v>100</v>
      </c>
      <c r="C391" t="s">
        <v>183</v>
      </c>
      <c r="D391">
        <v>1180000</v>
      </c>
      <c r="E391" t="s">
        <v>191</v>
      </c>
      <c r="F391" s="24" t="str">
        <f t="shared" si="14"/>
        <v>rtdc.l.rtdc.4038:itc</v>
      </c>
      <c r="G391" s="8">
        <f t="shared" si="15"/>
        <v>42576.956053240741</v>
      </c>
    </row>
    <row r="392" spans="1:7" x14ac:dyDescent="0.25">
      <c r="A392" s="8">
        <v>42578.27847222222</v>
      </c>
      <c r="B392" t="s">
        <v>66</v>
      </c>
      <c r="C392" t="s">
        <v>278</v>
      </c>
      <c r="D392">
        <v>1100000</v>
      </c>
      <c r="E392" t="s">
        <v>154</v>
      </c>
      <c r="F392" s="24" t="str">
        <f t="shared" si="14"/>
        <v>rtdc.l.rtdc.4019:itc</v>
      </c>
      <c r="G392" s="8">
        <f t="shared" si="15"/>
        <v>42578.27847222222</v>
      </c>
    </row>
    <row r="393" spans="1:7" x14ac:dyDescent="0.25">
      <c r="A393" s="8">
        <v>42576.955509259256</v>
      </c>
      <c r="B393" t="s">
        <v>132</v>
      </c>
      <c r="C393" t="s">
        <v>182</v>
      </c>
      <c r="D393">
        <v>1800000</v>
      </c>
      <c r="E393" t="s">
        <v>168</v>
      </c>
      <c r="F393" s="24" t="str">
        <f t="shared" si="14"/>
        <v>rtdc.l.rtdc.4015:itc</v>
      </c>
      <c r="G393" s="8">
        <f t="shared" si="15"/>
        <v>42576.955509259256</v>
      </c>
    </row>
    <row r="394" spans="1:7" x14ac:dyDescent="0.25">
      <c r="A394" s="8">
        <v>42578.253449074073</v>
      </c>
      <c r="B394" t="s">
        <v>108</v>
      </c>
      <c r="C394" t="s">
        <v>271</v>
      </c>
      <c r="D394">
        <v>1360000</v>
      </c>
      <c r="E394" t="s">
        <v>272</v>
      </c>
      <c r="F394" s="24" t="str">
        <f t="shared" si="14"/>
        <v>rtdc.l.rtdc.4027:itc</v>
      </c>
      <c r="G394" s="8">
        <f t="shared" si="15"/>
        <v>42578.253449074073</v>
      </c>
    </row>
    <row r="395" spans="1:7" x14ac:dyDescent="0.25">
      <c r="A395" s="8">
        <v>42576.954583333332</v>
      </c>
      <c r="B395" t="s">
        <v>132</v>
      </c>
      <c r="C395" t="s">
        <v>182</v>
      </c>
      <c r="D395">
        <v>1800000</v>
      </c>
      <c r="E395" t="s">
        <v>168</v>
      </c>
      <c r="F395" s="24" t="str">
        <f t="shared" si="14"/>
        <v>rtdc.l.rtdc.4015:itc</v>
      </c>
      <c r="G395" s="8">
        <f t="shared" si="15"/>
        <v>42576.954583333332</v>
      </c>
    </row>
    <row r="396" spans="1:7" x14ac:dyDescent="0.25">
      <c r="A396" s="8">
        <v>42578.301388888889</v>
      </c>
      <c r="B396" t="s">
        <v>67</v>
      </c>
      <c r="C396" t="s">
        <v>270</v>
      </c>
      <c r="D396">
        <v>1100000</v>
      </c>
      <c r="E396" t="s">
        <v>154</v>
      </c>
      <c r="F396" s="24" t="str">
        <f t="shared" si="14"/>
        <v>rtdc.l.rtdc.4020:itc</v>
      </c>
      <c r="G396" s="8">
        <f t="shared" si="15"/>
        <v>42578.301388888889</v>
      </c>
    </row>
    <row r="397" spans="1:7" x14ac:dyDescent="0.25">
      <c r="A397" s="8">
        <v>42576.909930555557</v>
      </c>
      <c r="B397" t="s">
        <v>188</v>
      </c>
      <c r="C397" t="s">
        <v>181</v>
      </c>
      <c r="D397">
        <v>1180000</v>
      </c>
      <c r="E397" t="s">
        <v>191</v>
      </c>
      <c r="F397" s="24" t="str">
        <f t="shared" si="14"/>
        <v>rtdc.l.rtdc.4037:itc</v>
      </c>
      <c r="G397" s="8">
        <f t="shared" si="15"/>
        <v>42576.909930555557</v>
      </c>
    </row>
    <row r="398" spans="1:7" x14ac:dyDescent="0.25">
      <c r="A398" s="8">
        <v>42578.298680555556</v>
      </c>
      <c r="B398" t="s">
        <v>106</v>
      </c>
      <c r="C398" t="s">
        <v>275</v>
      </c>
      <c r="D398">
        <v>1190000</v>
      </c>
      <c r="E398" t="s">
        <v>143</v>
      </c>
      <c r="F398" s="24" t="str">
        <f t="shared" si="14"/>
        <v>rtdc.l.rtdc.4029:itc</v>
      </c>
      <c r="G398" s="8">
        <f t="shared" si="15"/>
        <v>42578.298680555556</v>
      </c>
    </row>
    <row r="399" spans="1:7" x14ac:dyDescent="0.25">
      <c r="A399" s="8">
        <v>42576.883668981478</v>
      </c>
      <c r="B399" t="s">
        <v>144</v>
      </c>
      <c r="C399" t="s">
        <v>187</v>
      </c>
      <c r="D399">
        <v>1290000</v>
      </c>
      <c r="E399" t="s">
        <v>148</v>
      </c>
      <c r="F399" s="24" t="str">
        <f t="shared" si="14"/>
        <v>rtdc.l.rtdc.4041:itc</v>
      </c>
      <c r="G399" s="8">
        <f t="shared" si="15"/>
        <v>42576.883668981478</v>
      </c>
    </row>
    <row r="400" spans="1:7" x14ac:dyDescent="0.25">
      <c r="A400" s="8">
        <v>42578.25271990741</v>
      </c>
      <c r="B400" t="s">
        <v>108</v>
      </c>
      <c r="C400" t="s">
        <v>271</v>
      </c>
      <c r="D400">
        <v>1360000</v>
      </c>
      <c r="E400" t="s">
        <v>272</v>
      </c>
      <c r="F400" s="24" t="str">
        <f t="shared" si="14"/>
        <v>rtdc.l.rtdc.4027:itc</v>
      </c>
      <c r="G400" s="8">
        <f t="shared" si="15"/>
        <v>42578.25271990741</v>
      </c>
    </row>
    <row r="401" spans="1:7" x14ac:dyDescent="0.25">
      <c r="A401" s="8">
        <v>42576.844421296293</v>
      </c>
      <c r="B401" t="s">
        <v>103</v>
      </c>
      <c r="C401" t="s">
        <v>179</v>
      </c>
      <c r="D401">
        <v>1810000</v>
      </c>
      <c r="E401" t="s">
        <v>166</v>
      </c>
      <c r="F401" s="24" t="str">
        <f t="shared" si="14"/>
        <v>rtdc.l.rtdc.4013:itc</v>
      </c>
      <c r="G401" s="8">
        <f t="shared" si="15"/>
        <v>42576.844421296293</v>
      </c>
    </row>
    <row r="402" spans="1:7" x14ac:dyDescent="0.25">
      <c r="A402" s="8">
        <v>42578.316828703704</v>
      </c>
      <c r="B402" t="s">
        <v>111</v>
      </c>
      <c r="C402" t="s">
        <v>279</v>
      </c>
      <c r="D402">
        <v>900000</v>
      </c>
      <c r="E402" t="s">
        <v>189</v>
      </c>
      <c r="F402" s="24" t="str">
        <f t="shared" si="14"/>
        <v>rtdc.l.rtdc.4008:itc</v>
      </c>
      <c r="G402" s="8">
        <f t="shared" si="15"/>
        <v>42578.316828703704</v>
      </c>
    </row>
    <row r="403" spans="1:7" x14ac:dyDescent="0.25">
      <c r="A403" s="8">
        <v>42577.494490740741</v>
      </c>
      <c r="B403" t="s">
        <v>107</v>
      </c>
      <c r="C403" t="s">
        <v>211</v>
      </c>
      <c r="D403">
        <v>1280000</v>
      </c>
      <c r="E403" t="s">
        <v>169</v>
      </c>
      <c r="F403" s="24" t="str">
        <f t="shared" si="14"/>
        <v>rtdc.l.rtdc.4030:itc</v>
      </c>
      <c r="G403" s="8">
        <f t="shared" si="15"/>
        <v>42577.494490740741</v>
      </c>
    </row>
    <row r="404" spans="1:7" x14ac:dyDescent="0.25">
      <c r="F404" s="24">
        <f t="shared" si="14"/>
        <v>0</v>
      </c>
      <c r="G404" s="8">
        <f t="shared" si="15"/>
        <v>0</v>
      </c>
    </row>
    <row r="405" spans="1:7" x14ac:dyDescent="0.25">
      <c r="A405" s="8">
        <v>42576.21025462963</v>
      </c>
      <c r="B405" t="s">
        <v>100</v>
      </c>
      <c r="C405" t="s">
        <v>173</v>
      </c>
      <c r="D405">
        <v>1110000</v>
      </c>
      <c r="E405" t="s">
        <v>116</v>
      </c>
      <c r="F405" s="24" t="str">
        <f t="shared" si="14"/>
        <v>rtdc.l.rtdc.4038:itc</v>
      </c>
      <c r="G405" s="8">
        <f t="shared" si="15"/>
        <v>42576.21025462963</v>
      </c>
    </row>
    <row r="406" spans="1:7" x14ac:dyDescent="0.25">
      <c r="A406" s="8">
        <v>42576.997789351852</v>
      </c>
      <c r="B406" t="s">
        <v>133</v>
      </c>
      <c r="C406" t="s">
        <v>184</v>
      </c>
      <c r="D406">
        <v>1800000</v>
      </c>
      <c r="E406" t="s">
        <v>168</v>
      </c>
      <c r="F406" s="24" t="str">
        <f t="shared" si="14"/>
        <v>rtdc.l.rtdc.4016:itc</v>
      </c>
      <c r="G406" s="8">
        <f t="shared" si="15"/>
        <v>42576.997789351852</v>
      </c>
    </row>
    <row r="407" spans="1:7" x14ac:dyDescent="0.25">
      <c r="A407" s="8">
        <v>42576.173506944448</v>
      </c>
      <c r="B407" t="s">
        <v>142</v>
      </c>
      <c r="C407" t="s">
        <v>174</v>
      </c>
      <c r="D407">
        <v>1480000</v>
      </c>
      <c r="E407" t="s">
        <v>101</v>
      </c>
      <c r="F407" s="24" t="str">
        <f t="shared" si="14"/>
        <v>rtdc.l.rtdc.4010:itc</v>
      </c>
      <c r="G407" s="8">
        <f t="shared" si="15"/>
        <v>42576.173506944448</v>
      </c>
    </row>
    <row r="408" spans="1:7" x14ac:dyDescent="0.25">
      <c r="A408" s="8">
        <v>42577.006099537037</v>
      </c>
      <c r="B408" t="s">
        <v>113</v>
      </c>
      <c r="C408" t="s">
        <v>186</v>
      </c>
      <c r="D408">
        <v>1230000</v>
      </c>
      <c r="E408" t="s">
        <v>150</v>
      </c>
      <c r="F408" s="24" t="str">
        <f t="shared" si="14"/>
        <v>rtdc.l.rtdc.4007:itc</v>
      </c>
      <c r="G408" s="8">
        <f t="shared" si="15"/>
        <v>42577.006099537037</v>
      </c>
    </row>
    <row r="409" spans="1:7" x14ac:dyDescent="0.25">
      <c r="A409" s="8">
        <v>42576.171527777777</v>
      </c>
      <c r="B409" t="s">
        <v>133</v>
      </c>
      <c r="C409" t="s">
        <v>175</v>
      </c>
      <c r="D409">
        <v>1190000</v>
      </c>
      <c r="E409" t="s">
        <v>143</v>
      </c>
      <c r="F409" s="24" t="str">
        <f t="shared" si="14"/>
        <v>rtdc.l.rtdc.4016:itc</v>
      </c>
      <c r="G409" s="8">
        <f t="shared" si="15"/>
        <v>42576.171527777777</v>
      </c>
    </row>
    <row r="410" spans="1:7" x14ac:dyDescent="0.25">
      <c r="A410" s="8">
        <v>42577.038541666669</v>
      </c>
      <c r="B410" t="s">
        <v>132</v>
      </c>
      <c r="C410" t="s">
        <v>185</v>
      </c>
      <c r="D410">
        <v>1800000</v>
      </c>
      <c r="E410" t="s">
        <v>168</v>
      </c>
      <c r="F410" s="24" t="str">
        <f t="shared" ref="F410:F473" si="16">B410</f>
        <v>rtdc.l.rtdc.4015:itc</v>
      </c>
      <c r="G410" s="8">
        <f t="shared" ref="G410:G473" si="17">A410</f>
        <v>42577.038541666669</v>
      </c>
    </row>
    <row r="411" spans="1:7" x14ac:dyDescent="0.25">
      <c r="A411" s="8">
        <v>42576.140347222223</v>
      </c>
      <c r="B411" t="s">
        <v>100</v>
      </c>
      <c r="C411" t="s">
        <v>176</v>
      </c>
      <c r="D411">
        <v>1480000</v>
      </c>
      <c r="E411" t="s">
        <v>101</v>
      </c>
      <c r="F411" s="24" t="str">
        <f t="shared" si="16"/>
        <v>rtdc.l.rtdc.4038:itc</v>
      </c>
      <c r="G411" s="8">
        <f t="shared" si="17"/>
        <v>42576.140347222223</v>
      </c>
    </row>
    <row r="412" spans="1:7" x14ac:dyDescent="0.25">
      <c r="A412" s="8">
        <v>42577.175497685188</v>
      </c>
      <c r="B412" t="s">
        <v>104</v>
      </c>
      <c r="C412" t="s">
        <v>197</v>
      </c>
      <c r="D412">
        <v>1990000</v>
      </c>
      <c r="E412" t="s">
        <v>192</v>
      </c>
      <c r="F412" s="24" t="str">
        <f t="shared" si="16"/>
        <v>rtdc.l.rtdc.4025:itc</v>
      </c>
      <c r="G412" s="8">
        <f t="shared" si="17"/>
        <v>42577.175497685188</v>
      </c>
    </row>
    <row r="413" spans="1:7" x14ac:dyDescent="0.25">
      <c r="A413" s="8">
        <v>42576.058923611112</v>
      </c>
      <c r="B413" t="s">
        <v>151</v>
      </c>
      <c r="C413" t="s">
        <v>160</v>
      </c>
      <c r="D413">
        <v>1800000</v>
      </c>
      <c r="E413" t="s">
        <v>168</v>
      </c>
      <c r="F413" s="24" t="str">
        <f t="shared" si="16"/>
        <v>rtdc.l.rtdc.4012:itc</v>
      </c>
      <c r="G413" s="8">
        <f t="shared" si="17"/>
        <v>42576.058923611112</v>
      </c>
    </row>
    <row r="414" spans="1:7" x14ac:dyDescent="0.25">
      <c r="A414" s="8">
        <v>42577.184363425928</v>
      </c>
      <c r="B414" t="s">
        <v>75</v>
      </c>
      <c r="C414" t="s">
        <v>198</v>
      </c>
      <c r="D414">
        <v>1090000</v>
      </c>
      <c r="E414" t="s">
        <v>110</v>
      </c>
      <c r="F414" s="24" t="str">
        <f t="shared" si="16"/>
        <v>rtdc.l.rtdc.4042:itc</v>
      </c>
      <c r="G414" s="8">
        <f t="shared" si="17"/>
        <v>42577.184363425928</v>
      </c>
    </row>
    <row r="415" spans="1:7" x14ac:dyDescent="0.25">
      <c r="A415" s="8">
        <v>42576.017511574071</v>
      </c>
      <c r="B415" t="s">
        <v>149</v>
      </c>
      <c r="C415" t="s">
        <v>159</v>
      </c>
      <c r="D415">
        <v>1800000</v>
      </c>
      <c r="E415" t="s">
        <v>168</v>
      </c>
      <c r="F415" s="24" t="str">
        <f t="shared" si="16"/>
        <v>rtdc.l.rtdc.4011:itc</v>
      </c>
      <c r="G415" s="8">
        <f t="shared" si="17"/>
        <v>42576.017511574071</v>
      </c>
    </row>
    <row r="416" spans="1:7" x14ac:dyDescent="0.25">
      <c r="A416" s="8">
        <v>42577.213009259256</v>
      </c>
      <c r="B416" t="s">
        <v>69</v>
      </c>
      <c r="C416" t="s">
        <v>199</v>
      </c>
      <c r="D416">
        <v>1990000</v>
      </c>
      <c r="E416" t="s">
        <v>192</v>
      </c>
      <c r="F416" s="24" t="str">
        <f t="shared" si="16"/>
        <v>rtdc.l.rtdc.4017:itc</v>
      </c>
      <c r="G416" s="8">
        <f t="shared" si="17"/>
        <v>42577.213009259256</v>
      </c>
    </row>
    <row r="417" spans="1:7" x14ac:dyDescent="0.25">
      <c r="A417" s="8">
        <v>42575.883391203701</v>
      </c>
      <c r="B417" t="s">
        <v>162</v>
      </c>
      <c r="C417" t="s">
        <v>157</v>
      </c>
      <c r="D417">
        <v>1750000</v>
      </c>
      <c r="E417" t="s">
        <v>171</v>
      </c>
      <c r="F417" s="24" t="str">
        <f t="shared" si="16"/>
        <v>rtdc.l.rtdc.4032:itc</v>
      </c>
      <c r="G417" s="8">
        <f t="shared" si="17"/>
        <v>42575.883391203701</v>
      </c>
    </row>
    <row r="418" spans="1:7" x14ac:dyDescent="0.25">
      <c r="A418" s="8">
        <v>42577.214444444442</v>
      </c>
      <c r="B418" t="s">
        <v>141</v>
      </c>
      <c r="C418" t="s">
        <v>200</v>
      </c>
      <c r="D418">
        <v>1540000</v>
      </c>
      <c r="E418" t="s">
        <v>172</v>
      </c>
      <c r="F418" s="24" t="str">
        <f t="shared" si="16"/>
        <v>rtdc.l.rtdc.4009:itc</v>
      </c>
      <c r="G418" s="8">
        <f t="shared" si="17"/>
        <v>42577.214444444442</v>
      </c>
    </row>
    <row r="419" spans="1:7" x14ac:dyDescent="0.25">
      <c r="A419" s="8">
        <v>42575.847673611112</v>
      </c>
      <c r="B419" t="s">
        <v>103</v>
      </c>
      <c r="C419" t="s">
        <v>158</v>
      </c>
      <c r="D419">
        <v>1290000</v>
      </c>
      <c r="E419" t="s">
        <v>148</v>
      </c>
      <c r="F419" s="24" t="str">
        <f t="shared" si="16"/>
        <v>rtdc.l.rtdc.4013:itc</v>
      </c>
      <c r="G419" s="8">
        <f t="shared" si="17"/>
        <v>42575.847673611112</v>
      </c>
    </row>
    <row r="420" spans="1:7" x14ac:dyDescent="0.25">
      <c r="A420" s="8">
        <v>42577.276863425926</v>
      </c>
      <c r="B420" t="s">
        <v>108</v>
      </c>
      <c r="C420" t="s">
        <v>201</v>
      </c>
      <c r="D420">
        <v>1100000</v>
      </c>
      <c r="E420" t="s">
        <v>154</v>
      </c>
      <c r="F420" s="24" t="str">
        <f t="shared" si="16"/>
        <v>rtdc.l.rtdc.4027:itc</v>
      </c>
      <c r="G420" s="8">
        <f t="shared" si="17"/>
        <v>42577.276863425926</v>
      </c>
    </row>
    <row r="421" spans="1:7" x14ac:dyDescent="0.25">
      <c r="A421" s="8">
        <v>42576.376134259262</v>
      </c>
      <c r="B421" t="s">
        <v>133</v>
      </c>
      <c r="C421" t="s">
        <v>177</v>
      </c>
      <c r="D421">
        <v>1240000</v>
      </c>
      <c r="E421" t="s">
        <v>112</v>
      </c>
      <c r="F421" s="24" t="str">
        <f t="shared" si="16"/>
        <v>rtdc.l.rtdc.4016:itc</v>
      </c>
      <c r="G421" s="8">
        <f t="shared" si="17"/>
        <v>42576.376134259262</v>
      </c>
    </row>
    <row r="422" spans="1:7" x14ac:dyDescent="0.25">
      <c r="A422" s="8">
        <v>42577.289629629631</v>
      </c>
      <c r="B422" t="s">
        <v>141</v>
      </c>
      <c r="C422" t="s">
        <v>202</v>
      </c>
      <c r="D422">
        <v>1540000</v>
      </c>
      <c r="E422" t="s">
        <v>172</v>
      </c>
      <c r="F422" s="24" t="str">
        <f t="shared" si="16"/>
        <v>rtdc.l.rtdc.4009:itc</v>
      </c>
      <c r="G422" s="8">
        <f t="shared" si="17"/>
        <v>42577.289629629631</v>
      </c>
    </row>
    <row r="423" spans="1:7" x14ac:dyDescent="0.25">
      <c r="A423" s="8">
        <v>42576.578298611108</v>
      </c>
      <c r="B423" t="s">
        <v>111</v>
      </c>
      <c r="C423" t="s">
        <v>178</v>
      </c>
      <c r="D423">
        <v>880000</v>
      </c>
      <c r="E423" t="s">
        <v>167</v>
      </c>
      <c r="F423" s="24" t="str">
        <f t="shared" si="16"/>
        <v>rtdc.l.rtdc.4008:itc</v>
      </c>
      <c r="G423" s="8">
        <f t="shared" si="17"/>
        <v>42576.578298611108</v>
      </c>
    </row>
    <row r="424" spans="1:7" x14ac:dyDescent="0.25">
      <c r="F424" s="24">
        <f t="shared" si="16"/>
        <v>0</v>
      </c>
      <c r="G424" s="8">
        <f t="shared" si="17"/>
        <v>0</v>
      </c>
    </row>
    <row r="425" spans="1:7" x14ac:dyDescent="0.25">
      <c r="F425" s="24">
        <f t="shared" si="16"/>
        <v>0</v>
      </c>
      <c r="G425" s="8">
        <f t="shared" si="17"/>
        <v>0</v>
      </c>
    </row>
    <row r="426" spans="1:7" x14ac:dyDescent="0.25">
      <c r="F426" s="24">
        <f t="shared" si="16"/>
        <v>0</v>
      </c>
      <c r="G426" s="8">
        <f t="shared" si="17"/>
        <v>0</v>
      </c>
    </row>
    <row r="427" spans="1:7" x14ac:dyDescent="0.25">
      <c r="F427" s="24">
        <f t="shared" si="16"/>
        <v>0</v>
      </c>
      <c r="G427" s="8">
        <f t="shared" si="17"/>
        <v>0</v>
      </c>
    </row>
    <row r="428" spans="1:7" x14ac:dyDescent="0.25">
      <c r="F428" s="24">
        <f t="shared" si="16"/>
        <v>0</v>
      </c>
      <c r="G428" s="8">
        <f t="shared" si="17"/>
        <v>0</v>
      </c>
    </row>
    <row r="429" spans="1:7" x14ac:dyDescent="0.25">
      <c r="F429" s="24">
        <f t="shared" si="16"/>
        <v>0</v>
      </c>
      <c r="G429" s="8">
        <f t="shared" si="17"/>
        <v>0</v>
      </c>
    </row>
    <row r="430" spans="1:7" x14ac:dyDescent="0.25">
      <c r="F430" s="24">
        <f t="shared" si="16"/>
        <v>0</v>
      </c>
      <c r="G430" s="8">
        <f t="shared" si="17"/>
        <v>0</v>
      </c>
    </row>
    <row r="431" spans="1:7" x14ac:dyDescent="0.25">
      <c r="F431" s="24">
        <f t="shared" si="16"/>
        <v>0</v>
      </c>
      <c r="G431" s="8">
        <f t="shared" si="17"/>
        <v>0</v>
      </c>
    </row>
    <row r="432" spans="1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5" bestFit="1" customWidth="1"/>
  </cols>
  <sheetData>
    <row r="1" spans="1:16" ht="45.75" x14ac:dyDescent="0.3">
      <c r="A1" s="14" t="s">
        <v>25</v>
      </c>
      <c r="C1" s="92" t="s">
        <v>280</v>
      </c>
      <c r="D1" s="93" t="s">
        <v>281</v>
      </c>
      <c r="J1" s="35" t="s">
        <v>282</v>
      </c>
      <c r="K1" s="35" t="s">
        <v>81</v>
      </c>
      <c r="L1" s="35" t="s">
        <v>82</v>
      </c>
      <c r="O1" s="96" t="s">
        <v>283</v>
      </c>
    </row>
    <row r="2" spans="1:16" ht="15.75" thickBot="1" x14ac:dyDescent="0.3">
      <c r="A2" s="15">
        <v>42587</v>
      </c>
      <c r="B2" s="4"/>
      <c r="C2" s="94">
        <v>50</v>
      </c>
      <c r="D2" s="95">
        <v>25</v>
      </c>
      <c r="F2" t="s">
        <v>59</v>
      </c>
      <c r="J2" s="35"/>
      <c r="K2" s="35" t="s">
        <v>81</v>
      </c>
      <c r="L2" s="35" t="s">
        <v>82</v>
      </c>
    </row>
    <row r="3" spans="1:16" x14ac:dyDescent="0.25">
      <c r="F3" t="s">
        <v>60</v>
      </c>
      <c r="J3" s="36" t="s">
        <v>83</v>
      </c>
      <c r="K3" s="37">
        <v>2.7052</v>
      </c>
      <c r="L3" s="37">
        <v>2.7349999999999999</v>
      </c>
      <c r="M3" s="75">
        <f t="shared" ref="M3:M14" si="0">AVERAGE(K3:L3)</f>
        <v>2.7201</v>
      </c>
      <c r="O3" t="s">
        <v>284</v>
      </c>
      <c r="P3" s="75">
        <f>AVERAGE(1.0714,1.1016)</f>
        <v>1.0865</v>
      </c>
    </row>
    <row r="4" spans="1:16" x14ac:dyDescent="0.25">
      <c r="F4" t="s">
        <v>61</v>
      </c>
      <c r="J4" s="36" t="s">
        <v>84</v>
      </c>
      <c r="K4" s="37">
        <v>3.0830000000000002</v>
      </c>
      <c r="L4" s="37">
        <v>3.097</v>
      </c>
      <c r="M4" s="75">
        <f t="shared" si="0"/>
        <v>3.09</v>
      </c>
    </row>
    <row r="5" spans="1:16" x14ac:dyDescent="0.25">
      <c r="J5" s="36" t="s">
        <v>85</v>
      </c>
      <c r="K5" s="37">
        <v>3.3136000000000001</v>
      </c>
      <c r="L5" s="37">
        <v>3.3256999999999999</v>
      </c>
      <c r="M5" s="75">
        <f t="shared" si="0"/>
        <v>3.3196500000000002</v>
      </c>
    </row>
    <row r="6" spans="1:16" x14ac:dyDescent="0.25">
      <c r="J6" s="36" t="s">
        <v>86</v>
      </c>
      <c r="K6" s="37">
        <v>4.2778999999999998</v>
      </c>
      <c r="L6" s="37">
        <v>4.2961</v>
      </c>
      <c r="M6" s="75">
        <f t="shared" si="0"/>
        <v>4.2869999999999999</v>
      </c>
    </row>
    <row r="7" spans="1:16" x14ac:dyDescent="0.25">
      <c r="J7" s="36" t="s">
        <v>87</v>
      </c>
      <c r="K7" s="37">
        <v>4.7865000000000002</v>
      </c>
      <c r="L7" s="37">
        <v>4.8048000000000002</v>
      </c>
      <c r="M7" s="75">
        <f t="shared" si="0"/>
        <v>4.7956500000000002</v>
      </c>
    </row>
    <row r="8" spans="1:16" x14ac:dyDescent="0.25">
      <c r="J8" s="36" t="s">
        <v>88</v>
      </c>
      <c r="K8" s="37">
        <v>5.3155000000000001</v>
      </c>
      <c r="L8" s="37">
        <v>5.3277000000000001</v>
      </c>
      <c r="M8" s="75">
        <f t="shared" si="0"/>
        <v>5.3216000000000001</v>
      </c>
    </row>
    <row r="9" spans="1:16" x14ac:dyDescent="0.25">
      <c r="J9" s="36" t="s">
        <v>89</v>
      </c>
      <c r="K9" s="37">
        <v>5.8117000000000001</v>
      </c>
      <c r="L9" s="37">
        <v>5.8300999999999998</v>
      </c>
      <c r="M9" s="75">
        <f t="shared" si="0"/>
        <v>5.8209</v>
      </c>
    </row>
    <row r="10" spans="1:16" x14ac:dyDescent="0.25">
      <c r="J10" s="36" t="s">
        <v>90</v>
      </c>
      <c r="K10" s="37">
        <v>5.8783000000000003</v>
      </c>
      <c r="L10" s="37">
        <v>5.8903999999999996</v>
      </c>
      <c r="M10" s="75">
        <f t="shared" si="0"/>
        <v>5.8843499999999995</v>
      </c>
    </row>
    <row r="11" spans="1:16" x14ac:dyDescent="0.25">
      <c r="J11" s="36" t="s">
        <v>91</v>
      </c>
      <c r="K11" s="37">
        <v>6.3068</v>
      </c>
      <c r="L11" s="37">
        <v>6.3308999999999997</v>
      </c>
      <c r="M11" s="75">
        <f t="shared" si="0"/>
        <v>6.3188499999999994</v>
      </c>
    </row>
    <row r="12" spans="1:16" x14ac:dyDescent="0.25">
      <c r="J12" s="36" t="s">
        <v>92</v>
      </c>
      <c r="K12" s="37">
        <v>7.8349000000000002</v>
      </c>
      <c r="L12" s="37">
        <v>7.8468999999999998</v>
      </c>
      <c r="M12" s="75">
        <f t="shared" si="0"/>
        <v>7.8408999999999995</v>
      </c>
    </row>
    <row r="13" spans="1:16" x14ac:dyDescent="0.25">
      <c r="J13" s="36" t="s">
        <v>93</v>
      </c>
      <c r="K13" s="37">
        <v>10.373799999999999</v>
      </c>
      <c r="L13" s="37">
        <v>10.38</v>
      </c>
      <c r="M13" s="75">
        <f t="shared" si="0"/>
        <v>10.376899999999999</v>
      </c>
    </row>
    <row r="14" spans="1:16" x14ac:dyDescent="0.25">
      <c r="J14" s="36" t="s">
        <v>94</v>
      </c>
      <c r="K14" s="37">
        <v>10.8954</v>
      </c>
      <c r="L14" s="37">
        <v>10.913500000000001</v>
      </c>
      <c r="M14" s="75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119</v>
      </c>
      <c r="K18" s="37"/>
      <c r="L18" s="37"/>
      <c r="M18" s="75" t="str">
        <f>"""C:\Program Files (x86)\AstroGrep\AstroGrep.exe"""</f>
        <v>"C:\Program Files (x86)\AstroGrep\AstroGrep.exe"</v>
      </c>
    </row>
    <row r="19" spans="10:13" x14ac:dyDescent="0.25">
      <c r="J19" s="36" t="s">
        <v>120</v>
      </c>
      <c r="K19" s="37"/>
      <c r="L19" s="37"/>
      <c r="M19" s="75" t="s">
        <v>328</v>
      </c>
    </row>
    <row r="20" spans="10:13" x14ac:dyDescent="0.25">
      <c r="J20" t="s">
        <v>121</v>
      </c>
      <c r="M20" s="75" t="s">
        <v>319</v>
      </c>
    </row>
    <row r="21" spans="10:13" x14ac:dyDescent="0.25">
      <c r="J21" s="24" t="s">
        <v>124</v>
      </c>
      <c r="K21" s="24" t="s">
        <v>125</v>
      </c>
      <c r="M21" s="75" t="s">
        <v>125</v>
      </c>
    </row>
    <row r="22" spans="10:13" x14ac:dyDescent="0.25">
      <c r="J22" s="24" t="s">
        <v>126</v>
      </c>
      <c r="K22" s="24" t="s">
        <v>127</v>
      </c>
      <c r="M22" s="75" t="s">
        <v>327</v>
      </c>
    </row>
    <row r="23" spans="10:13" x14ac:dyDescent="0.25">
      <c r="J23" s="32" t="s">
        <v>129</v>
      </c>
      <c r="K23" s="24"/>
      <c r="M23" s="75">
        <v>-6</v>
      </c>
    </row>
    <row r="24" spans="10:13" x14ac:dyDescent="0.25">
      <c r="J24" s="24" t="s">
        <v>320</v>
      </c>
      <c r="K24" s="24"/>
      <c r="M24" s="75" t="s">
        <v>326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2016-08-05T20:13:08Z</dcterms:modified>
</cp:coreProperties>
</file>