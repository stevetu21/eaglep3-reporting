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Trips'!$A$2:$J$112</definedName>
    <definedName name="_xlnm._FilterDatabase" localSheetId="0" hidden="1">'Train Runs'!$A$12:$AG$249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4" i="1" l="1"/>
  <c r="M114" i="1"/>
  <c r="N114" i="1" s="1"/>
  <c r="V114" i="1"/>
  <c r="AA114" i="1"/>
  <c r="AB114" i="1"/>
  <c r="AC114" i="1"/>
  <c r="AD114" i="1"/>
  <c r="AG114" i="1" s="1"/>
  <c r="AE114" i="1"/>
  <c r="AF114" i="1"/>
  <c r="AH114" i="1"/>
  <c r="AM114" i="1"/>
  <c r="AN11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R22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R29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P32" i="1" s="1"/>
  <c r="V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S15" i="3" s="1"/>
  <c r="Y34" i="1"/>
  <c r="Z34" i="1"/>
  <c r="AB34" i="1"/>
  <c r="AC34" i="1"/>
  <c r="AD34" i="1"/>
  <c r="AE34" i="1"/>
  <c r="R15" i="3" s="1"/>
  <c r="AF34" i="1"/>
  <c r="AH34" i="1"/>
  <c r="AM34" i="1"/>
  <c r="AN34" i="1"/>
  <c r="K35" i="1"/>
  <c r="L35" i="1"/>
  <c r="M35" i="1"/>
  <c r="N35" i="1" s="1"/>
  <c r="V35" i="1"/>
  <c r="S23" i="3" s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S32" i="3" s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S10" i="3" s="1"/>
  <c r="Y43" i="1"/>
  <c r="Z43" i="1"/>
  <c r="AB43" i="1"/>
  <c r="AC43" i="1"/>
  <c r="AD43" i="1"/>
  <c r="T43" i="1" s="1"/>
  <c r="AE43" i="1"/>
  <c r="R10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R9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R7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S18" i="3" s="1"/>
  <c r="Y48" i="1"/>
  <c r="Z48" i="1"/>
  <c r="AB48" i="1"/>
  <c r="AC48" i="1"/>
  <c r="AD48" i="1"/>
  <c r="AG48" i="1" s="1"/>
  <c r="AE48" i="1"/>
  <c r="R18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S21" i="3" s="1"/>
  <c r="Y53" i="1"/>
  <c r="Z53" i="1"/>
  <c r="AB53" i="1"/>
  <c r="AC53" i="1"/>
  <c r="AD53" i="1"/>
  <c r="AE53" i="1"/>
  <c r="R21" i="3" s="1"/>
  <c r="AF53" i="1"/>
  <c r="AH53" i="1"/>
  <c r="AM53" i="1"/>
  <c r="AN53" i="1"/>
  <c r="K54" i="1"/>
  <c r="L54" i="1"/>
  <c r="M54" i="1"/>
  <c r="N54" i="1" s="1"/>
  <c r="V54" i="1"/>
  <c r="S36" i="3" s="1"/>
  <c r="Y54" i="1"/>
  <c r="Z54" i="1"/>
  <c r="AB54" i="1"/>
  <c r="AC54" i="1"/>
  <c r="AD54" i="1"/>
  <c r="AE54" i="1"/>
  <c r="R36" i="3" s="1"/>
  <c r="AF54" i="1"/>
  <c r="AH54" i="1"/>
  <c r="AM54" i="1"/>
  <c r="AN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S17" i="3" s="1"/>
  <c r="Y59" i="1"/>
  <c r="Z59" i="1"/>
  <c r="AB59" i="1"/>
  <c r="AC59" i="1"/>
  <c r="AD59" i="1"/>
  <c r="T59" i="1" s="1"/>
  <c r="AE59" i="1"/>
  <c r="R17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S33" i="3" s="1"/>
  <c r="Y87" i="1"/>
  <c r="Z87" i="1"/>
  <c r="AB87" i="1"/>
  <c r="AC87" i="1"/>
  <c r="AD87" i="1"/>
  <c r="T87" i="1" s="1"/>
  <c r="AE87" i="1"/>
  <c r="R33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S34" i="3" s="1"/>
  <c r="Y89" i="1"/>
  <c r="Z89" i="1"/>
  <c r="AB89" i="1"/>
  <c r="AC89" i="1"/>
  <c r="AD89" i="1"/>
  <c r="T89" i="1" s="1"/>
  <c r="AE89" i="1"/>
  <c r="R34" i="3" s="1"/>
  <c r="AF89" i="1"/>
  <c r="AG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AA92" i="1" s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R37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8" i="3" s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19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R38" i="3" s="1"/>
  <c r="AF126" i="1"/>
  <c r="AH126" i="1"/>
  <c r="AM126" i="1"/>
  <c r="AN126" i="1"/>
  <c r="K127" i="1"/>
  <c r="L127" i="1"/>
  <c r="M127" i="1"/>
  <c r="N127" i="1" s="1"/>
  <c r="V127" i="1"/>
  <c r="S26" i="3" s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R25" i="3" s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R27" i="3" s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R13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R11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S48" i="3" s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9" i="1"/>
  <c r="AM179" i="1"/>
  <c r="AN17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0" i="1"/>
  <c r="AM180" i="1"/>
  <c r="AN18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R41" i="3" s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6" i="1"/>
  <c r="AM186" i="1"/>
  <c r="AN186" i="1"/>
  <c r="K169" i="1"/>
  <c r="L169" i="1"/>
  <c r="M169" i="1"/>
  <c r="N169" i="1" s="1"/>
  <c r="V169" i="1"/>
  <c r="S42" i="3" s="1"/>
  <c r="Y169" i="1"/>
  <c r="Z169" i="1"/>
  <c r="AB169" i="1"/>
  <c r="AC169" i="1"/>
  <c r="AD169" i="1"/>
  <c r="AE169" i="1"/>
  <c r="R42" i="3" s="1"/>
  <c r="AF169" i="1"/>
  <c r="AH187" i="1"/>
  <c r="AM187" i="1"/>
  <c r="AN18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8" i="1"/>
  <c r="AM188" i="1"/>
  <c r="AN18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89" i="1"/>
  <c r="AM189" i="1"/>
  <c r="AN18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90" i="1"/>
  <c r="AM190" i="1"/>
  <c r="AN190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1" i="1"/>
  <c r="AM191" i="1"/>
  <c r="AN19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2" i="1"/>
  <c r="AM192" i="1"/>
  <c r="AN19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3" i="1"/>
  <c r="AM193" i="1"/>
  <c r="AN19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4" i="1"/>
  <c r="AM194" i="1"/>
  <c r="AN194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5" i="1"/>
  <c r="AM195" i="1"/>
  <c r="AN19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AM196" i="1"/>
  <c r="AN196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7" i="1"/>
  <c r="AM197" i="1"/>
  <c r="AN197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8" i="1"/>
  <c r="AM198" i="1"/>
  <c r="AN198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9" i="1"/>
  <c r="AM199" i="1"/>
  <c r="AN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AM200" i="1"/>
  <c r="AN20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1" i="1"/>
  <c r="AM201" i="1"/>
  <c r="AN201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2" i="1"/>
  <c r="AM202" i="1"/>
  <c r="AN20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3" i="1"/>
  <c r="AM203" i="1"/>
  <c r="AN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R43" i="3" s="1"/>
  <c r="AF183" i="1"/>
  <c r="AH204" i="1"/>
  <c r="AM204" i="1"/>
  <c r="AN20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5" i="1"/>
  <c r="AM205" i="1"/>
  <c r="AN20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6" i="1"/>
  <c r="AM206" i="1"/>
  <c r="AN206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7" i="1"/>
  <c r="AM207" i="1"/>
  <c r="AN20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8" i="1"/>
  <c r="AM208" i="1"/>
  <c r="AN208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9" i="1"/>
  <c r="AM209" i="1"/>
  <c r="AN20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0" i="1"/>
  <c r="AM210" i="1"/>
  <c r="AN210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1" i="1"/>
  <c r="AM211" i="1"/>
  <c r="AN211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2" i="1"/>
  <c r="AM212" i="1"/>
  <c r="AN21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3" i="1"/>
  <c r="AM213" i="1"/>
  <c r="AN213" i="1"/>
  <c r="K193" i="1"/>
  <c r="L193" i="1"/>
  <c r="M193" i="1"/>
  <c r="N193" i="1" s="1"/>
  <c r="V193" i="1"/>
  <c r="Y193" i="1"/>
  <c r="Z193" i="1"/>
  <c r="AA193" i="1" s="1"/>
  <c r="AB193" i="1"/>
  <c r="AC193" i="1"/>
  <c r="AD193" i="1"/>
  <c r="AG193" i="1" s="1"/>
  <c r="AE193" i="1"/>
  <c r="AF193" i="1"/>
  <c r="AH214" i="1"/>
  <c r="AM214" i="1"/>
  <c r="AN21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5" i="1"/>
  <c r="AM215" i="1"/>
  <c r="AN21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6" i="1"/>
  <c r="AM216" i="1"/>
  <c r="AN216" i="1"/>
  <c r="K196" i="1"/>
  <c r="L196" i="1"/>
  <c r="M196" i="1"/>
  <c r="N196" i="1"/>
  <c r="V196" i="1"/>
  <c r="Y196" i="1"/>
  <c r="Z196" i="1"/>
  <c r="AB196" i="1"/>
  <c r="AC196" i="1"/>
  <c r="AD196" i="1"/>
  <c r="AE196" i="1"/>
  <c r="AF196" i="1"/>
  <c r="AH217" i="1"/>
  <c r="AM217" i="1"/>
  <c r="AN21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8" i="1"/>
  <c r="AM218" i="1"/>
  <c r="AN21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9" i="1"/>
  <c r="AM219" i="1"/>
  <c r="AN21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0" i="1"/>
  <c r="AM220" i="1"/>
  <c r="AN220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1" i="1"/>
  <c r="AM221" i="1"/>
  <c r="AN22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2" i="1"/>
  <c r="AM222" i="1"/>
  <c r="AN222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3" i="1"/>
  <c r="AM223" i="1"/>
  <c r="AN223" i="1"/>
  <c r="K203" i="1"/>
  <c r="L203" i="1"/>
  <c r="M203" i="1"/>
  <c r="N203" i="1" s="1"/>
  <c r="V203" i="1"/>
  <c r="S44" i="3" s="1"/>
  <c r="Y203" i="1"/>
  <c r="Z203" i="1"/>
  <c r="AB203" i="1"/>
  <c r="AC203" i="1"/>
  <c r="AD203" i="1"/>
  <c r="T203" i="1" s="1"/>
  <c r="AE203" i="1"/>
  <c r="R44" i="3" s="1"/>
  <c r="AF203" i="1"/>
  <c r="AH224" i="1"/>
  <c r="AM224" i="1"/>
  <c r="AN22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5" i="1"/>
  <c r="AM225" i="1"/>
  <c r="AN22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6" i="1"/>
  <c r="AM226" i="1"/>
  <c r="AN226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27" i="1"/>
  <c r="AM227" i="1"/>
  <c r="AN22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28" i="1"/>
  <c r="AM228" i="1"/>
  <c r="AN22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29" i="1"/>
  <c r="AM229" i="1"/>
  <c r="AN22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0" i="1"/>
  <c r="AM230" i="1"/>
  <c r="AN230" i="1"/>
  <c r="K237" i="1"/>
  <c r="L237" i="1"/>
  <c r="M237" i="1"/>
  <c r="N237" i="1" s="1"/>
  <c r="V237" i="1"/>
  <c r="S46" i="3" s="1"/>
  <c r="Y237" i="1"/>
  <c r="Z237" i="1"/>
  <c r="AB237" i="1"/>
  <c r="AC237" i="1"/>
  <c r="AD237" i="1"/>
  <c r="AG237" i="1" s="1"/>
  <c r="AE237" i="1"/>
  <c r="R45" i="3" s="1"/>
  <c r="AF237" i="1"/>
  <c r="AH231" i="1"/>
  <c r="AM231" i="1"/>
  <c r="AN23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32" i="1"/>
  <c r="AM232" i="1"/>
  <c r="AN23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233" i="1"/>
  <c r="AM233" i="1"/>
  <c r="AN233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234" i="1"/>
  <c r="AM234" i="1"/>
  <c r="AN234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235" i="1"/>
  <c r="AM235" i="1"/>
  <c r="AN235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236" i="1"/>
  <c r="AM236" i="1"/>
  <c r="AN236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237" i="1"/>
  <c r="AM237" i="1"/>
  <c r="AN237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38" i="1"/>
  <c r="AM238" i="1"/>
  <c r="AN238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39" i="1"/>
  <c r="AM239" i="1"/>
  <c r="AN239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240" i="1"/>
  <c r="AM240" i="1"/>
  <c r="AN24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1" i="1"/>
  <c r="AM241" i="1"/>
  <c r="AN241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42" i="1"/>
  <c r="AM242" i="1"/>
  <c r="AN242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43" i="1"/>
  <c r="AM243" i="1"/>
  <c r="AN24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4" i="1"/>
  <c r="AM244" i="1"/>
  <c r="AN24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5" i="1"/>
  <c r="AM245" i="1"/>
  <c r="AN245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46" i="1"/>
  <c r="AM246" i="1"/>
  <c r="AN246" i="1"/>
  <c r="M12" i="3"/>
  <c r="R12" i="3"/>
  <c r="S12" i="3"/>
  <c r="U12" i="3"/>
  <c r="T12" i="3" s="1"/>
  <c r="V12" i="3"/>
  <c r="W12" i="3"/>
  <c r="X12" i="3"/>
  <c r="M28" i="3"/>
  <c r="R28" i="3"/>
  <c r="S28" i="3"/>
  <c r="U28" i="3"/>
  <c r="AC28" i="3" s="1"/>
  <c r="V28" i="3"/>
  <c r="W28" i="3"/>
  <c r="X28" i="3"/>
  <c r="M22" i="3"/>
  <c r="S22" i="3"/>
  <c r="U22" i="3"/>
  <c r="AC22" i="3" s="1"/>
  <c r="V22" i="3"/>
  <c r="W22" i="3"/>
  <c r="Y22" i="3" s="1"/>
  <c r="X22" i="3"/>
  <c r="M30" i="3"/>
  <c r="R30" i="3"/>
  <c r="S30" i="3"/>
  <c r="U30" i="3"/>
  <c r="AC30" i="3" s="1"/>
  <c r="V30" i="3"/>
  <c r="W30" i="3"/>
  <c r="X30" i="3"/>
  <c r="M31" i="3"/>
  <c r="R31" i="3"/>
  <c r="S31" i="3"/>
  <c r="U31" i="3"/>
  <c r="T31" i="3" s="1"/>
  <c r="V31" i="3"/>
  <c r="W31" i="3"/>
  <c r="X31" i="3"/>
  <c r="M35" i="3"/>
  <c r="R35" i="3"/>
  <c r="S35" i="3"/>
  <c r="U35" i="3"/>
  <c r="AC35" i="3" s="1"/>
  <c r="V35" i="3"/>
  <c r="W35" i="3"/>
  <c r="X35" i="3"/>
  <c r="M15" i="3"/>
  <c r="U15" i="3"/>
  <c r="AC15" i="3" s="1"/>
  <c r="V15" i="3"/>
  <c r="W15" i="3"/>
  <c r="X15" i="3"/>
  <c r="M20" i="3"/>
  <c r="R20" i="3"/>
  <c r="S20" i="3"/>
  <c r="U20" i="3"/>
  <c r="AC20" i="3" s="1"/>
  <c r="V20" i="3"/>
  <c r="W20" i="3"/>
  <c r="X20" i="3"/>
  <c r="M16" i="3"/>
  <c r="R16" i="3"/>
  <c r="S16" i="3"/>
  <c r="U16" i="3"/>
  <c r="T16" i="3" s="1"/>
  <c r="V16" i="3"/>
  <c r="W16" i="3"/>
  <c r="X16" i="3"/>
  <c r="M29" i="3"/>
  <c r="S29" i="3"/>
  <c r="U29" i="3"/>
  <c r="AC29" i="3" s="1"/>
  <c r="V29" i="3"/>
  <c r="W29" i="3"/>
  <c r="X29" i="3"/>
  <c r="M41" i="3"/>
  <c r="S41" i="3"/>
  <c r="U41" i="3"/>
  <c r="AC41" i="3" s="1"/>
  <c r="V41" i="3"/>
  <c r="W41" i="3"/>
  <c r="X41" i="3"/>
  <c r="M23" i="3"/>
  <c r="R23" i="3"/>
  <c r="U23" i="3"/>
  <c r="AC23" i="3" s="1"/>
  <c r="V23" i="3"/>
  <c r="W23" i="3"/>
  <c r="X23" i="3"/>
  <c r="M9" i="3"/>
  <c r="S9" i="3"/>
  <c r="U9" i="3"/>
  <c r="T9" i="3" s="1"/>
  <c r="V9" i="3"/>
  <c r="W9" i="3"/>
  <c r="X9" i="3"/>
  <c r="M7" i="3"/>
  <c r="S7" i="3"/>
  <c r="U7" i="3"/>
  <c r="AC7" i="3" s="1"/>
  <c r="V7" i="3"/>
  <c r="W7" i="3"/>
  <c r="X7" i="3"/>
  <c r="M42" i="3"/>
  <c r="U42" i="3"/>
  <c r="AC42" i="3" s="1"/>
  <c r="V42" i="3"/>
  <c r="W42" i="3"/>
  <c r="X42" i="3"/>
  <c r="M18" i="3"/>
  <c r="U18" i="3"/>
  <c r="T18" i="3" s="1"/>
  <c r="V18" i="3"/>
  <c r="W18" i="3"/>
  <c r="X18" i="3"/>
  <c r="M32" i="3"/>
  <c r="R32" i="3"/>
  <c r="U32" i="3"/>
  <c r="T32" i="3" s="1"/>
  <c r="V32" i="3"/>
  <c r="W32" i="3"/>
  <c r="X32" i="3"/>
  <c r="M10" i="3"/>
  <c r="U10" i="3"/>
  <c r="AC10" i="3" s="1"/>
  <c r="V10" i="3"/>
  <c r="W10" i="3"/>
  <c r="X10" i="3"/>
  <c r="M36" i="3"/>
  <c r="U36" i="3"/>
  <c r="AC36" i="3" s="1"/>
  <c r="V36" i="3"/>
  <c r="W36" i="3"/>
  <c r="X36" i="3"/>
  <c r="M21" i="3"/>
  <c r="U21" i="3"/>
  <c r="AC21" i="3" s="1"/>
  <c r="V21" i="3"/>
  <c r="W21" i="3"/>
  <c r="X21" i="3"/>
  <c r="M17" i="3"/>
  <c r="U17" i="3"/>
  <c r="T17" i="3" s="1"/>
  <c r="V17" i="3"/>
  <c r="W17" i="3"/>
  <c r="X17" i="3"/>
  <c r="M48" i="3"/>
  <c r="R48" i="3"/>
  <c r="U48" i="3"/>
  <c r="AD29" i="3" s="1"/>
  <c r="V48" i="3"/>
  <c r="W48" i="3"/>
  <c r="X48" i="3"/>
  <c r="M33" i="3"/>
  <c r="U33" i="3"/>
  <c r="AC33" i="3" s="1"/>
  <c r="V33" i="3"/>
  <c r="W33" i="3"/>
  <c r="X33" i="3"/>
  <c r="M40" i="3"/>
  <c r="S40" i="3"/>
  <c r="U40" i="3"/>
  <c r="T40" i="3" s="1"/>
  <c r="V40" i="3"/>
  <c r="W40" i="3"/>
  <c r="X40" i="3"/>
  <c r="M34" i="3"/>
  <c r="U34" i="3"/>
  <c r="T34" i="3" s="1"/>
  <c r="V34" i="3"/>
  <c r="W34" i="3"/>
  <c r="X34" i="3"/>
  <c r="M43" i="3"/>
  <c r="S43" i="3"/>
  <c r="U43" i="3"/>
  <c r="V43" i="3"/>
  <c r="W43" i="3"/>
  <c r="X43" i="3"/>
  <c r="M24" i="3"/>
  <c r="R24" i="3"/>
  <c r="S24" i="3"/>
  <c r="U24" i="3"/>
  <c r="AC24" i="3" s="1"/>
  <c r="V24" i="3"/>
  <c r="W24" i="3"/>
  <c r="X24" i="3"/>
  <c r="M37" i="3"/>
  <c r="S37" i="3"/>
  <c r="U37" i="3"/>
  <c r="AC37" i="3" s="1"/>
  <c r="V37" i="3"/>
  <c r="W37" i="3"/>
  <c r="X37" i="3"/>
  <c r="M8" i="3"/>
  <c r="R8" i="3"/>
  <c r="U8" i="3"/>
  <c r="T8" i="3" s="1"/>
  <c r="V8" i="3"/>
  <c r="W8" i="3"/>
  <c r="X8" i="3"/>
  <c r="M19" i="3"/>
  <c r="S19" i="3"/>
  <c r="U19" i="3"/>
  <c r="V19" i="3"/>
  <c r="W19" i="3"/>
  <c r="Y19" i="3" s="1"/>
  <c r="X19" i="3"/>
  <c r="M38" i="3"/>
  <c r="S38" i="3"/>
  <c r="U38" i="3"/>
  <c r="AC38" i="3" s="1"/>
  <c r="V38" i="3"/>
  <c r="W38" i="3"/>
  <c r="X38" i="3"/>
  <c r="M49" i="3"/>
  <c r="R49" i="3"/>
  <c r="S49" i="3"/>
  <c r="U49" i="3"/>
  <c r="T49" i="3" s="1"/>
  <c r="V49" i="3"/>
  <c r="W49" i="3"/>
  <c r="X49" i="3"/>
  <c r="M26" i="3"/>
  <c r="R26" i="3"/>
  <c r="U26" i="3"/>
  <c r="T26" i="3" s="1"/>
  <c r="V26" i="3"/>
  <c r="W26" i="3"/>
  <c r="X26" i="3"/>
  <c r="M46" i="3"/>
  <c r="U46" i="3"/>
  <c r="AC46" i="3" s="1"/>
  <c r="V46" i="3"/>
  <c r="W46" i="3"/>
  <c r="X46" i="3"/>
  <c r="M44" i="3"/>
  <c r="U44" i="3"/>
  <c r="AC44" i="3" s="1"/>
  <c r="V44" i="3"/>
  <c r="W44" i="3"/>
  <c r="X44" i="3"/>
  <c r="M14" i="3"/>
  <c r="R14" i="3"/>
  <c r="S14" i="3"/>
  <c r="U14" i="3"/>
  <c r="AC14" i="3" s="1"/>
  <c r="V14" i="3"/>
  <c r="W14" i="3"/>
  <c r="X14" i="3"/>
  <c r="M39" i="3"/>
  <c r="R39" i="3"/>
  <c r="S39" i="3"/>
  <c r="U39" i="3"/>
  <c r="T39" i="3" s="1"/>
  <c r="V39" i="3"/>
  <c r="W39" i="3"/>
  <c r="X39" i="3"/>
  <c r="M25" i="3"/>
  <c r="S25" i="3"/>
  <c r="U25" i="3"/>
  <c r="AC25" i="3" s="1"/>
  <c r="V25" i="3"/>
  <c r="W25" i="3"/>
  <c r="X25" i="3"/>
  <c r="M45" i="3"/>
  <c r="U45" i="3"/>
  <c r="AC45" i="3" s="1"/>
  <c r="V45" i="3"/>
  <c r="W45" i="3"/>
  <c r="X45" i="3"/>
  <c r="M27" i="3"/>
  <c r="S27" i="3"/>
  <c r="U27" i="3"/>
  <c r="V27" i="3"/>
  <c r="W27" i="3"/>
  <c r="X27" i="3"/>
  <c r="M13" i="3"/>
  <c r="S13" i="3"/>
  <c r="U13" i="3"/>
  <c r="T13" i="3" s="1"/>
  <c r="V13" i="3"/>
  <c r="W13" i="3"/>
  <c r="X13" i="3"/>
  <c r="M11" i="3"/>
  <c r="S11" i="3"/>
  <c r="U11" i="3"/>
  <c r="AC11" i="3" s="1"/>
  <c r="V11" i="3"/>
  <c r="W11" i="3"/>
  <c r="X11" i="3"/>
  <c r="AA35" i="1" l="1"/>
  <c r="X154" i="1"/>
  <c r="T153" i="1"/>
  <c r="U153" i="1" s="1"/>
  <c r="S153" i="1" s="1"/>
  <c r="AA221" i="1"/>
  <c r="W221" i="1" s="1"/>
  <c r="T156" i="1"/>
  <c r="X118" i="1"/>
  <c r="X105" i="1"/>
  <c r="X103" i="1"/>
  <c r="X101" i="1"/>
  <c r="R40" i="3"/>
  <c r="X178" i="1"/>
  <c r="AA218" i="1"/>
  <c r="AA152" i="1"/>
  <c r="AA117" i="1"/>
  <c r="W117" i="1" s="1"/>
  <c r="AA115" i="1"/>
  <c r="W115" i="1" s="1"/>
  <c r="AA27" i="1"/>
  <c r="AA19" i="1"/>
  <c r="AA240" i="1"/>
  <c r="W240" i="1" s="1"/>
  <c r="X206" i="1"/>
  <c r="AG205" i="1"/>
  <c r="U205" i="1" s="1"/>
  <c r="S205" i="1" s="1"/>
  <c r="AA171" i="1"/>
  <c r="AA164" i="1"/>
  <c r="T121" i="1"/>
  <c r="AA101" i="1"/>
  <c r="AG16" i="1"/>
  <c r="AI16" i="1" s="1"/>
  <c r="Y35" i="3"/>
  <c r="Y9" i="3"/>
  <c r="AC9" i="3"/>
  <c r="Y11" i="3"/>
  <c r="AD44" i="3"/>
  <c r="Y44" i="3"/>
  <c r="Y43" i="3"/>
  <c r="Y7" i="3"/>
  <c r="AC13" i="3"/>
  <c r="AD37" i="3"/>
  <c r="AD36" i="3"/>
  <c r="AD33" i="3"/>
  <c r="Y48" i="3"/>
  <c r="Y36" i="3"/>
  <c r="AD28" i="3"/>
  <c r="AD20" i="3"/>
  <c r="AC17" i="3"/>
  <c r="AE27" i="3"/>
  <c r="AD39" i="3"/>
  <c r="AD31" i="3"/>
  <c r="AC49" i="3"/>
  <c r="AC40" i="3"/>
  <c r="AC32" i="3"/>
  <c r="AC16" i="3"/>
  <c r="AC12" i="3"/>
  <c r="AC8" i="3"/>
  <c r="Y33" i="3"/>
  <c r="Y16" i="3"/>
  <c r="Y12" i="3"/>
  <c r="AC48" i="3"/>
  <c r="AC43" i="3"/>
  <c r="AC39" i="3"/>
  <c r="AC31" i="3"/>
  <c r="AC27" i="3"/>
  <c r="AC19" i="3"/>
  <c r="Y45" i="3"/>
  <c r="Y14" i="3"/>
  <c r="Y8" i="3"/>
  <c r="AD49" i="3"/>
  <c r="Y21" i="3"/>
  <c r="Y42" i="3"/>
  <c r="Y29" i="3"/>
  <c r="Y28" i="3"/>
  <c r="AC34" i="3"/>
  <c r="AC26" i="3"/>
  <c r="AC18" i="3"/>
  <c r="AI202" i="1"/>
  <c r="AA187" i="1"/>
  <c r="AA155" i="1"/>
  <c r="AA153" i="1"/>
  <c r="AA148" i="1"/>
  <c r="AA144" i="1"/>
  <c r="AG96" i="1"/>
  <c r="U96" i="1" s="1"/>
  <c r="S96" i="1" s="1"/>
  <c r="AG71" i="1"/>
  <c r="AI71" i="1" s="1"/>
  <c r="AA49" i="1"/>
  <c r="W49" i="1" s="1"/>
  <c r="AG63" i="1"/>
  <c r="AA16" i="1"/>
  <c r="W16" i="1" s="1"/>
  <c r="W114" i="1"/>
  <c r="AG185" i="1"/>
  <c r="U185" i="1" s="1"/>
  <c r="S185" i="1" s="1"/>
  <c r="AA229" i="1"/>
  <c r="X219" i="1"/>
  <c r="AA128" i="1"/>
  <c r="X114" i="1"/>
  <c r="X48" i="1"/>
  <c r="AG47" i="1"/>
  <c r="AI47" i="1" s="1"/>
  <c r="X117" i="1"/>
  <c r="R46" i="3"/>
  <c r="AA204" i="1"/>
  <c r="AA197" i="1"/>
  <c r="AI194" i="1"/>
  <c r="AG189" i="1"/>
  <c r="U189" i="1" s="1"/>
  <c r="S189" i="1" s="1"/>
  <c r="AA168" i="1"/>
  <c r="W168" i="1" s="1"/>
  <c r="AG160" i="1"/>
  <c r="U160" i="1" s="1"/>
  <c r="S160" i="1" s="1"/>
  <c r="X218" i="1"/>
  <c r="AG146" i="1"/>
  <c r="AI146" i="1" s="1"/>
  <c r="X146" i="1"/>
  <c r="AA91" i="1"/>
  <c r="X89" i="1"/>
  <c r="AG66" i="1"/>
  <c r="AI66" i="1" s="1"/>
  <c r="X66" i="1"/>
  <c r="AG65" i="1"/>
  <c r="U65" i="1" s="1"/>
  <c r="S65" i="1" s="1"/>
  <c r="X104" i="1"/>
  <c r="X100" i="1"/>
  <c r="T114" i="1"/>
  <c r="U114" i="1" s="1"/>
  <c r="S114" i="1" s="1"/>
  <c r="X116" i="1"/>
  <c r="T246" i="1"/>
  <c r="U246" i="1" s="1"/>
  <c r="S246" i="1" s="1"/>
  <c r="X231" i="1"/>
  <c r="T219" i="1"/>
  <c r="X209" i="1"/>
  <c r="X150" i="1"/>
  <c r="T145" i="1"/>
  <c r="T118" i="1"/>
  <c r="AA43" i="1"/>
  <c r="X40" i="1"/>
  <c r="AG39" i="1"/>
  <c r="AI39" i="1" s="1"/>
  <c r="X16" i="1"/>
  <c r="X119" i="1"/>
  <c r="X115" i="1"/>
  <c r="AG199" i="1"/>
  <c r="U199" i="1" s="1"/>
  <c r="S199" i="1" s="1"/>
  <c r="AI182" i="1"/>
  <c r="X175" i="1"/>
  <c r="AG231" i="1"/>
  <c r="AI231" i="1" s="1"/>
  <c r="T152" i="1"/>
  <c r="AA145" i="1"/>
  <c r="W145" i="1" s="1"/>
  <c r="AA73" i="1"/>
  <c r="X102" i="1"/>
  <c r="AI114" i="1"/>
  <c r="AA181" i="1"/>
  <c r="AG125" i="1"/>
  <c r="T125" i="1"/>
  <c r="T61" i="1"/>
  <c r="AG61" i="1"/>
  <c r="AI61" i="1" s="1"/>
  <c r="T27" i="3"/>
  <c r="AE43" i="3"/>
  <c r="AD8" i="3"/>
  <c r="AG203" i="1"/>
  <c r="AD15" i="3"/>
  <c r="AG242" i="1"/>
  <c r="AI242" i="1" s="1"/>
  <c r="AG234" i="1"/>
  <c r="U234" i="1" s="1"/>
  <c r="S234" i="1" s="1"/>
  <c r="Y27" i="3"/>
  <c r="Y25" i="3"/>
  <c r="Y46" i="3"/>
  <c r="Y38" i="3"/>
  <c r="Y34" i="3"/>
  <c r="Y15" i="3"/>
  <c r="AA225" i="1"/>
  <c r="T221" i="1"/>
  <c r="U221" i="1" s="1"/>
  <c r="S221" i="1" s="1"/>
  <c r="AA220" i="1"/>
  <c r="AI246" i="1"/>
  <c r="AA244" i="1"/>
  <c r="AA205" i="1"/>
  <c r="W205" i="1" s="1"/>
  <c r="X198" i="1"/>
  <c r="X191" i="1"/>
  <c r="AA189" i="1"/>
  <c r="AG183" i="1"/>
  <c r="U183" i="1" s="1"/>
  <c r="S183" i="1" s="1"/>
  <c r="AI170" i="1"/>
  <c r="T168" i="1"/>
  <c r="U168" i="1" s="1"/>
  <c r="S168" i="1" s="1"/>
  <c r="AA167" i="1"/>
  <c r="AA165" i="1"/>
  <c r="AA227" i="1"/>
  <c r="AG218" i="1"/>
  <c r="AI218" i="1" s="1"/>
  <c r="T218" i="1"/>
  <c r="T154" i="1"/>
  <c r="X122" i="1"/>
  <c r="T122" i="1"/>
  <c r="T45" i="1"/>
  <c r="AG45" i="1"/>
  <c r="AI45" i="1" s="1"/>
  <c r="T240" i="1"/>
  <c r="AA239" i="1"/>
  <c r="AA185" i="1"/>
  <c r="AG227" i="1"/>
  <c r="U227" i="1" s="1"/>
  <c r="S227" i="1" s="1"/>
  <c r="T227" i="1"/>
  <c r="T209" i="1"/>
  <c r="AA208" i="1"/>
  <c r="W208" i="1" s="1"/>
  <c r="U156" i="1"/>
  <c r="S156" i="1" s="1"/>
  <c r="X162" i="1"/>
  <c r="AA160" i="1"/>
  <c r="W160" i="1" s="1"/>
  <c r="AA226" i="1"/>
  <c r="AA210" i="1"/>
  <c r="AA136" i="1"/>
  <c r="AA121" i="1"/>
  <c r="AA120" i="1"/>
  <c r="AA108" i="1"/>
  <c r="W108" i="1" s="1"/>
  <c r="AG82" i="1"/>
  <c r="X82" i="1"/>
  <c r="AG79" i="1"/>
  <c r="W79" i="1" s="1"/>
  <c r="AA39" i="1"/>
  <c r="W39" i="1" s="1"/>
  <c r="AG37" i="1"/>
  <c r="AA25" i="1"/>
  <c r="AA125" i="1"/>
  <c r="AA124" i="1"/>
  <c r="AA111" i="1"/>
  <c r="AA98" i="1"/>
  <c r="AA95" i="1"/>
  <c r="W95" i="1" s="1"/>
  <c r="AA81" i="1"/>
  <c r="AA74" i="1"/>
  <c r="AI65" i="1"/>
  <c r="AA53" i="1"/>
  <c r="T30" i="1"/>
  <c r="AA24" i="1"/>
  <c r="W24" i="1" s="1"/>
  <c r="AA22" i="1"/>
  <c r="AA41" i="1"/>
  <c r="W181" i="1"/>
  <c r="X222" i="1"/>
  <c r="X241" i="1"/>
  <c r="T191" i="1"/>
  <c r="U191" i="1" s="1"/>
  <c r="S191" i="1" s="1"/>
  <c r="X183" i="1"/>
  <c r="AG177" i="1"/>
  <c r="T177" i="1"/>
  <c r="T162" i="1"/>
  <c r="U162" i="1" s="1"/>
  <c r="S162" i="1" s="1"/>
  <c r="AG212" i="1"/>
  <c r="T212" i="1"/>
  <c r="X138" i="1"/>
  <c r="AG138" i="1"/>
  <c r="AI138" i="1" s="1"/>
  <c r="T138" i="1"/>
  <c r="AG136" i="1"/>
  <c r="T136" i="1"/>
  <c r="AG86" i="1"/>
  <c r="AI86" i="1" s="1"/>
  <c r="T86" i="1"/>
  <c r="AG81" i="1"/>
  <c r="AI81" i="1" s="1"/>
  <c r="T81" i="1"/>
  <c r="T57" i="1"/>
  <c r="AG57" i="1"/>
  <c r="T49" i="1"/>
  <c r="AG49" i="1"/>
  <c r="AG32" i="1"/>
  <c r="U32" i="1" s="1"/>
  <c r="S32" i="1" s="1"/>
  <c r="X32" i="1"/>
  <c r="T32" i="1"/>
  <c r="AG238" i="1"/>
  <c r="AI238" i="1" s="1"/>
  <c r="S45" i="3"/>
  <c r="AA223" i="1"/>
  <c r="AG244" i="1"/>
  <c r="AI244" i="1" s="1"/>
  <c r="AA242" i="1"/>
  <c r="W242" i="1" s="1"/>
  <c r="AA236" i="1"/>
  <c r="AI206" i="1"/>
  <c r="AG201" i="1"/>
  <c r="U201" i="1" s="1"/>
  <c r="S201" i="1" s="1"/>
  <c r="AA199" i="1"/>
  <c r="AG197" i="1"/>
  <c r="U197" i="1" s="1"/>
  <c r="S197" i="1" s="1"/>
  <c r="AG195" i="1"/>
  <c r="U195" i="1" s="1"/>
  <c r="S195" i="1" s="1"/>
  <c r="X195" i="1"/>
  <c r="X194" i="1"/>
  <c r="AI190" i="1"/>
  <c r="AI186" i="1"/>
  <c r="T181" i="1"/>
  <c r="U181" i="1" s="1"/>
  <c r="S181" i="1" s="1"/>
  <c r="AG178" i="1"/>
  <c r="AI178" i="1" s="1"/>
  <c r="T178" i="1"/>
  <c r="U178" i="1" s="1"/>
  <c r="S178" i="1" s="1"/>
  <c r="AA173" i="1"/>
  <c r="X170" i="1"/>
  <c r="AG233" i="1"/>
  <c r="U233" i="1" s="1"/>
  <c r="S233" i="1" s="1"/>
  <c r="AG169" i="1"/>
  <c r="X169" i="1"/>
  <c r="AG165" i="1"/>
  <c r="X165" i="1"/>
  <c r="AG130" i="1"/>
  <c r="AI130" i="1" s="1"/>
  <c r="T130" i="1"/>
  <c r="AG111" i="1"/>
  <c r="X111" i="1"/>
  <c r="T77" i="1"/>
  <c r="U77" i="1" s="1"/>
  <c r="S77" i="1" s="1"/>
  <c r="AG77" i="1"/>
  <c r="AI77" i="1" s="1"/>
  <c r="AA65" i="1"/>
  <c r="AA47" i="1"/>
  <c r="X21" i="1"/>
  <c r="AG21" i="1"/>
  <c r="AI21" i="1" s="1"/>
  <c r="T21" i="1"/>
  <c r="T171" i="1"/>
  <c r="X171" i="1"/>
  <c r="AG171" i="1"/>
  <c r="W171" i="1" s="1"/>
  <c r="X166" i="1"/>
  <c r="AG166" i="1"/>
  <c r="AI166" i="1" s="1"/>
  <c r="AG148" i="1"/>
  <c r="AI148" i="1" s="1"/>
  <c r="T148" i="1"/>
  <c r="AG137" i="1"/>
  <c r="X137" i="1"/>
  <c r="T137" i="1"/>
  <c r="T85" i="1"/>
  <c r="U85" i="1" s="1"/>
  <c r="S85" i="1" s="1"/>
  <c r="AG85" i="1"/>
  <c r="AI85" i="1" s="1"/>
  <c r="AG58" i="1"/>
  <c r="T58" i="1"/>
  <c r="U58" i="1" s="1"/>
  <c r="S58" i="1" s="1"/>
  <c r="T54" i="1"/>
  <c r="AG54" i="1"/>
  <c r="AG44" i="1"/>
  <c r="X44" i="1"/>
  <c r="T41" i="1"/>
  <c r="AG41" i="1"/>
  <c r="AI41" i="1" s="1"/>
  <c r="X33" i="1"/>
  <c r="AG33" i="1"/>
  <c r="AI33" i="1" s="1"/>
  <c r="T33" i="1"/>
  <c r="AI222" i="1"/>
  <c r="AG236" i="1"/>
  <c r="U236" i="1" s="1"/>
  <c r="S236" i="1" s="1"/>
  <c r="AA234" i="1"/>
  <c r="AA201" i="1"/>
  <c r="AI198" i="1"/>
  <c r="AA196" i="1"/>
  <c r="AA194" i="1"/>
  <c r="W194" i="1" s="1"/>
  <c r="T194" i="1"/>
  <c r="U194" i="1" s="1"/>
  <c r="S194" i="1" s="1"/>
  <c r="T193" i="1"/>
  <c r="U193" i="1" s="1"/>
  <c r="S193" i="1" s="1"/>
  <c r="AA192" i="1"/>
  <c r="AG187" i="1"/>
  <c r="W187" i="1" s="1"/>
  <c r="X187" i="1"/>
  <c r="AA183" i="1"/>
  <c r="X182" i="1"/>
  <c r="AG179" i="1"/>
  <c r="AI179" i="1" s="1"/>
  <c r="X179" i="1"/>
  <c r="AA177" i="1"/>
  <c r="AI174" i="1"/>
  <c r="AG173" i="1"/>
  <c r="U173" i="1" s="1"/>
  <c r="S173" i="1" s="1"/>
  <c r="AA233" i="1"/>
  <c r="T164" i="1"/>
  <c r="AA163" i="1"/>
  <c r="AG229" i="1"/>
  <c r="W229" i="1" s="1"/>
  <c r="X229" i="1"/>
  <c r="AA217" i="1"/>
  <c r="AA212" i="1"/>
  <c r="X126" i="1"/>
  <c r="T126" i="1"/>
  <c r="AA215" i="1"/>
  <c r="AA213" i="1"/>
  <c r="AG209" i="1"/>
  <c r="U209" i="1" s="1"/>
  <c r="S209" i="1" s="1"/>
  <c r="AG140" i="1"/>
  <c r="U140" i="1" s="1"/>
  <c r="S140" i="1" s="1"/>
  <c r="AG92" i="1"/>
  <c r="AI92" i="1" s="1"/>
  <c r="AA89" i="1"/>
  <c r="AG87" i="1"/>
  <c r="W87" i="1" s="1"/>
  <c r="AG74" i="1"/>
  <c r="W74" i="1" s="1"/>
  <c r="AG73" i="1"/>
  <c r="AI73" i="1" s="1"/>
  <c r="AG70" i="1"/>
  <c r="AI70" i="1" s="1"/>
  <c r="AA69" i="1"/>
  <c r="AA64" i="1"/>
  <c r="W64" i="1" s="1"/>
  <c r="AA61" i="1"/>
  <c r="W61" i="1" s="1"/>
  <c r="AG59" i="1"/>
  <c r="U59" i="1" s="1"/>
  <c r="S59" i="1" s="1"/>
  <c r="AG55" i="1"/>
  <c r="U55" i="1" s="1"/>
  <c r="S55" i="1" s="1"/>
  <c r="AA51" i="1"/>
  <c r="AA45" i="1"/>
  <c r="AG43" i="1"/>
  <c r="AI43" i="1" s="1"/>
  <c r="AG35" i="1"/>
  <c r="AI35" i="1" s="1"/>
  <c r="AA23" i="1"/>
  <c r="AA180" i="1"/>
  <c r="AA178" i="1"/>
  <c r="W178" i="1" s="1"/>
  <c r="AA176" i="1"/>
  <c r="AA231" i="1"/>
  <c r="AG219" i="1"/>
  <c r="U219" i="1" s="1"/>
  <c r="S219" i="1" s="1"/>
  <c r="X217" i="1"/>
  <c r="AA214" i="1"/>
  <c r="AA211" i="1"/>
  <c r="T208" i="1"/>
  <c r="U208" i="1" s="1"/>
  <c r="S208" i="1" s="1"/>
  <c r="AA207" i="1"/>
  <c r="AA156" i="1"/>
  <c r="W156" i="1" s="1"/>
  <c r="AG154" i="1"/>
  <c r="X153" i="1"/>
  <c r="AA147" i="1"/>
  <c r="AA142" i="1"/>
  <c r="AA139" i="1"/>
  <c r="AA137" i="1"/>
  <c r="W137" i="1" s="1"/>
  <c r="AA135" i="1"/>
  <c r="X134" i="1"/>
  <c r="AA134" i="1"/>
  <c r="AA132" i="1"/>
  <c r="X130" i="1"/>
  <c r="AG122" i="1"/>
  <c r="AI122" i="1" s="1"/>
  <c r="AA119" i="1"/>
  <c r="T117" i="1"/>
  <c r="U117" i="1" s="1"/>
  <c r="S117" i="1" s="1"/>
  <c r="AA116" i="1"/>
  <c r="AA110" i="1"/>
  <c r="W110" i="1" s="1"/>
  <c r="AA109" i="1"/>
  <c r="T108" i="1"/>
  <c r="U108" i="1" s="1"/>
  <c r="S108" i="1" s="1"/>
  <c r="AA105" i="1"/>
  <c r="X92" i="1"/>
  <c r="AI89" i="1"/>
  <c r="AA86" i="1"/>
  <c r="AA85" i="1"/>
  <c r="AA80" i="1"/>
  <c r="W80" i="1" s="1"/>
  <c r="AA77" i="1"/>
  <c r="AG75" i="1"/>
  <c r="U75" i="1" s="1"/>
  <c r="S75" i="1" s="1"/>
  <c r="U71" i="1"/>
  <c r="S71" i="1" s="1"/>
  <c r="AA58" i="1"/>
  <c r="W58" i="1" s="1"/>
  <c r="AI37" i="1"/>
  <c r="AA32" i="1"/>
  <c r="AA31" i="1"/>
  <c r="X25" i="1"/>
  <c r="AA20" i="1"/>
  <c r="AA158" i="1"/>
  <c r="AA150" i="1"/>
  <c r="AA140" i="1"/>
  <c r="AA55" i="1"/>
  <c r="AA30" i="1"/>
  <c r="W30" i="1" s="1"/>
  <c r="AA29" i="1"/>
  <c r="W225" i="1"/>
  <c r="U164" i="1"/>
  <c r="S164" i="1" s="1"/>
  <c r="AI164" i="1"/>
  <c r="T225" i="1"/>
  <c r="U225" i="1" s="1"/>
  <c r="S225" i="1" s="1"/>
  <c r="AA224" i="1"/>
  <c r="AA243" i="1"/>
  <c r="U240" i="1"/>
  <c r="S240" i="1" s="1"/>
  <c r="AA235" i="1"/>
  <c r="AA200" i="1"/>
  <c r="AA188" i="1"/>
  <c r="AA186" i="1"/>
  <c r="W186" i="1" s="1"/>
  <c r="T186" i="1"/>
  <c r="X185" i="1"/>
  <c r="AA172" i="1"/>
  <c r="AA170" i="1"/>
  <c r="W170" i="1" s="1"/>
  <c r="T170" i="1"/>
  <c r="X233" i="1"/>
  <c r="W231" i="1"/>
  <c r="AA230" i="1"/>
  <c r="T215" i="1"/>
  <c r="AG215" i="1"/>
  <c r="X213" i="1"/>
  <c r="AG213" i="1"/>
  <c r="U213" i="1" s="1"/>
  <c r="S213" i="1" s="1"/>
  <c r="U152" i="1"/>
  <c r="S152" i="1" s="1"/>
  <c r="AI152" i="1"/>
  <c r="AA245" i="1"/>
  <c r="T245" i="1"/>
  <c r="U245" i="1" s="1"/>
  <c r="S245" i="1" s="1"/>
  <c r="X244" i="1"/>
  <c r="AA237" i="1"/>
  <c r="T237" i="1"/>
  <c r="U237" i="1" s="1"/>
  <c r="S237" i="1" s="1"/>
  <c r="X236" i="1"/>
  <c r="AA202" i="1"/>
  <c r="T202" i="1"/>
  <c r="U202" i="1" s="1"/>
  <c r="S202" i="1" s="1"/>
  <c r="X201" i="1"/>
  <c r="W199" i="1"/>
  <c r="W193" i="1"/>
  <c r="AA190" i="1"/>
  <c r="W190" i="1" s="1"/>
  <c r="T190" i="1"/>
  <c r="U190" i="1" s="1"/>
  <c r="S190" i="1" s="1"/>
  <c r="X189" i="1"/>
  <c r="AA174" i="1"/>
  <c r="W174" i="1" s="1"/>
  <c r="T174" i="1"/>
  <c r="U174" i="1" s="1"/>
  <c r="S174" i="1" s="1"/>
  <c r="X173" i="1"/>
  <c r="W164" i="1"/>
  <c r="AA161" i="1"/>
  <c r="W161" i="1" s="1"/>
  <c r="T161" i="1"/>
  <c r="U161" i="1" s="1"/>
  <c r="S161" i="1" s="1"/>
  <c r="X160" i="1"/>
  <c r="AG228" i="1"/>
  <c r="T228" i="1"/>
  <c r="X225" i="1"/>
  <c r="AG223" i="1"/>
  <c r="X193" i="1"/>
  <c r="AA191" i="1"/>
  <c r="X186" i="1"/>
  <c r="X177" i="1"/>
  <c r="AA175" i="1"/>
  <c r="X164" i="1"/>
  <c r="AA162" i="1"/>
  <c r="X228" i="1"/>
  <c r="U130" i="1"/>
  <c r="S130" i="1" s="1"/>
  <c r="AA222" i="1"/>
  <c r="W222" i="1" s="1"/>
  <c r="T222" i="1"/>
  <c r="U222" i="1" s="1"/>
  <c r="S222" i="1" s="1"/>
  <c r="X221" i="1"/>
  <c r="AA246" i="1"/>
  <c r="W246" i="1" s="1"/>
  <c r="X245" i="1"/>
  <c r="AA241" i="1"/>
  <c r="T241" i="1"/>
  <c r="U241" i="1" s="1"/>
  <c r="S241" i="1" s="1"/>
  <c r="X240" i="1"/>
  <c r="AA238" i="1"/>
  <c r="X237" i="1"/>
  <c r="AA206" i="1"/>
  <c r="W206" i="1" s="1"/>
  <c r="T206" i="1"/>
  <c r="X205" i="1"/>
  <c r="AA203" i="1"/>
  <c r="W203" i="1" s="1"/>
  <c r="X202" i="1"/>
  <c r="AA198" i="1"/>
  <c r="T198" i="1"/>
  <c r="U198" i="1" s="1"/>
  <c r="S198" i="1" s="1"/>
  <c r="X197" i="1"/>
  <c r="AA195" i="1"/>
  <c r="W195" i="1" s="1"/>
  <c r="AG191" i="1"/>
  <c r="X190" i="1"/>
  <c r="AA184" i="1"/>
  <c r="AA182" i="1"/>
  <c r="W182" i="1" s="1"/>
  <c r="T182" i="1"/>
  <c r="X181" i="1"/>
  <c r="AA179" i="1"/>
  <c r="AG175" i="1"/>
  <c r="U175" i="1" s="1"/>
  <c r="S175" i="1" s="1"/>
  <c r="X174" i="1"/>
  <c r="AA232" i="1"/>
  <c r="AA169" i="1"/>
  <c r="W169" i="1" s="1"/>
  <c r="T169" i="1"/>
  <c r="X168" i="1"/>
  <c r="AA166" i="1"/>
  <c r="AG162" i="1"/>
  <c r="AI162" i="1" s="1"/>
  <c r="X161" i="1"/>
  <c r="T217" i="1"/>
  <c r="AG217" i="1"/>
  <c r="AA228" i="1"/>
  <c r="X227" i="1"/>
  <c r="AA219" i="1"/>
  <c r="AG211" i="1"/>
  <c r="U211" i="1" s="1"/>
  <c r="S211" i="1" s="1"/>
  <c r="X211" i="1"/>
  <c r="AA209" i="1"/>
  <c r="W209" i="1" s="1"/>
  <c r="AG207" i="1"/>
  <c r="U207" i="1" s="1"/>
  <c r="S207" i="1" s="1"/>
  <c r="AG158" i="1"/>
  <c r="U158" i="1" s="1"/>
  <c r="S158" i="1" s="1"/>
  <c r="X158" i="1"/>
  <c r="X157" i="1"/>
  <c r="W152" i="1"/>
  <c r="AA151" i="1"/>
  <c r="T150" i="1"/>
  <c r="AA149" i="1"/>
  <c r="W149" i="1" s="1"/>
  <c r="T149" i="1"/>
  <c r="X148" i="1"/>
  <c r="AA146" i="1"/>
  <c r="AG144" i="1"/>
  <c r="W144" i="1" s="1"/>
  <c r="AG142" i="1"/>
  <c r="U142" i="1" s="1"/>
  <c r="S142" i="1" s="1"/>
  <c r="X142" i="1"/>
  <c r="X141" i="1"/>
  <c r="T134" i="1"/>
  <c r="AA133" i="1"/>
  <c r="AG132" i="1"/>
  <c r="AG128" i="1"/>
  <c r="W128" i="1" s="1"/>
  <c r="AA126" i="1"/>
  <c r="AG124" i="1"/>
  <c r="AA122" i="1"/>
  <c r="AG120" i="1"/>
  <c r="AG116" i="1"/>
  <c r="X112" i="1"/>
  <c r="AG109" i="1"/>
  <c r="W109" i="1" s="1"/>
  <c r="AG107" i="1"/>
  <c r="X107" i="1"/>
  <c r="AA104" i="1"/>
  <c r="AA103" i="1"/>
  <c r="T103" i="1"/>
  <c r="AA102" i="1"/>
  <c r="W102" i="1" s="1"/>
  <c r="T101" i="1"/>
  <c r="AG101" i="1"/>
  <c r="AG100" i="1"/>
  <c r="AA97" i="1"/>
  <c r="AA96" i="1"/>
  <c r="T69" i="1"/>
  <c r="X70" i="1"/>
  <c r="AG69" i="1"/>
  <c r="T67" i="1"/>
  <c r="AG67" i="1"/>
  <c r="AA57" i="1"/>
  <c r="AG28" i="1"/>
  <c r="AI28" i="1" s="1"/>
  <c r="T28" i="1"/>
  <c r="X28" i="1"/>
  <c r="T17" i="1"/>
  <c r="X17" i="1"/>
  <c r="AG17" i="1"/>
  <c r="AI17" i="1" s="1"/>
  <c r="X212" i="1"/>
  <c r="X208" i="1"/>
  <c r="AI156" i="1"/>
  <c r="X152" i="1"/>
  <c r="X145" i="1"/>
  <c r="AI140" i="1"/>
  <c r="X136" i="1"/>
  <c r="X133" i="1"/>
  <c r="AA130" i="1"/>
  <c r="X129" i="1"/>
  <c r="AG126" i="1"/>
  <c r="X125" i="1"/>
  <c r="X121" i="1"/>
  <c r="X120" i="1"/>
  <c r="AA118" i="1"/>
  <c r="AA113" i="1"/>
  <c r="T111" i="1"/>
  <c r="AG104" i="1"/>
  <c r="AI104" i="1" s="1"/>
  <c r="X97" i="1"/>
  <c r="AG97" i="1"/>
  <c r="AI97" i="1" s="1"/>
  <c r="T83" i="1"/>
  <c r="AG83" i="1"/>
  <c r="AI83" i="1" s="1"/>
  <c r="T62" i="1"/>
  <c r="X62" i="1"/>
  <c r="AG62" i="1"/>
  <c r="AI62" i="1" s="1"/>
  <c r="AG42" i="1"/>
  <c r="AI42" i="1" s="1"/>
  <c r="T42" i="1"/>
  <c r="X42" i="1"/>
  <c r="AG34" i="1"/>
  <c r="U34" i="1" s="1"/>
  <c r="S34" i="1" s="1"/>
  <c r="T34" i="1"/>
  <c r="X34" i="1"/>
  <c r="AA216" i="1"/>
  <c r="AA159" i="1"/>
  <c r="AA157" i="1"/>
  <c r="W157" i="1" s="1"/>
  <c r="T157" i="1"/>
  <c r="U157" i="1" s="1"/>
  <c r="S157" i="1" s="1"/>
  <c r="X156" i="1"/>
  <c r="AA154" i="1"/>
  <c r="W154" i="1" s="1"/>
  <c r="AG150" i="1"/>
  <c r="AI150" i="1" s="1"/>
  <c r="X149" i="1"/>
  <c r="AA143" i="1"/>
  <c r="AA141" i="1"/>
  <c r="W141" i="1" s="1"/>
  <c r="T141" i="1"/>
  <c r="X140" i="1"/>
  <c r="AA138" i="1"/>
  <c r="AG134" i="1"/>
  <c r="AI134" i="1" s="1"/>
  <c r="AA127" i="1"/>
  <c r="W127" i="1" s="1"/>
  <c r="AA123" i="1"/>
  <c r="W123" i="1" s="1"/>
  <c r="AG118" i="1"/>
  <c r="AG113" i="1"/>
  <c r="AA112" i="1"/>
  <c r="W112" i="1" s="1"/>
  <c r="T112" i="1"/>
  <c r="U112" i="1" s="1"/>
  <c r="S112" i="1" s="1"/>
  <c r="X108" i="1"/>
  <c r="AA107" i="1"/>
  <c r="W107" i="1" s="1"/>
  <c r="AA106" i="1"/>
  <c r="W106" i="1" s="1"/>
  <c r="T105" i="1"/>
  <c r="AG105" i="1"/>
  <c r="AG103" i="1"/>
  <c r="AA100" i="1"/>
  <c r="AA99" i="1"/>
  <c r="W99" i="1" s="1"/>
  <c r="T98" i="1"/>
  <c r="AG98" i="1"/>
  <c r="X96" i="1"/>
  <c r="AG93" i="1"/>
  <c r="AI93" i="1" s="1"/>
  <c r="X93" i="1"/>
  <c r="T78" i="1"/>
  <c r="U78" i="1" s="1"/>
  <c r="S78" i="1" s="1"/>
  <c r="X78" i="1"/>
  <c r="AG78" i="1"/>
  <c r="AI78" i="1" s="1"/>
  <c r="AI57" i="1"/>
  <c r="AI49" i="1"/>
  <c r="T29" i="1"/>
  <c r="X30" i="1"/>
  <c r="X29" i="1"/>
  <c r="AG29" i="1"/>
  <c r="AI29" i="1" s="1"/>
  <c r="AG26" i="1"/>
  <c r="AI26" i="1" s="1"/>
  <c r="T26" i="1"/>
  <c r="X26" i="1"/>
  <c r="X207" i="1"/>
  <c r="X144" i="1"/>
  <c r="U73" i="1"/>
  <c r="S73" i="1" s="1"/>
  <c r="T53" i="1"/>
  <c r="X54" i="1"/>
  <c r="AG53" i="1"/>
  <c r="T51" i="1"/>
  <c r="AG51" i="1"/>
  <c r="W51" i="1" s="1"/>
  <c r="AG46" i="1"/>
  <c r="AI46" i="1" s="1"/>
  <c r="T46" i="1"/>
  <c r="X46" i="1"/>
  <c r="AG38" i="1"/>
  <c r="AI38" i="1" s="1"/>
  <c r="T38" i="1"/>
  <c r="X38" i="1"/>
  <c r="X24" i="1"/>
  <c r="AA15" i="1"/>
  <c r="AA90" i="1"/>
  <c r="AA88" i="1"/>
  <c r="AA87" i="1"/>
  <c r="AA76" i="1"/>
  <c r="W76" i="1" s="1"/>
  <c r="AA75" i="1"/>
  <c r="AA70" i="1"/>
  <c r="W70" i="1" s="1"/>
  <c r="AA63" i="1"/>
  <c r="W63" i="1" s="1"/>
  <c r="AA60" i="1"/>
  <c r="W60" i="1" s="1"/>
  <c r="AA59" i="1"/>
  <c r="W59" i="1" s="1"/>
  <c r="AA54" i="1"/>
  <c r="W54" i="1" s="1"/>
  <c r="AA50" i="1"/>
  <c r="AA48" i="1"/>
  <c r="W48" i="1" s="1"/>
  <c r="T48" i="1"/>
  <c r="U48" i="1" s="1"/>
  <c r="S48" i="1" s="1"/>
  <c r="AA44" i="1"/>
  <c r="W44" i="1" s="1"/>
  <c r="T44" i="1"/>
  <c r="AA40" i="1"/>
  <c r="W40" i="1" s="1"/>
  <c r="T40" i="1"/>
  <c r="U40" i="1" s="1"/>
  <c r="S40" i="1" s="1"/>
  <c r="AA36" i="1"/>
  <c r="W36" i="1" s="1"/>
  <c r="T36" i="1"/>
  <c r="T25" i="1"/>
  <c r="X20" i="1"/>
  <c r="AA14" i="1"/>
  <c r="AA94" i="1"/>
  <c r="AA93" i="1"/>
  <c r="W93" i="1" s="1"/>
  <c r="U92" i="1"/>
  <c r="S92" i="1" s="1"/>
  <c r="W89" i="1"/>
  <c r="X86" i="1"/>
  <c r="AA82" i="1"/>
  <c r="W82" i="1" s="1"/>
  <c r="X74" i="1"/>
  <c r="AA72" i="1"/>
  <c r="AA71" i="1"/>
  <c r="AA66" i="1"/>
  <c r="X58" i="1"/>
  <c r="AA56" i="1"/>
  <c r="W56" i="1" s="1"/>
  <c r="T24" i="1"/>
  <c r="U24" i="1" s="1"/>
  <c r="S24" i="1" s="1"/>
  <c r="AA84" i="1"/>
  <c r="W84" i="1" s="1"/>
  <c r="AA83" i="1"/>
  <c r="AA78" i="1"/>
  <c r="AA68" i="1"/>
  <c r="W68" i="1" s="1"/>
  <c r="AA67" i="1"/>
  <c r="AA62" i="1"/>
  <c r="AA52" i="1"/>
  <c r="AA46" i="1"/>
  <c r="AA42" i="1"/>
  <c r="AA38" i="1"/>
  <c r="AA37" i="1"/>
  <c r="W37" i="1" s="1"/>
  <c r="X36" i="1"/>
  <c r="AA34" i="1"/>
  <c r="AA33" i="1"/>
  <c r="AG31" i="1"/>
  <c r="AA28" i="1"/>
  <c r="AA26" i="1"/>
  <c r="AG25" i="1"/>
  <c r="AI25" i="1" s="1"/>
  <c r="AA21" i="1"/>
  <c r="T20" i="1"/>
  <c r="AA18" i="1"/>
  <c r="AA17" i="1"/>
  <c r="U16" i="1"/>
  <c r="S16" i="1" s="1"/>
  <c r="W245" i="1"/>
  <c r="W237" i="1"/>
  <c r="W202" i="1"/>
  <c r="U186" i="1"/>
  <c r="S186" i="1" s="1"/>
  <c r="U170" i="1"/>
  <c r="S170" i="1" s="1"/>
  <c r="AI191" i="1"/>
  <c r="AI175" i="1"/>
  <c r="AI223" i="1"/>
  <c r="W241" i="1"/>
  <c r="W198" i="1"/>
  <c r="AI215" i="1"/>
  <c r="AI199" i="1"/>
  <c r="U206" i="1"/>
  <c r="S206" i="1" s="1"/>
  <c r="AI227" i="1"/>
  <c r="AI219" i="1"/>
  <c r="U182" i="1"/>
  <c r="S182" i="1" s="1"/>
  <c r="AI203" i="1"/>
  <c r="U169" i="1"/>
  <c r="S169" i="1" s="1"/>
  <c r="U223" i="1"/>
  <c r="S223" i="1" s="1"/>
  <c r="U242" i="1"/>
  <c r="S242" i="1" s="1"/>
  <c r="U238" i="1"/>
  <c r="S238" i="1" s="1"/>
  <c r="U203" i="1"/>
  <c r="S203" i="1" s="1"/>
  <c r="U171" i="1"/>
  <c r="S171" i="1" s="1"/>
  <c r="W153" i="1"/>
  <c r="U149" i="1"/>
  <c r="S149" i="1" s="1"/>
  <c r="AI149" i="1"/>
  <c r="AG224" i="1"/>
  <c r="X223" i="1"/>
  <c r="AG220" i="1"/>
  <c r="AI220" i="1" s="1"/>
  <c r="X246" i="1"/>
  <c r="AG243" i="1"/>
  <c r="AI243" i="1" s="1"/>
  <c r="X242" i="1"/>
  <c r="AG239" i="1"/>
  <c r="AI239" i="1" s="1"/>
  <c r="X238" i="1"/>
  <c r="AG235" i="1"/>
  <c r="AI235" i="1" s="1"/>
  <c r="X234" i="1"/>
  <c r="AG204" i="1"/>
  <c r="AI204" i="1" s="1"/>
  <c r="X203" i="1"/>
  <c r="AG200" i="1"/>
  <c r="W200" i="1" s="1"/>
  <c r="X199" i="1"/>
  <c r="AG196" i="1"/>
  <c r="AI196" i="1" s="1"/>
  <c r="AG192" i="1"/>
  <c r="AG188" i="1"/>
  <c r="AI188" i="1" s="1"/>
  <c r="AG184" i="1"/>
  <c r="W184" i="1" s="1"/>
  <c r="AG180" i="1"/>
  <c r="AI180" i="1" s="1"/>
  <c r="AG176" i="1"/>
  <c r="AG172" i="1"/>
  <c r="AG232" i="1"/>
  <c r="AI232" i="1" s="1"/>
  <c r="AG167" i="1"/>
  <c r="AG163" i="1"/>
  <c r="AG230" i="1"/>
  <c r="AI230" i="1" s="1"/>
  <c r="AG226" i="1"/>
  <c r="AI226" i="1" s="1"/>
  <c r="AG216" i="1"/>
  <c r="AI216" i="1" s="1"/>
  <c r="AI153" i="1"/>
  <c r="X224" i="1"/>
  <c r="T224" i="1"/>
  <c r="X220" i="1"/>
  <c r="T220" i="1"/>
  <c r="AI240" i="1"/>
  <c r="X243" i="1"/>
  <c r="T243" i="1"/>
  <c r="AI236" i="1"/>
  <c r="X239" i="1"/>
  <c r="T239" i="1"/>
  <c r="X235" i="1"/>
  <c r="T235" i="1"/>
  <c r="X204" i="1"/>
  <c r="T204" i="1"/>
  <c r="X200" i="1"/>
  <c r="T200" i="1"/>
  <c r="X196" i="1"/>
  <c r="T196" i="1"/>
  <c r="X192" i="1"/>
  <c r="T192" i="1"/>
  <c r="X188" i="1"/>
  <c r="T188" i="1"/>
  <c r="AI208" i="1"/>
  <c r="X184" i="1"/>
  <c r="T184" i="1"/>
  <c r="X180" i="1"/>
  <c r="T180" i="1"/>
  <c r="X176" i="1"/>
  <c r="T176" i="1"/>
  <c r="X172" i="1"/>
  <c r="T172" i="1"/>
  <c r="X232" i="1"/>
  <c r="T232" i="1"/>
  <c r="X167" i="1"/>
  <c r="T167" i="1"/>
  <c r="X163" i="1"/>
  <c r="T163" i="1"/>
  <c r="X230" i="1"/>
  <c r="T230" i="1"/>
  <c r="X226" i="1"/>
  <c r="T226" i="1"/>
  <c r="X216" i="1"/>
  <c r="T216" i="1"/>
  <c r="AI168" i="1"/>
  <c r="X215" i="1"/>
  <c r="AG214" i="1"/>
  <c r="AI214" i="1" s="1"/>
  <c r="AI165" i="1"/>
  <c r="AI157" i="1"/>
  <c r="U141" i="1"/>
  <c r="S141" i="1" s="1"/>
  <c r="AI141" i="1"/>
  <c r="X214" i="1"/>
  <c r="AI161" i="1"/>
  <c r="U145" i="1"/>
  <c r="S145" i="1" s="1"/>
  <c r="AI145" i="1"/>
  <c r="AG210" i="1"/>
  <c r="AI210" i="1" s="1"/>
  <c r="AG159" i="1"/>
  <c r="AG155" i="1"/>
  <c r="W155" i="1" s="1"/>
  <c r="AG151" i="1"/>
  <c r="AG147" i="1"/>
  <c r="AG143" i="1"/>
  <c r="AG139" i="1"/>
  <c r="W139" i="1" s="1"/>
  <c r="AG135" i="1"/>
  <c r="AI117" i="1"/>
  <c r="AI108" i="1"/>
  <c r="X210" i="1"/>
  <c r="T210" i="1"/>
  <c r="X159" i="1"/>
  <c r="T159" i="1"/>
  <c r="X155" i="1"/>
  <c r="T155" i="1"/>
  <c r="AI154" i="1"/>
  <c r="X151" i="1"/>
  <c r="T151" i="1"/>
  <c r="X147" i="1"/>
  <c r="T147" i="1"/>
  <c r="X143" i="1"/>
  <c r="T143" i="1"/>
  <c r="AI142" i="1"/>
  <c r="X139" i="1"/>
  <c r="T139" i="1"/>
  <c r="X135" i="1"/>
  <c r="T135" i="1"/>
  <c r="AI110" i="1"/>
  <c r="W91" i="1"/>
  <c r="AG133" i="1"/>
  <c r="AI127" i="1"/>
  <c r="AI123" i="1"/>
  <c r="W121" i="1"/>
  <c r="W119" i="1"/>
  <c r="AI112" i="1"/>
  <c r="AI91" i="1"/>
  <c r="AG131" i="1"/>
  <c r="W131" i="1" s="1"/>
  <c r="X132" i="1"/>
  <c r="T131" i="1"/>
  <c r="X131" i="1"/>
  <c r="AI125" i="1"/>
  <c r="AI121" i="1"/>
  <c r="U121" i="1"/>
  <c r="S121" i="1" s="1"/>
  <c r="AI119" i="1"/>
  <c r="AI115" i="1"/>
  <c r="AI106" i="1"/>
  <c r="AI102" i="1"/>
  <c r="AI99" i="1"/>
  <c r="AI95" i="1"/>
  <c r="X127" i="1"/>
  <c r="T127" i="1"/>
  <c r="U127" i="1" s="1"/>
  <c r="S127" i="1" s="1"/>
  <c r="X123" i="1"/>
  <c r="T123" i="1"/>
  <c r="U123" i="1" s="1"/>
  <c r="S123" i="1" s="1"/>
  <c r="T119" i="1"/>
  <c r="U119" i="1" s="1"/>
  <c r="S119" i="1" s="1"/>
  <c r="T115" i="1"/>
  <c r="U115" i="1" s="1"/>
  <c r="S115" i="1" s="1"/>
  <c r="X110" i="1"/>
  <c r="T110" i="1"/>
  <c r="U110" i="1" s="1"/>
  <c r="S110" i="1" s="1"/>
  <c r="X106" i="1"/>
  <c r="T106" i="1"/>
  <c r="U106" i="1" s="1"/>
  <c r="S106" i="1" s="1"/>
  <c r="T102" i="1"/>
  <c r="U102" i="1" s="1"/>
  <c r="S102" i="1" s="1"/>
  <c r="X99" i="1"/>
  <c r="T99" i="1"/>
  <c r="U99" i="1" s="1"/>
  <c r="S99" i="1" s="1"/>
  <c r="X95" i="1"/>
  <c r="T95" i="1"/>
  <c r="U95" i="1" s="1"/>
  <c r="S95" i="1" s="1"/>
  <c r="X91" i="1"/>
  <c r="T91" i="1"/>
  <c r="U91" i="1" s="1"/>
  <c r="S91" i="1" s="1"/>
  <c r="AI84" i="1"/>
  <c r="AI68" i="1"/>
  <c r="AI52" i="1"/>
  <c r="AG129" i="1"/>
  <c r="X128" i="1"/>
  <c r="X124" i="1"/>
  <c r="U93" i="1"/>
  <c r="S93" i="1" s="1"/>
  <c r="U89" i="1"/>
  <c r="S89" i="1" s="1"/>
  <c r="AG88" i="1"/>
  <c r="T88" i="1"/>
  <c r="X88" i="1"/>
  <c r="U83" i="1"/>
  <c r="S83" i="1" s="1"/>
  <c r="AI80" i="1"/>
  <c r="U67" i="1"/>
  <c r="S67" i="1" s="1"/>
  <c r="AI64" i="1"/>
  <c r="AG94" i="1"/>
  <c r="AG90" i="1"/>
  <c r="AI76" i="1"/>
  <c r="W72" i="1"/>
  <c r="U63" i="1"/>
  <c r="S63" i="1" s="1"/>
  <c r="AI60" i="1"/>
  <c r="X113" i="1"/>
  <c r="X109" i="1"/>
  <c r="X98" i="1"/>
  <c r="X94" i="1"/>
  <c r="X90" i="1"/>
  <c r="AI72" i="1"/>
  <c r="AI56" i="1"/>
  <c r="W52" i="1"/>
  <c r="X84" i="1"/>
  <c r="T84" i="1"/>
  <c r="U84" i="1" s="1"/>
  <c r="S84" i="1" s="1"/>
  <c r="X80" i="1"/>
  <c r="T80" i="1"/>
  <c r="U80" i="1" s="1"/>
  <c r="S80" i="1" s="1"/>
  <c r="X76" i="1"/>
  <c r="T76" i="1"/>
  <c r="U76" i="1" s="1"/>
  <c r="S76" i="1" s="1"/>
  <c r="X72" i="1"/>
  <c r="T72" i="1"/>
  <c r="U72" i="1" s="1"/>
  <c r="S72" i="1" s="1"/>
  <c r="X68" i="1"/>
  <c r="T68" i="1"/>
  <c r="U68" i="1" s="1"/>
  <c r="S68" i="1" s="1"/>
  <c r="AI67" i="1"/>
  <c r="X64" i="1"/>
  <c r="T64" i="1"/>
  <c r="U64" i="1" s="1"/>
  <c r="S64" i="1" s="1"/>
  <c r="AI63" i="1"/>
  <c r="X60" i="1"/>
  <c r="T60" i="1"/>
  <c r="U60" i="1" s="1"/>
  <c r="S60" i="1" s="1"/>
  <c r="AI59" i="1"/>
  <c r="X56" i="1"/>
  <c r="T56" i="1"/>
  <c r="U56" i="1" s="1"/>
  <c r="S56" i="1" s="1"/>
  <c r="X52" i="1"/>
  <c r="T52" i="1"/>
  <c r="U52" i="1" s="1"/>
  <c r="S52" i="1" s="1"/>
  <c r="AI50" i="1"/>
  <c r="U38" i="1"/>
  <c r="S38" i="1" s="1"/>
  <c r="AI34" i="1"/>
  <c r="X85" i="1"/>
  <c r="U82" i="1"/>
  <c r="S82" i="1" s="1"/>
  <c r="X81" i="1"/>
  <c r="X77" i="1"/>
  <c r="U74" i="1"/>
  <c r="S74" i="1" s="1"/>
  <c r="X73" i="1"/>
  <c r="X69" i="1"/>
  <c r="U66" i="1"/>
  <c r="S66" i="1" s="1"/>
  <c r="X65" i="1"/>
  <c r="X61" i="1"/>
  <c r="X57" i="1"/>
  <c r="X53" i="1"/>
  <c r="X50" i="1"/>
  <c r="AI30" i="1"/>
  <c r="U30" i="1"/>
  <c r="S30" i="1" s="1"/>
  <c r="AI48" i="1"/>
  <c r="U44" i="1"/>
  <c r="S44" i="1" s="1"/>
  <c r="AI44" i="1"/>
  <c r="AI40" i="1"/>
  <c r="U39" i="1"/>
  <c r="S39" i="1" s="1"/>
  <c r="U36" i="1"/>
  <c r="S36" i="1" s="1"/>
  <c r="AI36" i="1"/>
  <c r="AI24" i="1"/>
  <c r="W20" i="1"/>
  <c r="X87" i="1"/>
  <c r="X83" i="1"/>
  <c r="AI82" i="1"/>
  <c r="X79" i="1"/>
  <c r="X75" i="1"/>
  <c r="AI74" i="1"/>
  <c r="X71" i="1"/>
  <c r="X67" i="1"/>
  <c r="X63" i="1"/>
  <c r="X59" i="1"/>
  <c r="AI58" i="1"/>
  <c r="X55" i="1"/>
  <c r="AI54" i="1"/>
  <c r="X51" i="1"/>
  <c r="W50" i="1"/>
  <c r="T50" i="1"/>
  <c r="U50" i="1" s="1"/>
  <c r="S50" i="1" s="1"/>
  <c r="U20" i="1"/>
  <c r="S20" i="1" s="1"/>
  <c r="AI20" i="1"/>
  <c r="U37" i="1"/>
  <c r="S37" i="1" s="1"/>
  <c r="U25" i="1"/>
  <c r="S25" i="1" s="1"/>
  <c r="X49" i="1"/>
  <c r="X45" i="1"/>
  <c r="X41" i="1"/>
  <c r="X37" i="1"/>
  <c r="AG22" i="1"/>
  <c r="AG18" i="1"/>
  <c r="W18" i="1" s="1"/>
  <c r="AG14" i="1"/>
  <c r="AG27" i="1"/>
  <c r="W27" i="1" s="1"/>
  <c r="AG23" i="1"/>
  <c r="W23" i="1" s="1"/>
  <c r="X22" i="1"/>
  <c r="AG19" i="1"/>
  <c r="W19" i="1" s="1"/>
  <c r="X18" i="1"/>
  <c r="AG15" i="1"/>
  <c r="X47" i="1"/>
  <c r="X43" i="1"/>
  <c r="X39" i="1"/>
  <c r="X35" i="1"/>
  <c r="X31" i="1"/>
  <c r="X27" i="1"/>
  <c r="X23" i="1"/>
  <c r="X19" i="1"/>
  <c r="X15" i="1"/>
  <c r="AE19" i="3"/>
  <c r="Y13" i="3"/>
  <c r="AD41" i="3"/>
  <c r="AE31" i="3"/>
  <c r="AD27" i="3"/>
  <c r="AE23" i="3"/>
  <c r="Y41" i="3"/>
  <c r="AD11" i="3"/>
  <c r="AE35" i="3"/>
  <c r="AD25" i="3"/>
  <c r="Y31" i="3"/>
  <c r="AD9" i="3"/>
  <c r="AD13" i="3"/>
  <c r="AD45" i="3"/>
  <c r="AD43" i="3"/>
  <c r="AE39" i="3"/>
  <c r="Y24" i="3"/>
  <c r="Y40" i="3"/>
  <c r="Y10" i="3"/>
  <c r="AD23" i="3"/>
  <c r="AD21" i="3"/>
  <c r="AD17" i="3"/>
  <c r="T14" i="3"/>
  <c r="AD40" i="3"/>
  <c r="AD35" i="3"/>
  <c r="T21" i="3"/>
  <c r="AD24" i="3"/>
  <c r="AD19" i="3"/>
  <c r="AE15" i="3"/>
  <c r="AE11" i="3"/>
  <c r="AD48" i="3"/>
  <c r="Y39" i="3"/>
  <c r="Y49" i="3"/>
  <c r="T37" i="3"/>
  <c r="AD32" i="3"/>
  <c r="Y17" i="3"/>
  <c r="Y18" i="3"/>
  <c r="T23" i="3"/>
  <c r="AD16" i="3"/>
  <c r="T20" i="3"/>
  <c r="AD12" i="3"/>
  <c r="T30" i="3"/>
  <c r="Y26" i="3"/>
  <c r="Y37" i="3"/>
  <c r="Y32" i="3"/>
  <c r="Y23" i="3"/>
  <c r="Y20" i="3"/>
  <c r="Y30" i="3"/>
  <c r="AE42" i="3"/>
  <c r="T44" i="3"/>
  <c r="AE30" i="3"/>
  <c r="T33" i="3"/>
  <c r="AE26" i="3"/>
  <c r="T36" i="3"/>
  <c r="AE22" i="3"/>
  <c r="T42" i="3"/>
  <c r="AE18" i="3"/>
  <c r="T41" i="3"/>
  <c r="AE14" i="3"/>
  <c r="T15" i="3"/>
  <c r="AE10" i="3"/>
  <c r="T22" i="3"/>
  <c r="AE38" i="3"/>
  <c r="T38" i="3"/>
  <c r="AE45" i="3"/>
  <c r="T25" i="3"/>
  <c r="AD42" i="3"/>
  <c r="AE37" i="3"/>
  <c r="T19" i="3"/>
  <c r="AD34" i="3"/>
  <c r="AE33" i="3"/>
  <c r="T43" i="3"/>
  <c r="AD30" i="3"/>
  <c r="AE29" i="3"/>
  <c r="T48" i="3"/>
  <c r="AD26" i="3"/>
  <c r="AE25" i="3"/>
  <c r="T10" i="3"/>
  <c r="AD22" i="3"/>
  <c r="AE21" i="3"/>
  <c r="T7" i="3"/>
  <c r="AD18" i="3"/>
  <c r="AE17" i="3"/>
  <c r="T29" i="3"/>
  <c r="AD14" i="3"/>
  <c r="AE13" i="3"/>
  <c r="T35" i="3"/>
  <c r="AD10" i="3"/>
  <c r="AE9" i="3"/>
  <c r="T28" i="3"/>
  <c r="AE46" i="3"/>
  <c r="T45" i="3"/>
  <c r="AE34" i="3"/>
  <c r="T24" i="3"/>
  <c r="AE49" i="3"/>
  <c r="T11" i="3"/>
  <c r="AD46" i="3"/>
  <c r="AE41" i="3"/>
  <c r="T46" i="3"/>
  <c r="AD38" i="3"/>
  <c r="AE48" i="3"/>
  <c r="AE44" i="3"/>
  <c r="AE40" i="3"/>
  <c r="AE36" i="3"/>
  <c r="AE32" i="3"/>
  <c r="AE28" i="3"/>
  <c r="AE24" i="3"/>
  <c r="AE20" i="3"/>
  <c r="AE16" i="3"/>
  <c r="AE12" i="3"/>
  <c r="AE8" i="3"/>
  <c r="U33" i="1" l="1"/>
  <c r="U26" i="1"/>
  <c r="S26" i="1" s="1"/>
  <c r="AI87" i="1"/>
  <c r="W146" i="1"/>
  <c r="AI32" i="1"/>
  <c r="U70" i="1"/>
  <c r="S70" i="1" s="1"/>
  <c r="U79" i="1"/>
  <c r="S79" i="1" s="1"/>
  <c r="W163" i="1"/>
  <c r="W192" i="1"/>
  <c r="U166" i="1"/>
  <c r="S166" i="1" s="1"/>
  <c r="AI183" i="1"/>
  <c r="W26" i="1"/>
  <c r="W66" i="1"/>
  <c r="W105" i="1"/>
  <c r="W138" i="1"/>
  <c r="U146" i="1"/>
  <c r="S146" i="1" s="1"/>
  <c r="W101" i="1"/>
  <c r="W166" i="1"/>
  <c r="W238" i="1"/>
  <c r="U228" i="1"/>
  <c r="S228" i="1" s="1"/>
  <c r="W32" i="1"/>
  <c r="W86" i="1"/>
  <c r="W165" i="1"/>
  <c r="U125" i="1"/>
  <c r="S125" i="1" s="1"/>
  <c r="W33" i="1"/>
  <c r="W130" i="1"/>
  <c r="W185" i="1"/>
  <c r="W189" i="1"/>
  <c r="U45" i="1"/>
  <c r="S45" i="1" s="1"/>
  <c r="U43" i="1"/>
  <c r="S43" i="1" s="1"/>
  <c r="AI79" i="1"/>
  <c r="U104" i="1"/>
  <c r="S104" i="1" s="1"/>
  <c r="W135" i="1"/>
  <c r="U231" i="1"/>
  <c r="S231" i="1" s="1"/>
  <c r="W45" i="1"/>
  <c r="W55" i="1"/>
  <c r="W71" i="1"/>
  <c r="U42" i="1"/>
  <c r="S42" i="1" s="1"/>
  <c r="U148" i="1"/>
  <c r="S148" i="1" s="1"/>
  <c r="U57" i="1"/>
  <c r="S57" i="1" s="1"/>
  <c r="U86" i="1"/>
  <c r="S86" i="1" s="1"/>
  <c r="W212" i="1"/>
  <c r="U87" i="1"/>
  <c r="S87" i="1" s="1"/>
  <c r="W224" i="1"/>
  <c r="AI195" i="1"/>
  <c r="W21" i="1"/>
  <c r="W46" i="1"/>
  <c r="AI96" i="1"/>
  <c r="W57" i="1"/>
  <c r="W223" i="1"/>
  <c r="W197" i="1"/>
  <c r="W15" i="1"/>
  <c r="U51" i="1"/>
  <c r="S51" i="1" s="1"/>
  <c r="U28" i="1"/>
  <c r="S28" i="1" s="1"/>
  <c r="AI51" i="1"/>
  <c r="U21" i="1"/>
  <c r="S21" i="1" s="1"/>
  <c r="U47" i="1"/>
  <c r="S47" i="1" s="1"/>
  <c r="AI184" i="1"/>
  <c r="AI212" i="1"/>
  <c r="W176" i="1"/>
  <c r="AI171" i="1"/>
  <c r="W218" i="1"/>
  <c r="U46" i="1"/>
  <c r="S46" i="1" s="1"/>
  <c r="AI160" i="1"/>
  <c r="W47" i="1"/>
  <c r="U61" i="1"/>
  <c r="S61" i="1" s="1"/>
  <c r="AI228" i="1"/>
  <c r="U218" i="1"/>
  <c r="S218" i="1" s="1"/>
  <c r="W98" i="1"/>
  <c r="U134" i="1"/>
  <c r="S134" i="1" s="1"/>
  <c r="W96" i="1"/>
  <c r="W77" i="1"/>
  <c r="W65" i="1"/>
  <c r="W111" i="1"/>
  <c r="AI200" i="1"/>
  <c r="W62" i="1"/>
  <c r="W233" i="1"/>
  <c r="U54" i="1"/>
  <c r="S54" i="1" s="1"/>
  <c r="U137" i="1"/>
  <c r="S137" i="1" s="1"/>
  <c r="U49" i="1"/>
  <c r="S49" i="1" s="1"/>
  <c r="U136" i="1"/>
  <c r="S136" i="1" s="1"/>
  <c r="U212" i="1"/>
  <c r="S212" i="1" s="1"/>
  <c r="U177" i="1"/>
  <c r="S177" i="1" s="1"/>
  <c r="W125" i="1"/>
  <c r="AI207" i="1"/>
  <c r="W17" i="1"/>
  <c r="W142" i="1"/>
  <c r="U62" i="1"/>
  <c r="S62" i="1" s="1"/>
  <c r="U17" i="1"/>
  <c r="S17" i="1" s="1"/>
  <c r="W34" i="1"/>
  <c r="W100" i="1"/>
  <c r="U150" i="1"/>
  <c r="S150" i="1" s="1"/>
  <c r="U217" i="1"/>
  <c r="S217" i="1" s="1"/>
  <c r="W213" i="1"/>
  <c r="U41" i="1"/>
  <c r="S41" i="1" s="1"/>
  <c r="AI75" i="1"/>
  <c r="AI224" i="1"/>
  <c r="U165" i="1"/>
  <c r="S165" i="1" s="1"/>
  <c r="U81" i="1"/>
  <c r="S81" i="1" s="1"/>
  <c r="W75" i="1"/>
  <c r="W73" i="1"/>
  <c r="W219" i="1"/>
  <c r="U244" i="1"/>
  <c r="S244" i="1" s="1"/>
  <c r="AI136" i="1"/>
  <c r="U154" i="1"/>
  <c r="S154" i="1" s="1"/>
  <c r="W215" i="1"/>
  <c r="W234" i="1"/>
  <c r="AI234" i="1"/>
  <c r="W244" i="1"/>
  <c r="AI137" i="1"/>
  <c r="W172" i="1"/>
  <c r="W41" i="1"/>
  <c r="W78" i="1"/>
  <c r="W120" i="1"/>
  <c r="W136" i="1"/>
  <c r="AI111" i="1"/>
  <c r="W69" i="1"/>
  <c r="U29" i="1"/>
  <c r="S29" i="1" s="1"/>
  <c r="W88" i="1"/>
  <c r="W151" i="1"/>
  <c r="W28" i="1"/>
  <c r="W67" i="1"/>
  <c r="U111" i="1"/>
  <c r="S111" i="1" s="1"/>
  <c r="W85" i="1"/>
  <c r="W81" i="1"/>
  <c r="W177" i="1"/>
  <c r="W183" i="1"/>
  <c r="U35" i="1"/>
  <c r="S35" i="1" s="1"/>
  <c r="AI158" i="1"/>
  <c r="AI192" i="1"/>
  <c r="U229" i="1"/>
  <c r="S229" i="1" s="1"/>
  <c r="U187" i="1"/>
  <c r="S187" i="1" s="1"/>
  <c r="AI187" i="1"/>
  <c r="AI176" i="1"/>
  <c r="W158" i="1"/>
  <c r="U122" i="1"/>
  <c r="S122" i="1" s="1"/>
  <c r="AI55" i="1"/>
  <c r="U97" i="1"/>
  <c r="S97" i="1" s="1"/>
  <c r="U179" i="1"/>
  <c r="S179" i="1" s="1"/>
  <c r="AI211" i="1"/>
  <c r="W42" i="1"/>
  <c r="W83" i="1"/>
  <c r="W122" i="1"/>
  <c r="W132" i="1"/>
  <c r="W228" i="1"/>
  <c r="W179" i="1"/>
  <c r="U215" i="1"/>
  <c r="S215" i="1" s="1"/>
  <c r="W140" i="1"/>
  <c r="W201" i="1"/>
  <c r="W148" i="1"/>
  <c r="U138" i="1"/>
  <c r="S138" i="1" s="1"/>
  <c r="W227" i="1"/>
  <c r="W38" i="1"/>
  <c r="W191" i="1"/>
  <c r="W35" i="1"/>
  <c r="W236" i="1"/>
  <c r="W43" i="1"/>
  <c r="AI172" i="1"/>
  <c r="W92" i="1"/>
  <c r="W173" i="1"/>
  <c r="U31" i="1"/>
  <c r="S31" i="1" s="1"/>
  <c r="AI31" i="1"/>
  <c r="U103" i="1"/>
  <c r="S103" i="1" s="1"/>
  <c r="AI103" i="1"/>
  <c r="U113" i="1"/>
  <c r="S113" i="1" s="1"/>
  <c r="AI113" i="1"/>
  <c r="W118" i="1"/>
  <c r="U124" i="1"/>
  <c r="S124" i="1" s="1"/>
  <c r="AI124" i="1"/>
  <c r="U105" i="1"/>
  <c r="S105" i="1" s="1"/>
  <c r="AI105" i="1"/>
  <c r="U126" i="1"/>
  <c r="S126" i="1" s="1"/>
  <c r="AI126" i="1"/>
  <c r="W134" i="1"/>
  <c r="U100" i="1"/>
  <c r="S100" i="1" s="1"/>
  <c r="AI100" i="1"/>
  <c r="U107" i="1"/>
  <c r="S107" i="1" s="1"/>
  <c r="AI107" i="1"/>
  <c r="U116" i="1"/>
  <c r="S116" i="1" s="1"/>
  <c r="AI116" i="1"/>
  <c r="W126" i="1"/>
  <c r="W175" i="1"/>
  <c r="W207" i="1"/>
  <c r="W25" i="1"/>
  <c r="U53" i="1"/>
  <c r="S53" i="1" s="1"/>
  <c r="AI53" i="1"/>
  <c r="W53" i="1"/>
  <c r="U118" i="1"/>
  <c r="S118" i="1" s="1"/>
  <c r="AI118" i="1"/>
  <c r="W113" i="1"/>
  <c r="U101" i="1"/>
  <c r="S101" i="1" s="1"/>
  <c r="AI101" i="1"/>
  <c r="W103" i="1"/>
  <c r="U109" i="1"/>
  <c r="S109" i="1" s="1"/>
  <c r="AI109" i="1"/>
  <c r="U120" i="1"/>
  <c r="S120" i="1" s="1"/>
  <c r="AI120" i="1"/>
  <c r="U128" i="1"/>
  <c r="S128" i="1" s="1"/>
  <c r="AI128" i="1"/>
  <c r="U144" i="1"/>
  <c r="S144" i="1" s="1"/>
  <c r="AI144" i="1"/>
  <c r="W217" i="1"/>
  <c r="W162" i="1"/>
  <c r="W211" i="1"/>
  <c r="W29" i="1"/>
  <c r="U98" i="1"/>
  <c r="S98" i="1" s="1"/>
  <c r="AI98" i="1"/>
  <c r="W150" i="1"/>
  <c r="W31" i="1"/>
  <c r="U69" i="1"/>
  <c r="S69" i="1" s="1"/>
  <c r="AI69" i="1"/>
  <c r="W97" i="1"/>
  <c r="W104" i="1"/>
  <c r="U132" i="1"/>
  <c r="S132" i="1" s="1"/>
  <c r="AI132" i="1"/>
  <c r="W116" i="1"/>
  <c r="W124" i="1"/>
  <c r="U94" i="1"/>
  <c r="S94" i="1" s="1"/>
  <c r="AI94" i="1"/>
  <c r="AI143" i="1"/>
  <c r="U143" i="1"/>
  <c r="S143" i="1" s="1"/>
  <c r="AI159" i="1"/>
  <c r="U159" i="1"/>
  <c r="S159" i="1" s="1"/>
  <c r="AI167" i="1"/>
  <c r="U214" i="1"/>
  <c r="S214" i="1" s="1"/>
  <c r="AI169" i="1"/>
  <c r="U216" i="1"/>
  <c r="S216" i="1" s="1"/>
  <c r="AI185" i="1"/>
  <c r="U167" i="1"/>
  <c r="S167" i="1" s="1"/>
  <c r="AI201" i="1"/>
  <c r="U180" i="1"/>
  <c r="S180" i="1" s="1"/>
  <c r="AI217" i="1"/>
  <c r="U196" i="1"/>
  <c r="S196" i="1" s="1"/>
  <c r="AI225" i="1"/>
  <c r="U204" i="1"/>
  <c r="S204" i="1" s="1"/>
  <c r="AI233" i="1"/>
  <c r="U239" i="1"/>
  <c r="S239" i="1" s="1"/>
  <c r="AI241" i="1"/>
  <c r="U220" i="1"/>
  <c r="S220" i="1" s="1"/>
  <c r="W167" i="1"/>
  <c r="W196" i="1"/>
  <c r="W239" i="1"/>
  <c r="AI14" i="1"/>
  <c r="U14" i="1"/>
  <c r="S14" i="1" s="1"/>
  <c r="U15" i="1"/>
  <c r="S15" i="1" s="1"/>
  <c r="AI15" i="1"/>
  <c r="AI22" i="1"/>
  <c r="U22" i="1"/>
  <c r="S22" i="1" s="1"/>
  <c r="U133" i="1"/>
  <c r="S133" i="1" s="1"/>
  <c r="AI133" i="1"/>
  <c r="W133" i="1"/>
  <c r="AI147" i="1"/>
  <c r="U147" i="1"/>
  <c r="S147" i="1" s="1"/>
  <c r="AI163" i="1"/>
  <c r="U210" i="1"/>
  <c r="S210" i="1" s="1"/>
  <c r="AI173" i="1"/>
  <c r="U226" i="1"/>
  <c r="S226" i="1" s="1"/>
  <c r="AI189" i="1"/>
  <c r="U232" i="1"/>
  <c r="S232" i="1" s="1"/>
  <c r="AI205" i="1"/>
  <c r="U184" i="1"/>
  <c r="S184" i="1" s="1"/>
  <c r="W232" i="1"/>
  <c r="U19" i="1"/>
  <c r="S19" i="1" s="1"/>
  <c r="AI19" i="1"/>
  <c r="AI18" i="1"/>
  <c r="U18" i="1"/>
  <c r="S18" i="1" s="1"/>
  <c r="U23" i="1"/>
  <c r="S23" i="1" s="1"/>
  <c r="AI23" i="1"/>
  <c r="W22" i="1"/>
  <c r="U27" i="1"/>
  <c r="S27" i="1" s="1"/>
  <c r="AI27" i="1"/>
  <c r="U131" i="1"/>
  <c r="S131" i="1" s="1"/>
  <c r="AI131" i="1"/>
  <c r="AI135" i="1"/>
  <c r="U135" i="1"/>
  <c r="S135" i="1" s="1"/>
  <c r="AI151" i="1"/>
  <c r="U151" i="1"/>
  <c r="S151" i="1" s="1"/>
  <c r="W147" i="1"/>
  <c r="W143" i="1"/>
  <c r="W214" i="1"/>
  <c r="AI177" i="1"/>
  <c r="U230" i="1"/>
  <c r="S230" i="1" s="1"/>
  <c r="AI193" i="1"/>
  <c r="U172" i="1"/>
  <c r="S172" i="1" s="1"/>
  <c r="AI209" i="1"/>
  <c r="U188" i="1"/>
  <c r="S188" i="1" s="1"/>
  <c r="AI221" i="1"/>
  <c r="U200" i="1"/>
  <c r="S200" i="1" s="1"/>
  <c r="AI229" i="1"/>
  <c r="U235" i="1"/>
  <c r="S235" i="1" s="1"/>
  <c r="AI237" i="1"/>
  <c r="U243" i="1"/>
  <c r="S243" i="1" s="1"/>
  <c r="AI245" i="1"/>
  <c r="U224" i="1"/>
  <c r="S224" i="1" s="1"/>
  <c r="W243" i="1"/>
  <c r="W226" i="1"/>
  <c r="W216" i="1"/>
  <c r="W180" i="1"/>
  <c r="W204" i="1"/>
  <c r="W14" i="1"/>
  <c r="U90" i="1"/>
  <c r="S90" i="1" s="1"/>
  <c r="AI90" i="1"/>
  <c r="U88" i="1"/>
  <c r="S88" i="1" s="1"/>
  <c r="AI88" i="1"/>
  <c r="AI129" i="1"/>
  <c r="U129" i="1"/>
  <c r="S129" i="1" s="1"/>
  <c r="W94" i="1"/>
  <c r="W129" i="1"/>
  <c r="W90" i="1"/>
  <c r="AI139" i="1"/>
  <c r="U139" i="1"/>
  <c r="S139" i="1" s="1"/>
  <c r="AI155" i="1"/>
  <c r="U155" i="1"/>
  <c r="S155" i="1" s="1"/>
  <c r="W210" i="1"/>
  <c r="W159" i="1"/>
  <c r="AI181" i="1"/>
  <c r="U163" i="1"/>
  <c r="S163" i="1" s="1"/>
  <c r="AI197" i="1"/>
  <c r="U176" i="1"/>
  <c r="S176" i="1" s="1"/>
  <c r="AI213" i="1"/>
  <c r="U192" i="1"/>
  <c r="S192" i="1" s="1"/>
  <c r="W230" i="1"/>
  <c r="W188" i="1"/>
  <c r="W235" i="1"/>
  <c r="W220" i="1"/>
  <c r="M47" i="3"/>
  <c r="R47" i="3"/>
  <c r="U47" i="3"/>
  <c r="AC47" i="3" s="1"/>
  <c r="W47" i="3"/>
  <c r="X47" i="3"/>
  <c r="AD47" i="3" l="1"/>
  <c r="Y47" i="3"/>
  <c r="B93" i="9"/>
  <c r="B94" i="9"/>
  <c r="C94" i="9" s="1"/>
  <c r="B95" i="9"/>
  <c r="B96" i="9"/>
  <c r="C96" i="9"/>
  <c r="B97" i="9"/>
  <c r="B98" i="9"/>
  <c r="C98" i="9"/>
  <c r="B99" i="9"/>
  <c r="B100" i="9"/>
  <c r="B101" i="9"/>
  <c r="C101" i="9" s="1"/>
  <c r="B102" i="9"/>
  <c r="C102" i="9" s="1"/>
  <c r="B103" i="9"/>
  <c r="B104" i="9"/>
  <c r="C104" i="9"/>
  <c r="B105" i="9"/>
  <c r="B106" i="9"/>
  <c r="C106" i="9"/>
  <c r="B107" i="9"/>
  <c r="B108" i="9"/>
  <c r="B109" i="9"/>
  <c r="C109" i="9" s="1"/>
  <c r="B110" i="9"/>
  <c r="B111" i="9"/>
  <c r="B112" i="9"/>
  <c r="C112" i="9"/>
  <c r="B113" i="9"/>
  <c r="B114" i="9"/>
  <c r="C114" i="9"/>
  <c r="B115" i="9"/>
  <c r="B116" i="9"/>
  <c r="B117" i="9"/>
  <c r="C117" i="9" s="1"/>
  <c r="B118" i="9"/>
  <c r="C118" i="9" s="1"/>
  <c r="B119" i="9"/>
  <c r="B120" i="9"/>
  <c r="C120" i="9" s="1"/>
  <c r="B121" i="9"/>
  <c r="B122" i="9"/>
  <c r="C122" i="9"/>
  <c r="B123" i="9"/>
  <c r="B124" i="9"/>
  <c r="B125" i="9"/>
  <c r="C125" i="9" s="1"/>
  <c r="B126" i="9"/>
  <c r="B127" i="9"/>
  <c r="B128" i="9"/>
  <c r="C128" i="9"/>
  <c r="B129" i="9"/>
  <c r="B130" i="9"/>
  <c r="C130" i="9"/>
  <c r="C99" i="9" l="1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C88" i="9" s="1"/>
  <c r="B89" i="9"/>
  <c r="B90" i="9"/>
  <c r="B91" i="9"/>
  <c r="B92" i="9"/>
  <c r="C92" i="9" l="1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3" i="6"/>
  <c r="G3" i="6" s="1"/>
  <c r="F3" i="6" l="1"/>
  <c r="J3" i="6"/>
  <c r="I3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S47" i="3" l="1"/>
  <c r="V47" i="3"/>
  <c r="AD7" i="3"/>
  <c r="AN13" i="1"/>
  <c r="V13" i="1"/>
  <c r="B31" i="9"/>
  <c r="B32" i="9"/>
  <c r="C33" i="9" s="1"/>
  <c r="AE7" i="3" l="1"/>
  <c r="AE47" i="3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30" i="3" s="1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16" i="3" s="1"/>
  <c r="G50" i="4"/>
  <c r="G51" i="4"/>
  <c r="G52" i="4"/>
  <c r="G53" i="4"/>
  <c r="G54" i="4"/>
  <c r="G55" i="4"/>
  <c r="G56" i="4"/>
  <c r="N41" i="3" s="1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7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44" i="3" s="1"/>
  <c r="G217" i="4"/>
  <c r="G218" i="4"/>
  <c r="G219" i="4"/>
  <c r="G220" i="4"/>
  <c r="G221" i="4"/>
  <c r="G222" i="4"/>
  <c r="G223" i="4"/>
  <c r="N14" i="3" s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N27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N11" i="3" s="1"/>
  <c r="G251" i="4"/>
  <c r="G252" i="4"/>
  <c r="G253" i="4"/>
  <c r="G254" i="4"/>
  <c r="G255" i="4"/>
  <c r="G256" i="4"/>
  <c r="G257" i="4"/>
  <c r="G258" i="4"/>
  <c r="G2" i="4"/>
  <c r="N21" i="3" l="1"/>
  <c r="N18" i="3"/>
  <c r="N35" i="3"/>
  <c r="N19" i="3"/>
  <c r="N17" i="3"/>
  <c r="N32" i="3"/>
  <c r="N9" i="3"/>
  <c r="N15" i="3"/>
  <c r="N20" i="3"/>
  <c r="N12" i="3"/>
  <c r="N26" i="3"/>
  <c r="N13" i="3"/>
  <c r="N46" i="3"/>
  <c r="N45" i="3"/>
  <c r="N49" i="3"/>
  <c r="N36" i="3"/>
  <c r="N10" i="3"/>
  <c r="N42" i="3"/>
  <c r="N34" i="3"/>
  <c r="N33" i="3"/>
  <c r="N25" i="3"/>
  <c r="N39" i="3"/>
  <c r="N38" i="3"/>
  <c r="N8" i="3"/>
  <c r="N37" i="3"/>
  <c r="N24" i="3"/>
  <c r="N40" i="3"/>
  <c r="N43" i="3"/>
  <c r="N48" i="3"/>
  <c r="N23" i="3"/>
  <c r="N29" i="3"/>
  <c r="N22" i="3"/>
  <c r="N31" i="3"/>
  <c r="N28" i="3"/>
  <c r="N47" i="3"/>
  <c r="L13" i="1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47" i="3" l="1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B4" i="6" l="1"/>
  <c r="I4" i="6" s="1"/>
  <c r="S11" i="1"/>
  <c r="A11" i="1"/>
  <c r="B5" i="6" l="1"/>
  <c r="I5" i="6" s="1"/>
  <c r="G4" i="6"/>
  <c r="H4" i="6"/>
  <c r="J4" i="6"/>
  <c r="F4" i="6"/>
  <c r="B1" i="6"/>
  <c r="A5" i="3"/>
  <c r="G5" i="6" l="1"/>
  <c r="F5" i="6"/>
  <c r="J5" i="6"/>
  <c r="H5" i="6"/>
  <c r="B6" i="6"/>
  <c r="I6" i="6" s="1"/>
  <c r="F6" i="6" l="1"/>
  <c r="J6" i="6"/>
  <c r="G6" i="6"/>
  <c r="H6" i="6"/>
  <c r="B7" i="6"/>
  <c r="I7" i="6" s="1"/>
  <c r="B8" i="6" l="1"/>
  <c r="I8" i="6" s="1"/>
  <c r="J7" i="6"/>
  <c r="G7" i="6"/>
  <c r="F7" i="6"/>
  <c r="H7" i="6"/>
  <c r="F8" i="6" l="1"/>
  <c r="G8" i="6"/>
  <c r="H8" i="6"/>
  <c r="J8" i="6"/>
  <c r="B9" i="6"/>
  <c r="I9" i="6" s="1"/>
  <c r="J9" i="6" l="1"/>
  <c r="H9" i="6"/>
  <c r="F9" i="6"/>
  <c r="G9" i="6"/>
  <c r="B10" i="6"/>
  <c r="I10" i="6" s="1"/>
  <c r="B11" i="6" l="1"/>
  <c r="I11" i="6" s="1"/>
  <c r="J10" i="6"/>
  <c r="F10" i="6"/>
  <c r="H10" i="6"/>
  <c r="G10" i="6"/>
  <c r="F11" i="6" l="1"/>
  <c r="G11" i="6"/>
  <c r="H11" i="6"/>
  <c r="J11" i="6"/>
  <c r="B12" i="6"/>
  <c r="I12" i="6" s="1"/>
  <c r="G12" i="6" l="1"/>
  <c r="H12" i="6"/>
  <c r="J12" i="6"/>
  <c r="F12" i="6"/>
  <c r="B13" i="6"/>
  <c r="I13" i="6" s="1"/>
  <c r="F13" i="6" l="1"/>
  <c r="H13" i="6"/>
  <c r="J13" i="6"/>
  <c r="G13" i="6"/>
  <c r="B14" i="6"/>
  <c r="I14" i="6" s="1"/>
  <c r="F14" i="6" l="1"/>
  <c r="J14" i="6"/>
  <c r="G14" i="6"/>
  <c r="H14" i="6"/>
  <c r="B15" i="6"/>
  <c r="I15" i="6" s="1"/>
  <c r="B16" i="6" l="1"/>
  <c r="I16" i="6" s="1"/>
  <c r="F15" i="6"/>
  <c r="H15" i="6"/>
  <c r="J15" i="6"/>
  <c r="G15" i="6"/>
  <c r="F16" i="6" l="1"/>
  <c r="H16" i="6"/>
  <c r="J16" i="6"/>
  <c r="G16" i="6"/>
  <c r="B17" i="6"/>
  <c r="I17" i="6" s="1"/>
  <c r="J17" i="6" l="1"/>
  <c r="H17" i="6"/>
  <c r="F17" i="6"/>
  <c r="G17" i="6"/>
  <c r="B18" i="6"/>
  <c r="I18" i="6" s="1"/>
  <c r="B19" i="6" l="1"/>
  <c r="I19" i="6" s="1"/>
  <c r="F18" i="6"/>
  <c r="G18" i="6"/>
  <c r="H18" i="6"/>
  <c r="J18" i="6"/>
  <c r="B20" i="6" l="1"/>
  <c r="I20" i="6" s="1"/>
  <c r="H19" i="6"/>
  <c r="F19" i="6"/>
  <c r="J19" i="6"/>
  <c r="G19" i="6"/>
  <c r="B21" i="6" l="1"/>
  <c r="I21" i="6" s="1"/>
  <c r="F20" i="6"/>
  <c r="H20" i="6"/>
  <c r="J20" i="6"/>
  <c r="G20" i="6"/>
  <c r="F21" i="6" l="1"/>
  <c r="G21" i="6"/>
  <c r="J21" i="6"/>
  <c r="H21" i="6"/>
  <c r="B22" i="6"/>
  <c r="I22" i="6" s="1"/>
  <c r="F22" i="6" l="1"/>
  <c r="J22" i="6"/>
  <c r="H22" i="6"/>
  <c r="G22" i="6"/>
  <c r="B23" i="6"/>
  <c r="I23" i="6" s="1"/>
  <c r="F23" i="6" l="1"/>
  <c r="H23" i="6"/>
  <c r="G23" i="6"/>
  <c r="J23" i="6"/>
  <c r="B24" i="6"/>
  <c r="I24" i="6" s="1"/>
  <c r="B25" i="6" l="1"/>
  <c r="I25" i="6" s="1"/>
  <c r="G24" i="6"/>
  <c r="F24" i="6"/>
  <c r="H24" i="6"/>
  <c r="J24" i="6"/>
  <c r="J25" i="6" l="1"/>
  <c r="H25" i="6"/>
  <c r="F25" i="6"/>
  <c r="G25" i="6"/>
  <c r="B26" i="6"/>
  <c r="I26" i="6" s="1"/>
  <c r="H26" i="6" l="1"/>
  <c r="J26" i="6"/>
  <c r="F26" i="6"/>
  <c r="G26" i="6"/>
  <c r="B27" i="6"/>
  <c r="I27" i="6" s="1"/>
  <c r="H27" i="6" l="1"/>
  <c r="J27" i="6"/>
  <c r="F27" i="6"/>
  <c r="G27" i="6"/>
  <c r="B28" i="6"/>
  <c r="I28" i="6" s="1"/>
  <c r="H28" i="6" l="1"/>
  <c r="J28" i="6"/>
  <c r="F28" i="6"/>
  <c r="G28" i="6"/>
  <c r="B29" i="6"/>
  <c r="I29" i="6" s="1"/>
  <c r="G29" i="6" l="1"/>
  <c r="F29" i="6"/>
  <c r="H29" i="6"/>
  <c r="J29" i="6"/>
  <c r="B30" i="6"/>
  <c r="I30" i="6" s="1"/>
  <c r="B31" i="6" l="1"/>
  <c r="I31" i="6" s="1"/>
  <c r="J30" i="6"/>
  <c r="G30" i="6"/>
  <c r="F30" i="6"/>
  <c r="H30" i="6"/>
  <c r="B32" i="6" l="1"/>
  <c r="I32" i="6" s="1"/>
  <c r="J31" i="6"/>
  <c r="G31" i="6"/>
  <c r="F31" i="6"/>
  <c r="H31" i="6"/>
  <c r="F32" i="6" l="1"/>
  <c r="H32" i="6"/>
  <c r="J32" i="6"/>
  <c r="G32" i="6"/>
  <c r="B33" i="6"/>
  <c r="I33" i="6" s="1"/>
  <c r="B34" i="6" l="1"/>
  <c r="I34" i="6" s="1"/>
  <c r="F33" i="6"/>
  <c r="G33" i="6"/>
  <c r="J33" i="6"/>
  <c r="H33" i="6"/>
  <c r="G34" i="6" l="1"/>
  <c r="F34" i="6"/>
  <c r="H34" i="6"/>
  <c r="J34" i="6"/>
  <c r="B35" i="6"/>
  <c r="I35" i="6" s="1"/>
  <c r="F35" i="6" l="1"/>
  <c r="J35" i="6"/>
  <c r="G35" i="6"/>
  <c r="H35" i="6"/>
  <c r="B36" i="6"/>
  <c r="I36" i="6" s="1"/>
  <c r="G36" i="6" l="1"/>
  <c r="H36" i="6"/>
  <c r="J36" i="6"/>
  <c r="F36" i="6"/>
  <c r="B37" i="6"/>
  <c r="I37" i="6" s="1"/>
  <c r="B38" i="6" l="1"/>
  <c r="I38" i="6" s="1"/>
  <c r="J37" i="6"/>
  <c r="H37" i="6"/>
  <c r="F37" i="6"/>
  <c r="G37" i="6"/>
  <c r="J38" i="6" l="1"/>
  <c r="G38" i="6"/>
  <c r="F38" i="6"/>
  <c r="H38" i="6"/>
  <c r="B39" i="6"/>
  <c r="I39" i="6" s="1"/>
  <c r="B40" i="6" l="1"/>
  <c r="I40" i="6" s="1"/>
  <c r="G39" i="6"/>
  <c r="J39" i="6"/>
  <c r="F39" i="6"/>
  <c r="H39" i="6"/>
  <c r="F40" i="6" l="1"/>
  <c r="G40" i="6"/>
  <c r="J40" i="6"/>
  <c r="H40" i="6"/>
  <c r="B41" i="6"/>
  <c r="I41" i="6" s="1"/>
  <c r="B42" i="6" l="1"/>
  <c r="I42" i="6" s="1"/>
  <c r="F41" i="6"/>
  <c r="G41" i="6"/>
  <c r="J41" i="6"/>
  <c r="H41" i="6"/>
  <c r="G42" i="6" l="1"/>
  <c r="H42" i="6"/>
  <c r="J42" i="6"/>
  <c r="F42" i="6"/>
  <c r="B43" i="6"/>
  <c r="I43" i="6" s="1"/>
  <c r="B44" i="6" l="1"/>
  <c r="I44" i="6" s="1"/>
  <c r="G43" i="6"/>
  <c r="H43" i="6"/>
  <c r="J43" i="6"/>
  <c r="F43" i="6"/>
  <c r="F44" i="6" l="1"/>
  <c r="G44" i="6"/>
  <c r="H44" i="6"/>
  <c r="J44" i="6"/>
  <c r="B45" i="6"/>
  <c r="I45" i="6" s="1"/>
  <c r="G45" i="6" l="1"/>
  <c r="F45" i="6"/>
  <c r="H45" i="6"/>
  <c r="J45" i="6"/>
  <c r="B46" i="6"/>
  <c r="I46" i="6" s="1"/>
  <c r="B47" i="6" l="1"/>
  <c r="I47" i="6" s="1"/>
  <c r="J46" i="6"/>
  <c r="G46" i="6"/>
  <c r="F46" i="6"/>
  <c r="H46" i="6"/>
  <c r="B48" i="6" l="1"/>
  <c r="I48" i="6" s="1"/>
  <c r="J47" i="6"/>
  <c r="G47" i="6"/>
  <c r="F47" i="6"/>
  <c r="H47" i="6"/>
  <c r="H48" i="6" l="1"/>
  <c r="F48" i="6"/>
  <c r="G48" i="6"/>
  <c r="J48" i="6"/>
  <c r="B49" i="6"/>
  <c r="I49" i="6" s="1"/>
  <c r="B50" i="6" l="1"/>
  <c r="I50" i="6" s="1"/>
  <c r="F49" i="6"/>
  <c r="G49" i="6"/>
  <c r="J49" i="6"/>
  <c r="H49" i="6"/>
  <c r="B51" i="6" l="1"/>
  <c r="I51" i="6" s="1"/>
  <c r="J50" i="6"/>
  <c r="F50" i="6"/>
  <c r="G50" i="6"/>
  <c r="H50" i="6"/>
  <c r="F51" i="6" l="1"/>
  <c r="J51" i="6"/>
  <c r="G51" i="6"/>
  <c r="H51" i="6"/>
  <c r="B52" i="6"/>
  <c r="I52" i="6" s="1"/>
  <c r="H52" i="6" l="1"/>
  <c r="J52" i="6"/>
  <c r="G52" i="6"/>
  <c r="F52" i="6"/>
  <c r="B53" i="6"/>
  <c r="I53" i="6" s="1"/>
  <c r="B54" i="6" l="1"/>
  <c r="I54" i="6" s="1"/>
  <c r="J53" i="6"/>
  <c r="H53" i="6"/>
  <c r="F53" i="6"/>
  <c r="G53" i="6"/>
  <c r="J54" i="6" l="1"/>
  <c r="G54" i="6"/>
  <c r="F54" i="6"/>
  <c r="H54" i="6"/>
  <c r="B55" i="6"/>
  <c r="I55" i="6" s="1"/>
  <c r="G55" i="6" l="1"/>
  <c r="H55" i="6"/>
  <c r="J55" i="6"/>
  <c r="F55" i="6"/>
  <c r="B56" i="6"/>
  <c r="I56" i="6" s="1"/>
  <c r="G56" i="6" l="1"/>
  <c r="F56" i="6"/>
  <c r="H56" i="6"/>
  <c r="J56" i="6"/>
  <c r="B57" i="6"/>
  <c r="I57" i="6" s="1"/>
  <c r="B58" i="6" l="1"/>
  <c r="I58" i="6" s="1"/>
  <c r="J57" i="6"/>
  <c r="F57" i="6"/>
  <c r="H57" i="6"/>
  <c r="G57" i="6"/>
  <c r="B59" i="6" l="1"/>
  <c r="I59" i="6" s="1"/>
  <c r="J58" i="6"/>
  <c r="F58" i="6"/>
  <c r="G58" i="6"/>
  <c r="H58" i="6"/>
  <c r="H59" i="6" l="1"/>
  <c r="G59" i="6"/>
  <c r="F59" i="6"/>
  <c r="J59" i="6"/>
  <c r="B60" i="6"/>
  <c r="I60" i="6" s="1"/>
  <c r="G60" i="6" l="1"/>
  <c r="H60" i="6"/>
  <c r="J60" i="6"/>
  <c r="F60" i="6"/>
  <c r="B61" i="6"/>
  <c r="I61" i="6" s="1"/>
  <c r="B62" i="6" l="1"/>
  <c r="I62" i="6" s="1"/>
  <c r="J61" i="6"/>
  <c r="F61" i="6"/>
  <c r="H61" i="6"/>
  <c r="G61" i="6"/>
  <c r="B63" i="6" l="1"/>
  <c r="I63" i="6" s="1"/>
  <c r="J62" i="6"/>
  <c r="F62" i="6"/>
  <c r="G62" i="6"/>
  <c r="H62" i="6"/>
  <c r="B64" i="6" l="1"/>
  <c r="I64" i="6" s="1"/>
  <c r="J63" i="6"/>
  <c r="F63" i="6"/>
  <c r="G63" i="6"/>
  <c r="H63" i="6"/>
  <c r="J64" i="6" l="1"/>
  <c r="F64" i="6"/>
  <c r="H64" i="6"/>
  <c r="G64" i="6"/>
  <c r="B65" i="6"/>
  <c r="I65" i="6" s="1"/>
  <c r="F65" i="6" l="1"/>
  <c r="J65" i="6"/>
  <c r="H65" i="6"/>
  <c r="G65" i="6"/>
  <c r="B66" i="6"/>
  <c r="I66" i="6" s="1"/>
  <c r="J66" i="6" l="1"/>
  <c r="G66" i="6"/>
  <c r="F66" i="6"/>
  <c r="H66" i="6"/>
  <c r="B67" i="6"/>
  <c r="I67" i="6" s="1"/>
  <c r="B68" i="6" l="1"/>
  <c r="I68" i="6" s="1"/>
  <c r="F67" i="6"/>
  <c r="G67" i="6"/>
  <c r="H67" i="6"/>
  <c r="J67" i="6"/>
  <c r="F68" i="6" l="1"/>
  <c r="G68" i="6"/>
  <c r="H68" i="6"/>
  <c r="J68" i="6"/>
  <c r="B69" i="6"/>
  <c r="I69" i="6" s="1"/>
  <c r="B70" i="6" l="1"/>
  <c r="I70" i="6" s="1"/>
  <c r="J69" i="6"/>
  <c r="F69" i="6"/>
  <c r="G69" i="6"/>
  <c r="H69" i="6"/>
  <c r="F70" i="6" l="1"/>
  <c r="H70" i="6"/>
  <c r="G70" i="6"/>
  <c r="J70" i="6"/>
  <c r="B71" i="6"/>
  <c r="I71" i="6" s="1"/>
  <c r="B72" i="6" l="1"/>
  <c r="I72" i="6" s="1"/>
  <c r="H71" i="6"/>
  <c r="G71" i="6"/>
  <c r="F71" i="6"/>
  <c r="J71" i="6"/>
  <c r="B73" i="6" l="1"/>
  <c r="I73" i="6" s="1"/>
  <c r="J72" i="6"/>
  <c r="H72" i="6"/>
  <c r="F72" i="6"/>
  <c r="G72" i="6"/>
  <c r="J73" i="6" l="1"/>
  <c r="H73" i="6"/>
  <c r="F73" i="6"/>
  <c r="G73" i="6"/>
  <c r="B74" i="6"/>
  <c r="I74" i="6" s="1"/>
  <c r="J74" i="6" l="1"/>
  <c r="F74" i="6"/>
  <c r="H74" i="6"/>
  <c r="G74" i="6"/>
  <c r="B75" i="6"/>
  <c r="I75" i="6" s="1"/>
  <c r="B76" i="6" l="1"/>
  <c r="I76" i="6" s="1"/>
  <c r="F75" i="6"/>
  <c r="J75" i="6"/>
  <c r="G75" i="6"/>
  <c r="H75" i="6"/>
  <c r="B77" i="6" l="1"/>
  <c r="I77" i="6" s="1"/>
  <c r="F76" i="6"/>
  <c r="G76" i="6"/>
  <c r="H76" i="6"/>
  <c r="J76" i="6"/>
  <c r="B78" i="6" l="1"/>
  <c r="I78" i="6" s="1"/>
  <c r="J77" i="6"/>
  <c r="H77" i="6"/>
  <c r="G77" i="6"/>
  <c r="F77" i="6"/>
  <c r="B79" i="6" l="1"/>
  <c r="I79" i="6" s="1"/>
  <c r="H78" i="6"/>
  <c r="J78" i="6"/>
  <c r="F78" i="6"/>
  <c r="G78" i="6"/>
  <c r="G79" i="6" l="1"/>
  <c r="H79" i="6"/>
  <c r="J79" i="6"/>
  <c r="F79" i="6"/>
  <c r="B80" i="6"/>
  <c r="I80" i="6" s="1"/>
  <c r="B81" i="6" l="1"/>
  <c r="I81" i="6" s="1"/>
  <c r="G80" i="6"/>
  <c r="J80" i="6"/>
  <c r="H80" i="6"/>
  <c r="F80" i="6"/>
  <c r="F81" i="6" l="1"/>
  <c r="H81" i="6"/>
  <c r="J81" i="6"/>
  <c r="G81" i="6"/>
  <c r="B82" i="6"/>
  <c r="I82" i="6" s="1"/>
  <c r="H82" i="6" l="1"/>
  <c r="F82" i="6"/>
  <c r="G82" i="6"/>
  <c r="J82" i="6"/>
  <c r="B83" i="6"/>
  <c r="I83" i="6" s="1"/>
  <c r="H83" i="6" l="1"/>
  <c r="G83" i="6"/>
  <c r="F83" i="6"/>
  <c r="J83" i="6"/>
  <c r="B84" i="6"/>
  <c r="I84" i="6" s="1"/>
  <c r="H84" i="6" l="1"/>
  <c r="J84" i="6"/>
  <c r="G84" i="6"/>
  <c r="F84" i="6"/>
  <c r="B85" i="6"/>
  <c r="I85" i="6" s="1"/>
  <c r="J85" i="6" l="1"/>
  <c r="G85" i="6"/>
  <c r="F85" i="6"/>
  <c r="H85" i="6"/>
  <c r="B86" i="6"/>
  <c r="I86" i="6" s="1"/>
  <c r="J86" i="6" l="1"/>
  <c r="F86" i="6"/>
  <c r="H86" i="6"/>
  <c r="G86" i="6"/>
  <c r="B87" i="6"/>
  <c r="I87" i="6" s="1"/>
  <c r="G87" i="6" l="1"/>
  <c r="H87" i="6"/>
  <c r="F87" i="6"/>
  <c r="J87" i="6"/>
  <c r="B88" i="6"/>
  <c r="I88" i="6" s="1"/>
  <c r="B89" i="6" l="1"/>
  <c r="I89" i="6" s="1"/>
  <c r="J88" i="6"/>
  <c r="G88" i="6"/>
  <c r="H88" i="6"/>
  <c r="F88" i="6"/>
  <c r="J89" i="6" l="1"/>
  <c r="F89" i="6"/>
  <c r="H89" i="6"/>
  <c r="G89" i="6"/>
  <c r="B90" i="6"/>
  <c r="I90" i="6" s="1"/>
  <c r="B91" i="6" l="1"/>
  <c r="I91" i="6" s="1"/>
  <c r="J90" i="6"/>
  <c r="G90" i="6"/>
  <c r="H90" i="6"/>
  <c r="F90" i="6"/>
  <c r="B92" i="6" l="1"/>
  <c r="I92" i="6" s="1"/>
  <c r="F91" i="6"/>
  <c r="H91" i="6"/>
  <c r="G91" i="6"/>
  <c r="J91" i="6"/>
  <c r="B93" i="6" l="1"/>
  <c r="I93" i="6" s="1"/>
  <c r="J92" i="6"/>
  <c r="F92" i="6"/>
  <c r="G92" i="6"/>
  <c r="H92" i="6"/>
  <c r="B94" i="6" l="1"/>
  <c r="I94" i="6" s="1"/>
  <c r="J93" i="6"/>
  <c r="H93" i="6"/>
  <c r="G93" i="6"/>
  <c r="F93" i="6"/>
  <c r="G94" i="6" l="1"/>
  <c r="H94" i="6"/>
  <c r="J94" i="6"/>
  <c r="F94" i="6"/>
  <c r="B95" i="6"/>
  <c r="I95" i="6" s="1"/>
  <c r="B96" i="6" l="1"/>
  <c r="I96" i="6" s="1"/>
  <c r="J95" i="6"/>
  <c r="F95" i="6"/>
  <c r="G95" i="6"/>
  <c r="H95" i="6"/>
  <c r="F96" i="6" l="1"/>
  <c r="G96" i="6"/>
  <c r="H96" i="6"/>
  <c r="J96" i="6"/>
  <c r="B97" i="6"/>
  <c r="I97" i="6" s="1"/>
  <c r="F97" i="6" l="1"/>
  <c r="H97" i="6"/>
  <c r="G97" i="6"/>
  <c r="J97" i="6"/>
  <c r="B98" i="6"/>
  <c r="I98" i="6" s="1"/>
  <c r="J98" i="6" l="1"/>
  <c r="H98" i="6"/>
  <c r="F98" i="6"/>
  <c r="G98" i="6"/>
  <c r="B99" i="6"/>
  <c r="I99" i="6" s="1"/>
  <c r="F99" i="6" l="1"/>
  <c r="H99" i="6"/>
  <c r="G99" i="6"/>
  <c r="J99" i="6"/>
  <c r="B100" i="6"/>
  <c r="I100" i="6" s="1"/>
  <c r="F100" i="6" l="1"/>
  <c r="H100" i="6"/>
  <c r="G100" i="6"/>
  <c r="J100" i="6"/>
  <c r="B101" i="6"/>
  <c r="I101" i="6" s="1"/>
  <c r="J101" i="6" l="1"/>
  <c r="F101" i="6"/>
  <c r="G101" i="6"/>
  <c r="H101" i="6"/>
  <c r="B102" i="6"/>
  <c r="I102" i="6" s="1"/>
  <c r="G102" i="6" l="1"/>
  <c r="H102" i="6"/>
  <c r="J102" i="6"/>
  <c r="F102" i="6"/>
  <c r="B103" i="6"/>
  <c r="I103" i="6" s="1"/>
  <c r="B104" i="6" l="1"/>
  <c r="I104" i="6" s="1"/>
  <c r="H103" i="6"/>
  <c r="G103" i="6"/>
  <c r="J103" i="6"/>
  <c r="F103" i="6"/>
  <c r="B105" i="6" l="1"/>
  <c r="I105" i="6" s="1"/>
  <c r="J104" i="6"/>
  <c r="G104" i="6"/>
  <c r="H104" i="6"/>
  <c r="F104" i="6"/>
  <c r="H105" i="6" l="1"/>
  <c r="F105" i="6"/>
  <c r="G105" i="6"/>
  <c r="J105" i="6"/>
  <c r="B106" i="6"/>
  <c r="I106" i="6" s="1"/>
  <c r="F106" i="6" l="1"/>
  <c r="H106" i="6"/>
  <c r="J106" i="6"/>
  <c r="G106" i="6"/>
  <c r="B107" i="6"/>
  <c r="I107" i="6" s="1"/>
  <c r="F107" i="6" l="1"/>
  <c r="G107" i="6"/>
  <c r="J107" i="6"/>
  <c r="H107" i="6"/>
  <c r="B108" i="6"/>
  <c r="I108" i="6" s="1"/>
  <c r="B109" i="6" l="1"/>
  <c r="I109" i="6" s="1"/>
  <c r="H108" i="6"/>
  <c r="J108" i="6"/>
  <c r="F108" i="6"/>
  <c r="G108" i="6"/>
  <c r="B110" i="6" l="1"/>
  <c r="I110" i="6" s="1"/>
  <c r="J109" i="6"/>
  <c r="H109" i="6"/>
  <c r="G109" i="6"/>
  <c r="F109" i="6"/>
  <c r="B112" i="6" l="1"/>
  <c r="I112" i="6" s="1"/>
  <c r="B111" i="6"/>
  <c r="I111" i="6" s="1"/>
  <c r="F110" i="6"/>
  <c r="G110" i="6"/>
  <c r="H110" i="6"/>
  <c r="J110" i="6"/>
  <c r="G111" i="6" l="1"/>
  <c r="H111" i="6"/>
  <c r="J111" i="6"/>
  <c r="F111" i="6"/>
  <c r="J112" i="6"/>
  <c r="F112" i="6"/>
  <c r="G112" i="6"/>
  <c r="H11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<sst xmlns="http://schemas.openxmlformats.org/spreadsheetml/2006/main" count="2793" uniqueCount="1016">
  <si>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</si>
  <si>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</si>
  <si>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</si>
  <si>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</si>
  <si>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</si>
  <si>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</si>
  <si>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</si>
  <si>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</si>
  <si>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</si>
  <si>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</si>
  <si>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</si>
  <si>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</si>
  <si>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</si>
  <si>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</si>
  <si>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</si>
  <si>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</si>
  <si>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</si>
  <si>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</si>
  <si>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</si>
  <si>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</si>
  <si>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</si>
  <si>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</si>
  <si>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</si>
  <si>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</si>
  <si>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</si>
  <si>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</si>
  <si>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</si>
  <si>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</si>
  <si>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</si>
  <si>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</si>
  <si>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</si>
  <si>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</si>
  <si>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</si>
  <si>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</si>
  <si>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</si>
  <si>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</si>
  <si>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</si>
  <si>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</si>
  <si>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</si>
  <si>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</si>
  <si>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</si>
  <si>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</si>
  <si>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</si>
  <si>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</si>
  <si>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</si>
  <si>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</si>
  <si>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</si>
  <si>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</si>
  <si>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</si>
  <si>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</si>
  <si>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</si>
  <si>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</si>
  <si>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</si>
  <si>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</si>
  <si>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</si>
  <si>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</si>
  <si>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</si>
  <si>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</si>
  <si>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</si>
  <si>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</si>
  <si>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</si>
  <si>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</si>
  <si>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</si>
  <si>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</si>
  <si>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</si>
  <si>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</si>
  <si>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</si>
  <si>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</si>
  <si>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</si>
  <si>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</si>
  <si>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</si>
  <si>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</si>
  <si>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</si>
  <si>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</si>
  <si>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</si>
  <si>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</si>
  <si>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</si>
  <si>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</si>
  <si>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</si>
  <si>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</si>
  <si>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</si>
  <si>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</si>
  <si>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</si>
  <si>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</si>
  <si>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</si>
  <si>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</si>
  <si>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</si>
  <si>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</si>
  <si>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</si>
  <si>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</si>
  <si>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</si>
  <si>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</si>
  <si>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</si>
  <si>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</si>
  <si>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</si>
  <si>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</si>
  <si>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</si>
  <si>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</si>
  <si>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</si>
  <si>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</si>
  <si>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</si>
  <si>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</si>
  <si>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</si>
  <si>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</si>
  <si>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</si>
  <si>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</si>
  <si>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</si>
  <si>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</si>
  <si>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</si>
  <si>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</si>
  <si>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</si>
  <si>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</si>
  <si>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</si>
  <si>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</si>
  <si>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</si>
  <si>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</si>
  <si>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</si>
  <si>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</si>
  <si>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</si>
  <si>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</si>
  <si>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</si>
  <si>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</si>
  <si>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</si>
  <si>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</si>
  <si>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</si>
  <si>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</si>
  <si>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</si>
  <si>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</si>
  <si>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</si>
  <si>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</si>
  <si>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</si>
  <si>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</si>
  <si>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</si>
  <si>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</si>
  <si>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</si>
  <si>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</si>
  <si>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</si>
  <si>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</si>
  <si>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</si>
  <si>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</si>
  <si>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</si>
  <si>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</si>
  <si>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</si>
  <si>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</si>
  <si>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</si>
  <si>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</si>
  <si>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</si>
  <si>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</si>
  <si>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</si>
  <si>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</si>
  <si>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</si>
  <si>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</si>
  <si>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</si>
  <si>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</si>
  <si>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</si>
  <si>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</si>
  <si>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</si>
  <si>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</si>
  <si>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</si>
  <si>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</si>
  <si>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</si>
  <si>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</si>
  <si>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</si>
  <si>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</si>
  <si>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</si>
  <si>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</si>
  <si>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</si>
  <si>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</si>
  <si>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</si>
  <si>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</si>
  <si>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</si>
  <si>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</si>
  <si>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</si>
  <si>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</si>
  <si>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</si>
  <si>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</si>
  <si>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</si>
  <si>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</si>
  <si>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</si>
  <si>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</si>
  <si>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</si>
  <si>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</si>
  <si>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</si>
  <si>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</si>
  <si>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</si>
  <si>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</si>
  <si>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</si>
  <si>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</si>
  <si>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</si>
  <si>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</si>
  <si>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</si>
  <si>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</si>
  <si>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</si>
  <si>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</si>
  <si>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</si>
  <si>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</si>
  <si>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</si>
  <si>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</si>
  <si>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</si>
  <si>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</si>
  <si>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</si>
  <si>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</si>
  <si>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</si>
  <si>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</si>
  <si>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</si>
  <si>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</si>
  <si>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</si>
  <si>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</si>
  <si>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</si>
  <si>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</si>
  <si>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</si>
  <si>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</si>
  <si>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</si>
  <si>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</si>
  <si>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</si>
  <si>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</si>
  <si>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rtdc.l.rtdc.4027:itc</t>
  </si>
  <si>
    <t>MCREYNOLDS</t>
  </si>
  <si>
    <t>KYLE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</si>
  <si>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</si>
  <si>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</si>
  <si>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</si>
  <si>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</si>
  <si>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</si>
  <si>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</si>
  <si>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</si>
  <si>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</si>
  <si>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COMELLA</t>
  </si>
  <si>
    <t>JUSTIN</t>
  </si>
  <si>
    <t>rtdc.l.rtdc.4043:itc</t>
  </si>
  <si>
    <t>204:453</t>
  </si>
  <si>
    <t>204:446</t>
  </si>
  <si>
    <t>204:455</t>
  </si>
  <si>
    <t>204:139</t>
  </si>
  <si>
    <t>204:233293</t>
  </si>
  <si>
    <t>204:464</t>
  </si>
  <si>
    <t>rtdc.l.rtdc.4044:itc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</si>
  <si>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</si>
  <si>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</si>
  <si>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</si>
  <si>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</si>
  <si>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</si>
  <si>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</si>
  <si>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</si>
  <si>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204:233317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</si>
  <si>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</si>
  <si>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</si>
  <si>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</si>
  <si>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</si>
  <si>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</si>
  <si>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</si>
  <si>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</si>
  <si>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</si>
  <si>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204:232994</t>
  </si>
  <si>
    <t>rtdc.l.rtdc.4050:itc</t>
  </si>
  <si>
    <t>rtdc.l.rtdc.4049:itc</t>
  </si>
  <si>
    <t>204:233284</t>
  </si>
  <si>
    <t>204:232987</t>
  </si>
  <si>
    <t>204:233314</t>
  </si>
  <si>
    <t>204:233297</t>
  </si>
  <si>
    <t>204:165</t>
  </si>
  <si>
    <t>204:233304</t>
  </si>
  <si>
    <t>204:233299</t>
  </si>
  <si>
    <t>:.+((SYSTEM_STATE.+slice.+state.+changed )|(ment ac)|(multiple cpu faults)|(system.+state.+changed )|(\[timeout)|(PRM\|1\|D)|(kpr)|(kdp)|(\|loc)|(penalty))</t>
  </si>
  <si>
    <t>rtdc.l.rtdc.4013:itc</t>
  </si>
  <si>
    <t>242-23</t>
  </si>
  <si>
    <t>rtdc.l.rtdc.4014:itc</t>
  </si>
  <si>
    <t>60-23</t>
  </si>
  <si>
    <t>81-23</t>
  </si>
  <si>
    <t>309-23</t>
  </si>
  <si>
    <t>244-23</t>
  </si>
  <si>
    <t>311-23</t>
  </si>
  <si>
    <t>313-23</t>
  </si>
  <si>
    <t>204:233312</t>
  </si>
  <si>
    <t>204:232977</t>
  </si>
  <si>
    <t>204:233308</t>
  </si>
  <si>
    <t>204:467</t>
  </si>
  <si>
    <t>204:473</t>
  </si>
  <si>
    <t>204:233000</t>
  </si>
  <si>
    <t>204:232998</t>
  </si>
  <si>
    <t>204:233315</t>
  </si>
  <si>
    <t>204:232975</t>
  </si>
  <si>
    <t>300:58958</t>
  </si>
  <si>
    <t>:.+((SYSTEM_STATE.+slice.+state.+changed )|(ment ac)|(multiple cpu faults)|(system.+state.+changed )|(\[timeout)|(PRM\|1\|D)|(kpr)|(kdp)|(\|lc)|(penalty))</t>
  </si>
  <si>
    <t>Early arrival</t>
  </si>
  <si>
    <t>rtdc.l.rtdc.4006:itc</t>
  </si>
  <si>
    <t>Y</t>
  </si>
  <si>
    <t>STARKS</t>
  </si>
  <si>
    <t>ANGELINA</t>
  </si>
  <si>
    <t>CLARK</t>
  </si>
  <si>
    <t>KATHLEEN</t>
  </si>
  <si>
    <t>LOCKLEAR</t>
  </si>
  <si>
    <t>TRAVIS</t>
  </si>
  <si>
    <t>LEVERE</t>
  </si>
  <si>
    <t>CRAIG</t>
  </si>
  <si>
    <t>204:134</t>
  </si>
  <si>
    <t>204:233301</t>
  </si>
  <si>
    <t>204:233004</t>
  </si>
  <si>
    <t>204:442</t>
  </si>
  <si>
    <t>204:232973</t>
  </si>
  <si>
    <t>204:161</t>
  </si>
  <si>
    <t>204:233323</t>
  </si>
  <si>
    <t>204:232990</t>
  </si>
  <si>
    <t>204:233008</t>
  </si>
  <si>
    <t>204:167</t>
  </si>
  <si>
    <t>300:58636</t>
  </si>
  <si>
    <t>300:58950</t>
  </si>
  <si>
    <t>Wi-MAX data drop</t>
  </si>
  <si>
    <t>LOZA</t>
  </si>
  <si>
    <t>FIDEL</t>
  </si>
  <si>
    <t>ROCHA</t>
  </si>
  <si>
    <t>YAOTL</t>
  </si>
  <si>
    <t>MAYBERRY</t>
  </si>
  <si>
    <t>BILL</t>
  </si>
  <si>
    <t>STRICKLAND</t>
  </si>
  <si>
    <t>EVAN</t>
  </si>
  <si>
    <t>clear-night</t>
  </si>
  <si>
    <t>Clear</t>
  </si>
  <si>
    <t>204:233307</t>
  </si>
  <si>
    <t>204:232991</t>
  </si>
  <si>
    <t>204:449</t>
  </si>
  <si>
    <t>204:232981</t>
  </si>
  <si>
    <t>204:232971</t>
  </si>
  <si>
    <t>204:477</t>
  </si>
  <si>
    <t>204:687</t>
  </si>
  <si>
    <t>204:974</t>
  </si>
  <si>
    <t>rtdc.l.rtdc.4002:itc</t>
  </si>
  <si>
    <t>rtdc.l.rtdc.4021:itc</t>
  </si>
  <si>
    <t>BADERTSCHER</t>
  </si>
  <si>
    <t>DIANE</t>
  </si>
  <si>
    <t>rtdc.l.rtdc.4020:itc</t>
  </si>
  <si>
    <t>rtdc.l.rtdc.4022:itc</t>
  </si>
  <si>
    <t>rtdc.l.rtdc.4032:itc</t>
  </si>
  <si>
    <t>HELVIE</t>
  </si>
  <si>
    <t>ADAM</t>
  </si>
  <si>
    <t>BRUDER</t>
  </si>
  <si>
    <t>RICHARD</t>
  </si>
  <si>
    <t>WHITED</t>
  </si>
  <si>
    <t>rtdc.l.rtdc.4065:itc</t>
  </si>
  <si>
    <t>rtdc.l.rtdc.4066:itc</t>
  </si>
  <si>
    <t>clear-day</t>
  </si>
  <si>
    <t>204:478</t>
  </si>
  <si>
    <t>204:232988</t>
  </si>
  <si>
    <t>204:232978</t>
  </si>
  <si>
    <t>204:469</t>
  </si>
  <si>
    <t>204:233338</t>
  </si>
  <si>
    <t>204:233298</t>
  </si>
  <si>
    <t>204:233303</t>
  </si>
  <si>
    <t>204:129</t>
  </si>
  <si>
    <t>204:233291</t>
  </si>
  <si>
    <t>204:232985</t>
  </si>
  <si>
    <t>204:232967</t>
  </si>
  <si>
    <t>204:233006</t>
  </si>
  <si>
    <t>204:233329</t>
  </si>
  <si>
    <t>300:23346</t>
  </si>
  <si>
    <t>300:23306</t>
  </si>
  <si>
    <t>204:684</t>
  </si>
  <si>
    <t>204:967</t>
  </si>
  <si>
    <t>300:58952</t>
  </si>
  <si>
    <t>300:58638</t>
  </si>
  <si>
    <t>204:978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</si>
  <si>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</si>
  <si>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</si>
  <si>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</si>
  <si>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</si>
  <si>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</si>
  <si>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</si>
  <si>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</si>
  <si>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</si>
  <si>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</si>
  <si>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</si>
  <si>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</si>
  <si>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</si>
  <si>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</si>
  <si>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</si>
  <si>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</si>
  <si>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</si>
  <si>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</si>
  <si>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</si>
  <si>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</si>
  <si>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</si>
  <si>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</si>
  <si>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</si>
  <si>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</si>
  <si>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</si>
  <si>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</si>
  <si>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</si>
  <si>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</si>
  <si>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</si>
  <si>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</si>
  <si>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</si>
  <si>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</si>
  <si>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</si>
  <si>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</si>
  <si>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</si>
  <si>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</si>
  <si>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</si>
  <si>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</si>
  <si>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</si>
  <si>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</si>
  <si>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</si>
  <si>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</si>
  <si>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</si>
  <si>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</si>
  <si>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</si>
  <si>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</si>
  <si>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</si>
  <si>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</si>
  <si>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</si>
  <si>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</si>
  <si>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</si>
  <si>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</si>
  <si>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</si>
  <si>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</si>
  <si>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</si>
  <si>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</si>
  <si>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</si>
  <si>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</si>
  <si>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</si>
  <si>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</si>
  <si>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</si>
  <si>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</si>
  <si>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</si>
  <si>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</si>
  <si>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</si>
  <si>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</si>
  <si>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</si>
  <si>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</si>
  <si>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</si>
  <si>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</si>
  <si>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</si>
  <si>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</si>
  <si>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</si>
  <si>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</si>
  <si>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</si>
  <si>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</si>
  <si>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</si>
  <si>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</si>
  <si>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</si>
  <si>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</si>
  <si>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</si>
  <si>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</si>
  <si>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</si>
  <si>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</si>
  <si>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</si>
  <si>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</si>
  <si>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</si>
  <si>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</si>
  <si>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</si>
  <si>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</si>
  <si>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</si>
  <si>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</si>
  <si>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</si>
  <si>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</si>
  <si>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</si>
  <si>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</si>
  <si>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</si>
  <si>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</si>
  <si>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</si>
  <si>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</si>
  <si>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</si>
  <si>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</si>
  <si>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</si>
  <si>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</si>
  <si>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</si>
  <si>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</si>
  <si>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</si>
  <si>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</si>
  <si>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</si>
  <si>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</si>
  <si>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</si>
  <si>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</si>
  <si>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</si>
  <si>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</si>
  <si>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</si>
  <si>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</si>
  <si>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</si>
  <si>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</si>
  <si>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</si>
  <si>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</si>
  <si>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</si>
  <si>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</si>
  <si>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</si>
  <si>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</si>
  <si>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</si>
  <si>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</si>
  <si>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</si>
  <si>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</si>
  <si>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</si>
  <si>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</si>
  <si>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</si>
  <si>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rtdc.l.rtdc.4052:itc</t>
  </si>
  <si>
    <t>SWITCH UNKNOWN</t>
  </si>
  <si>
    <t>Track device (7)</t>
  </si>
  <si>
    <t>rtdc.l.rtdc.4019:itc</t>
  </si>
  <si>
    <t>TEMPORARY SPEED RESTRICTION</t>
  </si>
  <si>
    <t>rtdc.l.rtdc.4005:itc</t>
  </si>
  <si>
    <t>rtdc.l.rtdc.4008:itc</t>
  </si>
  <si>
    <t>242-02</t>
  </si>
  <si>
    <t>BEAM</t>
  </si>
  <si>
    <t>ROSS</t>
  </si>
  <si>
    <t>rtdc.l.rtdc.4053:itc</t>
  </si>
  <si>
    <t>SHOOK</t>
  </si>
  <si>
    <t>JOHN</t>
  </si>
  <si>
    <t>rtdc.l.rtdc.4051:itc</t>
  </si>
  <si>
    <t>YANAI</t>
  </si>
  <si>
    <t>IAN</t>
  </si>
  <si>
    <t>KILLION</t>
  </si>
  <si>
    <t>DAVID</t>
  </si>
  <si>
    <t>SMITH</t>
  </si>
  <si>
    <t>BRANDNER</t>
  </si>
  <si>
    <t>MELINDA</t>
  </si>
  <si>
    <t>DE LA ROSA</t>
  </si>
  <si>
    <t>ALEX</t>
  </si>
  <si>
    <t>PERKINS</t>
  </si>
  <si>
    <t>DARREN</t>
  </si>
  <si>
    <t>81-02</t>
  </si>
  <si>
    <t>MACDONALD</t>
  </si>
  <si>
    <t>THOMAS</t>
  </si>
  <si>
    <t>88-02</t>
  </si>
  <si>
    <t>309-02</t>
  </si>
  <si>
    <t>244-02</t>
  </si>
  <si>
    <t>311-02</t>
  </si>
  <si>
    <t>313-02</t>
  </si>
  <si>
    <t>204:504</t>
  </si>
  <si>
    <t>204:232982</t>
  </si>
  <si>
    <t>204:431</t>
  </si>
  <si>
    <t>204:233288</t>
  </si>
  <si>
    <t>204:233282</t>
  </si>
  <si>
    <t>204:233302</t>
  </si>
  <si>
    <t>204:232983</t>
  </si>
  <si>
    <t>204:138</t>
  </si>
  <si>
    <t>204:233286</t>
  </si>
  <si>
    <t>204:233272</t>
  </si>
  <si>
    <t>204:233305</t>
  </si>
  <si>
    <t>204:143</t>
  </si>
  <si>
    <t>204:484</t>
  </si>
  <si>
    <t>204:232963</t>
  </si>
  <si>
    <t>204:482</t>
  </si>
  <si>
    <t>204:233357</t>
  </si>
  <si>
    <t>204:233321</t>
  </si>
  <si>
    <t>300:23308</t>
  </si>
  <si>
    <t>300:58675</t>
  </si>
  <si>
    <t>204:1021</t>
  </si>
  <si>
    <t>300:58990</t>
  </si>
  <si>
    <t>300:58673</t>
  </si>
  <si>
    <t>300:58992</t>
  </si>
  <si>
    <t>204:439</t>
  </si>
  <si>
    <t>204:128273</t>
  </si>
  <si>
    <t>300:58969</t>
  </si>
  <si>
    <t>204:972</t>
  </si>
  <si>
    <t>300:58634</t>
  </si>
  <si>
    <t>204:701</t>
  </si>
  <si>
    <t>300:58997</t>
  </si>
  <si>
    <t>300:58645</t>
  </si>
  <si>
    <t>300:58681</t>
  </si>
  <si>
    <t>204:671</t>
  </si>
  <si>
    <t>204:986</t>
  </si>
  <si>
    <t>204:677</t>
  </si>
  <si>
    <t>204:703</t>
  </si>
  <si>
    <t>204:128010</t>
  </si>
  <si>
    <t>204:685</t>
  </si>
  <si>
    <t>204:1025</t>
  </si>
  <si>
    <t>300:58679</t>
  </si>
  <si>
    <t>rtdc.l.rtdc.4024:itc</t>
  </si>
  <si>
    <t>105-03</t>
  </si>
  <si>
    <t>107-03</t>
  </si>
  <si>
    <t>108-03</t>
  </si>
  <si>
    <t>106-03</t>
  </si>
  <si>
    <t>rtdc.l.rtdc.4029:itc</t>
  </si>
  <si>
    <t>115-03</t>
  </si>
  <si>
    <t>121-03</t>
  </si>
  <si>
    <t>rtdc.l.rtdc.4054:itc</t>
  </si>
  <si>
    <t>114-03</t>
  </si>
  <si>
    <t>116-03</t>
  </si>
  <si>
    <t>805-03</t>
  </si>
  <si>
    <t>122-03</t>
  </si>
  <si>
    <t>rtdc.l.rtdc.4031:itc</t>
  </si>
  <si>
    <t>131-03</t>
  </si>
  <si>
    <t>133-03</t>
  </si>
  <si>
    <t>809-03</t>
  </si>
  <si>
    <t>135-03</t>
  </si>
  <si>
    <t>128-03</t>
  </si>
  <si>
    <t>130-03</t>
  </si>
  <si>
    <t>141-03</t>
  </si>
  <si>
    <t>rtdc.l.rtdc.4028:itc</t>
  </si>
  <si>
    <t>140-03</t>
  </si>
  <si>
    <t>146-03</t>
  </si>
  <si>
    <t>52-03</t>
  </si>
  <si>
    <t>174-03</t>
  </si>
  <si>
    <t>823-03</t>
  </si>
  <si>
    <t>rtdc.l.rtdc.4023:itc</t>
  </si>
  <si>
    <t>176-03</t>
  </si>
  <si>
    <t>182-03</t>
  </si>
  <si>
    <t>191-03</t>
  </si>
  <si>
    <t>199-03</t>
  </si>
  <si>
    <t>211-03</t>
  </si>
  <si>
    <t>213-03</t>
  </si>
  <si>
    <t>58-03</t>
  </si>
  <si>
    <t>214-03</t>
  </si>
  <si>
    <t>88-03</t>
  </si>
  <si>
    <t>SWITCH ALIGNMENT</t>
  </si>
  <si>
    <t>843-03</t>
  </si>
  <si>
    <t>229-03</t>
  </si>
  <si>
    <t>231-03</t>
  </si>
  <si>
    <t>230-03</t>
  </si>
  <si>
    <t>234-03</t>
  </si>
  <si>
    <t>240-03</t>
  </si>
  <si>
    <t>242-03</t>
  </si>
  <si>
    <t>302-03</t>
  </si>
  <si>
    <t>101-03</t>
  </si>
  <si>
    <t>304-03</t>
  </si>
  <si>
    <t>103-03</t>
  </si>
  <si>
    <t>DAVIS</t>
  </si>
  <si>
    <t>WENDY</t>
  </si>
  <si>
    <t>306-03</t>
  </si>
  <si>
    <t>CUSHING</t>
  </si>
  <si>
    <t>HARRY</t>
  </si>
  <si>
    <t>308-03</t>
  </si>
  <si>
    <t>102-03</t>
  </si>
  <si>
    <t>310-03</t>
  </si>
  <si>
    <t>104-03</t>
  </si>
  <si>
    <t>109-03</t>
  </si>
  <si>
    <t>901-03</t>
  </si>
  <si>
    <t>GEBRETEKLE</t>
  </si>
  <si>
    <t>DAGNEW</t>
  </si>
  <si>
    <t>111-03</t>
  </si>
  <si>
    <t>113-03</t>
  </si>
  <si>
    <t>rtdc.l.rtdc.4001:itc</t>
  </si>
  <si>
    <t>800-03</t>
  </si>
  <si>
    <t>51-03</t>
  </si>
  <si>
    <t>GRASTON</t>
  </si>
  <si>
    <t>MATHEU</t>
  </si>
  <si>
    <t>110-03</t>
  </si>
  <si>
    <t>117-03</t>
  </si>
  <si>
    <t>801-03</t>
  </si>
  <si>
    <t>902-03</t>
  </si>
  <si>
    <t>112-03</t>
  </si>
  <si>
    <t>119-03</t>
  </si>
  <si>
    <t>802-03</t>
  </si>
  <si>
    <t>803-03</t>
  </si>
  <si>
    <t>123-03</t>
  </si>
  <si>
    <t>118-03</t>
  </si>
  <si>
    <t>804-03</t>
  </si>
  <si>
    <t>125-03</t>
  </si>
  <si>
    <t>120-03</t>
  </si>
  <si>
    <t>ROBINSON</t>
  </si>
  <si>
    <t>KADDIBA</t>
  </si>
  <si>
    <t>807-03</t>
  </si>
  <si>
    <t>127-03</t>
  </si>
  <si>
    <t>806-03</t>
  </si>
  <si>
    <t>129-03</t>
  </si>
  <si>
    <t>124-03</t>
  </si>
  <si>
    <t>808-03</t>
  </si>
  <si>
    <t>126-03</t>
  </si>
  <si>
    <t>811-03</t>
  </si>
  <si>
    <t>810-03</t>
  </si>
  <si>
    <t>137-03</t>
  </si>
  <si>
    <t>132-03</t>
  </si>
  <si>
    <t>903-03</t>
  </si>
  <si>
    <t>139-03</t>
  </si>
  <si>
    <t>134-03</t>
  </si>
  <si>
    <t>812-03</t>
  </si>
  <si>
    <t>136-03</t>
  </si>
  <si>
    <t>813-03</t>
  </si>
  <si>
    <t>143-03</t>
  </si>
  <si>
    <t>138-03</t>
  </si>
  <si>
    <t>145-03</t>
  </si>
  <si>
    <t>147-03</t>
  </si>
  <si>
    <t>142-03</t>
  </si>
  <si>
    <t>814-03</t>
  </si>
  <si>
    <t>149-03</t>
  </si>
  <si>
    <t>144-03</t>
  </si>
  <si>
    <t>151-03</t>
  </si>
  <si>
    <t>815-03</t>
  </si>
  <si>
    <t>153-03</t>
  </si>
  <si>
    <t>148-03</t>
  </si>
  <si>
    <t>155-03</t>
  </si>
  <si>
    <t>150-03</t>
  </si>
  <si>
    <t>816-03</t>
  </si>
  <si>
    <t>157-03</t>
  </si>
  <si>
    <t>152-03</t>
  </si>
  <si>
    <t>817-03</t>
  </si>
  <si>
    <t>159-03</t>
  </si>
  <si>
    <t>STEWART</t>
  </si>
  <si>
    <t>154-03</t>
  </si>
  <si>
    <t>161-03</t>
  </si>
  <si>
    <t>ROMERO</t>
  </si>
  <si>
    <t>CHAD</t>
  </si>
  <si>
    <t>156-03</t>
  </si>
  <si>
    <t>163-03</t>
  </si>
  <si>
    <t>158-03</t>
  </si>
  <si>
    <t>818-03</t>
  </si>
  <si>
    <t>165-03</t>
  </si>
  <si>
    <t>160-03</t>
  </si>
  <si>
    <t>167-03</t>
  </si>
  <si>
    <t>819-03</t>
  </si>
  <si>
    <t>162-03</t>
  </si>
  <si>
    <t>169-03</t>
  </si>
  <si>
    <t>53-03</t>
  </si>
  <si>
    <t>164-03</t>
  </si>
  <si>
    <t>171-03</t>
  </si>
  <si>
    <t>166-03</t>
  </si>
  <si>
    <t>820-03</t>
  </si>
  <si>
    <t>173-03</t>
  </si>
  <si>
    <t>175-03</t>
  </si>
  <si>
    <t>168-03</t>
  </si>
  <si>
    <t>170-03</t>
  </si>
  <si>
    <t>821-03</t>
  </si>
  <si>
    <t>177-03</t>
  </si>
  <si>
    <t>172-03</t>
  </si>
  <si>
    <t>179-03</t>
  </si>
  <si>
    <t>822-03</t>
  </si>
  <si>
    <t>181-03</t>
  </si>
  <si>
    <t>183-03</t>
  </si>
  <si>
    <t>178-03</t>
  </si>
  <si>
    <t>185-03</t>
  </si>
  <si>
    <t>180-03</t>
  </si>
  <si>
    <t>187-03</t>
  </si>
  <si>
    <t>824-03</t>
  </si>
  <si>
    <t>189-03</t>
  </si>
  <si>
    <t>184-03</t>
  </si>
  <si>
    <t>186-03</t>
  </si>
  <si>
    <t>193-03</t>
  </si>
  <si>
    <t>188-03</t>
  </si>
  <si>
    <t>825-03</t>
  </si>
  <si>
    <t>195-03</t>
  </si>
  <si>
    <t>190-03</t>
  </si>
  <si>
    <t>DELGADO</t>
  </si>
  <si>
    <t>DIANAH</t>
  </si>
  <si>
    <t>904-03</t>
  </si>
  <si>
    <t>826-03</t>
  </si>
  <si>
    <t>197-03</t>
  </si>
  <si>
    <t>827-03</t>
  </si>
  <si>
    <t>192-03</t>
  </si>
  <si>
    <t>194-03</t>
  </si>
  <si>
    <t>829-03</t>
  </si>
  <si>
    <t>828-03</t>
  </si>
  <si>
    <t>196-03</t>
  </si>
  <si>
    <t>203-03</t>
  </si>
  <si>
    <t>198-03</t>
  </si>
  <si>
    <t>830-03</t>
  </si>
  <si>
    <t>205-03</t>
  </si>
  <si>
    <t>831-03</t>
  </si>
  <si>
    <t>200-03</t>
  </si>
  <si>
    <t>207-03</t>
  </si>
  <si>
    <t>202-03</t>
  </si>
  <si>
    <t>832-03</t>
  </si>
  <si>
    <t>209-03</t>
  </si>
  <si>
    <t>204-03</t>
  </si>
  <si>
    <t>833-03</t>
  </si>
  <si>
    <t>835-03</t>
  </si>
  <si>
    <t>206-03</t>
  </si>
  <si>
    <t>834-03</t>
  </si>
  <si>
    <t>50-03</t>
  </si>
  <si>
    <t>STAMBAUGH</t>
  </si>
  <si>
    <t>208-03</t>
  </si>
  <si>
    <t>215-03</t>
  </si>
  <si>
    <t>836-03</t>
  </si>
  <si>
    <t>210-03</t>
  </si>
  <si>
    <t>217-03</t>
  </si>
  <si>
    <t>837-03</t>
  </si>
  <si>
    <t>55-03</t>
  </si>
  <si>
    <t>212-03</t>
  </si>
  <si>
    <t>839-03</t>
  </si>
  <si>
    <t>219-03</t>
  </si>
  <si>
    <t>SAFIEF</t>
  </si>
  <si>
    <t>AEIMEN</t>
  </si>
  <si>
    <t>838-03</t>
  </si>
  <si>
    <t>303-03</t>
  </si>
  <si>
    <t>216-03</t>
  </si>
  <si>
    <t>218-03</t>
  </si>
  <si>
    <t>221-03</t>
  </si>
  <si>
    <t>906-03</t>
  </si>
  <si>
    <t>841-03</t>
  </si>
  <si>
    <t>DAVIDSON</t>
  </si>
  <si>
    <t>305-03</t>
  </si>
  <si>
    <t>MAGEE</t>
  </si>
  <si>
    <t>KENYA</t>
  </si>
  <si>
    <t>220-03</t>
  </si>
  <si>
    <t>223-03</t>
  </si>
  <si>
    <t>840-03</t>
  </si>
  <si>
    <t>307-03</t>
  </si>
  <si>
    <t>222-03</t>
  </si>
  <si>
    <t>225-03</t>
  </si>
  <si>
    <t>227-03</t>
  </si>
  <si>
    <t>224-03</t>
  </si>
  <si>
    <t>842-03</t>
  </si>
  <si>
    <t>226-03</t>
  </si>
  <si>
    <t>845-03</t>
  </si>
  <si>
    <t>228-03</t>
  </si>
  <si>
    <t>844-03</t>
  </si>
  <si>
    <t>233-03</t>
  </si>
  <si>
    <t>847-03</t>
  </si>
  <si>
    <t>235-03</t>
  </si>
  <si>
    <t>232-03</t>
  </si>
  <si>
    <t>908-03</t>
  </si>
  <si>
    <t>237-03</t>
  </si>
  <si>
    <t>236-03</t>
  </si>
  <si>
    <t>239-03</t>
  </si>
  <si>
    <t>241-03</t>
  </si>
  <si>
    <t>238-03</t>
  </si>
  <si>
    <t>243-03</t>
  </si>
  <si>
    <t>245-03</t>
  </si>
  <si>
    <t>309-03</t>
  </si>
  <si>
    <t>244-03</t>
  </si>
  <si>
    <t>311-03</t>
  </si>
  <si>
    <t>246-03</t>
  </si>
  <si>
    <t>313-03</t>
  </si>
  <si>
    <t>315-03</t>
  </si>
  <si>
    <t>partly-cloudy-night</t>
  </si>
  <si>
    <t>Partly Cloudy</t>
  </si>
  <si>
    <t>partly-cloudy-day</t>
  </si>
  <si>
    <t>Mostly Cloudy</t>
  </si>
  <si>
    <t>204:741</t>
  </si>
  <si>
    <t>204:232668</t>
  </si>
  <si>
    <t>204:132</t>
  </si>
  <si>
    <t>204:737</t>
  </si>
  <si>
    <t>204:233309</t>
  </si>
  <si>
    <t>204:232652</t>
  </si>
  <si>
    <t>204:739</t>
  </si>
  <si>
    <t>204:232642</t>
  </si>
  <si>
    <t>204:209</t>
  </si>
  <si>
    <t>204:232976</t>
  </si>
  <si>
    <t>204:163</t>
  </si>
  <si>
    <t>204:233300</t>
  </si>
  <si>
    <t>204:233209</t>
  </si>
  <si>
    <t>204:232905</t>
  </si>
  <si>
    <t>204:683</t>
  </si>
  <si>
    <t>204:233204</t>
  </si>
  <si>
    <t>204:232894</t>
  </si>
  <si>
    <t>204:233318</t>
  </si>
  <si>
    <t>204:892</t>
  </si>
  <si>
    <t>204:233344</t>
  </si>
  <si>
    <t>204:196045</t>
  </si>
  <si>
    <t>204:64139</t>
  </si>
  <si>
    <t>204:178</t>
  </si>
  <si>
    <t>204:233278</t>
  </si>
  <si>
    <t>204:232969</t>
  </si>
  <si>
    <t>204:232993</t>
  </si>
  <si>
    <t>204:233397</t>
  </si>
  <si>
    <t>204:233090</t>
  </si>
  <si>
    <t>204:233351</t>
  </si>
  <si>
    <t>204:233038</t>
  </si>
  <si>
    <t>204:233261</t>
  </si>
  <si>
    <t>204:127864</t>
  </si>
  <si>
    <t>204:160</t>
  </si>
  <si>
    <t>204:232989</t>
  </si>
  <si>
    <t>204:136</t>
  </si>
  <si>
    <t>204:475</t>
  </si>
  <si>
    <t>204:232980</t>
  </si>
  <si>
    <t>204:233283</t>
  </si>
  <si>
    <t>204:233001</t>
  </si>
  <si>
    <t>204:185</t>
  </si>
  <si>
    <t>204:471</t>
  </si>
  <si>
    <t>204:233017</t>
  </si>
  <si>
    <t>204:114</t>
  </si>
  <si>
    <t>204:233013</t>
  </si>
  <si>
    <t>204:191</t>
  </si>
  <si>
    <t>204:493</t>
  </si>
  <si>
    <t>204:189</t>
  </si>
  <si>
    <t>204:427</t>
  </si>
  <si>
    <t>204:233353</t>
  </si>
  <si>
    <t>204:233036</t>
  </si>
  <si>
    <t>204:103</t>
  </si>
  <si>
    <t>204:1471</t>
  </si>
  <si>
    <t>204:233414</t>
  </si>
  <si>
    <t>204:233082</t>
  </si>
  <si>
    <t>204:491</t>
  </si>
  <si>
    <t>204:183</t>
  </si>
  <si>
    <t>204:420</t>
  </si>
  <si>
    <t>204:233368</t>
  </si>
  <si>
    <t>204:233057</t>
  </si>
  <si>
    <t>204:233021</t>
  </si>
  <si>
    <t>204:489</t>
  </si>
  <si>
    <t>204:233274</t>
  </si>
  <si>
    <t>204:232952</t>
  </si>
  <si>
    <t>204:429</t>
  </si>
  <si>
    <t>204:233316</t>
  </si>
  <si>
    <t>204:233007</t>
  </si>
  <si>
    <t>204:172</t>
  </si>
  <si>
    <t>204:122</t>
  </si>
  <si>
    <t>204:233040</t>
  </si>
  <si>
    <t>204:125</t>
  </si>
  <si>
    <t>204:233285</t>
  </si>
  <si>
    <t>204:232964</t>
  </si>
  <si>
    <t>204:233326</t>
  </si>
  <si>
    <t>204:437</t>
  </si>
  <si>
    <t>204:418</t>
  </si>
  <si>
    <t>204:233349</t>
  </si>
  <si>
    <t>204:233042</t>
  </si>
  <si>
    <t>204:233019</t>
  </si>
  <si>
    <t>204:378</t>
  </si>
  <si>
    <t>204:233281</t>
  </si>
  <si>
    <t>204:232972</t>
  </si>
  <si>
    <t>300:23474</t>
  </si>
  <si>
    <t>300:23512</t>
  </si>
  <si>
    <t>300:23637</t>
  </si>
  <si>
    <t>204:430</t>
  </si>
  <si>
    <t>300:25760</t>
  </si>
  <si>
    <t>300:23312</t>
  </si>
  <si>
    <t>300:23391</t>
  </si>
  <si>
    <t>300:23323</t>
  </si>
  <si>
    <t>300:23310</t>
  </si>
  <si>
    <t>300:23669</t>
  </si>
  <si>
    <t>204:1481</t>
  </si>
  <si>
    <t>300:23304</t>
  </si>
  <si>
    <t>300:23050</t>
  </si>
  <si>
    <t>204:426</t>
  </si>
  <si>
    <t>300:24231</t>
  </si>
  <si>
    <t>300:58670</t>
  </si>
  <si>
    <t>204:117</t>
  </si>
  <si>
    <t>204:406</t>
  </si>
  <si>
    <t>300:58982</t>
  </si>
  <si>
    <t>300:58660</t>
  </si>
  <si>
    <t>204:128</t>
  </si>
  <si>
    <t>204:729</t>
  </si>
  <si>
    <t>204:417</t>
  </si>
  <si>
    <t>300:59014</t>
  </si>
  <si>
    <t>300:58688</t>
  </si>
  <si>
    <t>204:1016</t>
  </si>
  <si>
    <t>300:58993</t>
  </si>
  <si>
    <t>204:757</t>
  </si>
  <si>
    <t>204:10428</t>
  </si>
  <si>
    <t>204:128279</t>
  </si>
  <si>
    <t>204:556</t>
  </si>
  <si>
    <t>300:23302</t>
  </si>
  <si>
    <t>204:1023</t>
  </si>
  <si>
    <t>300:58677</t>
  </si>
  <si>
    <t>300:58995</t>
  </si>
  <si>
    <t>300:58683</t>
  </si>
  <si>
    <t>204:740</t>
  </si>
  <si>
    <t>204:1027</t>
  </si>
  <si>
    <t>204:747</t>
  </si>
  <si>
    <t>300:58685</t>
  </si>
  <si>
    <t>204:748</t>
  </si>
  <si>
    <t>300:58668</t>
  </si>
  <si>
    <t>204:722</t>
  </si>
  <si>
    <t>204:1018</t>
  </si>
  <si>
    <t>300:58967</t>
  </si>
  <si>
    <t>300:58662</t>
  </si>
  <si>
    <t>204:680</t>
  </si>
  <si>
    <t>300:58963</t>
  </si>
  <si>
    <t>204:706</t>
  </si>
  <si>
    <t>300:58643</t>
  </si>
  <si>
    <t>204:976</t>
  </si>
  <si>
    <t>300:58641</t>
  </si>
  <si>
    <t>204:689</t>
  </si>
  <si>
    <t>204:962</t>
  </si>
  <si>
    <t>300:58975</t>
  </si>
  <si>
    <t>204:668</t>
  </si>
  <si>
    <t>204:990</t>
  </si>
  <si>
    <t>204:698</t>
  </si>
  <si>
    <t>204:965</t>
  </si>
  <si>
    <t>300:58946</t>
  </si>
  <si>
    <t>300:58613</t>
  </si>
  <si>
    <t>300:58935</t>
  </si>
  <si>
    <t>300:58656</t>
  </si>
  <si>
    <t>204:957</t>
  </si>
  <si>
    <t>204:664</t>
  </si>
  <si>
    <t>300:58954</t>
  </si>
  <si>
    <t>204:127714</t>
  </si>
  <si>
    <t>204:10193</t>
  </si>
  <si>
    <t>204:128015</t>
  </si>
  <si>
    <t>204:260</t>
  </si>
  <si>
    <t>204:1201</t>
  </si>
  <si>
    <t>204:1190</t>
  </si>
  <si>
    <t>300:23695</t>
  </si>
  <si>
    <t>204:872</t>
  </si>
  <si>
    <t>300:24184</t>
  </si>
  <si>
    <t>204:1181</t>
  </si>
  <si>
    <t>204:233330</t>
  </si>
  <si>
    <t>204:1511</t>
  </si>
  <si>
    <t>204:1913</t>
  </si>
  <si>
    <t>204:1522</t>
  </si>
  <si>
    <t>204:64696</t>
  </si>
  <si>
    <t>300:30135</t>
  </si>
  <si>
    <t>300:22781</t>
  </si>
  <si>
    <t>204:750</t>
  </si>
  <si>
    <t>204:433</t>
  </si>
  <si>
    <t>300:24260</t>
  </si>
  <si>
    <t>300:23557</t>
  </si>
  <si>
    <t>300:28850</t>
  </si>
  <si>
    <t>300:21540</t>
  </si>
  <si>
    <t>start /low /b %USERPROFILE%\Documents\GitHub\eaglep3\Utilities\DownloadLogsFromS3.py --loco 4023 --day 2017-03-03</t>
  </si>
  <si>
    <t>start /low /b %USERPROFILE%\Documents\GitHub\eaglep3\Utilities\DownloadLogsFromS3.py --loco 4054 --day 2017-03-03</t>
  </si>
  <si>
    <t>start /low /b %USERPROFILE%\Documents\GitHub\eaglep3\Utilities\DownloadLogsFromS3.py --loco 4024 --day 2017-03-03</t>
  </si>
  <si>
    <t>start /low /b %USERPROFILE%\Documents\GitHub\eaglep3\Utilities\DownloadLogsFromS3.py --loco 4029 --day 2017-03-03</t>
  </si>
  <si>
    <t>start /low /b %USERPROFILE%\Documents\GitHub\eaglep3\Utilities\DownloadLogsFromS3.py --loco 4031 --day 2017-03-03</t>
  </si>
  <si>
    <t>start /low /b %USERPROFILE%\Documents\GitHub\eaglep3\Utilities\DownloadLogsFromS3.py --loco 4030 --day 2017-03-03</t>
  </si>
  <si>
    <t>start /low /b %USERPROFILE%\Documents\GitHub\eaglep3\Utilities\DownloadLogsFromS3.py --loco 4012 --day 2017-03-04</t>
  </si>
  <si>
    <t>start /low /b %USERPROFILE%\Documents\GitHub\eaglep3\Utilities\DownloadLogsFromS3.py --loco 4030 --day 2017-03-04</t>
  </si>
  <si>
    <t>start /low /b %USERPROFILE%\Documents\GitHub\eaglep3\Utilities\DownloadLogsFromS3.py --loco 4027 --day 2017-03-04</t>
  </si>
  <si>
    <t>start /low /b %USERPROFILE%\Documents\GitHub\eaglep3\Utilities\DownloadLogsFromS3.py --loco 4051 --day 2017-03-03</t>
  </si>
  <si>
    <t>start /low /b %USERPROFILE%\Documents\GitHub\eaglep3\Utilities\DownloadLogsFromS3.py --loco 4032 --day 2017-03-03</t>
  </si>
  <si>
    <t>start /low /b %USERPROFILE%\Documents\GitHub\eaglep3\Utilities\DownloadLogsFromS3.py --loco 4053 --day 2017-03-04</t>
  </si>
  <si>
    <t>start /low /b %USERPROFILE%\Documents\GitHub\eaglep3\Utilities\DownloadLogsFromS3.py --loco 4028 --day 2017-03-03</t>
  </si>
  <si>
    <t>start /low /b %USERPROFILE%\Documents\GitHub\eaglep3\Utilities\DownloadLogsFromS3.py --loco 4052 --day 2017-03-03</t>
  </si>
  <si>
    <t>start /low /b %USERPROFILE%\Documents\GitHub\eaglep3\Utilities\DownloadLogsFromS3.py --loco 4028 --day 2017-03-04</t>
  </si>
  <si>
    <t>start /low /b %USERPROFILE%\Documents\GitHub\eaglep3\Utilities\DownloadLogsFromS3.py --loco 4008 --day 2017-03-03</t>
  </si>
  <si>
    <t>start /low /b %USERPROFILE%\Documents\GitHub\eaglep3\Utilities\DownloadLogsFromS3.py --loco 4053 --day 2017-03-03</t>
  </si>
  <si>
    <t>start /low /b %USERPROFILE%\Documents\GitHub\eaglep3\Utilities\DownloadLogsFromS3.py --loco 4029 --day 2017-03-04</t>
  </si>
  <si>
    <t>start /low /b %USERPROFILE%\Documents\GitHub\eaglep3\Utilities\DownloadLogsFromS3.py --loco 4044 --day 2017-03-03</t>
  </si>
  <si>
    <t>start /low /b %USERPROFILE%\Documents\GitHub\eaglep3\Utilities\DownloadLogsFromS3.py --loco 4002 --day 2017-03-03</t>
  </si>
  <si>
    <t>start /low /b %USERPROFILE%\Documents\GitHub\eaglep3\Utilities\DownloadLogsFromS3.py --loco 4044 --day 2017-03-04</t>
  </si>
  <si>
    <t>Onboard in-route failure</t>
  </si>
  <si>
    <t>Selected wrong track</t>
  </si>
  <si>
    <t>Form C</t>
  </si>
  <si>
    <t>http://stevetu21.github.io/eaglep3/load_kml.html?kml=http://rtdc.gmaps-snips.s3.amazonaws.com/7de263de-08b2-4478-b544-ce1234415549.kml</t>
  </si>
  <si>
    <t>201-03</t>
  </si>
  <si>
    <t>Unhealthy @ Chambers due to train stop</t>
  </si>
  <si>
    <t>No evidence of penalty brake found in reported timeframe (39505)</t>
  </si>
  <si>
    <t>BPP dropped to 0 at 00:34. No evidence of PTC penalties found.</t>
  </si>
  <si>
    <t>STEWART MICHAEL</t>
  </si>
  <si>
    <t>Run as second instance of trip 187-03</t>
  </si>
  <si>
    <t>hsc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</si>
</sst>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Fill="1" applyBorder="1"/>
    <xf numFmtId="169" fontId="0" fillId="0" borderId="0" xfId="0" applyNumberFormat="1" applyBorder="1"/>
    <xf numFmtId="169" fontId="1" fillId="0" borderId="0" xfId="0" applyNumberFormat="1" applyFo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zoomScaleNormal="100" workbookViewId="0">
      <selection activeCell="U1" sqref="U1:X1048576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78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6"/>
      <c r="V1" s="177"/>
      <c r="W1" s="176"/>
      <c r="X1" s="17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42797</v>
      </c>
      <c r="S2" s="66"/>
      <c r="T2" s="67"/>
      <c r="U2" s="179"/>
      <c r="V2" s="180" t="s">
        <v>8</v>
      </c>
      <c r="W2" s="181"/>
      <c r="X2" s="18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83"/>
      <c r="V3" s="184" t="s">
        <v>11</v>
      </c>
      <c r="W3" s="185" t="s">
        <v>12</v>
      </c>
      <c r="X3" s="18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145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87"/>
      <c r="V4" s="184" t="s">
        <v>15</v>
      </c>
      <c r="W4" s="185" t="s">
        <v>15</v>
      </c>
      <c r="X4" s="18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COUNTIFS($N$13:$N$9326,"&gt;0",$AG$13:$AG$9326,I1)</f>
        <v>143</v>
      </c>
      <c r="K5" s="40"/>
      <c r="L5" s="40"/>
      <c r="M5" s="41">
        <f>AVERAGEIFS($N$13:$N$9326,$AG$13:$AG$9326,I1)</f>
        <v>40.187062937456957</v>
      </c>
      <c r="N5" s="39">
        <f t="array" ref="N5">MIN(IF($AG$13:$AG$9326=I1,IF(ISNUMBER($N$13:$N$9326),IF($N$13:$N$9326&gt;0,$N$13:$N$9326))))</f>
        <v>34.883333336329088</v>
      </c>
      <c r="O5" s="3">
        <f t="array" ref="O5">MAX(IF($AG$13:$AG$9326=I1,IF(ISNUMBER($N$13:$N$9326),IF($N$13:$N$9326&gt;0,$N$13:$N$9326))))</f>
        <v>52.966666663996875</v>
      </c>
      <c r="P5" s="2"/>
      <c r="R5" s="74" t="s">
        <v>17</v>
      </c>
      <c r="S5" s="50">
        <f>COUNTIFS($N$13:$N$9326,"&gt;0",$AG$13:$AG$9326,R1)</f>
        <v>47</v>
      </c>
      <c r="T5" s="40"/>
      <c r="U5" s="187"/>
      <c r="V5" s="184">
        <f>AVERAGEIFS($N$13:$N$9326,$AG$13:$AG$9326,R1)</f>
        <v>15.091134752419361</v>
      </c>
      <c r="W5" s="185">
        <f t="array" ref="W5">MIN(IF($AG$13:$AG$9326=R1,IF(ISNUMBER($N$13:$N$9326),IF($N$13:$N$9326&gt;0,$N$13:$N$9326))))</f>
        <v>12.933333339169621</v>
      </c>
      <c r="X5" s="186">
        <f t="array" ref="X5">MAX(IF($AG$13:$AG$9326=R1,IF(ISNUMBER($N$13:$N$9326),IF($N$13:$N$9326&gt;0,$N$13:$N$9326))))</f>
        <v>20.233333337819204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COUNT($O$13:$O$102)</f>
        <v>0</v>
      </c>
      <c r="K6" s="40"/>
      <c r="L6" s="40"/>
      <c r="M6" s="41">
        <f>IFERROR(AVERAGE($O$13:$O$102),0)</f>
        <v>0</v>
      </c>
      <c r="N6" s="39">
        <f>MIN($O$13:$O$102)</f>
        <v>0</v>
      </c>
      <c r="O6" s="3">
        <f>MAX($O$13:$O$102)</f>
        <v>0</v>
      </c>
      <c r="P6" s="2"/>
      <c r="R6" s="75" t="s">
        <v>43</v>
      </c>
      <c r="S6" s="50">
        <f>COUNT($O$13:$O$102)</f>
        <v>0</v>
      </c>
      <c r="T6" s="40"/>
      <c r="U6" s="187"/>
      <c r="V6" s="184">
        <f>IFERROR(AVERAGE($O$13:$O$102),0)</f>
        <v>0</v>
      </c>
      <c r="W6" s="185">
        <f>MIN($O$13:$O$102)</f>
        <v>0</v>
      </c>
      <c r="X6" s="186">
        <f>MAX($O$13:$O$102)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COUNTIFS($P$13:$P$9326,"&gt;0",$AG$13:$AG$9326,I1)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COUNTIFS($P$13:$P$9326,"&gt;0",$AG$13:$AG$9326,R1)</f>
        <v>0</v>
      </c>
      <c r="T7" s="40"/>
      <c r="U7" s="187"/>
      <c r="V7" s="184" t="s">
        <v>15</v>
      </c>
      <c r="W7" s="185" t="s">
        <v>15</v>
      </c>
      <c r="X7" s="18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40.187062937456957</v>
      </c>
      <c r="N8" s="39">
        <f>N5</f>
        <v>34.883333336329088</v>
      </c>
      <c r="O8" s="3">
        <f>O5</f>
        <v>52.966666663996875</v>
      </c>
      <c r="P8" s="2"/>
      <c r="R8" s="74" t="s">
        <v>16</v>
      </c>
      <c r="S8" s="50">
        <f>S5</f>
        <v>47</v>
      </c>
      <c r="T8" s="40"/>
      <c r="U8" s="187"/>
      <c r="V8" s="184">
        <f>V5</f>
        <v>15.091134752419361</v>
      </c>
      <c r="W8" s="185">
        <f>W5</f>
        <v>12.933333339169621</v>
      </c>
      <c r="X8" s="186">
        <f>X5</f>
        <v>20.233333337819204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0.98620689655172411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6"/>
      <c r="V9" s="188"/>
      <c r="W9" s="176"/>
      <c r="X9" s="18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8"/>
      <c r="V10" s="190"/>
      <c r="W10" s="191"/>
      <c r="X10" s="19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74" t="str">
        <f>"Eagle P3 System Performance - "&amp;TEXT(Variables!A2,"yyyy-mm-dd")</f>
        <v>Eagle P3 System Performance - 2017-03-03</v>
      </c>
      <c r="B11" s="174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S11" s="64">
        <f>AVERAGE(S13:S73)</f>
        <v>0.99583333333333335</v>
      </c>
      <c r="V11" s="19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207</v>
      </c>
      <c r="AN12" s="47" t="s">
        <v>215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610</v>
      </c>
      <c r="B13" s="7">
        <v>4027</v>
      </c>
      <c r="C13" s="21" t="s">
        <v>251</v>
      </c>
      <c r="D13" s="21" t="s">
        <v>814</v>
      </c>
      <c r="E13" s="13">
        <v>42797.128622685188</v>
      </c>
      <c r="F13" s="13">
        <v>42797.135613425926</v>
      </c>
      <c r="G13" s="7">
        <v>2</v>
      </c>
      <c r="H13" s="21" t="s">
        <v>345</v>
      </c>
      <c r="I13" s="13">
        <v>42797.162442129629</v>
      </c>
      <c r="J13" s="7">
        <v>0</v>
      </c>
      <c r="K13" s="98" t="str">
        <f t="shared" ref="K13:K76" si="0">IF(ISEVEN(B13),(B13-1)&amp;"/"&amp;B13,B13&amp;"/"&amp;(B13+1))</f>
        <v>4027/4028</v>
      </c>
      <c r="L13" s="21" t="str">
        <f>VLOOKUP(A13,'Trips&amp;Operators'!$C$1:$G$99999,5,FALSE)</f>
        <v>BADERTSCHER DIANE</v>
      </c>
      <c r="M13" s="6">
        <f t="shared" ref="M13:M76" si="1">I13-F13</f>
        <v>2.6828703703358769E-2</v>
      </c>
      <c r="N13" s="7">
        <f t="shared" ref="N13:N31" si="2">24*60*SUM($M13:$M13)</f>
        <v>38.633333332836628</v>
      </c>
      <c r="O13" s="7"/>
      <c r="P13" s="7"/>
      <c r="Q13" s="22"/>
      <c r="R13" s="22"/>
      <c r="S13" s="31">
        <f>SUM(U13:U13)/IF(AG13="EC",12,1)</f>
        <v>1</v>
      </c>
      <c r="T13" s="46" t="str">
        <f t="shared" ref="T13:T76" si="3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-03T02:05:13-0700',mode:absolute,to:'2017-03-03T04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" s="197" t="str">
        <f t="shared" ref="W13:W76" si="5">IF(AA13&lt;IF(AG13="EC",23,5.65),"Y","N")</f>
        <v>N</v>
      </c>
      <c r="X13" s="197" t="e">
        <f t="shared" ref="X13:X44" si="6">VALUE(LEFT(AD13,4))-VALUE(LEFT(AD12,4))</f>
        <v>#VALUE!</v>
      </c>
      <c r="Y13" s="62">
        <f t="shared" ref="Y13:Y31" si="7">RIGHT(D13,LEN(D13)-4)/10000</f>
        <v>7.4099999999999999E-2</v>
      </c>
      <c r="Z13" s="62">
        <f t="shared" ref="Z13:Z76" si="8">RIGHT(H13,LEN(H13)-4)/10000</f>
        <v>23.3338</v>
      </c>
      <c r="AA13" s="62">
        <f t="shared" ref="AA13:AA76" si="9">ABS(Z13-Y13)</f>
        <v>23.259699999999999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0101-03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13" s="82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/stypes="app*4027*20170303*" /stext=" 10:.+((SYSTEM_STATE.+slice.+state.+changed )|(ment ac)|(multiple cpu faults)|(system.+state.+changed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4027 --swversion DE.1.0.9.0 --startMP 204:741 --initTime 2017-03-03T03:05:13 --startdatetime 2017-03-03T03:15:17 --delay 2 --endMP 204:233338 --enddatetime 2017-03-03T03:53:55 --enforcementcount 0 &gt;&gt;C:\Users\stu\Documents\GitHub\eaglep3-reporting\EC\2017-03-03-refined-times.txt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{"issue":{"subject":"","project_id":79,"tracker_id":40,"status_id":1,"priority_id":2,"assigned_to_id":23,"start_date":"2017-03-03","description":"","custom_fields":[{"id":1,"name":"Subdivision","value":"EC"},{"id":4,"name":"Milepost","value":"23.3338"},{"id":17,"name":"Train ID","value":"101-03"},{"id":16,"name":"Locomotive ID","value":"4027"},{"id":130,"name":"Impact","value":""},{"id":150,"name":"Time of Event (Mountain Time)","value":"03:53:55"},{"id":151,"name":"Denver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6">"start /low /b "&amp;dls3logs&amp;" --loco "&amp;B13&amp;" --day "&amp;TEXT(F13,"YYYY-MM-DD")</f>
        <v>start /low /b %USERPROFILE%\Documents\GitHub\eaglep3\Utilities\DownloadLogsFromS3.py --loco 4027 --day 2017-03-03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"%USERPROFILE%\AppData\Local\Temp\OnboardLogs"\RTDC4027\*4027*20170303* | grep -SE "(Enforcement Action)|(\[TIMEOUT)|(CHR.+\|PRM\|1\|D.+(SWITCH|SIGNAL).+UNKNOWN)" - &gt;&gt; 2017-03-03-UncaughtWiMAX.txt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619</v>
      </c>
      <c r="B14" s="7">
        <v>4054</v>
      </c>
      <c r="C14" s="21" t="s">
        <v>251</v>
      </c>
      <c r="D14" s="21" t="s">
        <v>815</v>
      </c>
      <c r="E14" s="13">
        <v>42797.170451388891</v>
      </c>
      <c r="F14" s="13">
        <v>42797.174502314818</v>
      </c>
      <c r="G14" s="7">
        <v>1</v>
      </c>
      <c r="H14" s="21" t="s">
        <v>816</v>
      </c>
      <c r="I14" s="13">
        <v>42797.203715277778</v>
      </c>
      <c r="J14" s="7">
        <v>0</v>
      </c>
      <c r="K14" s="98" t="str">
        <f t="shared" si="0"/>
        <v>4053/4054</v>
      </c>
      <c r="L14" s="21" t="str">
        <f>VLOOKUP(A14,'Trips&amp;Operators'!$C$1:$G$99999,5,FALSE)</f>
        <v>BADERTSCHER DIANE</v>
      </c>
      <c r="M14" s="6">
        <f t="shared" si="1"/>
        <v>2.9212962959718425E-2</v>
      </c>
      <c r="N14" s="7">
        <f t="shared" si="2"/>
        <v>42.066666661994532</v>
      </c>
      <c r="O14" s="7"/>
      <c r="P14" s="7"/>
      <c r="Q14" s="22"/>
      <c r="R14" s="22"/>
      <c r="S14" s="31">
        <f t="shared" ref="S14:S77" si="17">SUM(U14:U14)/IF(AG14="EC",12,1)</f>
        <v>1</v>
      </c>
      <c r="T14" s="46" t="str">
        <f t="shared" si="3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4"/>
        <v>https://d0f6bd738d7f1b3e5a7ca70fe4ff75f0.us-east-1.aws.found.io/app/kibana#/discover/Steve-Slow-Train-Analysis-(2080s-and-2083s)?_g=(refreshInterval:(display:Off,pause:!f,section:0,value:0),time:(from:'2017-03-03T03:05:27-0700',mode:absolute,to:'2017-03-03T05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" s="197" t="str">
        <f t="shared" si="5"/>
        <v>N</v>
      </c>
      <c r="X14" s="197">
        <f t="shared" si="6"/>
        <v>1</v>
      </c>
      <c r="Y14" s="62">
        <f t="shared" si="7"/>
        <v>23.2668</v>
      </c>
      <c r="Z14" s="62">
        <f t="shared" si="8"/>
        <v>1.32E-2</v>
      </c>
      <c r="AA14" s="62">
        <f t="shared" si="9"/>
        <v>23.253599999999999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0102-03</v>
      </c>
      <c r="AE14" s="85" t="str">
        <f t="shared" si="11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14" s="82" t="str">
        <f t="shared" si="12"/>
        <v>"C:\Program Files (x86)\AstroGrep\AstroGrep.exe" /spath="%USERPROFILE%\AppData\Local\Temp\OnboardLogs" /stypes="app*4054*20170303*"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4054 --swversion DE.1.0.9.0 --startMP 204:232668 --initTime 2017-03-03T04:05:27 --startdatetime 2017-03-03T04:11:17 --delay 1 --endMP 204:132 --enddatetime 2017-03-03T04:53:21 --enforcementcount 0 &gt;&gt;C:\Users\stu\Documents\GitHub\eaglep3-reporting\EC\2017-03-03-refined-times.txt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{"issue":{"subject":"","project_id":79,"tracker_id":40,"status_id":1,"priority_id":2,"assigned_to_id":23,"start_date":"2017-03-03","description":"","custom_fields":[{"id":1,"name":"Subdivision","value":"EC"},{"id":4,"name":"Milepost","value":"0.0132"},{"id":17,"name":"Train ID","value":"102-03"},{"id":16,"name":"Locomotive ID","value":"4054"},{"id":130,"name":"Impact","value":""},{"id":150,"name":"Time of Event (Mountain Time)","value":"04:53:21"},{"id":151,"name":"Denver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4054 --day 2017-03-03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"%USERPROFILE%\AppData\Local\Temp\OnboardLogs"\RTDC4054\*4054*20170303* | grep -SE "(Enforcement Action)|(\[TIMEOUT)|(CHR.+\|PRM\|1\|D.+(SWITCH|SIGNAL).+UNKNOWN)" - &gt;&gt; 2017-03-03-UncaughtWiMAX.txt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612</v>
      </c>
      <c r="B15" s="7">
        <v>4029</v>
      </c>
      <c r="C15" s="21" t="s">
        <v>251</v>
      </c>
      <c r="D15" s="21" t="s">
        <v>817</v>
      </c>
      <c r="E15" s="13">
        <v>42797.14565972222</v>
      </c>
      <c r="F15" s="13">
        <v>42797.156458333331</v>
      </c>
      <c r="G15" s="7">
        <v>1</v>
      </c>
      <c r="H15" s="21" t="s">
        <v>818</v>
      </c>
      <c r="I15" s="13">
        <v>42797.182754629626</v>
      </c>
      <c r="J15" s="7">
        <v>0</v>
      </c>
      <c r="K15" s="98" t="str">
        <f t="shared" si="0"/>
        <v>4029/4030</v>
      </c>
      <c r="L15" s="21" t="str">
        <f>VLOOKUP(A15,'Trips&amp;Operators'!$C$1:$G$99999,5,FALSE)</f>
        <v>DAVIS WENDY</v>
      </c>
      <c r="M15" s="6">
        <f t="shared" si="1"/>
        <v>2.6296296295186039E-2</v>
      </c>
      <c r="N15" s="7">
        <f t="shared" si="2"/>
        <v>37.866666665067896</v>
      </c>
      <c r="O15" s="7"/>
      <c r="P15" s="7"/>
      <c r="Q15" s="22"/>
      <c r="R15" s="22"/>
      <c r="S15" s="31">
        <f t="shared" si="17"/>
        <v>1</v>
      </c>
      <c r="T15" s="46" t="str">
        <f t="shared" si="3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4"/>
        <v>https://d0f6bd738d7f1b3e5a7ca70fe4ff75f0.us-east-1.aws.found.io/app/kibana#/discover/Steve-Slow-Train-Analysis-(2080s-and-2083s)?_g=(refreshInterval:(display:Off,pause:!f,section:0,value:0),time:(from:'2017-03-03T02:29:45-0700',mode:absolute,to:'2017-03-03T05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" s="197" t="str">
        <f t="shared" si="5"/>
        <v>N</v>
      </c>
      <c r="X15" s="197">
        <f t="shared" si="6"/>
        <v>1</v>
      </c>
      <c r="Y15" s="62">
        <f t="shared" si="7"/>
        <v>7.3700000000000002E-2</v>
      </c>
      <c r="Z15" s="62">
        <f t="shared" si="8"/>
        <v>23.3309</v>
      </c>
      <c r="AA15" s="62">
        <f t="shared" si="9"/>
        <v>23.257200000000001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0103-03</v>
      </c>
      <c r="AE15" s="85" t="str">
        <f t="shared" si="11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15" s="82" t="str">
        <f t="shared" si="12"/>
        <v>"C:\Program Files (x86)\AstroGrep\AstroGrep.exe" /spath="%USERPROFILE%\AppData\Local\Temp\OnboardLogs" /stypes="app*4029*20170303*"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6" t="str">
        <f t="shared" si="18"/>
        <v>"%USERPROFILE%\Documents\GitHub\eaglep3\Utilities\RefineRTDCRunTimes.py" --tripid 103-03 --locoid 4029 --swversion DE.1.0.9.0 --startMP 204:737 --initTime 2017-03-03T03:29:45 --startdatetime 2017-03-03T03:45:18 --delay 1 --endMP 204:233309 --enddatetime 2017-03-03T04:23:10 --enforcementcount 0 &gt;&gt;C:\Users\stu\Documents\GitHub\eaglep3-reporting\EC\2017-03-03-refined-times.txt</v>
      </c>
      <c r="AI15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{"issue":{"subject":"","project_id":79,"tracker_id":40,"status_id":1,"priority_id":2,"assigned_to_id":23,"start_date":"2017-03-03","description":"","custom_fields":[{"id":1,"name":"Subdivision","value":"EC"},{"id":4,"name":"Milepost","value":"23.3309"},{"id":17,"name":"Train ID","value":"103-03"},{"id":16,"name":"Locomotive ID","value":"4029"},{"id":130,"name":"Impact","value":""},{"id":150,"name":"Time of Event (Mountain Time)","value":"04:23:10"},{"id":151,"name":"Denver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4029 --day 2017-03-03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"%USERPROFILE%\AppData\Local\Temp\OnboardLogs"\RTDC4029\*4029*20170303* | grep -SE "(Enforcement Action)|(\[TIMEOUT)|(CHR.+\|PRM\|1\|D.+(SWITCH|SIGNAL).+UNKNOWN)" - &gt;&gt; 2017-03-03-UncaughtWiMAX.txt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621</v>
      </c>
      <c r="B16" s="7">
        <v>4032</v>
      </c>
      <c r="C16" s="21" t="s">
        <v>251</v>
      </c>
      <c r="D16" s="21" t="s">
        <v>819</v>
      </c>
      <c r="E16" s="13">
        <v>42797.191874999997</v>
      </c>
      <c r="F16" s="13">
        <v>42797.195324074077</v>
      </c>
      <c r="G16" s="7">
        <v>1</v>
      </c>
      <c r="H16" s="21" t="s">
        <v>237</v>
      </c>
      <c r="I16" s="13">
        <v>42797.232106481482</v>
      </c>
      <c r="J16" s="7">
        <v>0</v>
      </c>
      <c r="K16" s="98" t="str">
        <f t="shared" si="0"/>
        <v>4031/4032</v>
      </c>
      <c r="L16" s="21" t="str">
        <f>VLOOKUP(A16,'Trips&amp;Operators'!$C$1:$G$99999,5,FALSE)</f>
        <v>DAVIS WENDY</v>
      </c>
      <c r="M16" s="6">
        <f t="shared" si="1"/>
        <v>3.6782407405553386E-2</v>
      </c>
      <c r="N16" s="7">
        <f t="shared" si="2"/>
        <v>52.966666663996875</v>
      </c>
      <c r="O16" s="7"/>
      <c r="P16" s="7"/>
      <c r="Q16" s="22"/>
      <c r="R16" s="22"/>
      <c r="S16" s="31">
        <f t="shared" si="17"/>
        <v>1</v>
      </c>
      <c r="T16" s="46" t="str">
        <f t="shared" si="3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4"/>
        <v>https://d0f6bd738d7f1b3e5a7ca70fe4ff75f0.us-east-1.aws.found.io/app/kibana#/discover/Steve-Slow-Train-Analysis-(2080s-and-2083s)?_g=(refreshInterval:(display:Off,pause:!f,section:0,value:0),time:(from:'2017-03-03T03:36:18-0700',mode:absolute,to:'2017-03-03T06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" s="197" t="str">
        <f t="shared" si="5"/>
        <v>N</v>
      </c>
      <c r="X16" s="197">
        <f t="shared" si="6"/>
        <v>1</v>
      </c>
      <c r="Y16" s="62">
        <f t="shared" si="7"/>
        <v>23.2652</v>
      </c>
      <c r="Z16" s="62">
        <f t="shared" si="8"/>
        <v>1.41E-2</v>
      </c>
      <c r="AA16" s="62">
        <f t="shared" si="9"/>
        <v>23.251100000000001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0104-03</v>
      </c>
      <c r="AE16" s="85" t="str">
        <f t="shared" si="11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16" s="82" t="str">
        <f t="shared" si="12"/>
        <v>"C:\Program Files (x86)\AstroGrep\AstroGrep.exe" /spath="%USERPROFILE%\AppData\Local\Temp\OnboardLogs" /stypes="app*4032*20170303*"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6" t="str">
        <f t="shared" si="18"/>
        <v>"%USERPROFILE%\Documents\GitHub\eaglep3\Utilities\RefineRTDCRunTimes.py" --tripid 104-03 --locoid 4032 --swversion DE.1.0.9.0 --startMP 204:232652 --initTime 2017-03-03T04:36:18 --startdatetime 2017-03-03T04:41:16 --delay 1 --endMP 204:141 --enddatetime 2017-03-03T05:34:14 --enforcementcount 0 &gt;&gt;C:\Users\stu\Documents\GitHub\eaglep3-reporting\EC\2017-03-03-refined-times.txt</v>
      </c>
      <c r="AI16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{"issue":{"subject":"","project_id":79,"tracker_id":40,"status_id":1,"priority_id":2,"assigned_to_id":23,"start_date":"2017-03-03","description":"","custom_fields":[{"id":1,"name":"Subdivision","value":"EC"},{"id":4,"name":"Milepost","value":"0.0141"},{"id":17,"name":"Train ID","value":"104-03"},{"id":16,"name":"Locomotive ID","value":"4032"},{"id":130,"name":"Impact","value":""},{"id":150,"name":"Time of Event (Mountain Time)","value":"05:34:14"},{"id":151,"name":"Denver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4032 --day 2017-03-03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"%USERPROFILE%\AppData\Local\Temp\OnboardLogs"\RTDC4032\*4032*20170303* | grep -SE "(Enforcement Action)|(\[TIMEOUT)|(CHR.+\|PRM\|1\|D.+(SWITCH|SIGNAL).+UNKNOWN)" - &gt;&gt; 2017-03-03-UncaughtWiMAX.txt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565</v>
      </c>
      <c r="B17" s="7">
        <v>4024</v>
      </c>
      <c r="C17" s="21" t="s">
        <v>251</v>
      </c>
      <c r="D17" s="21" t="s">
        <v>820</v>
      </c>
      <c r="E17" s="13">
        <v>42797.172847222224</v>
      </c>
      <c r="F17" s="13">
        <v>42797.177361111113</v>
      </c>
      <c r="G17" s="7">
        <v>1</v>
      </c>
      <c r="H17" s="21" t="s">
        <v>234</v>
      </c>
      <c r="I17" s="13">
        <v>42797.204479166663</v>
      </c>
      <c r="J17" s="7">
        <v>0</v>
      </c>
      <c r="K17" s="98" t="str">
        <f t="shared" si="0"/>
        <v>4023/4024</v>
      </c>
      <c r="L17" s="21" t="str">
        <f>VLOOKUP(A17,'Trips&amp;Operators'!$C$1:$G$99999,5,FALSE)</f>
        <v>CUSHING HARRY</v>
      </c>
      <c r="M17" s="6">
        <f t="shared" si="1"/>
        <v>2.7118055550090503E-2</v>
      </c>
      <c r="N17" s="7">
        <f t="shared" si="2"/>
        <v>39.049999992130324</v>
      </c>
      <c r="O17" s="7"/>
      <c r="P17" s="7"/>
      <c r="Q17" s="22"/>
      <c r="R17" s="22"/>
      <c r="S17" s="31">
        <f t="shared" si="17"/>
        <v>1</v>
      </c>
      <c r="T17" s="46" t="str">
        <f t="shared" si="3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4"/>
        <v>https://d0f6bd738d7f1b3e5a7ca70fe4ff75f0.us-east-1.aws.found.io/app/kibana#/discover/Steve-Slow-Train-Analysis-(2080s-and-2083s)?_g=(refreshInterval:(display:Off,pause:!f,section:0,value:0),time:(from:'2017-03-03T03:08:54-0700',mode:absolute,to:'2017-03-03T05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" s="197" t="str">
        <f t="shared" si="5"/>
        <v>N</v>
      </c>
      <c r="X17" s="197">
        <f t="shared" si="6"/>
        <v>1</v>
      </c>
      <c r="Y17" s="62">
        <f t="shared" si="7"/>
        <v>7.3899999999999993E-2</v>
      </c>
      <c r="Z17" s="62">
        <f t="shared" si="8"/>
        <v>23.3293</v>
      </c>
      <c r="AA17" s="62">
        <f t="shared" si="9"/>
        <v>23.255400000000002</v>
      </c>
      <c r="AB17" s="59" t="str">
        <f>VLOOKUP(A17,Enforcements!$C$7:$K$13,8,0)</f>
        <v>Bulletin (2)</v>
      </c>
      <c r="AC17" s="55" t="str">
        <f>VLOOKUP(A17,Enforcements!$C$7:$E$13,3,0)</f>
        <v>GRADE CROSSING</v>
      </c>
      <c r="AD17" s="56" t="str">
        <f t="shared" si="10"/>
        <v>0105-03</v>
      </c>
      <c r="AE17" s="85" t="str">
        <f t="shared" si="11"/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AF17" s="82" t="str">
        <f t="shared" si="12"/>
        <v>"C:\Program Files (x86)\AstroGrep\AstroGrep.exe" /spath="%USERPROFILE%\AppData\Local\Temp\OnboardLogs" /stypes="app*4024*20170303*"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6" t="str">
        <f t="shared" si="18"/>
        <v>"%USERPROFILE%\Documents\GitHub\eaglep3\Utilities\RefineRTDCRunTimes.py" --tripid 105-03 --locoid 4024 --swversion DE.1.0.9.0 --startMP 204:739 --initTime 2017-03-03T04:08:54 --startdatetime 2017-03-03T04:15:24 --delay 1 --endMP 204:233293 --enddatetime 2017-03-03T04:54:27 --enforcementcount 0 &gt;&gt;C:\Users\stu\Documents\GitHub\eaglep3-reporting\EC\2017-03-03-refined-times.txt</v>
      </c>
      <c r="AI17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{"issue":{"subject":"","project_id":79,"tracker_id":40,"status_id":1,"priority_id":2,"assigned_to_id":23,"start_date":"2017-03-03","description":"","custom_fields":[{"id":1,"name":"Subdivision","value":"EC"},{"id":4,"name":"Milepost","value":"23.3293"},{"id":17,"name":"Train ID","value":"105-03"},{"id":16,"name":"Locomotive ID","value":"4024"},{"id":130,"name":"Impact","value":""},{"id":150,"name":"Time of Event (Mountain Time)","value":"04:54:27"},{"id":151,"name":"Denver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4024 --day 2017-03-03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"%USERPROFILE%\AppData\Local\Temp\OnboardLogs"\RTDC4024\*4024*20170303* | grep -SE "(Enforcement Action)|(\[TIMEOUT)|(CHR.+\|PRM\|1\|D.+(SWITCH|SIGNAL).+UNKNOWN)" - &gt;&gt; 2017-03-03-UncaughtWiMAX.txt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568</v>
      </c>
      <c r="B18" s="7">
        <v>4008</v>
      </c>
      <c r="C18" s="21" t="s">
        <v>251</v>
      </c>
      <c r="D18" s="21" t="s">
        <v>821</v>
      </c>
      <c r="E18" s="13">
        <v>42797.210439814815</v>
      </c>
      <c r="F18" s="13">
        <v>42797.216192129628</v>
      </c>
      <c r="G18" s="7">
        <v>1</v>
      </c>
      <c r="H18" s="21" t="s">
        <v>822</v>
      </c>
      <c r="I18" s="13">
        <v>42797.252268518518</v>
      </c>
      <c r="J18" s="7">
        <v>0</v>
      </c>
      <c r="K18" s="98" t="str">
        <f t="shared" si="0"/>
        <v>4007/4008</v>
      </c>
      <c r="L18" s="21" t="str">
        <f>VLOOKUP(A18,'Trips&amp;Operators'!$C$1:$G$99999,5,FALSE)</f>
        <v>CUSHING HARRY</v>
      </c>
      <c r="M18" s="6">
        <f t="shared" si="1"/>
        <v>3.6076388889341615E-2</v>
      </c>
      <c r="N18" s="7">
        <f t="shared" si="2"/>
        <v>51.950000000651926</v>
      </c>
      <c r="O18" s="7"/>
      <c r="P18" s="7"/>
      <c r="Q18" s="22"/>
      <c r="R18" s="22"/>
      <c r="S18" s="31">
        <f t="shared" si="17"/>
        <v>1</v>
      </c>
      <c r="T18" s="46" t="str">
        <f t="shared" si="3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4"/>
        <v>https://d0f6bd738d7f1b3e5a7ca70fe4ff75f0.us-east-1.aws.found.io/app/kibana#/discover/Steve-Slow-Train-Analysis-(2080s-and-2083s)?_g=(refreshInterval:(display:Off,pause:!f,section:0,value:0),time:(from:'2017-03-03T04:03:02-0700',mode:absolute,to:'2017-03-03T07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" s="197" t="str">
        <f t="shared" si="5"/>
        <v>N</v>
      </c>
      <c r="X18" s="197">
        <f t="shared" si="6"/>
        <v>1</v>
      </c>
      <c r="Y18" s="62">
        <f t="shared" si="7"/>
        <v>23.264199999999999</v>
      </c>
      <c r="Z18" s="62">
        <f t="shared" si="8"/>
        <v>2.0899999999999998E-2</v>
      </c>
      <c r="AA18" s="62">
        <f t="shared" si="9"/>
        <v>23.243299999999998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0106-03</v>
      </c>
      <c r="AE18" s="85" t="str">
        <f t="shared" si="11"/>
        <v>aws s3 cp s3://rtdc.mdm.uploadarchive.raw/RTDC4008/ "%USERPROFILE%\AppData\Local\Temp\OnboardLogs"\RTDC4008\2017-03-03 --exclude "*" --recursive --include "*20170303*" &amp; "%USERPROFILE%\Documents\GitHub\mrs-test-scripts\Headless Mode &amp; Sideloading\WalkAndUnGZ.bat" "%USERPROFILE%\AppData\Local\Temp\OnboardLogs"\RTDC4008\2017-03-03 &amp; 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</v>
      </c>
      <c r="AF18" s="82" t="str">
        <f t="shared" si="12"/>
        <v>"C:\Program Files (x86)\AstroGrep\AstroGrep.exe" /spath="%USERPROFILE%\AppData\Local\Temp\OnboardLogs" /stypes="app*4008*20170303*" /stext=" 13:.+((SYSTEM_STATE.+slice.+state.+changed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6" t="str">
        <f t="shared" si="18"/>
        <v>"%USERPROFILE%\Documents\GitHub\eaglep3\Utilities\RefineRTDCRunTimes.py" --tripid 106-03 --locoid 4008 --swversion DE.1.0.9.0 --startMP 204:232642 --initTime 2017-03-03T05:03:02 --startdatetime 2017-03-03T05:11:19 --delay 1 --endMP 204:209 --enddatetime 2017-03-03T06:03:16 --enforcementcount 0 &gt;&gt;C:\Users\stu\Documents\GitHub\eaglep3-reporting\EC\2017-03-03-refined-times.txt</v>
      </c>
      <c r="AI18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{"issue":{"subject":"","project_id":79,"tracker_id":40,"status_id":1,"priority_id":2,"assigned_to_id":23,"start_date":"2017-03-03","description":"","custom_fields":[{"id":1,"name":"Subdivision","value":"EC"},{"id":4,"name":"Milepost","value":"0.0209"},{"id":17,"name":"Train ID","value":"106-03"},{"id":16,"name":"Locomotive ID","value":"4008"},{"id":130,"name":"Impact","value":""},{"id":150,"name":"Time of Event (Mountain Time)","value":"06:03:16"},{"id":151,"name":"Denver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4008 --day 2017-03-03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"%USERPROFILE%\AppData\Local\Temp\OnboardLogs"\RTDC4008\*4008*20170303* | grep -SE "(Enforcement Action)|(\[TIMEOUT)|(CHR.+\|PRM\|1\|D.+(SWITCH|SIGNAL).+UNKNOWN)" - &gt;&gt; 2017-03-03-UncaughtWiMAX.txt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566</v>
      </c>
      <c r="B19" s="7">
        <v>4051</v>
      </c>
      <c r="C19" s="21" t="s">
        <v>251</v>
      </c>
      <c r="D19" s="21" t="s">
        <v>246</v>
      </c>
      <c r="E19" s="13">
        <v>42797.184108796297</v>
      </c>
      <c r="F19" s="13">
        <v>42797.1877662037</v>
      </c>
      <c r="G19" s="7">
        <v>1</v>
      </c>
      <c r="H19" s="21" t="s">
        <v>346</v>
      </c>
      <c r="I19" s="13">
        <v>42797.214212962965</v>
      </c>
      <c r="J19" s="7">
        <v>0</v>
      </c>
      <c r="K19" s="98" t="str">
        <f t="shared" si="0"/>
        <v>4051/4052</v>
      </c>
      <c r="L19" s="21" t="str">
        <f>VLOOKUP(A19,'Trips&amp;Operators'!$C$1:$G$99999,5,FALSE)</f>
        <v>STARKS ANGELINA</v>
      </c>
      <c r="M19" s="6">
        <f t="shared" si="1"/>
        <v>2.644675926421769E-2</v>
      </c>
      <c r="N19" s="7">
        <f t="shared" si="2"/>
        <v>38.083333340473473</v>
      </c>
      <c r="O19" s="7"/>
      <c r="P19" s="7"/>
      <c r="Q19" s="22"/>
      <c r="R19" s="22"/>
      <c r="S19" s="31">
        <f t="shared" si="17"/>
        <v>1</v>
      </c>
      <c r="T19" s="46" t="str">
        <f t="shared" si="3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4"/>
        <v>https://d0f6bd738d7f1b3e5a7ca70fe4ff75f0.us-east-1.aws.found.io/app/kibana#/discover/Steve-Slow-Train-Analysis-(2080s-and-2083s)?_g=(refreshInterval:(display:Off,pause:!f,section:0,value:0),time:(from:'2017-03-03T03:25:07-0700',mode:absolute,to:'2017-03-03T06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" s="197" t="str">
        <f t="shared" si="5"/>
        <v>N</v>
      </c>
      <c r="X19" s="197">
        <f t="shared" si="6"/>
        <v>1</v>
      </c>
      <c r="Y19" s="62">
        <f t="shared" si="7"/>
        <v>4.6600000000000003E-2</v>
      </c>
      <c r="Z19" s="62">
        <f t="shared" si="8"/>
        <v>23.329799999999999</v>
      </c>
      <c r="AA19" s="62">
        <f t="shared" si="9"/>
        <v>23.283199999999997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0107-03</v>
      </c>
      <c r="AE19" s="85" t="str">
        <f t="shared" si="11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19" s="82" t="str">
        <f t="shared" si="12"/>
        <v>"C:\Program Files (x86)\AstroGrep\AstroGrep.exe" /spath="%USERPROFILE%\AppData\Local\Temp\OnboardLogs" /stypes="app*4051*20170303*"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6" t="str">
        <f t="shared" si="18"/>
        <v>"%USERPROFILE%\Documents\GitHub\eaglep3\Utilities\RefineRTDCRunTimes.py" --tripid 107-03 --locoid 4051 --swversion DE.1.0.9.0 --startMP 204:466 --initTime 2017-03-03T04:25:07 --startdatetime 2017-03-03T04:30:23 --delay 1 --endMP 204:233298 --enddatetime 2017-03-03T05:08:28 --enforcementcount 0 &gt;&gt;C:\Users\stu\Documents\GitHub\eaglep3-reporting\EC\2017-03-03-refined-times.txt</v>
      </c>
      <c r="AI19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{"issue":{"subject":"","project_id":79,"tracker_id":40,"status_id":1,"priority_id":2,"assigned_to_id":23,"start_date":"2017-03-03","description":"","custom_fields":[{"id":1,"name":"Subdivision","value":"EC"},{"id":4,"name":"Milepost","value":"23.3298"},{"id":17,"name":"Train ID","value":"107-03"},{"id":16,"name":"Locomotive ID","value":"4051"},{"id":130,"name":"Impact","value":""},{"id":150,"name":"Time of Event (Mountain Time)","value":"05:08:28"},{"id":151,"name":"Denver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4051 --day 2017-03-03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"%USERPROFILE%\AppData\Local\Temp\OnboardLogs"\RTDC4051\*4051*20170303* | grep -SE "(Enforcement Action)|(\[TIMEOUT)|(CHR.+\|PRM\|1\|D.+(SWITCH|SIGNAL).+UNKNOWN)" - &gt;&gt; 2017-03-03-UncaughtWiMAX.txt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567</v>
      </c>
      <c r="B20" s="7">
        <v>4052</v>
      </c>
      <c r="C20" s="21" t="s">
        <v>251</v>
      </c>
      <c r="D20" s="21" t="s">
        <v>823</v>
      </c>
      <c r="E20" s="13">
        <v>42797.224606481483</v>
      </c>
      <c r="F20" s="13">
        <v>42797.226574074077</v>
      </c>
      <c r="G20" s="7">
        <v>1</v>
      </c>
      <c r="H20" s="21" t="s">
        <v>824</v>
      </c>
      <c r="I20" s="13">
        <v>42797.258414351854</v>
      </c>
      <c r="J20" s="7">
        <v>0</v>
      </c>
      <c r="K20" s="98" t="str">
        <f t="shared" si="0"/>
        <v>4051/4052</v>
      </c>
      <c r="L20" s="21" t="str">
        <f>VLOOKUP(A20,'Trips&amp;Operators'!$C$1:$G$99999,5,FALSE)</f>
        <v>STARKS ANGELINA</v>
      </c>
      <c r="M20" s="6">
        <f t="shared" si="1"/>
        <v>3.1840277777519077E-2</v>
      </c>
      <c r="N20" s="7">
        <f t="shared" si="2"/>
        <v>45.849999999627471</v>
      </c>
      <c r="O20" s="7"/>
      <c r="P20" s="7"/>
      <c r="Q20" s="22"/>
      <c r="R20" s="22"/>
      <c r="S20" s="31">
        <f t="shared" si="17"/>
        <v>1</v>
      </c>
      <c r="T20" s="46" t="str">
        <f t="shared" si="3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4"/>
        <v>https://d0f6bd738d7f1b3e5a7ca70fe4ff75f0.us-east-1.aws.found.io/app/kibana#/discover/Steve-Slow-Train-Analysis-(2080s-and-2083s)?_g=(refreshInterval:(display:Off,pause:!f,section:0,value:0),time:(from:'2017-03-03T04:23:26-0700',mode:absolute,to:'2017-03-03T07:12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" s="197" t="str">
        <f t="shared" si="5"/>
        <v>N</v>
      </c>
      <c r="X20" s="197">
        <f t="shared" si="6"/>
        <v>1</v>
      </c>
      <c r="Y20" s="62">
        <f t="shared" si="7"/>
        <v>23.297599999999999</v>
      </c>
      <c r="Z20" s="62">
        <f t="shared" si="8"/>
        <v>1.6299999999999999E-2</v>
      </c>
      <c r="AA20" s="62">
        <f t="shared" si="9"/>
        <v>23.281299999999998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0108-03</v>
      </c>
      <c r="AE20" s="85" t="str">
        <f t="shared" si="11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20" s="82" t="str">
        <f t="shared" si="12"/>
        <v>"C:\Program Files (x86)\AstroGrep\AstroGrep.exe" /spath="%USERPROFILE%\AppData\Local\Temp\OnboardLogs" /stypes="app*4052*20170303*"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6" t="str">
        <f t="shared" si="18"/>
        <v>"%USERPROFILE%\Documents\GitHub\eaglep3\Utilities\RefineRTDCRunTimes.py" --tripid 108-03 --locoid 4052 --swversion DE.1.0.9.0 --startMP 204:232976 --initTime 2017-03-03T05:23:26 --startdatetime 2017-03-03T05:26:16 --delay 1 --endMP 204:163 --enddatetime 2017-03-03T06:12:07 --enforcementcount 0 &gt;&gt;C:\Users\stu\Documents\GitHub\eaglep3-reporting\EC\2017-03-03-refined-times.txt</v>
      </c>
      <c r="AI20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{"issue":{"subject":"","project_id":79,"tracker_id":40,"status_id":1,"priority_id":2,"assigned_to_id":23,"start_date":"2017-03-03","description":"","custom_fields":[{"id":1,"name":"Subdivision","value":"EC"},{"id":4,"name":"Milepost","value":"0.0163"},{"id":17,"name":"Train ID","value":"108-03"},{"id":16,"name":"Locomotive ID","value":"4052"},{"id":130,"name":"Impact","value":""},{"id":150,"name":"Time of Event (Mountain Time)","value":"06:12:07"},{"id":151,"name":"Denver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4052 --day 2017-03-03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622</v>
      </c>
      <c r="B21" s="7">
        <v>4046</v>
      </c>
      <c r="C21" s="21" t="s">
        <v>251</v>
      </c>
      <c r="D21" s="21" t="s">
        <v>323</v>
      </c>
      <c r="E21" s="13">
        <v>42797.198472222219</v>
      </c>
      <c r="F21" s="13">
        <v>42797.199652777781</v>
      </c>
      <c r="G21" s="7">
        <v>0</v>
      </c>
      <c r="H21" s="21" t="s">
        <v>527</v>
      </c>
      <c r="I21" s="13">
        <v>42797.224363425928</v>
      </c>
      <c r="J21" s="7">
        <v>0</v>
      </c>
      <c r="K21" s="98" t="str">
        <f t="shared" si="0"/>
        <v>4045/4046</v>
      </c>
      <c r="L21" s="21" t="str">
        <f>VLOOKUP(A21,'Trips&amp;Operators'!$C$1:$G$99999,5,FALSE)</f>
        <v>LOZA FIDEL</v>
      </c>
      <c r="M21" s="6">
        <f t="shared" si="1"/>
        <v>2.47106481474475E-2</v>
      </c>
      <c r="N21" s="7">
        <f t="shared" si="2"/>
        <v>35.583333332324401</v>
      </c>
      <c r="O21" s="7"/>
      <c r="P21" s="7"/>
      <c r="Q21" s="22"/>
      <c r="R21" s="22"/>
      <c r="S21" s="31">
        <f t="shared" si="17"/>
        <v>1</v>
      </c>
      <c r="T21" s="46" t="str">
        <f t="shared" si="3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4"/>
        <v>https://d0f6bd738d7f1b3e5a7ca70fe4ff75f0.us-east-1.aws.found.io/app/kibana#/discover/Steve-Slow-Train-Analysis-(2080s-and-2083s)?_g=(refreshInterval:(display:Off,pause:!f,section:0,value:0),time:(from:'2017-03-03T03:45:48-0700',mode:absolute,to:'2017-03-03T06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97" t="str">
        <f t="shared" si="5"/>
        <v>N</v>
      </c>
      <c r="X21" s="197">
        <f t="shared" si="6"/>
        <v>1</v>
      </c>
      <c r="Y21" s="62">
        <f t="shared" si="7"/>
        <v>4.7699999999999999E-2</v>
      </c>
      <c r="Z21" s="62">
        <f t="shared" si="8"/>
        <v>23.328800000000001</v>
      </c>
      <c r="AA21" s="62">
        <f t="shared" si="9"/>
        <v>23.281100000000002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0109-03</v>
      </c>
      <c r="AE21" s="85" t="str">
        <f t="shared" si="11"/>
        <v>aws s3 cp s3://rtdc.mdm.uploadarchive.raw/RTDC4046/ "%USERPROFILE%\AppData\Local\Temp\OnboardLogs"\RTDC4046\2017-03-03 --exclude "*" --recursive --include "*20170303*" &amp; "%USERPROFILE%\Documents\GitHub\mrs-test-scripts\Headless Mode &amp; Sideloading\WalkAndUnGZ.bat" "%USERPROFILE%\AppData\Local\Temp\OnboardLogs"\RTDC4046\2017-03-03 &amp; 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</v>
      </c>
      <c r="AF21" s="82" t="str">
        <f t="shared" si="12"/>
        <v>"C:\Program Files (x86)\AstroGrep\AstroGrep.exe" /spath="%USERPROFILE%\AppData\Local\Temp\OnboardLogs" /stypes="app*4046*20170303*"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6" t="str">
        <f t="shared" si="18"/>
        <v>"%USERPROFILE%\Documents\GitHub\eaglep3\Utilities\RefineRTDCRunTimes.py" --tripid 109-03 --locoid 4046 --swversion DE.1.0.9.0 --startMP 204:477 --initTime 2017-03-03T04:45:48 --startdatetime 2017-03-03T04:47:30 --delay 0 --endMP 204:233288 --enddatetime 2017-03-03T05:23:05 --enforcementcount 0 &gt;&gt;C:\Users\stu\Documents\GitHub\eaglep3-reporting\EC\2017-03-03-refined-times.txt</v>
      </c>
      <c r="AI21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{"issue":{"subject":"","project_id":79,"tracker_id":40,"status_id":1,"priority_id":2,"assigned_to_id":23,"start_date":"2017-03-03","description":"","custom_fields":[{"id":1,"name":"Subdivision","value":"EC"},{"id":4,"name":"Milepost","value":"23.3288"},{"id":17,"name":"Train ID","value":"109-03"},{"id":16,"name":"Locomotive ID","value":"4046"},{"id":130,"name":"Impact","value":""},{"id":150,"name":"Time of Event (Mountain Time)","value":"05:23:05"},{"id":151,"name":"Denver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4046 --day 2017-03-03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"%USERPROFILE%\AppData\Local\Temp\OnboardLogs"\RTDC4046\*4046*20170303* | grep -SE "(Enforcement Action)|(\[TIMEOUT)|(CHR.+\|PRM\|1\|D.+(SWITCH|SIGNAL).+UNKNOWN)" - &gt;&gt; 2017-03-03-UncaughtWiMAX.txt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633</v>
      </c>
      <c r="B22" s="7">
        <v>4045</v>
      </c>
      <c r="C22" s="21" t="s">
        <v>251</v>
      </c>
      <c r="D22" s="21" t="s">
        <v>351</v>
      </c>
      <c r="E22" s="13">
        <v>42797.234571759262</v>
      </c>
      <c r="F22" s="13">
        <v>42797.237268518518</v>
      </c>
      <c r="G22" s="7">
        <v>1</v>
      </c>
      <c r="H22" s="21" t="s">
        <v>237</v>
      </c>
      <c r="I22" s="13">
        <v>42797.266458333332</v>
      </c>
      <c r="J22" s="7">
        <v>0</v>
      </c>
      <c r="K22" s="98" t="str">
        <f t="shared" si="0"/>
        <v>4045/4046</v>
      </c>
      <c r="L22" s="21" t="str">
        <f>VLOOKUP(A22,'Trips&amp;Operators'!$C$1:$G$99999,5,FALSE)</f>
        <v>LOZA FIDEL</v>
      </c>
      <c r="M22" s="6">
        <f t="shared" si="1"/>
        <v>2.9189814813435078E-2</v>
      </c>
      <c r="N22" s="7">
        <f t="shared" si="2"/>
        <v>42.033333331346512</v>
      </c>
      <c r="O22" s="7"/>
      <c r="P22" s="7"/>
      <c r="Q22" s="22"/>
      <c r="R22" s="22"/>
      <c r="S22" s="31">
        <f t="shared" si="17"/>
        <v>1</v>
      </c>
      <c r="T22" s="46" t="str">
        <f t="shared" si="3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4"/>
        <v>https://d0f6bd738d7f1b3e5a7ca70fe4ff75f0.us-east-1.aws.found.io/app/kibana#/discover/Steve-Slow-Train-Analysis-(2080s-and-2083s)?_g=(refreshInterval:(display:Off,pause:!f,section:0,value:0),time:(from:'2017-03-03T04:37:47-0700',mode:absolute,to:'2017-03-03T07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197" t="str">
        <f t="shared" si="5"/>
        <v>N</v>
      </c>
      <c r="X22" s="197">
        <f t="shared" si="6"/>
        <v>1</v>
      </c>
      <c r="Y22" s="62">
        <f t="shared" si="7"/>
        <v>23.296700000000001</v>
      </c>
      <c r="Z22" s="62">
        <f t="shared" si="8"/>
        <v>1.41E-2</v>
      </c>
      <c r="AA22" s="62">
        <f t="shared" si="9"/>
        <v>23.282600000000002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0110-03</v>
      </c>
      <c r="AE22" s="85" t="str">
        <f t="shared" si="11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22" s="82" t="str">
        <f t="shared" si="12"/>
        <v>"C:\Program Files (x86)\AstroGrep\AstroGrep.exe" /spath="%USERPROFILE%\AppData\Local\Temp\OnboardLogs" /stypes="app*4045*20170303*"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6" t="str">
        <f t="shared" si="18"/>
        <v>"%USERPROFILE%\Documents\GitHub\eaglep3\Utilities\RefineRTDCRunTimes.py" --tripid 110-03 --locoid 4045 --swversion DE.1.0.9.0 --startMP 204:232967 --initTime 2017-03-03T05:37:47 --startdatetime 2017-03-03T05:41:40 --delay 1 --endMP 204:141 --enddatetime 2017-03-03T06:23:42 --enforcementcount 0 &gt;&gt;C:\Users\stu\Documents\GitHub\eaglep3-reporting\EC\2017-03-03-refined-times.txt</v>
      </c>
      <c r="AI22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{"issue":{"subject":"","project_id":79,"tracker_id":40,"status_id":1,"priority_id":2,"assigned_to_id":23,"start_date":"2017-03-03","description":"","custom_fields":[{"id":1,"name":"Subdivision","value":"EC"},{"id":4,"name":"Milepost","value":"0.0141"},{"id":17,"name":"Train ID","value":"110-03"},{"id":16,"name":"Locomotive ID","value":"4045"},{"id":130,"name":"Impact","value":""},{"id":150,"name":"Time of Event (Mountain Time)","value":"06:23:42"},{"id":151,"name":"Denver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4045 --day 2017-03-03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"%USERPROFILE%\AppData\Local\Temp\OnboardLogs"\RTDC4045\*4045*20170303* | grep -SE "(Enforcement Action)|(\[TIMEOUT)|(CHR.+\|PRM\|1\|D.+(SWITCH|SIGNAL).+UNKNOWN)" - &gt;&gt; 2017-03-03-UncaughtWiMAX.txt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626</v>
      </c>
      <c r="B23" s="7">
        <v>4027</v>
      </c>
      <c r="C23" s="21" t="s">
        <v>251</v>
      </c>
      <c r="D23" s="21" t="s">
        <v>820</v>
      </c>
      <c r="E23" s="13">
        <v>42797.205254629633</v>
      </c>
      <c r="F23" s="13">
        <v>42797.208518518521</v>
      </c>
      <c r="G23" s="7">
        <v>1</v>
      </c>
      <c r="H23" s="21" t="s">
        <v>825</v>
      </c>
      <c r="I23" s="13">
        <v>42797.241493055553</v>
      </c>
      <c r="J23" s="7">
        <v>0</v>
      </c>
      <c r="K23" s="98" t="str">
        <f t="shared" si="0"/>
        <v>4027/4028</v>
      </c>
      <c r="L23" s="21" t="str">
        <f>VLOOKUP(A23,'Trips&amp;Operators'!$C$1:$G$99999,5,FALSE)</f>
        <v>BEAM ROSS</v>
      </c>
      <c r="M23" s="6">
        <f t="shared" si="1"/>
        <v>3.2974537032714579E-2</v>
      </c>
      <c r="N23" s="7">
        <f t="shared" si="2"/>
        <v>47.483333327108994</v>
      </c>
      <c r="O23" s="7"/>
      <c r="P23" s="7"/>
      <c r="Q23" s="22"/>
      <c r="R23" s="22"/>
      <c r="S23" s="31">
        <f t="shared" si="17"/>
        <v>1</v>
      </c>
      <c r="T23" s="46" t="str">
        <f t="shared" si="3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4"/>
        <v>https://d0f6bd738d7f1b3e5a7ca70fe4ff75f0.us-east-1.aws.found.io/app/kibana#/discover/Steve-Slow-Train-Analysis-(2080s-and-2083s)?_g=(refreshInterval:(display:Off,pause:!f,section:0,value:0),time:(from:'2017-03-03T03:55:34-0700',mode:absolute,to:'2017-03-03T06:47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97" t="str">
        <f t="shared" si="5"/>
        <v>N</v>
      </c>
      <c r="X23" s="197">
        <f t="shared" si="6"/>
        <v>1</v>
      </c>
      <c r="Y23" s="62">
        <f t="shared" si="7"/>
        <v>7.3899999999999993E-2</v>
      </c>
      <c r="Z23" s="62">
        <f t="shared" si="8"/>
        <v>23.33</v>
      </c>
      <c r="AA23" s="62">
        <f t="shared" si="9"/>
        <v>23.2561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0111-03</v>
      </c>
      <c r="AE23" s="85" t="str">
        <f t="shared" si="11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23" s="82" t="str">
        <f t="shared" si="12"/>
        <v>"C:\Program Files (x86)\AstroGrep\AstroGrep.exe" /spath="%USERPROFILE%\AppData\Local\Temp\OnboardLogs" /stypes="app*4027*20170303*"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6" t="str">
        <f t="shared" si="18"/>
        <v>"%USERPROFILE%\Documents\GitHub\eaglep3\Utilities\RefineRTDCRunTimes.py" --tripid 111-03 --locoid 4027 --swversion DE.1.0.9.0 --startMP 204:739 --initTime 2017-03-03T04:55:34 --startdatetime 2017-03-03T05:00:16 --delay 1 --endMP 204:233300 --enddatetime 2017-03-03T05:47:45 --enforcementcount 0 &gt;&gt;C:\Users\stu\Documents\GitHub\eaglep3-reporting\EC\2017-03-03-refined-times.txt</v>
      </c>
      <c r="AI23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{"issue":{"subject":"","project_id":79,"tracker_id":40,"status_id":1,"priority_id":2,"assigned_to_id":23,"start_date":"2017-03-03","description":"","custom_fields":[{"id":1,"name":"Subdivision","value":"EC"},{"id":4,"name":"Milepost","value":"23.33"},{"id":17,"name":"Train ID","value":"111-03"},{"id":16,"name":"Locomotive ID","value":"4027"},{"id":130,"name":"Impact","value":""},{"id":150,"name":"Time of Event (Mountain Time)","value":"05:47:45"},{"id":151,"name":"Denver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4027 --day 2017-03-03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"%USERPROFILE%\AppData\Local\Temp\OnboardLogs"\RTDC4027\*4027*20170303* | grep -SE "(Enforcement Action)|(\[TIMEOUT)|(CHR.+\|PRM\|1\|D.+(SWITCH|SIGNAL).+UNKNOWN)" - &gt;&gt; 2017-03-03-UncaughtWiMAX.txt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637</v>
      </c>
      <c r="B24" s="7">
        <v>4028</v>
      </c>
      <c r="C24" s="21" t="s">
        <v>251</v>
      </c>
      <c r="D24" s="21" t="s">
        <v>350</v>
      </c>
      <c r="E24" s="13">
        <v>42797.245023148149</v>
      </c>
      <c r="F24" s="13">
        <v>42797.247384259259</v>
      </c>
      <c r="G24" s="7">
        <v>1</v>
      </c>
      <c r="H24" s="21" t="s">
        <v>196</v>
      </c>
      <c r="I24" s="13">
        <v>42797.27547453704</v>
      </c>
      <c r="J24" s="7">
        <v>0</v>
      </c>
      <c r="K24" s="98" t="str">
        <f t="shared" si="0"/>
        <v>4027/4028</v>
      </c>
      <c r="L24" s="21" t="str">
        <f>VLOOKUP(A24,'Trips&amp;Operators'!$C$1:$G$99999,5,FALSE)</f>
        <v>BEAM ROSS</v>
      </c>
      <c r="M24" s="6">
        <f t="shared" si="1"/>
        <v>2.8090277781302575E-2</v>
      </c>
      <c r="N24" s="7">
        <f t="shared" si="2"/>
        <v>40.450000005075708</v>
      </c>
      <c r="O24" s="7"/>
      <c r="P24" s="7"/>
      <c r="Q24" s="22"/>
      <c r="R24" s="22"/>
      <c r="S24" s="31">
        <f t="shared" si="17"/>
        <v>1</v>
      </c>
      <c r="T24" s="46" t="str">
        <f t="shared" si="3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4"/>
        <v>https://d0f6bd738d7f1b3e5a7ca70fe4ff75f0.us-east-1.aws.found.io/app/kibana#/discover/Steve-Slow-Train-Analysis-(2080s-and-2083s)?_g=(refreshInterval:(display:Off,pause:!f,section:0,value:0),time:(from:'2017-03-03T04:52:50-0700',mode:absolute,to:'2017-03-03T07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" s="197" t="str">
        <f t="shared" si="5"/>
        <v>N</v>
      </c>
      <c r="X24" s="197">
        <f t="shared" si="6"/>
        <v>1</v>
      </c>
      <c r="Y24" s="62">
        <f t="shared" si="7"/>
        <v>23.298500000000001</v>
      </c>
      <c r="Z24" s="62">
        <f t="shared" si="8"/>
        <v>1.4500000000000001E-2</v>
      </c>
      <c r="AA24" s="62">
        <f t="shared" si="9"/>
        <v>23.283999999999999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0112-03</v>
      </c>
      <c r="AE24" s="85" t="str">
        <f t="shared" si="11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24" s="82" t="str">
        <f t="shared" si="12"/>
        <v>"C:\Program Files (x86)\AstroGrep\AstroGrep.exe" /spath="%USERPROFILE%\AppData\Local\Temp\OnboardLogs" /stypes="app*4028*20170303*"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6" t="str">
        <f t="shared" si="18"/>
        <v>"%USERPROFILE%\Documents\GitHub\eaglep3\Utilities\RefineRTDCRunTimes.py" --tripid 112-03 --locoid 4028 --swversion DE.1.0.9.0 --startMP 204:232985 --initTime 2017-03-03T05:52:50 --startdatetime 2017-03-03T05:56:14 --delay 1 --endMP 204:145 --enddatetime 2017-03-03T06:36:41 --enforcementcount 0 &gt;&gt;C:\Users\stu\Documents\GitHub\eaglep3-reporting\EC\2017-03-03-refined-times.txt</v>
      </c>
      <c r="AI24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ID","value":"112-03"},{"id":16,"name":"Locomotive ID","value":"4028"},{"id":130,"name":"Impact","value":""},{"id":150,"name":"Time of Event (Mountain Time)","value":"06:36:41"},{"id":151,"name":"Denver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4028 --day 2017-03-03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"%USERPROFILE%\AppData\Local\Temp\OnboardLogs"\RTDC4028\*4028*20170303* | grep -SE "(Enforcement Action)|(\[TIMEOUT)|(CHR.+\|PRM\|1\|D.+(SWITCH|SIGNAL).+UNKNOWN)" - &gt;&gt; 2017-03-03-UncaughtWiMAX.txt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627</v>
      </c>
      <c r="B25" s="7">
        <v>4053</v>
      </c>
      <c r="C25" s="21" t="s">
        <v>251</v>
      </c>
      <c r="D25" s="21" t="s">
        <v>232</v>
      </c>
      <c r="E25" s="13">
        <v>42797.207384259258</v>
      </c>
      <c r="F25" s="13">
        <v>42797.218923611108</v>
      </c>
      <c r="G25" s="7">
        <v>1</v>
      </c>
      <c r="H25" s="21" t="s">
        <v>826</v>
      </c>
      <c r="I25" s="13">
        <v>42797.251539351855</v>
      </c>
      <c r="J25" s="7">
        <v>0</v>
      </c>
      <c r="K25" s="98" t="str">
        <f t="shared" si="0"/>
        <v>4053/4054</v>
      </c>
      <c r="L25" s="21" t="str">
        <f>VLOOKUP(A25,'Trips&amp;Operators'!$C$1:$G$99999,5,FALSE)</f>
        <v>BADERTSCHER DIANE</v>
      </c>
      <c r="M25" s="6">
        <f t="shared" si="1"/>
        <v>3.2615740747132804E-2</v>
      </c>
      <c r="N25" s="7">
        <f t="shared" si="2"/>
        <v>46.966666675871238</v>
      </c>
      <c r="O25" s="7"/>
      <c r="P25" s="7"/>
      <c r="Q25" s="22"/>
      <c r="R25" s="22"/>
      <c r="S25" s="31">
        <f t="shared" si="17"/>
        <v>1</v>
      </c>
      <c r="T25" s="46" t="str">
        <f t="shared" si="3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4"/>
        <v>https://d0f6bd738d7f1b3e5a7ca70fe4ff75f0.us-east-1.aws.found.io/app/kibana#/discover/Steve-Slow-Train-Analysis-(2080s-and-2083s)?_g=(refreshInterval:(display:Off,pause:!f,section:0,value:0),time:(from:'2017-03-03T03:58:38-0700',mode:absolute,to:'2017-03-03T07:02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" s="197" t="str">
        <f t="shared" si="5"/>
        <v>N</v>
      </c>
      <c r="X25" s="197">
        <f t="shared" si="6"/>
        <v>1</v>
      </c>
      <c r="Y25" s="62">
        <f t="shared" si="7"/>
        <v>4.5499999999999999E-2</v>
      </c>
      <c r="Z25" s="62">
        <f t="shared" si="8"/>
        <v>23.320900000000002</v>
      </c>
      <c r="AA25" s="62">
        <f t="shared" si="9"/>
        <v>23.275400000000001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0113-03</v>
      </c>
      <c r="AE25" s="85" t="str">
        <f t="shared" si="11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25" s="82" t="str">
        <f t="shared" si="12"/>
        <v>"C:\Program Files (x86)\AstroGrep\AstroGrep.exe" /spath="%USERPROFILE%\AppData\Local\Temp\OnboardLogs" /stypes="app*4053*20170303*" /stext=" 13:.+((SYSTEM_STATE.+slice.+state.+changed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6" t="str">
        <f t="shared" si="18"/>
        <v>"%USERPROFILE%\Documents\GitHub\eaglep3\Utilities\RefineRTDCRunTimes.py" --tripid 113-03 --locoid 4053 --swversion DE.1.0.9.0 --startMP 204:455 --initTime 2017-03-03T04:58:38 --startdatetime 2017-03-03T05:15:15 --delay 1 --endMP 204:233209 --enddatetime 2017-03-03T06:02:13 --enforcementcount 0 &gt;&gt;C:\Users\stu\Documents\GitHub\eaglep3-reporting\EC\2017-03-03-refined-times.txt</v>
      </c>
      <c r="AI25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{"issue":{"subject":"","project_id":79,"tracker_id":40,"status_id":1,"priority_id":2,"assigned_to_id":23,"start_date":"2017-03-03","description":"","custom_fields":[{"id":1,"name":"Subdivision","value":"EC"},{"id":4,"name":"Milepost","value":"23.3209"},{"id":17,"name":"Train ID","value":"113-03"},{"id":16,"name":"Locomotive ID","value":"4053"},{"id":130,"name":"Impact","value":""},{"id":150,"name":"Time of Event (Mountain Time)","value":"06:02:13"},{"id":151,"name":"Denver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4053 --day 2017-03-03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"%USERPROFILE%\AppData\Local\Temp\OnboardLogs"\RTDC4053\*4053*20170303* | grep -SE "(Enforcement Action)|(\[TIMEOUT)|(CHR.+\|PRM\|1\|D.+(SWITCH|SIGNAL).+UNKNOWN)" - &gt;&gt; 2017-03-03-UncaughtWiMAX.txt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573</v>
      </c>
      <c r="B26" s="7">
        <v>4054</v>
      </c>
      <c r="C26" s="21" t="s">
        <v>251</v>
      </c>
      <c r="D26" s="21" t="s">
        <v>827</v>
      </c>
      <c r="E26" s="13">
        <v>42797.253935185188</v>
      </c>
      <c r="F26" s="13">
        <v>42797.257789351854</v>
      </c>
      <c r="G26" s="7">
        <v>1</v>
      </c>
      <c r="H26" s="21" t="s">
        <v>233</v>
      </c>
      <c r="I26" s="13">
        <v>42797.288564814815</v>
      </c>
      <c r="J26" s="7">
        <v>0</v>
      </c>
      <c r="K26" s="98" t="str">
        <f t="shared" si="0"/>
        <v>4053/4054</v>
      </c>
      <c r="L26" s="21" t="str">
        <f>VLOOKUP(A26,'Trips&amp;Operators'!$C$1:$G$99999,5,FALSE)</f>
        <v>BADERTSCHER DIANE</v>
      </c>
      <c r="M26" s="6">
        <f t="shared" si="1"/>
        <v>3.0775462961173616E-2</v>
      </c>
      <c r="N26" s="7">
        <f t="shared" si="2"/>
        <v>44.316666664090008</v>
      </c>
      <c r="O26" s="7"/>
      <c r="P26" s="7"/>
      <c r="Q26" s="22"/>
      <c r="R26" s="22"/>
      <c r="S26" s="31">
        <f t="shared" si="17"/>
        <v>1</v>
      </c>
      <c r="T26" s="46" t="str">
        <f t="shared" si="3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4"/>
        <v>https://d0f6bd738d7f1b3e5a7ca70fe4ff75f0.us-east-1.aws.found.io/app/kibana#/discover/Steve-Slow-Train-Analysis-(2080s-and-2083s)?_g=(refreshInterval:(display:Off,pause:!f,section:0,value:0),time:(from:'2017-03-03T05:05:40-0700',mode:absolute,to:'2017-03-03T07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6" s="197" t="str">
        <f t="shared" si="5"/>
        <v>N</v>
      </c>
      <c r="X26" s="197">
        <f t="shared" si="6"/>
        <v>1</v>
      </c>
      <c r="Y26" s="62">
        <f t="shared" si="7"/>
        <v>23.290500000000002</v>
      </c>
      <c r="Z26" s="62">
        <f t="shared" si="8"/>
        <v>1.3899999999999999E-2</v>
      </c>
      <c r="AA26" s="62">
        <f t="shared" si="9"/>
        <v>23.276600000000002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0114-03</v>
      </c>
      <c r="AE26" s="85" t="str">
        <f t="shared" si="11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26" s="82" t="str">
        <f t="shared" si="12"/>
        <v>"C:\Program Files (x86)\AstroGrep\AstroGrep.exe" /spath="%USERPROFILE%\AppData\Local\Temp\OnboardLogs" /stypes="app*4054*20170303*" /stext=" 13:.+((SYSTEM_STATE.+slice.+state.+changed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6" t="str">
        <f t="shared" si="18"/>
        <v>"%USERPROFILE%\Documents\GitHub\eaglep3\Utilities\RefineRTDCRunTimes.py" --tripid 114-03 --locoid 4054 --swversion DE.1.0.9.0 --startMP 204:232905 --initTime 2017-03-03T06:05:40 --startdatetime 2017-03-03T06:11:13 --delay 1 --endMP 204:139 --enddatetime 2017-03-03T06:55:32 --enforcementcount 0 &gt;&gt;C:\Users\stu\Documents\GitHub\eaglep3-reporting\EC\2017-03-03-refined-times.txt</v>
      </c>
      <c r="AI26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{"issue":{"subject":"","project_id":79,"tracker_id":40,"status_id":1,"priority_id":2,"assigned_to_id":23,"start_date":"2017-03-03","description":"","custom_fields":[{"id":1,"name":"Subdivision","value":"EC"},{"id":4,"name":"Milepost","value":"0.0139"},{"id":17,"name":"Train ID","value":"114-03"},{"id":16,"name":"Locomotive ID","value":"4054"},{"id":130,"name":"Impact","value":""},{"id":150,"name":"Time of Event (Mountain Time)","value":"06:55:32"},{"id":151,"name":"Denver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4054 --day 2017-03-03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"%USERPROFILE%\AppData\Local\Temp\OnboardLogs"\RTDC4054\*4054*20170303* | grep -SE "(Enforcement Action)|(\[TIMEOUT)|(CHR.+\|PRM\|1\|D.+(SWITCH|SIGNAL).+UNKNOWN)" - &gt;&gt; 2017-03-03-UncaughtWiMAX.txt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570</v>
      </c>
      <c r="B27" s="7">
        <v>4029</v>
      </c>
      <c r="C27" s="21" t="s">
        <v>251</v>
      </c>
      <c r="D27" s="21" t="s">
        <v>828</v>
      </c>
      <c r="E27" s="13">
        <v>42797.234861111108</v>
      </c>
      <c r="F27" s="13">
        <v>42797.238171296296</v>
      </c>
      <c r="G27" s="7">
        <v>2</v>
      </c>
      <c r="H27" s="21" t="s">
        <v>829</v>
      </c>
      <c r="I27" s="13">
        <v>42797.264780092592</v>
      </c>
      <c r="J27" s="7">
        <v>0</v>
      </c>
      <c r="K27" s="98" t="str">
        <f t="shared" si="0"/>
        <v>4029/4030</v>
      </c>
      <c r="L27" s="21" t="str">
        <f>VLOOKUP(A27,'Trips&amp;Operators'!$C$1:$G$99999,5,FALSE)</f>
        <v>MAYBERRY BILL</v>
      </c>
      <c r="M27" s="6">
        <f t="shared" si="1"/>
        <v>2.6608796295477077E-2</v>
      </c>
      <c r="N27" s="7">
        <f t="shared" si="2"/>
        <v>38.316666665486991</v>
      </c>
      <c r="O27" s="7"/>
      <c r="P27" s="7"/>
      <c r="Q27" s="22"/>
      <c r="R27" s="22"/>
      <c r="S27" s="31">
        <f t="shared" si="17"/>
        <v>1</v>
      </c>
      <c r="T27" s="46" t="str">
        <f t="shared" si="3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4"/>
        <v>https://d0f6bd738d7f1b3e5a7ca70fe4ff75f0.us-east-1.aws.found.io/app/kibana#/discover/Steve-Slow-Train-Analysis-(2080s-and-2083s)?_g=(refreshInterval:(display:Off,pause:!f,section:0,value:0),time:(from:'2017-03-03T04:38:12-0700',mode:absolute,to:'2017-03-03T07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7" s="197" t="str">
        <f t="shared" si="5"/>
        <v>N</v>
      </c>
      <c r="X27" s="197">
        <f t="shared" si="6"/>
        <v>1</v>
      </c>
      <c r="Y27" s="62">
        <f t="shared" si="7"/>
        <v>6.83E-2</v>
      </c>
      <c r="Z27" s="62">
        <f t="shared" si="8"/>
        <v>23.320399999999999</v>
      </c>
      <c r="AA27" s="62">
        <f t="shared" si="9"/>
        <v>23.252099999999999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0115-03</v>
      </c>
      <c r="AE27" s="85" t="str">
        <f t="shared" si="11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27" s="82" t="str">
        <f t="shared" si="12"/>
        <v>"C:\Program Files (x86)\AstroGrep\AstroGrep.exe" /spath="%USERPROFILE%\AppData\Local\Temp\OnboardLogs" /stypes="app*4029*20170303*"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6" t="str">
        <f t="shared" si="18"/>
        <v>"%USERPROFILE%\Documents\GitHub\eaglep3\Utilities\RefineRTDCRunTimes.py" --tripid 115-03 --locoid 4029 --swversion DE.1.0.9.0 --startMP 204:683 --initTime 2017-03-03T05:38:12 --startdatetime 2017-03-03T05:42:58 --delay 2 --endMP 204:233204 --enddatetime 2017-03-03T06:21:17 --enforcementcount 0 &gt;&gt;C:\Users\stu\Documents\GitHub\eaglep3-reporting\EC\2017-03-03-refined-times.txt</v>
      </c>
      <c r="AI27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{"issue":{"subject":"","project_id":79,"tracker_id":40,"status_id":1,"priority_id":2,"assigned_to_id":23,"start_date":"2017-03-03","description":"","custom_fields":[{"id":1,"name":"Subdivision","value":"EC"},{"id":4,"name":"Milepost","value":"23.3204"},{"id":17,"name":"Train ID","value":"115-03"},{"id":16,"name":"Locomotive ID","value":"4029"},{"id":130,"name":"Impact","value":""},{"id":150,"name":"Time of Event (Mountain Time)","value":"06:21:17"},{"id":151,"name":"Denver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4029 --day 2017-03-03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"%USERPROFILE%\AppData\Local\Temp\OnboardLogs"\RTDC4029\*4029*20170303* | grep -SE "(Enforcement Action)|(\[TIMEOUT)|(CHR.+\|PRM\|1\|D.+(SWITCH|SIGNAL).+UNKNOWN)" - &gt;&gt; 2017-03-03-UncaughtWiMAX.txt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574</v>
      </c>
      <c r="B28" s="7">
        <v>4030</v>
      </c>
      <c r="C28" s="21" t="s">
        <v>251</v>
      </c>
      <c r="D28" s="21" t="s">
        <v>830</v>
      </c>
      <c r="E28" s="13">
        <v>42797.268472222226</v>
      </c>
      <c r="F28" s="13">
        <v>42797.27034722222</v>
      </c>
      <c r="G28" s="7">
        <v>1</v>
      </c>
      <c r="H28" s="21" t="s">
        <v>196</v>
      </c>
      <c r="I28" s="13">
        <v>42797.299629629626</v>
      </c>
      <c r="J28" s="7">
        <v>0</v>
      </c>
      <c r="K28" s="98" t="str">
        <f t="shared" si="0"/>
        <v>4029/4030</v>
      </c>
      <c r="L28" s="21" t="str">
        <f>VLOOKUP(A28,'Trips&amp;Operators'!$C$1:$G$99999,5,FALSE)</f>
        <v>MAYBERRY BILL</v>
      </c>
      <c r="M28" s="6">
        <f t="shared" si="1"/>
        <v>2.9282407405844424E-2</v>
      </c>
      <c r="N28" s="7">
        <f t="shared" si="2"/>
        <v>42.16666666441597</v>
      </c>
      <c r="O28" s="7"/>
      <c r="P28" s="7"/>
      <c r="Q28" s="22"/>
      <c r="R28" s="22"/>
      <c r="S28" s="31">
        <f t="shared" si="17"/>
        <v>1</v>
      </c>
      <c r="T28" s="46" t="str">
        <f t="shared" si="3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4"/>
        <v>https://d0f6bd738d7f1b3e5a7ca70fe4ff75f0.us-east-1.aws.found.io/app/kibana#/discover/Steve-Slow-Train-Analysis-(2080s-and-2083s)?_g=(refreshInterval:(display:Off,pause:!f,section:0,value:0),time:(from:'2017-03-03T05:26:36-0700',mode:absolute,to:'2017-03-03T08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8" s="197" t="str">
        <f t="shared" si="5"/>
        <v>N</v>
      </c>
      <c r="X28" s="197">
        <f t="shared" si="6"/>
        <v>1</v>
      </c>
      <c r="Y28" s="62">
        <f t="shared" si="7"/>
        <v>23.289400000000001</v>
      </c>
      <c r="Z28" s="62">
        <f t="shared" si="8"/>
        <v>1.4500000000000001E-2</v>
      </c>
      <c r="AA28" s="62">
        <f t="shared" si="9"/>
        <v>23.274899999999999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0116-03</v>
      </c>
      <c r="AE28" s="85" t="str">
        <f t="shared" si="11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28" s="82" t="str">
        <f t="shared" si="12"/>
        <v>"C:\Program Files (x86)\AstroGrep\AstroGrep.exe" /spath="%USERPROFILE%\AppData\Local\Temp\OnboardLogs" /stypes="app*4030*20170303*"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6" t="str">
        <f t="shared" si="18"/>
        <v>"%USERPROFILE%\Documents\GitHub\eaglep3\Utilities\RefineRTDCRunTimes.py" --tripid 116-03 --locoid 4030 --swversion DE.1.0.9.0 --startMP 204:232894 --initTime 2017-03-03T06:26:36 --startdatetime 2017-03-03T06:29:18 --delay 1 --endMP 204:145 --enddatetime 2017-03-03T07:11:28 --enforcementcount 0 &gt;&gt;C:\Users\stu\Documents\GitHub\eaglep3-reporting\EC\2017-03-03-refined-times.txt</v>
      </c>
      <c r="AI28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ID","value":"116-03"},{"id":16,"name":"Locomotive ID","value":"4030"},{"id":130,"name":"Impact","value":""},{"id":150,"name":"Time of Event (Mountain Time)","value":"07:11:28"},{"id":151,"name":"Denver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4030 --day 2017-03-03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"%USERPROFILE%\AppData\Local\Temp\OnboardLogs"\RTDC4030\*4030*20170303* | grep -SE "(Enforcement Action)|(\[TIMEOUT)|(CHR.+\|PRM\|1\|D.+(SWITCH|SIGNAL).+UNKNOWN)" - &gt;&gt; 2017-03-03-UncaughtWiMAX.txt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634</v>
      </c>
      <c r="B29" s="7">
        <v>4031</v>
      </c>
      <c r="C29" s="21" t="s">
        <v>251</v>
      </c>
      <c r="D29" s="21" t="s">
        <v>245</v>
      </c>
      <c r="E29" s="13">
        <v>42797.240810185183</v>
      </c>
      <c r="F29" s="13">
        <v>42797.241990740738</v>
      </c>
      <c r="G29" s="7">
        <v>1</v>
      </c>
      <c r="H29" s="21" t="s">
        <v>831</v>
      </c>
      <c r="I29" s="13">
        <v>42797.272534722222</v>
      </c>
      <c r="J29" s="7">
        <v>0</v>
      </c>
      <c r="K29" s="98" t="str">
        <f t="shared" si="0"/>
        <v>4031/4032</v>
      </c>
      <c r="L29" s="21" t="str">
        <f>VLOOKUP(A29,'Trips&amp;Operators'!$C$1:$G$99999,5,FALSE)</f>
        <v>DAVIS WENDY</v>
      </c>
      <c r="M29" s="6">
        <f t="shared" si="1"/>
        <v>3.054398148378823E-2</v>
      </c>
      <c r="N29" s="7">
        <f t="shared" si="2"/>
        <v>43.983333336655051</v>
      </c>
      <c r="O29" s="7"/>
      <c r="P29" s="7"/>
      <c r="Q29" s="22"/>
      <c r="R29" s="22"/>
      <c r="S29" s="31">
        <f t="shared" si="17"/>
        <v>1</v>
      </c>
      <c r="T29" s="46" t="str">
        <f t="shared" si="3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4"/>
        <v>https://d0f6bd738d7f1b3e5a7ca70fe4ff75f0.us-east-1.aws.found.io/app/kibana#/discover/Steve-Slow-Train-Analysis-(2080s-and-2083s)?_g=(refreshInterval:(display:Off,pause:!f,section:0,value:0),time:(from:'2017-03-03T04:46:46-0700',mode:absolute,to:'2017-03-03T07:32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9" s="197" t="str">
        <f t="shared" si="5"/>
        <v>N</v>
      </c>
      <c r="X29" s="197">
        <f t="shared" si="6"/>
        <v>1</v>
      </c>
      <c r="Y29" s="62">
        <f t="shared" si="7"/>
        <v>4.4699999999999997E-2</v>
      </c>
      <c r="Z29" s="62">
        <f t="shared" si="8"/>
        <v>23.331800000000001</v>
      </c>
      <c r="AA29" s="62">
        <f t="shared" si="9"/>
        <v>23.287100000000002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0117-03</v>
      </c>
      <c r="AE29" s="85" t="str">
        <f t="shared" si="11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29" s="82" t="str">
        <f t="shared" si="12"/>
        <v>"C:\Program Files (x86)\AstroGrep\AstroGrep.exe" /spath="%USERPROFILE%\AppData\Local\Temp\OnboardLogs" /stypes="app*4031*20170303*" /stext=" 13:.+((SYSTEM_STATE.+slice.+state.+changed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6" t="str">
        <f t="shared" si="18"/>
        <v>"%USERPROFILE%\Documents\GitHub\eaglep3\Utilities\RefineRTDCRunTimes.py" --tripid 117-03 --locoid 4031 --swversion DE.1.0.9.0 --startMP 204:447 --initTime 2017-03-03T05:46:46 --startdatetime 2017-03-03T05:48:28 --delay 1 --endMP 204:233318 --enddatetime 2017-03-03T06:32:27 --enforcementcount 0 &gt;&gt;C:\Users\stu\Documents\GitHub\eaglep3-reporting\EC\2017-03-03-refined-times.txt</v>
      </c>
      <c r="AI29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{"issue":{"subject":"","project_id":79,"tracker_id":40,"status_id":1,"priority_id":2,"assigned_to_id":23,"start_date":"2017-03-03","description":"","custom_fields":[{"id":1,"name":"Subdivision","value":"EC"},{"id":4,"name":"Milepost","value":"23.3318"},{"id":17,"name":"Train ID","value":"117-03"},{"id":16,"name":"Locomotive ID","value":"4031"},{"id":130,"name":"Impact","value":""},{"id":150,"name":"Time of Event (Mountain Time)","value":"06:32:27"},{"id":151,"name":"Denver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4031 --day 2017-03-03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"%USERPROFILE%\AppData\Local\Temp\OnboardLogs"\RTDC4031\*4031*20170303* | grep -SE "(Enforcement Action)|(\[TIMEOUT)|(CHR.+\|PRM\|1\|D.+(SWITCH|SIGNAL).+UNKNOWN)" - &gt;&gt; 2017-03-03-UncaughtWiMAX.txt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642</v>
      </c>
      <c r="B30" s="7">
        <v>4032</v>
      </c>
      <c r="C30" s="21" t="s">
        <v>251</v>
      </c>
      <c r="D30" s="21" t="s">
        <v>342</v>
      </c>
      <c r="E30" s="13">
        <v>42797.274965277778</v>
      </c>
      <c r="F30" s="13">
        <v>42797.278622685182</v>
      </c>
      <c r="G30" s="7">
        <v>1</v>
      </c>
      <c r="H30" s="21" t="s">
        <v>824</v>
      </c>
      <c r="I30" s="13">
        <v>42797.309317129628</v>
      </c>
      <c r="J30" s="7">
        <v>0</v>
      </c>
      <c r="K30" s="98" t="str">
        <f t="shared" si="0"/>
        <v>4031/4032</v>
      </c>
      <c r="L30" s="21" t="str">
        <f>VLOOKUP(A30,'Trips&amp;Operators'!$C$1:$G$99999,5,FALSE)</f>
        <v>DAVIS WENDY</v>
      </c>
      <c r="M30" s="6">
        <f t="shared" si="1"/>
        <v>3.0694444445543922E-2</v>
      </c>
      <c r="N30" s="7">
        <f t="shared" si="2"/>
        <v>44.200000001583248</v>
      </c>
      <c r="O30" s="7"/>
      <c r="P30" s="7"/>
      <c r="Q30" s="22"/>
      <c r="R30" s="22"/>
      <c r="S30" s="31">
        <f t="shared" si="17"/>
        <v>1</v>
      </c>
      <c r="T30" s="46" t="str">
        <f t="shared" si="3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4"/>
        <v>https://d0f6bd738d7f1b3e5a7ca70fe4ff75f0.us-east-1.aws.found.io/app/kibana#/discover/Steve-Slow-Train-Analysis-(2080s-and-2083s)?_g=(refreshInterval:(display:Off,pause:!f,section:0,value:0),time:(from:'2017-03-03T05:35:57-0700',mode:absolute,to:'2017-03-03T08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0" s="197" t="str">
        <f t="shared" si="5"/>
        <v>N</v>
      </c>
      <c r="X30" s="197">
        <f t="shared" si="6"/>
        <v>1</v>
      </c>
      <c r="Y30" s="62">
        <f t="shared" si="7"/>
        <v>23.2988</v>
      </c>
      <c r="Z30" s="62">
        <f t="shared" si="8"/>
        <v>1.6299999999999999E-2</v>
      </c>
      <c r="AA30" s="62">
        <f t="shared" si="9"/>
        <v>23.282499999999999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0118-03</v>
      </c>
      <c r="AE30" s="85" t="str">
        <f t="shared" si="11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30" s="82" t="str">
        <f t="shared" si="12"/>
        <v>"C:\Program Files (x86)\AstroGrep\AstroGrep.exe" /spath="%USERPROFILE%\AppData\Local\Temp\OnboardLogs" /stypes="app*4032*20170303*"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6" t="str">
        <f t="shared" si="18"/>
        <v>"%USERPROFILE%\Documents\GitHub\eaglep3\Utilities\RefineRTDCRunTimes.py" --tripid 118-03 --locoid 4032 --swversion DE.1.0.9.0 --startMP 204:232988 --initTime 2017-03-03T06:35:57 --startdatetime 2017-03-03T06:41:13 --delay 1 --endMP 204:163 --enddatetime 2017-03-03T07:25:25 --enforcementcount 0 &gt;&gt;C:\Users\stu\Documents\GitHub\eaglep3-reporting\EC\2017-03-03-refined-times.txt</v>
      </c>
      <c r="AI30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{"issue":{"subject":"","project_id":79,"tracker_id":40,"status_id":1,"priority_id":2,"assigned_to_id":23,"start_date":"2017-03-03","description":"","custom_fields":[{"id":1,"name":"Subdivision","value":"EC"},{"id":4,"name":"Milepost","value":"0.0163"},{"id":17,"name":"Train ID","value":"118-03"},{"id":16,"name":"Locomotive ID","value":"4032"},{"id":130,"name":"Impact","value":""},{"id":150,"name":"Time of Event (Mountain Time)","value":"07:25:25"},{"id":151,"name":"Denver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4032 --day 2017-03-03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"%USERPROFILE%\AppData\Local\Temp\OnboardLogs"\RTDC4032\*4032*20170303* | grep -SE "(Enforcement Action)|(\[TIMEOUT)|(CHR.+\|PRM\|1\|D.+(SWITCH|SIGNAL).+UNKNOWN)" - &gt;&gt; 2017-03-03-UncaughtWiMAX.txt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638</v>
      </c>
      <c r="B31" s="7">
        <v>4024</v>
      </c>
      <c r="C31" s="21" t="s">
        <v>251</v>
      </c>
      <c r="D31" s="21" t="s">
        <v>832</v>
      </c>
      <c r="E31" s="13">
        <v>42797.254629629628</v>
      </c>
      <c r="F31" s="13">
        <v>42797.256238425929</v>
      </c>
      <c r="G31" s="7">
        <v>1</v>
      </c>
      <c r="H31" s="21" t="s">
        <v>833</v>
      </c>
      <c r="I31" s="13">
        <v>42797.284826388888</v>
      </c>
      <c r="J31" s="7">
        <v>0</v>
      </c>
      <c r="K31" s="98" t="str">
        <f t="shared" si="0"/>
        <v>4023/4024</v>
      </c>
      <c r="L31" s="21" t="str">
        <f>VLOOKUP(A31,'Trips&amp;Operators'!$C$1:$G$99999,5,FALSE)</f>
        <v>CUSHING HARRY</v>
      </c>
      <c r="M31" s="6">
        <f t="shared" si="1"/>
        <v>2.8587962959136348E-2</v>
      </c>
      <c r="N31" s="7">
        <f t="shared" si="2"/>
        <v>41.166666661156341</v>
      </c>
      <c r="O31" s="7"/>
      <c r="P31" s="7"/>
      <c r="Q31" s="22"/>
      <c r="R31" s="22"/>
      <c r="S31" s="31">
        <f t="shared" si="17"/>
        <v>1</v>
      </c>
      <c r="T31" s="46" t="str">
        <f t="shared" si="3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4"/>
        <v>https://d0f6bd738d7f1b3e5a7ca70fe4ff75f0.us-east-1.aws.found.io/app/kibana#/discover/Steve-Slow-Train-Analysis-(2080s-and-2083s)?_g=(refreshInterval:(display:Off,pause:!f,section:0,value:0),time:(from:'2017-03-03T05:06:40-0700',mode:absolute,to:'2017-03-03T07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1" s="197" t="str">
        <f t="shared" si="5"/>
        <v>N</v>
      </c>
      <c r="X31" s="197">
        <f t="shared" si="6"/>
        <v>1</v>
      </c>
      <c r="Y31" s="62">
        <f t="shared" si="7"/>
        <v>8.9200000000000002E-2</v>
      </c>
      <c r="Z31" s="62">
        <f t="shared" si="8"/>
        <v>23.334399999999999</v>
      </c>
      <c r="AA31" s="62">
        <f t="shared" si="9"/>
        <v>23.245199999999997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0119-03</v>
      </c>
      <c r="AE31" s="85" t="str">
        <f t="shared" si="11"/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AF31" s="82" t="str">
        <f t="shared" si="12"/>
        <v>"C:\Program Files (x86)\AstroGrep\AstroGrep.exe" /spath="%USERPROFILE%\AppData\Local\Temp\OnboardLogs" /stypes="app*4024*20170303*"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6" t="str">
        <f t="shared" si="18"/>
        <v>"%USERPROFILE%\Documents\GitHub\eaglep3\Utilities\RefineRTDCRunTimes.py" --tripid 119-03 --locoid 4024 --swversion DE.1.0.9.0 --startMP 204:892 --initTime 2017-03-03T06:06:40 --startdatetime 2017-03-03T06:08:59 --delay 1 --endMP 204:233344 --enddatetime 2017-03-03T06:50:09 --enforcementcount 0 &gt;&gt;C:\Users\stu\Documents\GitHub\eaglep3-reporting\EC\2017-03-03-refined-times.txt</v>
      </c>
      <c r="AI31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{"issue":{"subject":"","project_id":79,"tracker_id":40,"status_id":1,"priority_id":2,"assigned_to_id":23,"start_date":"2017-03-03","description":"","custom_fields":[{"id":1,"name":"Subdivision","value":"EC"},{"id":4,"name":"Milepost","value":"23.3344"},{"id":17,"name":"Train ID","value":"119-03"},{"id":16,"name":"Locomotive ID","value":"4024"},{"id":130,"name":"Impact","value":""},{"id":150,"name":"Time of Event (Mountain Time)","value":"06:50:09"},{"id":151,"name":"Denver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4024 --day 2017-03-03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"%USERPROFILE%\AppData\Local\Temp\OnboardLogs"\RTDC4024\*4024*20170303* | grep -SE "(Enforcement Action)|(\[TIMEOUT)|(CHR.+\|PRM\|1\|D.+(SWITCH|SIGNAL).+UNKNOWN)" - &gt;&gt; 2017-03-03-UncaughtWiMAX.txt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645</v>
      </c>
      <c r="B32" s="7">
        <v>4023</v>
      </c>
      <c r="C32" s="21" t="s">
        <v>251</v>
      </c>
      <c r="D32" s="21" t="s">
        <v>834</v>
      </c>
      <c r="E32" s="13">
        <v>42797.286678240744</v>
      </c>
      <c r="F32" s="13">
        <v>42797.308692129627</v>
      </c>
      <c r="G32" s="7">
        <v>9</v>
      </c>
      <c r="H32" s="21" t="s">
        <v>210</v>
      </c>
      <c r="I32" s="13">
        <v>42797.320300925923</v>
      </c>
      <c r="J32" s="7">
        <v>0</v>
      </c>
      <c r="K32" s="98" t="str">
        <f t="shared" si="0"/>
        <v>4023/4024</v>
      </c>
      <c r="L32" s="21" t="str">
        <f>VLOOKUP(A32,'Trips&amp;Operators'!$C$1:$G$99999,5,FALSE)</f>
        <v>ROBINSON KADDIBA</v>
      </c>
      <c r="M32" s="6">
        <f t="shared" si="1"/>
        <v>1.1608796296059154E-2</v>
      </c>
      <c r="N32" s="7"/>
      <c r="O32" s="7"/>
      <c r="P32" s="7">
        <f>24*60*SUM($M32:$M32)</f>
        <v>16.716666666325182</v>
      </c>
      <c r="Q32" s="22"/>
      <c r="R32" s="22" t="s">
        <v>1005</v>
      </c>
      <c r="S32" s="31">
        <f t="shared" si="17"/>
        <v>0.75</v>
      </c>
      <c r="T32" s="46" t="str">
        <f t="shared" si="3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9</v>
      </c>
      <c r="V32" s="196" t="str">
        <f t="shared" si="4"/>
        <v>https://d0f6bd738d7f1b3e5a7ca70fe4ff75f0.us-east-1.aws.found.io/app/kibana#/discover/Steve-Slow-Train-Analysis-(2080s-and-2083s)?_g=(refreshInterval:(display:Off,pause:!f,section:0,value:0),time:(from:'2017-03-03T05:52:49-0700',mode:absolute,to:'2017-03-03T08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2" s="197" t="str">
        <f t="shared" si="5"/>
        <v>Y</v>
      </c>
      <c r="X32" s="197">
        <f t="shared" si="6"/>
        <v>1</v>
      </c>
      <c r="Y32" s="62">
        <v>6.4138999999999999</v>
      </c>
      <c r="Z32" s="62">
        <f t="shared" si="8"/>
        <v>1.54E-2</v>
      </c>
      <c r="AA32" s="62">
        <f t="shared" si="9"/>
        <v>6.3985000000000003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0120-03</v>
      </c>
      <c r="AE32" s="85" t="str">
        <f t="shared" si="11"/>
        <v>aws s3 cp s3://rtdc.mdm.uploadarchive.raw/RTDC4023/ "%USERPROFILE%\AppData\Local\Temp\OnboardLogs"\RTDC4023\2017-03-03 --exclude "*" --recursive --include "*20170303*" &amp; "%USERPROFILE%\Documents\GitHub\mrs-test-scripts\Headless Mode &amp; Sideloading\WalkAndUnGZ.bat" "%USERPROFILE%\AppData\Local\Temp\OnboardLogs"\RTDC4023\2017-03-03 &amp; aws s3 cp s3://rtdc.mdm.uploadarchive.raw/RTDC4023/ "%USERPROFILE%\AppData\Local\Temp\OnboardLogs"\RTDC4023\2017-03-04 --exclude "*" --recursive --include "*20170304*" &amp; "%USERPROFILE%\Documents\GitHub\mrs-test-scripts\Headless Mode &amp; Sideloading\WalkAndUnGZ.bat" "%USERPROFILE%\AppData\Local\Temp\OnboardLogs"\RTDC4023\2017-03-04</v>
      </c>
      <c r="AF32" s="82" t="str">
        <f t="shared" si="12"/>
        <v>"C:\Program Files (x86)\AstroGrep\AstroGrep.exe" /spath="%USERPROFILE%\AppData\Local\Temp\OnboardLogs" /stypes="app*4023*20170303*"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6" t="str">
        <f t="shared" si="18"/>
        <v>"%USERPROFILE%\Documents\GitHub\eaglep3\Utilities\RefineRTDCRunTimes.py" --tripid 120-03 --locoid 4023 --swversion DE.1.0.9.0 --startMP 204:196045 --initTime 2017-03-03T06:52:49 --startdatetime 2017-03-03T07:24:31 --delay 9 --endMP 204:154 --enddatetime 2017-03-03T07:41:14 --enforcementcount 0 &gt;&gt;C:\Users\stu\Documents\GitHub\eaglep3-reporting\EC\2017-03-03-refined-times.txt</v>
      </c>
      <c r="AI32" s="108" t="str">
        <f t="shared" si="19"/>
        <v>echo {"issue":{"subject":"Onboard in-route failure","project_id":79,"tracker_id":40,"status_id":1,"priority_id":2,"assigned_to_id":23,"start_date":"2017-03-03","description":"","custom_fields":[{"id":1,"name":"Subdivision","value":"EC"},{"id":4,"name":"Milepost","value":"0.0154"},{"id":17,"name":"Train ID","value":"120-03"},{"id":16,"name":"Locomotive ID","value":"4023"},{"id":130,"name":"Impact","value":""},{"id":150,"name":"Time of Event (Mountain Time)","value":"07:41:14"},{"id":151,"name":"Denver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4023 --day 2017-03-03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"%USERPROFILE%\AppData\Local\Temp\OnboardLogs"\RTDC4023\*4023*20170303* | grep -SE "(Enforcement Action)|(\[TIMEOUT)|(CHR.+\|PRM\|1\|D.+(SWITCH|SIGNAL).+UNKNOWN)" - &gt;&gt; 2017-03-03-UncaughtWiMAX.txt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645</v>
      </c>
      <c r="B33" s="7">
        <v>4023</v>
      </c>
      <c r="C33" s="21" t="s">
        <v>251</v>
      </c>
      <c r="D33" s="21" t="s">
        <v>835</v>
      </c>
      <c r="E33" s="13">
        <v>42797.307245370372</v>
      </c>
      <c r="F33" s="13">
        <v>42797.308692129627</v>
      </c>
      <c r="G33" s="7">
        <v>1</v>
      </c>
      <c r="H33" s="21" t="s">
        <v>210</v>
      </c>
      <c r="I33" s="13">
        <v>42797.320300925923</v>
      </c>
      <c r="J33" s="7">
        <v>0</v>
      </c>
      <c r="K33" s="98" t="str">
        <f t="shared" si="0"/>
        <v>4023/4024</v>
      </c>
      <c r="L33" s="21" t="str">
        <f>VLOOKUP(A33,'Trips&amp;Operators'!$C$1:$G$99999,5,FALSE)</f>
        <v>ROBINSON KADDIBA</v>
      </c>
      <c r="M33" s="6">
        <f t="shared" si="1"/>
        <v>1.1608796296059154E-2</v>
      </c>
      <c r="N33" s="7"/>
      <c r="O33" s="7"/>
      <c r="P33" s="7"/>
      <c r="Q33" s="22"/>
      <c r="R33" s="22"/>
      <c r="S33" s="31"/>
      <c r="T33" s="46" t="str">
        <f t="shared" si="3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9</v>
      </c>
      <c r="V33" s="196" t="str">
        <f t="shared" si="4"/>
        <v>https://d0f6bd738d7f1b3e5a7ca70fe4ff75f0.us-east-1.aws.found.io/app/kibana#/discover/Steve-Slow-Train-Analysis-(2080s-and-2083s)?_g=(refreshInterval:(display:Off,pause:!f,section:0,value:0),time:(from:'2017-03-03T06:22:26-0700',mode:absolute,to:'2017-03-03T08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3" s="197" t="str">
        <f t="shared" si="5"/>
        <v>Y</v>
      </c>
      <c r="X33" s="197">
        <f t="shared" si="6"/>
        <v>0</v>
      </c>
      <c r="Y33" s="62">
        <f t="shared" ref="Y33:Y96" si="21">RIGHT(D33,LEN(D33)-4)/10000</f>
        <v>6.4138999999999999</v>
      </c>
      <c r="Z33" s="62">
        <f t="shared" si="8"/>
        <v>1.54E-2</v>
      </c>
      <c r="AA33" s="62">
        <f t="shared" si="9"/>
        <v>6.3985000000000003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0120-03</v>
      </c>
      <c r="AE33" s="85" t="str">
        <f t="shared" si="11"/>
        <v>aws s3 cp s3://rtdc.mdm.uploadarchive.raw/RTDC4023/ "%USERPROFILE%\AppData\Local\Temp\OnboardLogs"\RTDC4023\2017-03-03 --exclude "*" --recursive --include "*20170303*" &amp; "%USERPROFILE%\Documents\GitHub\mrs-test-scripts\Headless Mode &amp; Sideloading\WalkAndUnGZ.bat" "%USERPROFILE%\AppData\Local\Temp\OnboardLogs"\RTDC4023\2017-03-03 &amp; aws s3 cp s3://rtdc.mdm.uploadarchive.raw/RTDC4023/ "%USERPROFILE%\AppData\Local\Temp\OnboardLogs"\RTDC4023\2017-03-04 --exclude "*" --recursive --include "*20170304*" &amp; "%USERPROFILE%\Documents\GitHub\mrs-test-scripts\Headless Mode &amp; Sideloading\WalkAndUnGZ.bat" "%USERPROFILE%\AppData\Local\Temp\OnboardLogs"\RTDC4023\2017-03-04</v>
      </c>
      <c r="AF33" s="82" t="str">
        <f t="shared" si="12"/>
        <v>"C:\Program Files (x86)\AstroGrep\AstroGrep.exe" /spath="%USERPROFILE%\AppData\Local\Temp\OnboardLogs" /stypes="app*4023*20170303*" /stext=" 14:.+((SYSTEM_STATE.+slice.+state.+changed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6" t="str">
        <f t="shared" si="18"/>
        <v>"%USERPROFILE%\Documents\GitHub\eaglep3\Utilities\RefineRTDCRunTimes.py" --tripid 120-03 --locoid 4023 --swversion DE.1.0.9.0 --startMP 204:64139 --initTime 2017-03-03T07:22:26 --startdatetime 2017-03-03T07:24:31 --delay 1 --endMP 204:154 --enddatetime 2017-03-03T07:41:14 --enforcementcount 0 &gt;&gt;C:\Users\stu\Documents\GitHub\eaglep3-reporting\EC\2017-03-03-refined-times.txt</v>
      </c>
      <c r="AI33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{"issue":{"subject":"","project_id":79,"tracker_id":40,"status_id":1,"priority_id":2,"assigned_to_id":23,"start_date":"2017-03-03","description":"","custom_fields":[{"id":1,"name":"Subdivision","value":"EC"},{"id":4,"name":"Milepost","value":"0.0154"},{"id":17,"name":"Train ID","value":"120-03"},{"id":16,"name":"Locomotive ID","value":"4023"},{"id":130,"name":"Impact","value":""},{"id":150,"name":"Time of Event (Mountain Time)","value":"07:41:14"},{"id":151,"name":"Denver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4023 --day 2017-03-03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"%USERPROFILE%\AppData\Local\Temp\OnboardLogs"\RTDC4023\*4023*20170303* | grep -SE "(Enforcement Action)|(\[TIMEOUT)|(CHR.+\|PRM\|1\|D.+(SWITCH|SIGNAL).+UNKNOWN)" - &gt;&gt; 2017-03-03-UncaughtWiMAX.txt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571</v>
      </c>
      <c r="B34" s="7">
        <v>4051</v>
      </c>
      <c r="C34" s="21" t="s">
        <v>251</v>
      </c>
      <c r="D34" s="21" t="s">
        <v>538</v>
      </c>
      <c r="E34" s="13">
        <v>42797.259456018517</v>
      </c>
      <c r="F34" s="13">
        <v>42797.260775462964</v>
      </c>
      <c r="G34" s="7">
        <v>1</v>
      </c>
      <c r="H34" s="21" t="s">
        <v>256</v>
      </c>
      <c r="I34" s="13">
        <v>42797.292280092595</v>
      </c>
      <c r="J34" s="7">
        <v>0</v>
      </c>
      <c r="K34" s="98" t="str">
        <f t="shared" si="0"/>
        <v>4051/4052</v>
      </c>
      <c r="L34" s="21" t="str">
        <f>VLOOKUP(A34,'Trips&amp;Operators'!$C$1:$G$99999,5,FALSE)</f>
        <v>STARKS ANGELINA</v>
      </c>
      <c r="M34" s="6">
        <f t="shared" si="1"/>
        <v>3.1504629630944692E-2</v>
      </c>
      <c r="N34" s="7">
        <f t="shared" ref="N34:N54" si="22">24*60*SUM($M34:$M34)</f>
        <v>45.366666668560356</v>
      </c>
      <c r="O34" s="7"/>
      <c r="P34" s="7"/>
      <c r="Q34" s="22"/>
      <c r="R34" s="22"/>
      <c r="S34" s="31">
        <f t="shared" si="17"/>
        <v>1</v>
      </c>
      <c r="T34" s="46" t="str">
        <f t="shared" si="3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4"/>
        <v>https://d0f6bd738d7f1b3e5a7ca70fe4ff75f0.us-east-1.aws.found.io/app/kibana#/discover/Steve-Slow-Train-Analysis-(2080s-and-2083s)?_g=(refreshInterval:(display:Off,pause:!f,section:0,value:0),time:(from:'2017-03-03T05:13:37-0700',mode:absolute,to:'2017-03-03T08:00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4" s="197" t="str">
        <f t="shared" si="5"/>
        <v>N</v>
      </c>
      <c r="X34" s="197">
        <f t="shared" si="6"/>
        <v>1</v>
      </c>
      <c r="Y34" s="62">
        <f t="shared" si="21"/>
        <v>4.82E-2</v>
      </c>
      <c r="Z34" s="62">
        <f t="shared" si="8"/>
        <v>23.328399999999998</v>
      </c>
      <c r="AA34" s="62">
        <f t="shared" si="9"/>
        <v>23.280199999999997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0121-03</v>
      </c>
      <c r="AE34" s="85" t="str">
        <f t="shared" si="11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34" s="82" t="str">
        <f t="shared" si="12"/>
        <v>"C:\Program Files (x86)\AstroGrep\AstroGrep.exe" /spath="%USERPROFILE%\AppData\Local\Temp\OnboardLogs" /stypes="app*4051*20170303*"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6" t="str">
        <f t="shared" si="18"/>
        <v>"%USERPROFILE%\Documents\GitHub\eaglep3\Utilities\RefineRTDCRunTimes.py" --tripid 121-03 --locoid 4051 --swversion DE.1.0.9.0 --startMP 204:482 --initTime 2017-03-03T06:13:37 --startdatetime 2017-03-03T06:15:31 --delay 1 --endMP 204:233284 --enddatetime 2017-03-03T07:00:53 --enforcementcount 0 &gt;&gt;C:\Users\stu\Documents\GitHub\eaglep3-reporting\EC\2017-03-03-refined-times.txt</v>
      </c>
      <c r="AI34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{"issue":{"subject":"","project_id":79,"tracker_id":40,"status_id":1,"priority_id":2,"assigned_to_id":23,"start_date":"2017-03-03","description":"","custom_fields":[{"id":1,"name":"Subdivision","value":"EC"},{"id":4,"name":"Milepost","value":"23.3284"},{"id":17,"name":"Train ID","value":"121-03"},{"id":16,"name":"Locomotive ID","value":"4051"},{"id":130,"name":"Impact","value":""},{"id":150,"name":"Time of Event (Mountain Time)","value":"07:00:53"},{"id":151,"name":"Denver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4051 --day 2017-03-03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"%USERPROFILE%\AppData\Local\Temp\OnboardLogs"\RTDC4051\*4051*20170303* | grep -SE "(Enforcement Action)|(\[TIMEOUT)|(CHR.+\|PRM\|1\|D.+(SWITCH|SIGNAL).+UNKNOWN)" - &gt;&gt; 2017-03-03-UncaughtWiMAX.txt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576</v>
      </c>
      <c r="B35" s="7">
        <v>4052</v>
      </c>
      <c r="C35" s="21" t="s">
        <v>251</v>
      </c>
      <c r="D35" s="21" t="s">
        <v>537</v>
      </c>
      <c r="E35" s="13">
        <v>42797.294687499998</v>
      </c>
      <c r="F35" s="13">
        <v>42797.299513888887</v>
      </c>
      <c r="G35" s="7">
        <v>1</v>
      </c>
      <c r="H35" s="21" t="s">
        <v>205</v>
      </c>
      <c r="I35" s="13">
        <v>42797.331365740742</v>
      </c>
      <c r="J35" s="7">
        <v>0</v>
      </c>
      <c r="K35" s="98" t="str">
        <f t="shared" si="0"/>
        <v>4051/4052</v>
      </c>
      <c r="L35" s="21" t="str">
        <f>VLOOKUP(A35,'Trips&amp;Operators'!$C$1:$G$99999,5,FALSE)</f>
        <v>STARKS ANGELINA</v>
      </c>
      <c r="M35" s="6">
        <f t="shared" si="1"/>
        <v>3.1851851854298729E-2</v>
      </c>
      <c r="N35" s="7">
        <f t="shared" si="22"/>
        <v>45.86666667019017</v>
      </c>
      <c r="O35" s="7"/>
      <c r="P35" s="7"/>
      <c r="Q35" s="22"/>
      <c r="R35" s="22"/>
      <c r="S35" s="31">
        <f t="shared" si="17"/>
        <v>1</v>
      </c>
      <c r="T35" s="46" t="str">
        <f t="shared" si="3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4"/>
        <v>https://d0f6bd738d7f1b3e5a7ca70fe4ff75f0.us-east-1.aws.found.io/app/kibana#/discover/Steve-Slow-Train-Analysis-(2080s-and-2083s)?_g=(refreshInterval:(display:Off,pause:!f,section:0,value:0),time:(from:'2017-03-03T06:04:21-0700',mode:absolute,to:'2017-03-03T08:57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5" s="197" t="str">
        <f t="shared" si="5"/>
        <v>N</v>
      </c>
      <c r="X35" s="197">
        <f t="shared" si="6"/>
        <v>1</v>
      </c>
      <c r="Y35" s="62">
        <f t="shared" si="21"/>
        <v>23.296299999999999</v>
      </c>
      <c r="Z35" s="62">
        <f t="shared" si="8"/>
        <v>1.5800000000000002E-2</v>
      </c>
      <c r="AA35" s="62">
        <f t="shared" si="9"/>
        <v>23.2805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0122-03</v>
      </c>
      <c r="AE35" s="85" t="str">
        <f t="shared" si="11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35" s="82" t="str">
        <f t="shared" si="12"/>
        <v>"C:\Program Files (x86)\AstroGrep\AstroGrep.exe" /spath="%USERPROFILE%\AppData\Local\Temp\OnboardLogs" /stypes="app*4052*20170303*"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6" t="str">
        <f t="shared" si="18"/>
        <v>"%USERPROFILE%\Documents\GitHub\eaglep3\Utilities\RefineRTDCRunTimes.py" --tripid 122-03 --locoid 4052 --swversion DE.1.0.9.0 --startMP 204:232963 --initTime 2017-03-03T07:04:21 --startdatetime 2017-03-03T07:11:18 --delay 1 --endMP 204:158 --enddatetime 2017-03-03T07:57:10 --enforcementcount 0 &gt;&gt;C:\Users\stu\Documents\GitHub\eaglep3-reporting\EC\2017-03-03-refined-times.txt</v>
      </c>
      <c r="AI35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{"issue":{"subject":"","project_id":79,"tracker_id":40,"status_id":1,"priority_id":2,"assigned_to_id":23,"start_date":"2017-03-03","description":"","custom_fields":[{"id":1,"name":"Subdivision","value":"EC"},{"id":4,"name":"Milepost","value":"0.0158"},{"id":17,"name":"Train ID","value":"122-03"},{"id":16,"name":"Locomotive ID","value":"4052"},{"id":130,"name":"Impact","value":""},{"id":150,"name":"Time of Event (Mountain Time)","value":"07:57:10"},{"id":151,"name":"Denver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4052 --day 2017-03-03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641</v>
      </c>
      <c r="B36" s="7">
        <v>4046</v>
      </c>
      <c r="C36" s="21" t="s">
        <v>251</v>
      </c>
      <c r="D36" s="21" t="s">
        <v>344</v>
      </c>
      <c r="E36" s="13">
        <v>42797.268159722225</v>
      </c>
      <c r="F36" s="13">
        <v>42797.271192129629</v>
      </c>
      <c r="G36" s="7">
        <v>2</v>
      </c>
      <c r="H36" s="21" t="s">
        <v>258</v>
      </c>
      <c r="I36" s="13">
        <v>42797.297222222223</v>
      </c>
      <c r="J36" s="7">
        <v>0</v>
      </c>
      <c r="K36" s="98" t="str">
        <f t="shared" si="0"/>
        <v>4045/4046</v>
      </c>
      <c r="L36" s="21" t="str">
        <f>VLOOKUP(A36,'Trips&amp;Operators'!$C$1:$G$99999,5,FALSE)</f>
        <v>LOZA FIDEL</v>
      </c>
      <c r="M36" s="6">
        <f t="shared" si="1"/>
        <v>2.6030092594737653E-2</v>
      </c>
      <c r="N36" s="7">
        <f t="shared" si="22"/>
        <v>37.48333333642222</v>
      </c>
      <c r="O36" s="7"/>
      <c r="P36" s="7"/>
      <c r="Q36" s="22"/>
      <c r="R36" s="22"/>
      <c r="S36" s="31">
        <f t="shared" si="17"/>
        <v>1</v>
      </c>
      <c r="T36" s="46" t="str">
        <f t="shared" si="3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4"/>
        <v>https://d0f6bd738d7f1b3e5a7ca70fe4ff75f0.us-east-1.aws.found.io/app/kibana#/discover/Steve-Slow-Train-Analysis-(2080s-and-2083s)?_g=(refreshInterval:(display:Off,pause:!f,section:0,value:0),time:(from:'2017-03-03T05:26:09-0700',mode:absolute,to:'2017-03-03T08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6" s="197" t="str">
        <f t="shared" si="5"/>
        <v>N</v>
      </c>
      <c r="X36" s="197">
        <f t="shared" si="6"/>
        <v>1</v>
      </c>
      <c r="Y36" s="62">
        <f t="shared" si="21"/>
        <v>4.6899999999999997E-2</v>
      </c>
      <c r="Z36" s="62">
        <f t="shared" si="8"/>
        <v>23.331399999999999</v>
      </c>
      <c r="AA36" s="62">
        <f t="shared" si="9"/>
        <v>23.284499999999998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0123-03</v>
      </c>
      <c r="AE36" s="85" t="str">
        <f t="shared" si="11"/>
        <v>aws s3 cp s3://rtdc.mdm.uploadarchive.raw/RTDC4046/ "%USERPROFILE%\AppData\Local\Temp\OnboardLogs"\RTDC4046\2017-03-03 --exclude "*" --recursive --include "*20170303*" &amp; "%USERPROFILE%\Documents\GitHub\mrs-test-scripts\Headless Mode &amp; Sideloading\WalkAndUnGZ.bat" "%USERPROFILE%\AppData\Local\Temp\OnboardLogs"\RTDC4046\2017-03-03 &amp; 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</v>
      </c>
      <c r="AF36" s="82" t="str">
        <f t="shared" si="12"/>
        <v>"C:\Program Files (x86)\AstroGrep\AstroGrep.exe" /spath="%USERPROFILE%\AppData\Local\Temp\OnboardLogs" /stypes="app*4046*20170303*" /stext=" 14:.+((SYSTEM_STATE.+slice.+state.+changed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6" t="str">
        <f t="shared" si="18"/>
        <v>"%USERPROFILE%\Documents\GitHub\eaglep3\Utilities\RefineRTDCRunTimes.py" --tripid 123-03 --locoid 4046 --swversion DE.1.0.9.0 --startMP 204:469 --initTime 2017-03-03T06:26:09 --startdatetime 2017-03-03T06:30:31 --delay 2 --endMP 204:233314 --enddatetime 2017-03-03T07:08:00 --enforcementcount 0 &gt;&gt;C:\Users\stu\Documents\GitHub\eaglep3-reporting\EC\2017-03-03-refined-times.txt</v>
      </c>
      <c r="AI36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{"issue":{"subject":"","project_id":79,"tracker_id":40,"status_id":1,"priority_id":2,"assigned_to_id":23,"start_date":"2017-03-03","description":"","custom_fields":[{"id":1,"name":"Subdivision","value":"EC"},{"id":4,"name":"Milepost","value":"23.3314"},{"id":17,"name":"Train ID","value":"123-03"},{"id":16,"name":"Locomotive ID","value":"4046"},{"id":130,"name":"Impact","value":""},{"id":150,"name":"Time of Event (Mountain Time)","value":"07:08:00"},{"id":151,"name":"Denver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4046 --day 2017-03-03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"%USERPROFILE%\AppData\Local\Temp\OnboardLogs"\RTDC4046\*4046*20170303* | grep -SE "(Enforcement Action)|(\[TIMEOUT)|(CHR.+\|PRM\|1\|D.+(SWITCH|SIGNAL).+UNKNOWN)" - &gt;&gt; 2017-03-03-UncaughtWiMAX.txt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652</v>
      </c>
      <c r="B37" s="7">
        <v>4045</v>
      </c>
      <c r="C37" s="21" t="s">
        <v>251</v>
      </c>
      <c r="D37" s="21" t="s">
        <v>319</v>
      </c>
      <c r="E37" s="13">
        <v>42797.305405092593</v>
      </c>
      <c r="F37" s="13">
        <v>42797.310578703706</v>
      </c>
      <c r="G37" s="7">
        <v>2</v>
      </c>
      <c r="H37" s="21" t="s">
        <v>243</v>
      </c>
      <c r="I37" s="13">
        <v>42797.339143518519</v>
      </c>
      <c r="J37" s="7">
        <v>0</v>
      </c>
      <c r="K37" s="98" t="str">
        <f t="shared" si="0"/>
        <v>4045/4046</v>
      </c>
      <c r="L37" s="21" t="str">
        <f>VLOOKUP(A37,'Trips&amp;Operators'!$C$1:$G$99999,5,FALSE)</f>
        <v>LOZA FIDEL</v>
      </c>
      <c r="M37" s="6">
        <f t="shared" si="1"/>
        <v>2.8564814812853001E-2</v>
      </c>
      <c r="N37" s="7">
        <f t="shared" si="22"/>
        <v>41.133333330508322</v>
      </c>
      <c r="O37" s="7"/>
      <c r="P37" s="7"/>
      <c r="Q37" s="22"/>
      <c r="R37" s="22"/>
      <c r="S37" s="31">
        <f t="shared" si="17"/>
        <v>1</v>
      </c>
      <c r="T37" s="46" t="str">
        <f t="shared" si="3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4"/>
        <v>https://d0f6bd738d7f1b3e5a7ca70fe4ff75f0.us-east-1.aws.found.io/app/kibana#/discover/Steve-Slow-Train-Analysis-(2080s-and-2083s)?_g=(refreshInterval:(display:Off,pause:!f,section:0,value:0),time:(from:'2017-03-03T06:19:47-0700',mode:absolute,to:'2017-03-03T09:08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7" s="197" t="str">
        <f t="shared" si="5"/>
        <v>N</v>
      </c>
      <c r="X37" s="197">
        <f t="shared" si="6"/>
        <v>1</v>
      </c>
      <c r="Y37" s="62">
        <f t="shared" si="21"/>
        <v>23.299099999999999</v>
      </c>
      <c r="Z37" s="62">
        <f t="shared" si="8"/>
        <v>1.47E-2</v>
      </c>
      <c r="AA37" s="62">
        <f t="shared" si="9"/>
        <v>23.284399999999998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0124-03</v>
      </c>
      <c r="AE37" s="85" t="str">
        <f t="shared" si="11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37" s="82" t="str">
        <f t="shared" si="12"/>
        <v>"C:\Program Files (x86)\AstroGrep\AstroGrep.exe" /spath="%USERPROFILE%\AppData\Local\Temp\OnboardLogs" /stypes="app*4045*20170303*" /stext=" 15:.+((SYSTEM_STATE.+slice.+state.+changed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6" t="str">
        <f t="shared" si="18"/>
        <v>"%USERPROFILE%\Documents\GitHub\eaglep3\Utilities\RefineRTDCRunTimes.py" --tripid 124-03 --locoid 4045 --swversion DE.1.0.9.0 --startMP 204:232991 --initTime 2017-03-03T07:19:47 --startdatetime 2017-03-03T07:27:14 --delay 2 --endMP 204:147 --enddatetime 2017-03-03T08:08:22 --enforcementcount 0 &gt;&gt;C:\Users\stu\Documents\GitHub\eaglep3-reporting\EC\2017-03-03-refined-times.txt</v>
      </c>
      <c r="AI37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{"issue":{"subject":"","project_id":79,"tracker_id":40,"status_id":1,"priority_id":2,"assigned_to_id":23,"start_date":"2017-03-03","description":"","custom_fields":[{"id":1,"name":"Subdivision","value":"EC"},{"id":4,"name":"Milepost","value":"0.0147"},{"id":17,"name":"Train ID","value":"124-03"},{"id":16,"name":"Locomotive ID","value":"4045"},{"id":130,"name":"Impact","value":""},{"id":150,"name":"Time of Event (Mountain Time)","value":"08:08:22"},{"id":151,"name":"Denver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4045 --day 2017-03-03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"%USERPROFILE%\AppData\Local\Temp\OnboardLogs"\RTDC4045\*4045*20170303* | grep -SE "(Enforcement Action)|(\[TIMEOUT)|(CHR.+\|PRM\|1\|D.+(SWITCH|SIGNAL).+UNKNOWN)" - &gt;&gt; 2017-03-03-UncaughtWiMAX.txt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644</v>
      </c>
      <c r="B38" s="7">
        <v>4027</v>
      </c>
      <c r="C38" s="21" t="s">
        <v>251</v>
      </c>
      <c r="D38" s="21" t="s">
        <v>252</v>
      </c>
      <c r="E38" s="13">
        <v>42797.279097222221</v>
      </c>
      <c r="F38" s="13">
        <v>42797.281400462962</v>
      </c>
      <c r="G38" s="7">
        <v>2</v>
      </c>
      <c r="H38" s="21" t="s">
        <v>528</v>
      </c>
      <c r="I38" s="13">
        <v>42797.307847222219</v>
      </c>
      <c r="J38" s="7">
        <v>0</v>
      </c>
      <c r="K38" s="98" t="str">
        <f t="shared" si="0"/>
        <v>4027/4028</v>
      </c>
      <c r="L38" s="21" t="str">
        <f>VLOOKUP(A38,'Trips&amp;Operators'!$C$1:$G$99999,5,FALSE)</f>
        <v>LOCKLEAR TRAVIS</v>
      </c>
      <c r="M38" s="6">
        <f t="shared" si="1"/>
        <v>2.6446759256941732E-2</v>
      </c>
      <c r="N38" s="7">
        <f t="shared" si="22"/>
        <v>38.083333329996094</v>
      </c>
      <c r="O38" s="7"/>
      <c r="P38" s="7"/>
      <c r="Q38" s="22"/>
      <c r="R38" s="22"/>
      <c r="S38" s="31">
        <f t="shared" si="17"/>
        <v>1</v>
      </c>
      <c r="T38" s="46" t="str">
        <f t="shared" si="3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4"/>
        <v>https://d0f6bd738d7f1b3e5a7ca70fe4ff75f0.us-east-1.aws.found.io/app/kibana#/discover/Steve-Slow-Train-Analysis-(2080s-and-2083s)?_g=(refreshInterval:(display:Off,pause:!f,section:0,value:0),time:(from:'2017-03-03T05:41:54-0700',mode:absolute,to:'2017-03-03T08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97" t="str">
        <f t="shared" si="5"/>
        <v>N</v>
      </c>
      <c r="X38" s="197">
        <f t="shared" si="6"/>
        <v>1</v>
      </c>
      <c r="Y38" s="62">
        <f t="shared" si="21"/>
        <v>4.58E-2</v>
      </c>
      <c r="Z38" s="62">
        <f t="shared" si="8"/>
        <v>23.328199999999999</v>
      </c>
      <c r="AA38" s="62">
        <f t="shared" si="9"/>
        <v>23.282399999999999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0125-03</v>
      </c>
      <c r="AE38" s="85" t="str">
        <f t="shared" si="11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38" s="82" t="str">
        <f t="shared" si="12"/>
        <v>"C:\Program Files (x86)\AstroGrep\AstroGrep.exe" /spath="%USERPROFILE%\AppData\Local\Temp\OnboardLogs" /stypes="app*4027*20170303*" /stext=" 14:.+((SYSTEM_STATE.+slice.+state.+changed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6" t="str">
        <f t="shared" si="18"/>
        <v>"%USERPROFILE%\Documents\GitHub\eaglep3\Utilities\RefineRTDCRunTimes.py" --tripid 125-03 --locoid 4027 --swversion DE.1.0.9.0 --startMP 204:458 --initTime 2017-03-03T06:41:54 --startdatetime 2017-03-03T06:45:13 --delay 2 --endMP 204:233282 --enddatetime 2017-03-03T07:23:18 --enforcementcount 0 &gt;&gt;C:\Users\stu\Documents\GitHub\eaglep3-reporting\EC\2017-03-03-refined-times.txt</v>
      </c>
      <c r="AI38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{"issue":{"subject":"","project_id":79,"tracker_id":40,"status_id":1,"priority_id":2,"assigned_to_id":23,"start_date":"2017-03-03","description":"","custom_fields":[{"id":1,"name":"Subdivision","value":"EC"},{"id":4,"name":"Milepost","value":"23.3282"},{"id":17,"name":"Train ID","value":"125-03"},{"id":16,"name":"Locomotive ID","value":"4027"},{"id":130,"name":"Impact","value":""},{"id":150,"name":"Time of Event (Mountain Time)","value":"07:23:18"},{"id":151,"name":"Denver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4027 --day 2017-03-03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"%USERPROFILE%\AppData\Local\Temp\OnboardLogs"\RTDC4027\*4027*20170303* | grep -SE "(Enforcement Action)|(\[TIMEOUT)|(CHR.+\|PRM\|1\|D.+(SWITCH|SIGNAL).+UNKNOWN)" - &gt;&gt; 2017-03-03-UncaughtWiMAX.txt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654</v>
      </c>
      <c r="B39" s="7">
        <v>4028</v>
      </c>
      <c r="C39" s="21" t="s">
        <v>251</v>
      </c>
      <c r="D39" s="21" t="s">
        <v>322</v>
      </c>
      <c r="E39" s="13">
        <v>42797.31795138889</v>
      </c>
      <c r="F39" s="13">
        <v>42797.3203125</v>
      </c>
      <c r="G39" s="7">
        <v>1</v>
      </c>
      <c r="H39" s="21" t="s">
        <v>184</v>
      </c>
      <c r="I39" s="13">
        <v>42797.350636574076</v>
      </c>
      <c r="J39" s="7">
        <v>0</v>
      </c>
      <c r="K39" s="98" t="str">
        <f t="shared" si="0"/>
        <v>4027/4028</v>
      </c>
      <c r="L39" s="21" t="str">
        <f>VLOOKUP(A39,'Trips&amp;Operators'!$C$1:$G$99999,5,FALSE)</f>
        <v>LOCKLEAR TRAVIS</v>
      </c>
      <c r="M39" s="6">
        <f t="shared" si="1"/>
        <v>3.0324074075906537E-2</v>
      </c>
      <c r="N39" s="7">
        <f t="shared" si="22"/>
        <v>43.666666669305414</v>
      </c>
      <c r="O39" s="7"/>
      <c r="P39" s="7"/>
      <c r="Q39" s="22"/>
      <c r="R39" s="22"/>
      <c r="S39" s="31">
        <f t="shared" si="17"/>
        <v>1</v>
      </c>
      <c r="T39" s="46" t="str">
        <f t="shared" si="3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4"/>
        <v>https://d0f6bd738d7f1b3e5a7ca70fe4ff75f0.us-east-1.aws.found.io/app/kibana#/discover/Steve-Slow-Train-Analysis-(2080s-and-2083s)?_g=(refreshInterval:(display:Off,pause:!f,section:0,value:0),time:(from:'2017-03-03T06:37:51-0700',mode:absolute,to:'2017-03-03T09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9" s="197" t="str">
        <f t="shared" si="5"/>
        <v>N</v>
      </c>
      <c r="X39" s="197">
        <f t="shared" si="6"/>
        <v>1</v>
      </c>
      <c r="Y39" s="62">
        <f t="shared" si="21"/>
        <v>23.2971</v>
      </c>
      <c r="Z39" s="62">
        <f t="shared" si="8"/>
        <v>1.49E-2</v>
      </c>
      <c r="AA39" s="62">
        <f t="shared" si="9"/>
        <v>23.2822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0126-03</v>
      </c>
      <c r="AE39" s="85" t="str">
        <f t="shared" si="11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39" s="82" t="str">
        <f t="shared" si="12"/>
        <v>"C:\Program Files (x86)\AstroGrep\AstroGrep.exe" /spath="%USERPROFILE%\AppData\Local\Temp\OnboardLogs" /stypes="app*4028*20170303*" /stext=" 15:.+((SYSTEM_STATE.+slice.+state.+changed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6" t="str">
        <f t="shared" si="18"/>
        <v>"%USERPROFILE%\Documents\GitHub\eaglep3\Utilities\RefineRTDCRunTimes.py" --tripid 126-03 --locoid 4028 --swversion DE.1.0.9.0 --startMP 204:232971 --initTime 2017-03-03T07:37:51 --startdatetime 2017-03-03T07:41:15 --delay 1 --endMP 204:149 --enddatetime 2017-03-03T08:24:55 --enforcementcount 0 &gt;&gt;C:\Users\stu\Documents\GitHub\eaglep3-reporting\EC\2017-03-03-refined-times.txt</v>
      </c>
      <c r="AI39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{"issue":{"subject":"","project_id":79,"tracker_id":40,"status_id":1,"priority_id":2,"assigned_to_id":23,"start_date":"2017-03-03","description":"","custom_fields":[{"id":1,"name":"Subdivision","value":"EC"},{"id":4,"name":"Milepost","value":"0.0149"},{"id":17,"name":"Train ID","value":"126-03"},{"id":16,"name":"Locomotive ID","value":"4028"},{"id":130,"name":"Impact","value":""},{"id":150,"name":"Time of Event (Mountain Time)","value":"08:24:55"},{"id":151,"name":"Denver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4028 --day 2017-03-03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"%USERPROFILE%\AppData\Local\Temp\OnboardLogs"\RTDC4028\*4028*20170303* | grep -SE "(Enforcement Action)|(\[TIMEOUT)|(CHR.+\|PRM\|1\|D.+(SWITCH|SIGNAL).+UNKNOWN)" - &gt;&gt; 2017-03-03-UncaughtWiMAX.txt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649</v>
      </c>
      <c r="B40" s="7">
        <v>4053</v>
      </c>
      <c r="C40" s="21" t="s">
        <v>251</v>
      </c>
      <c r="D40" s="21" t="s">
        <v>242</v>
      </c>
      <c r="E40" s="13">
        <v>42797.290243055555</v>
      </c>
      <c r="F40" s="13">
        <v>42797.292013888888</v>
      </c>
      <c r="G40" s="7">
        <v>1</v>
      </c>
      <c r="H40" s="21" t="s">
        <v>349</v>
      </c>
      <c r="I40" s="13">
        <v>42797.319224537037</v>
      </c>
      <c r="J40" s="7">
        <v>0</v>
      </c>
      <c r="K40" s="98" t="str">
        <f t="shared" si="0"/>
        <v>4053/4054</v>
      </c>
      <c r="L40" s="21" t="str">
        <f>VLOOKUP(A40,'Trips&amp;Operators'!$C$1:$G$99999,5,FALSE)</f>
        <v>BADERTSCHER DIANE</v>
      </c>
      <c r="M40" s="6">
        <f t="shared" si="1"/>
        <v>2.7210648149775807E-2</v>
      </c>
      <c r="N40" s="7">
        <f t="shared" si="22"/>
        <v>39.183333335677162</v>
      </c>
      <c r="O40" s="7"/>
      <c r="P40" s="7"/>
      <c r="Q40" s="22"/>
      <c r="R40" s="22"/>
      <c r="S40" s="31">
        <f t="shared" si="17"/>
        <v>1</v>
      </c>
      <c r="T40" s="46" t="str">
        <f t="shared" si="3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4"/>
        <v>https://d0f6bd738d7f1b3e5a7ca70fe4ff75f0.us-east-1.aws.found.io/app/kibana#/discover/Steve-Slow-Train-Analysis-(2080s-and-2083s)?_g=(refreshInterval:(display:Off,pause:!f,section:0,value:0),time:(from:'2017-03-03T05:57:57-0700',mode:absolute,to:'2017-03-03T08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197" t="str">
        <f t="shared" si="5"/>
        <v>N</v>
      </c>
      <c r="X40" s="197">
        <f t="shared" si="6"/>
        <v>1</v>
      </c>
      <c r="Y40" s="62">
        <f t="shared" si="21"/>
        <v>4.4400000000000002E-2</v>
      </c>
      <c r="Z40" s="62">
        <f t="shared" si="8"/>
        <v>23.3291</v>
      </c>
      <c r="AA40" s="62">
        <f t="shared" si="9"/>
        <v>23.284700000000001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0127-03</v>
      </c>
      <c r="AE40" s="85" t="str">
        <f t="shared" si="11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40" s="82" t="str">
        <f t="shared" si="12"/>
        <v>"C:\Program Files (x86)\AstroGrep\AstroGrep.exe" /spath="%USERPROFILE%\AppData\Local\Temp\OnboardLogs" /stypes="app*4053*20170303*" /stext=" 14:.+((SYSTEM_STATE.+slice.+state.+changed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6" t="str">
        <f t="shared" si="18"/>
        <v>"%USERPROFILE%\Documents\GitHub\eaglep3\Utilities\RefineRTDCRunTimes.py" --tripid 127-03 --locoid 4053 --swversion DE.1.0.9.0 --startMP 204:444 --initTime 2017-03-03T06:57:57 --startdatetime 2017-03-03T07:00:30 --delay 1 --endMP 204:233291 --enddatetime 2017-03-03T07:39:41 --enforcementcount 0 &gt;&gt;C:\Users\stu\Documents\GitHub\eaglep3-reporting\EC\2017-03-03-refined-times.txt</v>
      </c>
      <c r="AI40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{"issue":{"subject":"","project_id":79,"tracker_id":40,"status_id":1,"priority_id":2,"assigned_to_id":23,"start_date":"2017-03-03","description":"","custom_fields":[{"id":1,"name":"Subdivision","value":"EC"},{"id":4,"name":"Milepost","value":"23.3291"},{"id":17,"name":"Train ID","value":"127-03"},{"id":16,"name":"Locomotive ID","value":"4053"},{"id":130,"name":"Impact","value":""},{"id":150,"name":"Time of Event (Mountain Time)","value":"07:39:41"},{"id":151,"name":"Denver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4053 --day 2017-03-03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"%USERPROFILE%\AppData\Local\Temp\OnboardLogs"\RTDC4053\*4053*20170303* | grep -SE "(Enforcement Action)|(\[TIMEOUT)|(CHR.+\|PRM\|1\|D.+(SWITCH|SIGNAL).+UNKNOWN)" - &gt;&gt; 2017-03-03-UncaughtWiMAX.txt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582</v>
      </c>
      <c r="B41" s="7">
        <v>4054</v>
      </c>
      <c r="C41" s="21" t="s">
        <v>251</v>
      </c>
      <c r="D41" s="21" t="s">
        <v>257</v>
      </c>
      <c r="E41" s="13">
        <v>42797.322488425925</v>
      </c>
      <c r="F41" s="13">
        <v>42797.33079861111</v>
      </c>
      <c r="G41" s="7">
        <v>1</v>
      </c>
      <c r="H41" s="21" t="s">
        <v>836</v>
      </c>
      <c r="I41" s="13">
        <v>42797.360474537039</v>
      </c>
      <c r="J41" s="7">
        <v>0</v>
      </c>
      <c r="K41" s="98" t="str">
        <f t="shared" si="0"/>
        <v>4053/4054</v>
      </c>
      <c r="L41" s="21" t="str">
        <f>VLOOKUP(A41,'Trips&amp;Operators'!$C$1:$G$99999,5,FALSE)</f>
        <v>BADERTSCHER DIANE</v>
      </c>
      <c r="M41" s="6">
        <f t="shared" si="1"/>
        <v>2.9675925929041114E-2</v>
      </c>
      <c r="N41" s="7">
        <f t="shared" si="22"/>
        <v>42.733333337819204</v>
      </c>
      <c r="O41" s="7"/>
      <c r="P41" s="7"/>
      <c r="Q41" s="22"/>
      <c r="R41" s="22"/>
      <c r="S41" s="31">
        <f t="shared" si="17"/>
        <v>1</v>
      </c>
      <c r="T41" s="46" t="str">
        <f t="shared" si="3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4"/>
        <v>https://d0f6bd738d7f1b3e5a7ca70fe4ff75f0.us-east-1.aws.found.io/app/kibana#/discover/Steve-Slow-Train-Analysis-(2080s-and-2083s)?_g=(refreshInterval:(display:Off,pause:!f,section:0,value:0),time:(from:'2017-03-03T06:44:23-0700',mode:absolute,to:'2017-03-03T09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97" t="str">
        <f t="shared" si="5"/>
        <v>N</v>
      </c>
      <c r="X41" s="197">
        <f t="shared" si="6"/>
        <v>1</v>
      </c>
      <c r="Y41" s="62">
        <f t="shared" si="21"/>
        <v>23.2987</v>
      </c>
      <c r="Z41" s="62">
        <f t="shared" si="8"/>
        <v>1.78E-2</v>
      </c>
      <c r="AA41" s="62">
        <f t="shared" si="9"/>
        <v>23.280899999999999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0128-03</v>
      </c>
      <c r="AE41" s="85" t="str">
        <f t="shared" si="11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41" s="82" t="str">
        <f t="shared" si="12"/>
        <v>"C:\Program Files (x86)\AstroGrep\AstroGrep.exe" /spath="%USERPROFILE%\AppData\Local\Temp\OnboardLogs" /stypes="app*4054*20170303*" /stext=" 15:.+((SYSTEM_STATE.+slice.+state.+changed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6" t="str">
        <f t="shared" si="18"/>
        <v>"%USERPROFILE%\Documents\GitHub\eaglep3\Utilities\RefineRTDCRunTimes.py" --tripid 128-03 --locoid 4054 --swversion DE.1.0.9.0 --startMP 204:232987 --initTime 2017-03-03T07:44:23 --startdatetime 2017-03-03T07:56:21 --delay 1 --endMP 204:178 --enddatetime 2017-03-03T08:39:05 --enforcementcount 0 &gt;&gt;C:\Users\stu\Documents\GitHub\eaglep3-reporting\EC\2017-03-03-refined-times.txt</v>
      </c>
      <c r="AI41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{"issue":{"subject":"","project_id":79,"tracker_id":40,"status_id":1,"priority_id":2,"assigned_to_id":23,"start_date":"2017-03-03","description":"","custom_fields":[{"id":1,"name":"Subdivision","value":"EC"},{"id":4,"name":"Milepost","value":"0.0178"},{"id":17,"name":"Train ID","value":"128-03"},{"id":16,"name":"Locomotive ID","value":"4054"},{"id":130,"name":"Impact","value":""},{"id":150,"name":"Time of Event (Mountain Time)","value":"08:39:05"},{"id":151,"name":"Denver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4054 --day 2017-03-03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"%USERPROFILE%\AppData\Local\Temp\OnboardLogs"\RTDC4054\*4054*20170303* | grep -SE "(Enforcement Action)|(\[TIMEOUT)|(CHR.+\|PRM\|1\|D.+(SWITCH|SIGNAL).+UNKNOWN)" - &gt;&gt; 2017-03-03-UncaughtWiMAX.txt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651</v>
      </c>
      <c r="B42" s="7">
        <v>4029</v>
      </c>
      <c r="C42" s="21" t="s">
        <v>251</v>
      </c>
      <c r="D42" s="21" t="s">
        <v>320</v>
      </c>
      <c r="E42" s="13">
        <v>42797.300775462965</v>
      </c>
      <c r="F42" s="13">
        <v>42797.302789351852</v>
      </c>
      <c r="G42" s="7">
        <v>1</v>
      </c>
      <c r="H42" s="21" t="s">
        <v>837</v>
      </c>
      <c r="I42" s="13">
        <v>42797.328819444447</v>
      </c>
      <c r="J42" s="7">
        <v>0</v>
      </c>
      <c r="K42" s="98" t="str">
        <f t="shared" si="0"/>
        <v>4029/4030</v>
      </c>
      <c r="L42" s="21" t="str">
        <f>VLOOKUP(A42,'Trips&amp;Operators'!$C$1:$G$99999,5,FALSE)</f>
        <v>MAYBERRY BILL</v>
      </c>
      <c r="M42" s="6">
        <f t="shared" si="1"/>
        <v>2.6030092594737653E-2</v>
      </c>
      <c r="N42" s="7">
        <f t="shared" si="22"/>
        <v>37.48333333642222</v>
      </c>
      <c r="O42" s="7"/>
      <c r="P42" s="7"/>
      <c r="Q42" s="22"/>
      <c r="R42" s="22"/>
      <c r="S42" s="31">
        <f t="shared" si="17"/>
        <v>1</v>
      </c>
      <c r="T42" s="46" t="str">
        <f t="shared" si="3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4"/>
        <v>https://d0f6bd738d7f1b3e5a7ca70fe4ff75f0.us-east-1.aws.found.io/app/kibana#/discover/Steve-Slow-Train-Analysis-(2080s-and-2083s)?_g=(refreshInterval:(display:Off,pause:!f,section:0,value:0),time:(from:'2017-03-03T06:13:07-0700',mode:absolute,to:'2017-03-03T08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197" t="str">
        <f t="shared" si="5"/>
        <v>N</v>
      </c>
      <c r="X42" s="197">
        <f t="shared" si="6"/>
        <v>1</v>
      </c>
      <c r="Y42" s="62">
        <f t="shared" si="21"/>
        <v>4.4900000000000002E-2</v>
      </c>
      <c r="Z42" s="62">
        <f t="shared" si="8"/>
        <v>23.3278</v>
      </c>
      <c r="AA42" s="62">
        <f t="shared" si="9"/>
        <v>23.282900000000001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0129-03</v>
      </c>
      <c r="AE42" s="85" t="str">
        <f t="shared" si="11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42" s="82" t="str">
        <f t="shared" si="12"/>
        <v>"C:\Program Files (x86)\AstroGrep\AstroGrep.exe" /spath="%USERPROFILE%\AppData\Local\Temp\OnboardLogs" /stypes="app*4029*20170303*" /stext=" 14:.+((SYSTEM_STATE.+slice.+state.+changed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6" t="str">
        <f t="shared" si="18"/>
        <v>"%USERPROFILE%\Documents\GitHub\eaglep3\Utilities\RefineRTDCRunTimes.py" --tripid 129-03 --locoid 4029 --swversion DE.1.0.9.0 --startMP 204:449 --initTime 2017-03-03T07:13:07 --startdatetime 2017-03-03T07:16:01 --delay 1 --endMP 204:233278 --enddatetime 2017-03-03T07:53:30 --enforcementcount 0 &gt;&gt;C:\Users\stu\Documents\GitHub\eaglep3-reporting\EC\2017-03-03-refined-times.txt</v>
      </c>
      <c r="AI42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{"issue":{"subject":"","project_id":79,"tracker_id":40,"status_id":1,"priority_id":2,"assigned_to_id":23,"start_date":"2017-03-03","description":"","custom_fields":[{"id":1,"name":"Subdivision","value":"EC"},{"id":4,"name":"Milepost","value":"23.3278"},{"id":17,"name":"Train ID","value":"129-03"},{"id":16,"name":"Locomotive ID","value":"4029"},{"id":130,"name":"Impact","value":""},{"id":150,"name":"Time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4029 --day 2017-03-03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"%USERPROFILE%\AppData\Local\Temp\OnboardLogs"\RTDC4029\*4029*20170303* | grep -SE "(Enforcement Action)|(\[TIMEOUT)|(CHR.+\|PRM\|1\|D.+(SWITCH|SIGNAL).+UNKNOWN)" - &gt;&gt; 2017-03-03-UncaughtWiMAX.txt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583</v>
      </c>
      <c r="B43" s="7">
        <v>4030</v>
      </c>
      <c r="C43" s="21" t="s">
        <v>251</v>
      </c>
      <c r="D43" s="21" t="s">
        <v>838</v>
      </c>
      <c r="E43" s="13">
        <v>42797.335821759261</v>
      </c>
      <c r="F43" s="13">
        <v>42797.341793981483</v>
      </c>
      <c r="G43" s="7">
        <v>2</v>
      </c>
      <c r="H43" s="21" t="s">
        <v>210</v>
      </c>
      <c r="I43" s="13">
        <v>42797.371689814812</v>
      </c>
      <c r="J43" s="7">
        <v>0</v>
      </c>
      <c r="K43" s="98" t="str">
        <f t="shared" si="0"/>
        <v>4029/4030</v>
      </c>
      <c r="L43" s="21" t="str">
        <f>VLOOKUP(A43,'Trips&amp;Operators'!$C$1:$G$99999,5,FALSE)</f>
        <v>MAYBERRY BILL</v>
      </c>
      <c r="M43" s="6">
        <f t="shared" si="1"/>
        <v>2.9895833329646848E-2</v>
      </c>
      <c r="N43" s="7">
        <f t="shared" si="22"/>
        <v>43.049999994691461</v>
      </c>
      <c r="O43" s="7"/>
      <c r="P43" s="7"/>
      <c r="Q43" s="22"/>
      <c r="R43" s="22"/>
      <c r="S43" s="31">
        <f t="shared" si="17"/>
        <v>1</v>
      </c>
      <c r="T43" s="46" t="str">
        <f t="shared" si="3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4"/>
        <v>https://d0f6bd738d7f1b3e5a7ca70fe4ff75f0.us-east-1.aws.found.io/app/kibana#/discover/Steve-Slow-Train-Analysis-(2080s-and-2083s)?_g=(refreshInterval:(display:Off,pause:!f,section:0,value:0),time:(from:'2017-03-03T07:03:35-0700',mode:absolute,to:'2017-03-03T09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97" t="str">
        <f t="shared" si="5"/>
        <v>N</v>
      </c>
      <c r="X43" s="197">
        <f t="shared" si="6"/>
        <v>1</v>
      </c>
      <c r="Y43" s="62">
        <f t="shared" si="21"/>
        <v>23.296900000000001</v>
      </c>
      <c r="Z43" s="62">
        <f t="shared" si="8"/>
        <v>1.54E-2</v>
      </c>
      <c r="AA43" s="62">
        <f t="shared" si="9"/>
        <v>23.281500000000001</v>
      </c>
      <c r="AB43" s="59" t="str">
        <f>VLOOKUP(A43,Enforcements!$C$7:$K$13,8,0)</f>
        <v>Bulletin (2)</v>
      </c>
      <c r="AC43" s="55" t="str">
        <f>VLOOKUP(A43,Enforcements!$C$7:$E$13,3,0)</f>
        <v>GRADE CROSSING</v>
      </c>
      <c r="AD43" s="56" t="str">
        <f t="shared" si="10"/>
        <v>0130-03</v>
      </c>
      <c r="AE43" s="85" t="str">
        <f t="shared" si="11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43" s="82" t="str">
        <f t="shared" si="12"/>
        <v>"C:\Program Files (x86)\AstroGrep\AstroGrep.exe" /spath="%USERPROFILE%\AppData\Local\Temp\OnboardLogs" /stypes="app*4030*20170303*"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6" t="str">
        <f t="shared" si="18"/>
        <v>"%USERPROFILE%\Documents\GitHub\eaglep3\Utilities\RefineRTDCRunTimes.py" --tripid 130-03 --locoid 4030 --swversion DE.1.0.9.0 --startMP 204:232969 --initTime 2017-03-03T08:03:35 --startdatetime 2017-03-03T08:12:11 --delay 2 --endMP 204:154 --enddatetime 2017-03-03T08:55:14 --enforcementcount 0 &gt;&gt;C:\Users\stu\Documents\GitHub\eaglep3-reporting\EC\2017-03-03-refined-times.txt</v>
      </c>
      <c r="AI43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{"issue":{"subject":"","project_id":79,"tracker_id":40,"status_id":1,"priority_id":2,"assigned_to_id":23,"start_date":"2017-03-03","description":"","custom_fields":[{"id":1,"name":"Subdivision","value":"EC"},{"id":4,"name":"Milepost","value":"0.0154"},{"id":17,"name":"Train ID","value":"130-03"},{"id":16,"name":"Locomotive ID","value":"4030"},{"id":130,"name":"Impact","value":""},{"id":150,"name":"Time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4030 --day 2017-03-03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"%USERPROFILE%\AppData\Local\Temp\OnboardLogs"\RTDC4030\*4030*20170303* | grep -SE "(Enforcement Action)|(\[TIMEOUT)|(CHR.+\|PRM\|1\|D.+(SWITCH|SIGNAL).+UNKNOWN)" - &gt;&gt; 2017-03-03-UncaughtWiMAX.txt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578</v>
      </c>
      <c r="B44" s="7">
        <v>4031</v>
      </c>
      <c r="C44" s="21" t="s">
        <v>251</v>
      </c>
      <c r="D44" s="21" t="s">
        <v>235</v>
      </c>
      <c r="E44" s="13">
        <v>42797.310671296298</v>
      </c>
      <c r="F44" s="13">
        <v>42797.312696759262</v>
      </c>
      <c r="G44" s="7">
        <v>1</v>
      </c>
      <c r="H44" s="21" t="s">
        <v>825</v>
      </c>
      <c r="I44" s="13">
        <v>42797.340833333335</v>
      </c>
      <c r="J44" s="7">
        <v>0</v>
      </c>
      <c r="K44" s="98" t="str">
        <f t="shared" si="0"/>
        <v>4031/4032</v>
      </c>
      <c r="L44" s="21" t="str">
        <f>VLOOKUP(A44,'Trips&amp;Operators'!$C$1:$G$99999,5,FALSE)</f>
        <v>DAVIS WENDY</v>
      </c>
      <c r="M44" s="6">
        <f t="shared" si="1"/>
        <v>2.8136574073869269E-2</v>
      </c>
      <c r="N44" s="7">
        <f t="shared" si="22"/>
        <v>40.516666666371748</v>
      </c>
      <c r="O44" s="7"/>
      <c r="P44" s="7"/>
      <c r="Q44" s="22"/>
      <c r="R44" s="22"/>
      <c r="S44" s="31">
        <f t="shared" si="17"/>
        <v>1</v>
      </c>
      <c r="T44" s="46" t="str">
        <f t="shared" si="3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4"/>
        <v>https://d0f6bd738d7f1b3e5a7ca70fe4ff75f0.us-east-1.aws.found.io/app/kibana#/discover/Steve-Slow-Train-Analysis-(2080s-and-2083s)?_g=(refreshInterval:(display:Off,pause:!f,section:0,value:0),time:(from:'2017-03-03T06:27:22-0700',mode:absolute,to:'2017-03-03T09:10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97" t="str">
        <f t="shared" si="5"/>
        <v>N</v>
      </c>
      <c r="X44" s="197">
        <f t="shared" si="6"/>
        <v>1</v>
      </c>
      <c r="Y44" s="62">
        <f t="shared" si="21"/>
        <v>4.6399999999999997E-2</v>
      </c>
      <c r="Z44" s="62">
        <f t="shared" si="8"/>
        <v>23.33</v>
      </c>
      <c r="AA44" s="62">
        <f t="shared" si="9"/>
        <v>23.2836</v>
      </c>
      <c r="AB44" s="59" t="str">
        <f>VLOOKUP(A44,Enforcements!$C$7:$K$13,8,0)</f>
        <v>Bulletin (2)</v>
      </c>
      <c r="AC44" s="55" t="str">
        <f>VLOOKUP(A44,Enforcements!$C$7:$E$13,3,0)</f>
        <v>GRADE CROSSING</v>
      </c>
      <c r="AD44" s="56" t="str">
        <f t="shared" si="10"/>
        <v>0131-03</v>
      </c>
      <c r="AE44" s="85" t="str">
        <f t="shared" si="11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44" s="82" t="str">
        <f t="shared" si="12"/>
        <v>"C:\Program Files (x86)\AstroGrep\AstroGrep.exe" /spath="%USERPROFILE%\AppData\Local\Temp\OnboardLogs" /stypes="app*4031*20170303*"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6" t="str">
        <f t="shared" si="18"/>
        <v>"%USERPROFILE%\Documents\GitHub\eaglep3\Utilities\RefineRTDCRunTimes.py" --tripid 131-03 --locoid 4031 --swversion DE.1.0.9.0 --startMP 204:464 --initTime 2017-03-03T07:27:22 --startdatetime 2017-03-03T07:30:17 --delay 1 --endMP 204:233300 --enddatetime 2017-03-03T08:10:48 --enforcementcount 0 &gt;&gt;C:\Users\stu\Documents\GitHub\eaglep3-reporting\EC\2017-03-03-refined-times.txt</v>
      </c>
      <c r="AI44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{"issue":{"subject":"","project_id":79,"tracker_id":40,"status_id":1,"priority_id":2,"assigned_to_id":23,"start_date":"2017-03-03","description":"","custom_fields":[{"id":1,"name":"Subdivision","value":"EC"},{"id":4,"name":"Milepost","value":"23.33"},{"id":17,"name":"Train ID","value":"131-03"},{"id":16,"name":"Locomotive ID","value":"4031"},{"id":130,"name":"Impact","value":""},{"id":150,"name":"Time of Event (Mountain Time)","value":"08:10:48"},{"id":151,"name":"Denver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4031 --day 2017-03-03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"%USERPROFILE%\AppData\Local\Temp\OnboardLogs"\RTDC4031\*4031*20170303* | grep -SE "(Enforcement Action)|(\[TIMEOUT)|(CHR.+\|PRM\|1\|D.+(SWITCH|SIGNAL).+UNKNOWN)" - &gt;&gt; 2017-03-03-UncaughtWiMAX.txt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658</v>
      </c>
      <c r="B45" s="7">
        <v>4032</v>
      </c>
      <c r="C45" s="21" t="s">
        <v>251</v>
      </c>
      <c r="D45" s="21" t="s">
        <v>257</v>
      </c>
      <c r="E45" s="13">
        <v>42797.347546296296</v>
      </c>
      <c r="F45" s="13">
        <v>42797.351539351854</v>
      </c>
      <c r="G45" s="7">
        <v>1</v>
      </c>
      <c r="H45" s="21" t="s">
        <v>196</v>
      </c>
      <c r="I45" s="13">
        <v>42797.381932870368</v>
      </c>
      <c r="J45" s="7">
        <v>0</v>
      </c>
      <c r="K45" s="98" t="str">
        <f t="shared" si="0"/>
        <v>4031/4032</v>
      </c>
      <c r="L45" s="21" t="str">
        <f>VLOOKUP(A45,'Trips&amp;Operators'!$C$1:$G$99999,5,FALSE)</f>
        <v>DAVIS WENDY</v>
      </c>
      <c r="M45" s="6">
        <f t="shared" si="1"/>
        <v>3.0393518514756579E-2</v>
      </c>
      <c r="N45" s="7">
        <f t="shared" si="22"/>
        <v>43.766666661249474</v>
      </c>
      <c r="O45" s="7"/>
      <c r="P45" s="7"/>
      <c r="Q45" s="22"/>
      <c r="R45" s="22"/>
      <c r="S45" s="31">
        <f t="shared" si="17"/>
        <v>1</v>
      </c>
      <c r="T45" s="46" t="str">
        <f t="shared" si="3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4"/>
        <v>https://d0f6bd738d7f1b3e5a7ca70fe4ff75f0.us-east-1.aws.found.io/app/kibana#/discover/Steve-Slow-Train-Analysis-(2080s-and-2083s)?_g=(refreshInterval:(display:Off,pause:!f,section:0,value:0),time:(from:'2017-03-03T07:20:28-0700',mode:absolute,to:'2017-03-03T10:09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197" t="str">
        <f t="shared" si="5"/>
        <v>N</v>
      </c>
      <c r="X45" s="197">
        <f t="shared" ref="X45:X76" si="23">VALUE(LEFT(AD45,4))-VALUE(LEFT(AD44,4))</f>
        <v>1</v>
      </c>
      <c r="Y45" s="62">
        <f t="shared" si="21"/>
        <v>23.2987</v>
      </c>
      <c r="Z45" s="62">
        <f t="shared" si="8"/>
        <v>1.4500000000000001E-2</v>
      </c>
      <c r="AA45" s="62">
        <f t="shared" si="9"/>
        <v>23.284199999999998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0132-03</v>
      </c>
      <c r="AE45" s="85" t="str">
        <f t="shared" si="11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45" s="82" t="str">
        <f t="shared" si="12"/>
        <v>"C:\Program Files (x86)\AstroGrep\AstroGrep.exe" /spath="%USERPROFILE%\AppData\Local\Temp\OnboardLogs" /stypes="app*4032*20170303*" /stext=" 16:.+((SYSTEM_STATE.+slice.+state.+changed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6" t="str">
        <f t="shared" si="18"/>
        <v>"%USERPROFILE%\Documents\GitHub\eaglep3\Utilities\RefineRTDCRunTimes.py" --tripid 132-03 --locoid 4032 --swversion DE.1.0.9.0 --startMP 204:232987 --initTime 2017-03-03T08:20:28 --startdatetime 2017-03-03T08:26:13 --delay 1 --endMP 204:145 --enddatetime 2017-03-03T09:09:59 --enforcementcount 0 &gt;&gt;C:\Users\stu\Documents\GitHub\eaglep3-reporting\EC\2017-03-03-refined-times.txt</v>
      </c>
      <c r="AI45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ID","value":"132-03"},{"id":16,"name":"Locomotive ID","value":"4032"},{"id":130,"name":"Impact","value":""},{"id":150,"name":"Time of Event (Mountain Time)","value":"09:09:59"},{"id":151,"name":"Denver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4032 --day 2017-03-03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"%USERPROFILE%\AppData\Local\Temp\OnboardLogs"\RTDC4032\*4032*20170303* | grep -SE "(Enforcement Action)|(\[TIMEOUT)|(CHR.+\|PRM\|1\|D.+(SWITCH|SIGNAL).+UNKNOWN)" - &gt;&gt; 2017-03-03-UncaughtWiMAX.txt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579</v>
      </c>
      <c r="B46" s="7">
        <v>4024</v>
      </c>
      <c r="C46" s="21" t="s">
        <v>251</v>
      </c>
      <c r="D46" s="21" t="s">
        <v>220</v>
      </c>
      <c r="E46" s="13">
        <v>42797.321238425924</v>
      </c>
      <c r="F46" s="13">
        <v>42797.323101851849</v>
      </c>
      <c r="G46" s="7">
        <v>1</v>
      </c>
      <c r="H46" s="21" t="s">
        <v>528</v>
      </c>
      <c r="I46" s="13">
        <v>42797.348738425928</v>
      </c>
      <c r="J46" s="7">
        <v>0</v>
      </c>
      <c r="K46" s="98" t="str">
        <f t="shared" si="0"/>
        <v>4023/4024</v>
      </c>
      <c r="L46" s="21" t="str">
        <f>VLOOKUP(A46,'Trips&amp;Operators'!$C$1:$G$99999,5,FALSE)</f>
        <v>CUSHING HARRY</v>
      </c>
      <c r="M46" s="6">
        <f t="shared" si="1"/>
        <v>2.5636574078816921E-2</v>
      </c>
      <c r="N46" s="7">
        <f t="shared" si="22"/>
        <v>36.916666673496366</v>
      </c>
      <c r="O46" s="7"/>
      <c r="P46" s="7"/>
      <c r="Q46" s="22"/>
      <c r="R46" s="22"/>
      <c r="S46" s="31">
        <f t="shared" si="17"/>
        <v>1</v>
      </c>
      <c r="T46" s="46" t="str">
        <f t="shared" si="3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4"/>
        <v>https://d0f6bd738d7f1b3e5a7ca70fe4ff75f0.us-east-1.aws.found.io/app/kibana#/discover/Steve-Slow-Train-Analysis-(2080s-and-2083s)?_g=(refreshInterval:(display:Off,pause:!f,section:0,value:0),time:(from:'2017-03-03T06:42:35-0700',mode:absolute,to:'2017-03-03T09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6" s="197" t="str">
        <f t="shared" si="5"/>
        <v>N</v>
      </c>
      <c r="X46" s="197">
        <f t="shared" si="23"/>
        <v>1</v>
      </c>
      <c r="Y46" s="62">
        <f t="shared" si="21"/>
        <v>4.5699999999999998E-2</v>
      </c>
      <c r="Z46" s="62">
        <f t="shared" si="8"/>
        <v>23.328199999999999</v>
      </c>
      <c r="AA46" s="62">
        <f t="shared" si="9"/>
        <v>23.282499999999999</v>
      </c>
      <c r="AB46" s="59" t="str">
        <f>VLOOKUP(A46,Enforcements!$C$7:$K$13,8,0)</f>
        <v>Bulletin (2)</v>
      </c>
      <c r="AC46" s="55" t="str">
        <f>VLOOKUP(A46,Enforcements!$C$7:$E$13,3,0)</f>
        <v>GRADE CROSSING</v>
      </c>
      <c r="AD46" s="56" t="str">
        <f t="shared" si="10"/>
        <v>0133-03</v>
      </c>
      <c r="AE46" s="85" t="str">
        <f t="shared" si="11"/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AF46" s="82" t="str">
        <f t="shared" si="12"/>
        <v>"C:\Program Files (x86)\AstroGrep\AstroGrep.exe" /spath="%USERPROFILE%\AppData\Local\Temp\OnboardLogs" /stypes="app*4024*20170303*" /stext=" 15:.+((SYSTEM_STATE.+slice.+state.+changed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6" t="str">
        <f t="shared" si="18"/>
        <v>"%USERPROFILE%\Documents\GitHub\eaglep3\Utilities\RefineRTDCRunTimes.py" --tripid 133-03 --locoid 4024 --swversion DE.1.0.9.0 --startMP 204:457 --initTime 2017-03-03T07:42:35 --startdatetime 2017-03-03T07:45:16 --delay 1 --endMP 204:233282 --enddatetime 2017-03-03T08:22:11 --enforcementcount 0 &gt;&gt;C:\Users\stu\Documents\GitHub\eaglep3-reporting\EC\2017-03-03-refined-times.txt</v>
      </c>
      <c r="AI46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{"issue":{"subject":"","project_id":79,"tracker_id":40,"status_id":1,"priority_id":2,"assigned_to_id":23,"start_date":"2017-03-03","description":"","custom_fields":[{"id":1,"name":"Subdivision","value":"EC"},{"id":4,"name":"Milepost","value":"23.3282"},{"id":17,"name":"Train ID","value":"133-03"},{"id":16,"name":"Locomotive ID","value":"4024"},{"id":130,"name":"Impact","value":""},{"id":150,"name":"Time of Event (Mountain Time)","value":"08:22:11"},{"id":151,"name":"Denver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4024 --day 2017-03-03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"%USERPROFILE%\AppData\Local\Temp\OnboardLogs"\RTDC4024\*4024*20170303* | grep -SE "(Enforcement Action)|(\[TIMEOUT)|(CHR.+\|PRM\|1\|D.+(SWITCH|SIGNAL).+UNKNOWN)" - &gt;&gt; 2017-03-03-UncaughtWiMAX.txt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661</v>
      </c>
      <c r="B47" s="7">
        <v>4023</v>
      </c>
      <c r="C47" s="21" t="s">
        <v>251</v>
      </c>
      <c r="D47" s="21" t="s">
        <v>322</v>
      </c>
      <c r="E47" s="13">
        <v>42797.355462962965</v>
      </c>
      <c r="F47" s="13">
        <v>42797.362002314818</v>
      </c>
      <c r="G47" s="7">
        <v>1</v>
      </c>
      <c r="H47" s="21" t="s">
        <v>184</v>
      </c>
      <c r="I47" s="13">
        <v>42797.389548611114</v>
      </c>
      <c r="J47" s="7">
        <v>0</v>
      </c>
      <c r="K47" s="98" t="str">
        <f t="shared" si="0"/>
        <v>4023/4024</v>
      </c>
      <c r="L47" s="21" t="str">
        <f>VLOOKUP(A47,'Trips&amp;Operators'!$C$1:$G$99999,5,FALSE)</f>
        <v>ROBINSON KADDIBA</v>
      </c>
      <c r="M47" s="6">
        <f t="shared" si="1"/>
        <v>2.7546296296350192E-2</v>
      </c>
      <c r="N47" s="7">
        <f t="shared" si="22"/>
        <v>39.666666666744277</v>
      </c>
      <c r="O47" s="7"/>
      <c r="P47" s="7"/>
      <c r="Q47" s="22"/>
      <c r="R47" s="22"/>
      <c r="S47" s="31">
        <f t="shared" si="17"/>
        <v>1</v>
      </c>
      <c r="T47" s="46" t="str">
        <f t="shared" si="3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4"/>
        <v>https://d0f6bd738d7f1b3e5a7ca70fe4ff75f0.us-east-1.aws.found.io/app/kibana#/discover/Steve-Slow-Train-Analysis-(2080s-and-2083s)?_g=(refreshInterval:(display:Off,pause:!f,section:0,value:0),time:(from:'2017-03-03T07:31:52-0700',mode:absolute,to:'2017-03-03T10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7" s="197" t="str">
        <f t="shared" si="5"/>
        <v>N</v>
      </c>
      <c r="X47" s="197">
        <f t="shared" si="23"/>
        <v>1</v>
      </c>
      <c r="Y47" s="62">
        <f t="shared" si="21"/>
        <v>23.2971</v>
      </c>
      <c r="Z47" s="62">
        <f t="shared" si="8"/>
        <v>1.49E-2</v>
      </c>
      <c r="AA47" s="62">
        <f t="shared" si="9"/>
        <v>23.2822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0134-03</v>
      </c>
      <c r="AE47" s="85" t="str">
        <f t="shared" si="11"/>
        <v>aws s3 cp s3://rtdc.mdm.uploadarchive.raw/RTDC4023/ "%USERPROFILE%\AppData\Local\Temp\OnboardLogs"\RTDC4023\2017-03-03 --exclude "*" --recursive --include "*20170303*" &amp; "%USERPROFILE%\Documents\GitHub\mrs-test-scripts\Headless Mode &amp; Sideloading\WalkAndUnGZ.bat" "%USERPROFILE%\AppData\Local\Temp\OnboardLogs"\RTDC4023\2017-03-03 &amp; aws s3 cp s3://rtdc.mdm.uploadarchive.raw/RTDC4023/ "%USERPROFILE%\AppData\Local\Temp\OnboardLogs"\RTDC4023\2017-03-04 --exclude "*" --recursive --include "*20170304*" &amp; "%USERPROFILE%\Documents\GitHub\mrs-test-scripts\Headless Mode &amp; Sideloading\WalkAndUnGZ.bat" "%USERPROFILE%\AppData\Local\Temp\OnboardLogs"\RTDC4023\2017-03-04</v>
      </c>
      <c r="AF47" s="82" t="str">
        <f t="shared" si="12"/>
        <v>"C:\Program Files (x86)\AstroGrep\AstroGrep.exe" /spath="%USERPROFILE%\AppData\Local\Temp\OnboardLogs" /stypes="app*4023*20170303*" /stext=" 16:.+((SYSTEM_STATE.+slice.+state.+changed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6" t="str">
        <f t="shared" si="18"/>
        <v>"%USERPROFILE%\Documents\GitHub\eaglep3\Utilities\RefineRTDCRunTimes.py" --tripid 134-03 --locoid 4023 --swversion DE.1.0.9.0 --startMP 204:232971 --initTime 2017-03-03T08:31:52 --startdatetime 2017-03-03T08:41:17 --delay 1 --endMP 204:149 --enddatetime 2017-03-03T09:20:57 --enforcementcount 0 &gt;&gt;C:\Users\stu\Documents\GitHub\eaglep3-reporting\EC\2017-03-03-refined-times.txt</v>
      </c>
      <c r="AI47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{"issue":{"subject":"","project_id":79,"tracker_id":40,"status_id":1,"priority_id":2,"assigned_to_id":23,"start_date":"2017-03-03","description":"","custom_fields":[{"id":1,"name":"Subdivision","value":"EC"},{"id":4,"name":"Milepost","value":"0.0149"},{"id":17,"name":"Train ID","value":"134-03"},{"id":16,"name":"Locomotive ID","value":"4023"},{"id":130,"name":"Impact","value":""},{"id":150,"name":"Time of Event (Mountain Time)","value":"09:20:57"},{"id":151,"name":"Denver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4023 --day 2017-03-03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"%USERPROFILE%\AppData\Local\Temp\OnboardLogs"\RTDC4023\*4023*20170303* | grep -SE "(Enforcement Action)|(\[TIMEOUT)|(CHR.+\|PRM\|1\|D.+(SWITCH|SIGNAL).+UNKNOWN)" - &gt;&gt; 2017-03-03-UncaughtWiMAX.txt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581</v>
      </c>
      <c r="B48" s="7">
        <v>4051</v>
      </c>
      <c r="C48" s="21" t="s">
        <v>251</v>
      </c>
      <c r="D48" s="21" t="s">
        <v>246</v>
      </c>
      <c r="E48" s="13">
        <v>42797.332754629628</v>
      </c>
      <c r="F48" s="13">
        <v>42797.333935185183</v>
      </c>
      <c r="G48" s="7">
        <v>1</v>
      </c>
      <c r="H48" s="21" t="s">
        <v>540</v>
      </c>
      <c r="I48" s="13">
        <v>42797.362337962964</v>
      </c>
      <c r="J48" s="7">
        <v>0</v>
      </c>
      <c r="K48" s="98" t="str">
        <f t="shared" si="0"/>
        <v>4051/4052</v>
      </c>
      <c r="L48" s="21" t="str">
        <f>VLOOKUP(A48,'Trips&amp;Operators'!$C$1:$G$99999,5,FALSE)</f>
        <v>STARKS ANGELINA</v>
      </c>
      <c r="M48" s="6">
        <f t="shared" si="1"/>
        <v>2.8402777781593613E-2</v>
      </c>
      <c r="N48" s="7">
        <f t="shared" si="22"/>
        <v>40.900000005494803</v>
      </c>
      <c r="O48" s="7"/>
      <c r="P48" s="7"/>
      <c r="Q48" s="22"/>
      <c r="R48" s="22"/>
      <c r="S48" s="31">
        <f t="shared" si="17"/>
        <v>1</v>
      </c>
      <c r="T48" s="46" t="str">
        <f t="shared" si="3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4"/>
        <v>https://d0f6bd738d7f1b3e5a7ca70fe4ff75f0.us-east-1.aws.found.io/app/kibana#/discover/Steve-Slow-Train-Analysis-(2080s-and-2083s)?_g=(refreshInterval:(display:Off,pause:!f,section:0,value:0),time:(from:'2017-03-03T06:59:10-0700',mode:absolute,to:'2017-03-03T09:41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8" s="197" t="str">
        <f t="shared" si="5"/>
        <v>N</v>
      </c>
      <c r="X48" s="197">
        <f t="shared" si="23"/>
        <v>1</v>
      </c>
      <c r="Y48" s="62">
        <f t="shared" si="21"/>
        <v>4.6600000000000003E-2</v>
      </c>
      <c r="Z48" s="62">
        <f t="shared" si="8"/>
        <v>23.332100000000001</v>
      </c>
      <c r="AA48" s="62">
        <f t="shared" si="9"/>
        <v>23.285499999999999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0135-03</v>
      </c>
      <c r="AE48" s="85" t="str">
        <f t="shared" si="11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48" s="82" t="str">
        <f t="shared" si="12"/>
        <v>"C:\Program Files (x86)\AstroGrep\AstroGrep.exe" /spath="%USERPROFILE%\AppData\Local\Temp\OnboardLogs" /stypes="app*4051*20170303*" /stext=" 15:.+((SYSTEM_STATE.+slice.+state.+changed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6" t="str">
        <f t="shared" si="18"/>
        <v>"%USERPROFILE%\Documents\GitHub\eaglep3\Utilities\RefineRTDCRunTimes.py" --tripid 135-03 --locoid 4051 --swversion DE.1.0.9.0 --startMP 204:466 --initTime 2017-03-03T07:59:10 --startdatetime 2017-03-03T08:00:52 --delay 1 --endMP 204:233321 --enddatetime 2017-03-03T08:41:46 --enforcementcount 0 &gt;&gt;C:\Users\stu\Documents\GitHub\eaglep3-reporting\EC\2017-03-03-refined-times.txt</v>
      </c>
      <c r="AI48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{"issue":{"subject":"","project_id":79,"tracker_id":40,"status_id":1,"priority_id":2,"assigned_to_id":23,"start_date":"2017-03-03","description":"","custom_fields":[{"id":1,"name":"Subdivision","value":"EC"},{"id":4,"name":"Milepost","value":"23.3321"},{"id":17,"name":"Train ID","value":"135-03"},{"id":16,"name":"Locomotive ID","value":"4051"},{"id":130,"name":"Impact","value":""},{"id":150,"name":"Time of Event (Mountain Time)","value":"08:41:46"},{"id":151,"name":"Denver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4051 --day 2017-03-03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"%USERPROFILE%\AppData\Local\Temp\OnboardLogs"\RTDC4051\*4051*20170303* | grep -SE "(Enforcement Action)|(\[TIMEOUT)|(CHR.+\|PRM\|1\|D.+(SWITCH|SIGNAL).+UNKNOWN)" - &gt;&gt; 2017-03-03-UncaughtWiMAX.txt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663</v>
      </c>
      <c r="B49" s="7">
        <v>4052</v>
      </c>
      <c r="C49" s="21" t="s">
        <v>251</v>
      </c>
      <c r="D49" s="21" t="s">
        <v>839</v>
      </c>
      <c r="E49" s="13">
        <v>42797.365219907406</v>
      </c>
      <c r="F49" s="13">
        <v>42797.372407407405</v>
      </c>
      <c r="G49" s="7">
        <v>1</v>
      </c>
      <c r="H49" s="21" t="s">
        <v>210</v>
      </c>
      <c r="I49" s="13">
        <v>42797.400543981479</v>
      </c>
      <c r="J49" s="7">
        <v>0</v>
      </c>
      <c r="K49" s="98" t="str">
        <f t="shared" si="0"/>
        <v>4051/4052</v>
      </c>
      <c r="L49" s="21" t="str">
        <f>VLOOKUP(A49,'Trips&amp;Operators'!$C$1:$G$99999,5,FALSE)</f>
        <v>STARKS ANGELINA</v>
      </c>
      <c r="M49" s="6">
        <f t="shared" si="1"/>
        <v>2.8136574073869269E-2</v>
      </c>
      <c r="N49" s="7">
        <f t="shared" si="22"/>
        <v>40.516666666371748</v>
      </c>
      <c r="O49" s="7"/>
      <c r="P49" s="7"/>
      <c r="Q49" s="22"/>
      <c r="R49" s="22"/>
      <c r="S49" s="31">
        <f t="shared" si="17"/>
        <v>1</v>
      </c>
      <c r="T49" s="46" t="str">
        <f t="shared" si="3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4"/>
        <v>https://d0f6bd738d7f1b3e5a7ca70fe4ff75f0.us-east-1.aws.found.io/app/kibana#/discover/Steve-Slow-Train-Analysis-(2080s-and-2083s)?_g=(refreshInterval:(display:Off,pause:!f,section:0,value:0),time:(from:'2017-03-03T07:45:55-0700',mode:absolute,to:'2017-03-03T10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9" s="197" t="str">
        <f t="shared" si="5"/>
        <v>N</v>
      </c>
      <c r="X49" s="197">
        <f t="shared" si="23"/>
        <v>1</v>
      </c>
      <c r="Y49" s="62">
        <f t="shared" si="21"/>
        <v>23.299299999999999</v>
      </c>
      <c r="Z49" s="62">
        <f t="shared" si="8"/>
        <v>1.54E-2</v>
      </c>
      <c r="AA49" s="62">
        <f t="shared" si="9"/>
        <v>23.283899999999999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0136-03</v>
      </c>
      <c r="AE49" s="85" t="str">
        <f t="shared" si="11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49" s="82" t="str">
        <f t="shared" si="12"/>
        <v>"C:\Program Files (x86)\AstroGrep\AstroGrep.exe" /spath="%USERPROFILE%\AppData\Local\Temp\OnboardLogs" /stypes="app*4052*20170303*" /stext=" 16:.+((SYSTEM_STATE.+slice.+state.+changed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6" t="str">
        <f t="shared" si="18"/>
        <v>"%USERPROFILE%\Documents\GitHub\eaglep3\Utilities\RefineRTDCRunTimes.py" --tripid 136-03 --locoid 4052 --swversion DE.1.0.9.0 --startMP 204:232993 --initTime 2017-03-03T08:45:55 --startdatetime 2017-03-03T08:56:16 --delay 1 --endMP 204:154 --enddatetime 2017-03-03T09:36:47 --enforcementcount 0 &gt;&gt;C:\Users\stu\Documents\GitHub\eaglep3-reporting\EC\2017-03-03-refined-times.txt</v>
      </c>
      <c r="AI49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{"issue":{"subject":"","project_id":79,"tracker_id":40,"status_id":1,"priority_id":2,"assigned_to_id":23,"start_date":"2017-03-03","description":"","custom_fields":[{"id":1,"name":"Subdivision","value":"EC"},{"id":4,"name":"Milepost","value":"0.0154"},{"id":17,"name":"Train ID","value":"136-03"},{"id":16,"name":"Locomotive ID","value":"4052"},{"id":130,"name":"Impact","value":""},{"id":150,"name":"Time of Event (Mountain Time)","value":"09:36:47"},{"id":151,"name":"Denver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4052 --day 2017-03-03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657</v>
      </c>
      <c r="B50" s="7">
        <v>4046</v>
      </c>
      <c r="C50" s="21" t="s">
        <v>251</v>
      </c>
      <c r="D50" s="21" t="s">
        <v>223</v>
      </c>
      <c r="E50" s="13">
        <v>42797.341435185182</v>
      </c>
      <c r="F50" s="13">
        <v>42797.344074074077</v>
      </c>
      <c r="G50" s="7">
        <v>1</v>
      </c>
      <c r="H50" s="21" t="s">
        <v>840</v>
      </c>
      <c r="I50" s="13">
        <v>42797.368784722225</v>
      </c>
      <c r="J50" s="7">
        <v>0</v>
      </c>
      <c r="K50" s="98" t="str">
        <f t="shared" si="0"/>
        <v>4045/4046</v>
      </c>
      <c r="L50" s="21" t="str">
        <f>VLOOKUP(A50,'Trips&amp;Operators'!$C$1:$G$99999,5,FALSE)</f>
        <v>LOZA FIDEL</v>
      </c>
      <c r="M50" s="6">
        <f t="shared" si="1"/>
        <v>2.47106481474475E-2</v>
      </c>
      <c r="N50" s="7">
        <f t="shared" si="22"/>
        <v>35.583333332324401</v>
      </c>
      <c r="O50" s="7"/>
      <c r="P50" s="7"/>
      <c r="Q50" s="22"/>
      <c r="R50" s="22"/>
      <c r="S50" s="31">
        <f t="shared" si="17"/>
        <v>1</v>
      </c>
      <c r="T50" s="46" t="str">
        <f t="shared" si="3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4"/>
        <v>https://d0f6bd738d7f1b3e5a7ca70fe4ff75f0.us-east-1.aws.found.io/app/kibana#/discover/Steve-Slow-Train-Analysis-(2080s-and-2083s)?_g=(refreshInterval:(display:Off,pause:!f,section:0,value:0),time:(from:'2017-03-03T07:11:40-0700',mode:absolute,to:'2017-03-03T09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0" s="197" t="str">
        <f t="shared" si="5"/>
        <v>N</v>
      </c>
      <c r="X50" s="197">
        <f t="shared" si="23"/>
        <v>1</v>
      </c>
      <c r="Y50" s="62">
        <f t="shared" si="21"/>
        <v>4.5999999999999999E-2</v>
      </c>
      <c r="Z50" s="62">
        <f t="shared" si="8"/>
        <v>23.339700000000001</v>
      </c>
      <c r="AA50" s="62">
        <f t="shared" si="9"/>
        <v>23.293700000000001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0137-03</v>
      </c>
      <c r="AE50" s="85" t="str">
        <f t="shared" si="11"/>
        <v>aws s3 cp s3://rtdc.mdm.uploadarchive.raw/RTDC4046/ "%USERPROFILE%\AppData\Local\Temp\OnboardLogs"\RTDC4046\2017-03-03 --exclude "*" --recursive --include "*20170303*" &amp; "%USERPROFILE%\Documents\GitHub\mrs-test-scripts\Headless Mode &amp; Sideloading\WalkAndUnGZ.bat" "%USERPROFILE%\AppData\Local\Temp\OnboardLogs"\RTDC4046\2017-03-03 &amp; 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</v>
      </c>
      <c r="AF50" s="82" t="str">
        <f t="shared" si="12"/>
        <v>"C:\Program Files (x86)\AstroGrep\AstroGrep.exe" /spath="%USERPROFILE%\AppData\Local\Temp\OnboardLogs" /stypes="app*4046*20170303*" /stext=" 15:.+((SYSTEM_STATE.+slice.+state.+changed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6" t="str">
        <f t="shared" si="18"/>
        <v>"%USERPROFILE%\Documents\GitHub\eaglep3\Utilities\RefineRTDCRunTimes.py" --tripid 137-03 --locoid 4046 --swversion DE.1.0.9.0 --startMP 204:460 --initTime 2017-03-03T08:11:40 --startdatetime 2017-03-03T08:15:28 --delay 1 --endMP 204:233397 --enddatetime 2017-03-03T08:51:03 --enforcementcount 0 &gt;&gt;C:\Users\stu\Documents\GitHub\eaglep3-reporting\EC\2017-03-03-refined-times.txt</v>
      </c>
      <c r="AI50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{"issue":{"subject":"","project_id":79,"tracker_id":40,"status_id":1,"priority_id":2,"assigned_to_id":23,"start_date":"2017-03-03","description":"","custom_fields":[{"id":1,"name":"Subdivision","value":"EC"},{"id":4,"name":"Milepost","value":"23.3397"},{"id":17,"name":"Train ID","value":"137-03"},{"id":16,"name":"Locomotive ID","value":"4046"},{"id":130,"name":"Impact","value":""},{"id":150,"name":"Time of Event (Mountain Time)","value":"08:51:03"},{"id":151,"name":"Denver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4046 --day 2017-03-03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"%USERPROFILE%\AppData\Local\Temp\OnboardLogs"\RTDC4046\*4046*20170303* | grep -SE "(Enforcement Action)|(\[TIMEOUT)|(CHR.+\|PRM\|1\|D.+(SWITCH|SIGNAL).+UNKNOWN)" - &gt;&gt; 2017-03-03-UncaughtWiMAX.txt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666</v>
      </c>
      <c r="B51" s="7">
        <v>4045</v>
      </c>
      <c r="C51" s="21" t="s">
        <v>251</v>
      </c>
      <c r="D51" s="21" t="s">
        <v>841</v>
      </c>
      <c r="E51" s="13">
        <v>42797.379317129627</v>
      </c>
      <c r="F51" s="13">
        <v>42797.383206018516</v>
      </c>
      <c r="G51" s="7">
        <v>1</v>
      </c>
      <c r="H51" s="21" t="s">
        <v>184</v>
      </c>
      <c r="I51" s="13">
        <v>42797.410439814812</v>
      </c>
      <c r="J51" s="7">
        <v>0</v>
      </c>
      <c r="K51" s="98" t="str">
        <f t="shared" si="0"/>
        <v>4045/4046</v>
      </c>
      <c r="L51" s="21" t="str">
        <f>VLOOKUP(A51,'Trips&amp;Operators'!$C$1:$G$99999,5,FALSE)</f>
        <v>LOZA FIDEL</v>
      </c>
      <c r="M51" s="6">
        <f t="shared" si="1"/>
        <v>2.7233796296059154E-2</v>
      </c>
      <c r="N51" s="7">
        <f t="shared" si="22"/>
        <v>39.216666666325182</v>
      </c>
      <c r="O51" s="7"/>
      <c r="P51" s="7"/>
      <c r="Q51" s="22"/>
      <c r="R51" s="22"/>
      <c r="S51" s="31">
        <f t="shared" si="17"/>
        <v>1</v>
      </c>
      <c r="T51" s="46" t="str">
        <f t="shared" si="3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4"/>
        <v>https://d0f6bd738d7f1b3e5a7ca70fe4ff75f0.us-east-1.aws.found.io/app/kibana#/discover/Steve-Slow-Train-Analysis-(2080s-and-2083s)?_g=(refreshInterval:(display:Off,pause:!f,section:0,value:0),time:(from:'2017-03-03T08:06:13-0700',mode:absolute,to:'2017-03-03T10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1" s="197" t="str">
        <f t="shared" si="5"/>
        <v>N</v>
      </c>
      <c r="X51" s="197">
        <f t="shared" si="23"/>
        <v>1</v>
      </c>
      <c r="Y51" s="62">
        <f t="shared" si="21"/>
        <v>23.309000000000001</v>
      </c>
      <c r="Z51" s="62">
        <f t="shared" si="8"/>
        <v>1.49E-2</v>
      </c>
      <c r="AA51" s="62">
        <f t="shared" si="9"/>
        <v>23.2941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0138-03</v>
      </c>
      <c r="AE51" s="85" t="str">
        <f t="shared" si="11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51" s="82" t="str">
        <f t="shared" si="12"/>
        <v>"C:\Program Files (x86)\AstroGrep\AstroGrep.exe" /spath="%USERPROFILE%\AppData\Local\Temp\OnboardLogs" /stypes="app*4045*20170303*" /stext=" 16:.+((SYSTEM_STATE.+slice.+state.+changed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6" t="str">
        <f t="shared" si="18"/>
        <v>"%USERPROFILE%\Documents\GitHub\eaglep3\Utilities\RefineRTDCRunTimes.py" --tripid 138-03 --locoid 4045 --swversion DE.1.0.9.0 --startMP 204:233090 --initTime 2017-03-03T09:06:13 --startdatetime 2017-03-03T09:11:49 --delay 1 --endMP 204:149 --enddatetime 2017-03-03T09:51:02 --enforcementcount 0 &gt;&gt;C:\Users\stu\Documents\GitHub\eaglep3-reporting\EC\2017-03-03-refined-times.txt</v>
      </c>
      <c r="AI51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{"issue":{"subject":"","project_id":79,"tracker_id":40,"status_id":1,"priority_id":2,"assigned_to_id":23,"start_date":"2017-03-03","description":"","custom_fields":[{"id":1,"name":"Subdivision","value":"EC"},{"id":4,"name":"Milepost","value":"0.0149"},{"id":17,"name":"Train ID","value":"138-03"},{"id":16,"name":"Locomotive ID","value":"4045"},{"id":130,"name":"Impact","value":""},{"id":150,"name":"Time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4045 --day 2017-03-03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"%USERPROFILE%\AppData\Local\Temp\OnboardLogs"\RTDC4045\*4045*20170303* | grep -SE "(Enforcement Action)|(\[TIMEOUT)|(CHR.+\|PRM\|1\|D.+(SWITCH|SIGNAL).+UNKNOWN)" - &gt;&gt; 2017-03-03-UncaughtWiMAX.txt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660</v>
      </c>
      <c r="B52" s="7">
        <v>4027</v>
      </c>
      <c r="C52" s="21" t="s">
        <v>251</v>
      </c>
      <c r="D52" s="21" t="s">
        <v>238</v>
      </c>
      <c r="E52" s="13">
        <v>42797.352708333332</v>
      </c>
      <c r="F52" s="13">
        <v>42797.354583333334</v>
      </c>
      <c r="G52" s="7">
        <v>0</v>
      </c>
      <c r="H52" s="21" t="s">
        <v>842</v>
      </c>
      <c r="I52" s="13">
        <v>42797.380115740743</v>
      </c>
      <c r="J52" s="7">
        <v>0</v>
      </c>
      <c r="K52" s="98" t="str">
        <f t="shared" si="0"/>
        <v>4027/4028</v>
      </c>
      <c r="L52" s="21" t="str">
        <f>VLOOKUP(A52,'Trips&amp;Operators'!$C$1:$G$99999,5,FALSE)</f>
        <v>LOCKLEAR TRAVIS</v>
      </c>
      <c r="M52" s="6">
        <f t="shared" si="1"/>
        <v>2.5532407409627922E-2</v>
      </c>
      <c r="N52" s="7">
        <f t="shared" si="22"/>
        <v>36.766666669864208</v>
      </c>
      <c r="O52" s="7"/>
      <c r="P52" s="7"/>
      <c r="Q52" s="22"/>
      <c r="R52" s="22"/>
      <c r="S52" s="31">
        <f t="shared" si="17"/>
        <v>1</v>
      </c>
      <c r="T52" s="46" t="str">
        <f t="shared" si="3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4"/>
        <v>https://d0f6bd738d7f1b3e5a7ca70fe4ff75f0.us-east-1.aws.found.io/app/kibana#/discover/Steve-Slow-Train-Analysis-(2080s-and-2083s)?_g=(refreshInterval:(display:Off,pause:!f,section:0,value:0),time:(from:'2017-03-03T07:27:54-0700',mode:absolute,to:'2017-03-03T10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97" t="str">
        <f t="shared" si="5"/>
        <v>N</v>
      </c>
      <c r="X52" s="197">
        <f t="shared" si="23"/>
        <v>1</v>
      </c>
      <c r="Y52" s="62">
        <f t="shared" si="21"/>
        <v>4.3999999999999997E-2</v>
      </c>
      <c r="Z52" s="62">
        <f t="shared" si="8"/>
        <v>23.335100000000001</v>
      </c>
      <c r="AA52" s="62">
        <f t="shared" si="9"/>
        <v>23.2911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0139-03</v>
      </c>
      <c r="AE52" s="85" t="str">
        <f t="shared" si="11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52" s="82" t="str">
        <f t="shared" si="12"/>
        <v>"C:\Program Files (x86)\AstroGrep\AstroGrep.exe" /spath="%USERPROFILE%\AppData\Local\Temp\OnboardLogs" /stypes="app*4027*20170303*"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6" t="str">
        <f t="shared" si="18"/>
        <v>"%USERPROFILE%\Documents\GitHub\eaglep3\Utilities\RefineRTDCRunTimes.py" --tripid 139-03 --locoid 4027 --swversion DE.1.0.9.0 --startMP 204:440 --initTime 2017-03-03T08:27:54 --startdatetime 2017-03-03T08:30:36 --delay 0 --endMP 204:233351 --enddatetime 2017-03-03T09:07:22 --enforcementcount 0 &gt;&gt;C:\Users\stu\Documents\GitHub\eaglep3-reporting\EC\2017-03-03-refined-times.txt</v>
      </c>
      <c r="AI52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{"issue":{"subject":"","project_id":79,"tracker_id":40,"status_id":1,"priority_id":2,"assigned_to_id":23,"start_date":"2017-03-03","description":"","custom_fields":[{"id":1,"name":"Subdivision","value":"EC"},{"id":4,"name":"Milepost","value":"23.3351"},{"id":17,"name":"Train ID","value":"139-03"},{"id":16,"name":"Locomotive ID","value":"4027"},{"id":130,"name":"Impact","value":""},{"id":150,"name":"Time of Event (Mountain Time)","value":"09:07:22"},{"id":151,"name":"Denver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4027 --day 2017-03-03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"%USERPROFILE%\AppData\Local\Temp\OnboardLogs"\RTDC4027\*4027*20170303* | grep -SE "(Enforcement Action)|(\[TIMEOUT)|(CHR.+\|PRM\|1\|D.+(SWITCH|SIGNAL).+UNKNOWN)" - &gt;&gt; 2017-03-03-UncaughtWiMAX.txt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586</v>
      </c>
      <c r="B53" s="7">
        <v>4028</v>
      </c>
      <c r="C53" s="21" t="s">
        <v>251</v>
      </c>
      <c r="D53" s="21" t="s">
        <v>843</v>
      </c>
      <c r="E53" s="13">
        <v>42797.389872685184</v>
      </c>
      <c r="F53" s="13">
        <v>42797.393217592595</v>
      </c>
      <c r="G53" s="7">
        <v>1</v>
      </c>
      <c r="H53" s="21" t="s">
        <v>194</v>
      </c>
      <c r="I53" s="13">
        <v>42797.421458333331</v>
      </c>
      <c r="J53" s="7">
        <v>0</v>
      </c>
      <c r="K53" s="98" t="str">
        <f t="shared" si="0"/>
        <v>4027/4028</v>
      </c>
      <c r="L53" s="21" t="str">
        <f>VLOOKUP(A53,'Trips&amp;Operators'!$C$1:$G$99999,5,FALSE)</f>
        <v>LOCKLEAR TRAVIS</v>
      </c>
      <c r="M53" s="6">
        <f t="shared" si="1"/>
        <v>2.824074073578231E-2</v>
      </c>
      <c r="N53" s="7">
        <f t="shared" si="22"/>
        <v>40.666666659526527</v>
      </c>
      <c r="O53" s="7"/>
      <c r="P53" s="7"/>
      <c r="Q53" s="22"/>
      <c r="R53" s="22"/>
      <c r="S53" s="31">
        <f t="shared" si="17"/>
        <v>1</v>
      </c>
      <c r="T53" s="46" t="str">
        <f t="shared" si="3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4"/>
        <v>https://d0f6bd738d7f1b3e5a7ca70fe4ff75f0.us-east-1.aws.found.io/app/kibana#/discover/Steve-Slow-Train-Analysis-(2080s-and-2083s)?_g=(refreshInterval:(display:Off,pause:!f,section:0,value:0),time:(from:'2017-03-03T08:21:25-0700',mode:absolute,to:'2017-03-03T11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3" s="197" t="str">
        <f t="shared" si="5"/>
        <v>N</v>
      </c>
      <c r="X53" s="197">
        <f t="shared" si="23"/>
        <v>1</v>
      </c>
      <c r="Y53" s="62">
        <f t="shared" si="21"/>
        <v>23.303799999999999</v>
      </c>
      <c r="Z53" s="62">
        <f t="shared" si="8"/>
        <v>1.4999999999999999E-2</v>
      </c>
      <c r="AA53" s="62">
        <f t="shared" si="9"/>
        <v>23.288799999999998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0140-03</v>
      </c>
      <c r="AE53" s="85" t="str">
        <f t="shared" si="11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53" s="82" t="str">
        <f t="shared" si="12"/>
        <v>"C:\Program Files (x86)\AstroGrep\AstroGrep.exe" /spath="%USERPROFILE%\AppData\Local\Temp\OnboardLogs" /stypes="app*4028*20170303*" /stext=" 17:.+((SYSTEM_STATE.+slice.+state.+changed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6" t="str">
        <f t="shared" si="18"/>
        <v>"%USERPROFILE%\Documents\GitHub\eaglep3\Utilities\RefineRTDCRunTimes.py" --tripid 140-03 --locoid 4028 --swversion DE.1.0.9.0 --startMP 204:233038 --initTime 2017-03-03T09:21:25 --startdatetime 2017-03-03T09:26:14 --delay 1 --endMP 204:150 --enddatetime 2017-03-03T10:06:54 --enforcementcount 0 &gt;&gt;C:\Users\stu\Documents\GitHub\eaglep3-reporting\EC\2017-03-03-refined-times.txt</v>
      </c>
      <c r="AI53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{"issue":{"subject":"","project_id":79,"tracker_id":40,"status_id":1,"priority_id":2,"assigned_to_id":23,"start_date":"2017-03-03","description":"","custom_fields":[{"id":1,"name":"Subdivision","value":"EC"},{"id":4,"name":"Milepost","value":"0.015"},{"id":17,"name":"Train ID","value":"140-03"},{"id":16,"name":"Locomotive ID","value":"4028"},{"id":130,"name":"Impact","value":""},{"id":150,"name":"Time of Event (Mountain Time)","value":"10:06:54"},{"id":151,"name":"Denver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4028 --day 2017-03-03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"%USERPROFILE%\AppData\Local\Temp\OnboardLogs"\RTDC4028\*4028*20170303* | grep -SE "(Enforcement Action)|(\[TIMEOUT)|(CHR.+\|PRM\|1\|D.+(SWITCH|SIGNAL).+UNKNOWN)" - &gt;&gt; 2017-03-03-UncaughtWiMAX.txt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584</v>
      </c>
      <c r="B54" s="7">
        <v>4053</v>
      </c>
      <c r="C54" s="21" t="s">
        <v>251</v>
      </c>
      <c r="D54" s="21" t="s">
        <v>341</v>
      </c>
      <c r="E54" s="13">
        <v>42797.363680555558</v>
      </c>
      <c r="F54" s="13">
        <v>42797.365312499998</v>
      </c>
      <c r="G54" s="7">
        <v>1</v>
      </c>
      <c r="H54" s="21" t="s">
        <v>844</v>
      </c>
      <c r="I54" s="13">
        <v>42797.39</v>
      </c>
      <c r="J54" s="7">
        <v>0</v>
      </c>
      <c r="K54" s="98" t="str">
        <f t="shared" si="0"/>
        <v>4053/4054</v>
      </c>
      <c r="L54" s="21" t="str">
        <f>VLOOKUP(A54,'Trips&amp;Operators'!$C$1:$G$99999,5,FALSE)</f>
        <v>BADERTSCHER DIANE</v>
      </c>
      <c r="M54" s="6">
        <f t="shared" si="1"/>
        <v>2.4687500001164153E-2</v>
      </c>
      <c r="N54" s="7">
        <f t="shared" si="22"/>
        <v>35.550000001676381</v>
      </c>
      <c r="O54" s="7"/>
      <c r="P54" s="7"/>
      <c r="Q54" s="22"/>
      <c r="R54" s="22"/>
      <c r="S54" s="31">
        <f t="shared" si="17"/>
        <v>1</v>
      </c>
      <c r="T54" s="46" t="str">
        <f t="shared" si="3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4"/>
        <v>https://d0f6bd738d7f1b3e5a7ca70fe4ff75f0.us-east-1.aws.found.io/app/kibana#/discover/Steve-Slow-Train-Analysis-(2080s-and-2083s)?_g=(refreshInterval:(display:Off,pause:!f,section:0,value:0),time:(from:'2017-03-03T07:43:42-0700',mode:absolute,to:'2017-03-03T10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97" t="str">
        <f t="shared" si="5"/>
        <v>N</v>
      </c>
      <c r="X54" s="197">
        <f t="shared" si="23"/>
        <v>1</v>
      </c>
      <c r="Y54" s="62">
        <f t="shared" si="21"/>
        <v>4.7800000000000002E-2</v>
      </c>
      <c r="Z54" s="62">
        <f t="shared" si="8"/>
        <v>23.3261</v>
      </c>
      <c r="AA54" s="62">
        <f t="shared" si="9"/>
        <v>23.278300000000002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0141-03</v>
      </c>
      <c r="AE54" s="85" t="str">
        <f t="shared" si="11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54" s="82" t="str">
        <f t="shared" si="12"/>
        <v>"C:\Program Files (x86)\AstroGrep\AstroGrep.exe" /spath="%USERPROFILE%\AppData\Local\Temp\OnboardLogs" /stypes="app*4053*20170303*" /stext=" 16:.+((SYSTEM_STATE.+slice.+state.+changed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6" t="str">
        <f t="shared" si="18"/>
        <v>"%USERPROFILE%\Documents\GitHub\eaglep3\Utilities\RefineRTDCRunTimes.py" --tripid 141-03 --locoid 4053 --swversion DE.1.0.9.0 --startMP 204:478 --initTime 2017-03-03T08:43:42 --startdatetime 2017-03-03T08:46:03 --delay 1 --endMP 204:233261 --enddatetime 2017-03-03T09:21:36 --enforcementcount 0 &gt;&gt;C:\Users\stu\Documents\GitHub\eaglep3-reporting\EC\2017-03-03-refined-times.txt</v>
      </c>
      <c r="AI54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{"issue":{"subject":"","project_id":79,"tracker_id":40,"status_id":1,"priority_id":2,"assigned_to_id":23,"start_date":"2017-03-03","description":"","custom_fields":[{"id":1,"name":"Subdivision","value":"EC"},{"id":4,"name":"Milepost","value":"23.3261"},{"id":17,"name":"Train ID","value":"141-03"},{"id":16,"name":"Locomotive ID","value":"4053"},{"id":130,"name":"Impact","value":""},{"id":150,"name":"Time of Event (Mountain Time)","value":"09:21:36"},{"id":151,"name":"Denver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4053 --day 2017-03-03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"%USERPROFILE%\AppData\Local\Temp\OnboardLogs"\RTDC4053\*4053*20170303* | grep -SE "(Enforcement Action)|(\[TIMEOUT)|(CHR.+\|PRM\|1\|D.+(SWITCH|SIGNAL).+UNKNOWN)" - &gt;&gt; 2017-03-03-UncaughtWiMAX.txt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669</v>
      </c>
      <c r="B55" s="7">
        <v>4054</v>
      </c>
      <c r="C55" s="21" t="s">
        <v>251</v>
      </c>
      <c r="D55" s="21" t="s">
        <v>845</v>
      </c>
      <c r="E55" s="13">
        <v>42797.414143518516</v>
      </c>
      <c r="F55" s="13">
        <v>42797.415208333332</v>
      </c>
      <c r="G55" s="7">
        <v>1</v>
      </c>
      <c r="H55" s="21" t="s">
        <v>846</v>
      </c>
      <c r="I55" s="13">
        <v>42797.432627314818</v>
      </c>
      <c r="J55" s="7">
        <v>0</v>
      </c>
      <c r="K55" s="98" t="str">
        <f t="shared" si="0"/>
        <v>4053/4054</v>
      </c>
      <c r="L55" s="21" t="str">
        <f>VLOOKUP(A55,'Trips&amp;Operators'!$C$1:$G$99999,5,FALSE)</f>
        <v>BADERTSCHER DIANE</v>
      </c>
      <c r="M55" s="6">
        <f t="shared" si="1"/>
        <v>1.7418981486116536E-2</v>
      </c>
      <c r="N55" s="7"/>
      <c r="O55" s="7"/>
      <c r="P55" s="7">
        <f>24*60*SUM($M55:$M55)</f>
        <v>25.083333340007812</v>
      </c>
      <c r="Q55" s="22"/>
      <c r="R55" s="22" t="s">
        <v>1005</v>
      </c>
      <c r="S55" s="31">
        <f t="shared" si="17"/>
        <v>1</v>
      </c>
      <c r="T55" s="46" t="str">
        <f t="shared" si="3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4"/>
        <v>https://d0f6bd738d7f1b3e5a7ca70fe4ff75f0.us-east-1.aws.found.io/app/kibana#/discover/Steve-Slow-Train-Analysis-(2080s-and-2083s)?_g=(refreshInterval:(display:Off,pause:!f,section:0,value:0),time:(from:'2017-03-03T08:56:22-0700',mode:absolute,to:'2017-03-03T11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97" t="str">
        <f t="shared" si="5"/>
        <v>Y</v>
      </c>
      <c r="X55" s="197">
        <f t="shared" si="23"/>
        <v>1</v>
      </c>
      <c r="Y55" s="62">
        <f t="shared" si="21"/>
        <v>12.7864</v>
      </c>
      <c r="Z55" s="62">
        <f t="shared" si="8"/>
        <v>1.6E-2</v>
      </c>
      <c r="AA55" s="62">
        <f t="shared" si="9"/>
        <v>12.7704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0142-03</v>
      </c>
      <c r="AE55" s="85" t="str">
        <f t="shared" si="11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55" s="82" t="str">
        <f t="shared" si="12"/>
        <v>"C:\Program Files (x86)\AstroGrep\AstroGrep.exe" /spath="%USERPROFILE%\AppData\Local\Temp\OnboardLogs" /stypes="app*4054*20170303*" /stext=" 17:.+((SYSTEM_STATE.+slice.+state.+changed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6" t="str">
        <f t="shared" si="18"/>
        <v>"%USERPROFILE%\Documents\GitHub\eaglep3\Utilities\RefineRTDCRunTimes.py" --tripid 142-03 --locoid 4054 --swversion DE.1.0.9.0 --startMP 204:127864 --initTime 2017-03-03T09:56:22 --startdatetime 2017-03-03T09:57:54 --delay 1 --endMP 204:160 --enddatetime 2017-03-03T10:22:59 --enforcementcount 0 &gt;&gt;C:\Users\stu\Documents\GitHub\eaglep3-reporting\EC\2017-03-03-refined-times.txt</v>
      </c>
      <c r="AI55" s="108" t="str">
        <f t="shared" si="19"/>
        <v>echo {"issue":{"subject":"Onboard in-route failure","project_id":79,"tracker_id":40,"status_id":1,"priority_id":2,"assigned_to_id":23,"start_date":"2017-03-03","description":"","custom_fields":[{"id":1,"name":"Subdivision","value":"EC"},{"id":4,"name":"Milepost","value":"0.016"},{"id":17,"name":"Train ID","value":"142-03"},{"id":16,"name":"Locomotive ID","value":"4054"},{"id":130,"name":"Impact","value":""},{"id":150,"name":"Time of Event (Mountain Time)","value":"10:22:59"},{"id":151,"name":"Denver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4054 --day 2017-03-03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"%USERPROFILE%\AppData\Local\Temp\OnboardLogs"\RTDC4054\*4054*20170303* | grep -SE "(Enforcement Action)|(\[TIMEOUT)|(CHR.+\|PRM\|1\|D.+(SWITCH|SIGNAL).+UNKNOWN)" - &gt;&gt; 2017-03-03-UncaughtWiMAX.txt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665</v>
      </c>
      <c r="B56" s="7">
        <v>4029</v>
      </c>
      <c r="C56" s="21" t="s">
        <v>251</v>
      </c>
      <c r="D56" s="21" t="s">
        <v>235</v>
      </c>
      <c r="E56" s="13">
        <v>42797.373969907407</v>
      </c>
      <c r="F56" s="13">
        <v>42797.375289351854</v>
      </c>
      <c r="G56" s="7">
        <v>1</v>
      </c>
      <c r="H56" s="21" t="s">
        <v>241</v>
      </c>
      <c r="I56" s="13">
        <v>42797.400023148148</v>
      </c>
      <c r="J56" s="7">
        <v>0</v>
      </c>
      <c r="K56" s="98" t="str">
        <f t="shared" si="0"/>
        <v>4029/4030</v>
      </c>
      <c r="L56" s="21" t="str">
        <f>VLOOKUP(A56,'Trips&amp;Operators'!$C$1:$G$99999,5,FALSE)</f>
        <v>ROCHA YAOTL</v>
      </c>
      <c r="M56" s="6">
        <f t="shared" si="1"/>
        <v>2.4733796293730848E-2</v>
      </c>
      <c r="N56" s="7">
        <f t="shared" ref="N56:N87" si="24">24*60*SUM($M56:$M56)</f>
        <v>35.61666666297242</v>
      </c>
      <c r="O56" s="7"/>
      <c r="P56" s="7"/>
      <c r="Q56" s="22"/>
      <c r="R56" s="22"/>
      <c r="S56" s="31">
        <f t="shared" si="17"/>
        <v>1</v>
      </c>
      <c r="T56" s="46" t="str">
        <f t="shared" si="3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4"/>
        <v>https://d0f6bd738d7f1b3e5a7ca70fe4ff75f0.us-east-1.aws.found.io/app/kibana#/discover/Steve-Slow-Train-Analysis-(2080s-and-2083s)?_g=(refreshInterval:(display:Off,pause:!f,section:0,value:0),time:(from:'2017-03-03T07:58:31-0700',mode:absolute,to:'2017-03-03T10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97" t="str">
        <f t="shared" si="5"/>
        <v>N</v>
      </c>
      <c r="X56" s="197">
        <f t="shared" si="23"/>
        <v>1</v>
      </c>
      <c r="Y56" s="62">
        <f t="shared" si="21"/>
        <v>4.6399999999999997E-2</v>
      </c>
      <c r="Z56" s="62">
        <f t="shared" si="8"/>
        <v>23.331</v>
      </c>
      <c r="AA56" s="62">
        <f t="shared" si="9"/>
        <v>23.284600000000001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0143-03</v>
      </c>
      <c r="AE56" s="85" t="str">
        <f t="shared" si="11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56" s="82" t="str">
        <f t="shared" si="12"/>
        <v>"C:\Program Files (x86)\AstroGrep\AstroGrep.exe" /spath="%USERPROFILE%\AppData\Local\Temp\OnboardLogs" /stypes="app*4029*20170303*" /stext=" 16:.+((SYSTEM_STATE.+slice.+state.+changed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6" t="str">
        <f t="shared" si="18"/>
        <v>"%USERPROFILE%\Documents\GitHub\eaglep3\Utilities\RefineRTDCRunTimes.py" --tripid 143-03 --locoid 4029 --swversion DE.1.0.9.0 --startMP 204:464 --initTime 2017-03-03T08:58:31 --startdatetime 2017-03-03T09:00:25 --delay 1 --endMP 204:233310 --enddatetime 2017-03-03T09:36:02 --enforcementcount 0 &gt;&gt;C:\Users\stu\Documents\GitHub\eaglep3-reporting\EC\2017-03-03-refined-times.txt</v>
      </c>
      <c r="AI56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{"issue":{"subject":"","project_id":79,"tracker_id":40,"status_id":1,"priority_id":2,"assigned_to_id":23,"start_date":"2017-03-03","description":"","custom_fields":[{"id":1,"name":"Subdivision","value":"EC"},{"id":4,"name":"Milepost","value":"23.331"},{"id":17,"name":"Train ID","value":"143-03"},{"id":16,"name":"Locomotive ID","value":"4029"},{"id":130,"name":"Impact","value":""},{"id":150,"name":"Time of Event (Mountain Time)","value":"09:36:02"},{"id":151,"name":"Denver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4029 --day 2017-03-03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"%USERPROFILE%\AppData\Local\Temp\OnboardLogs"\RTDC4029\*4029*20170303* | grep -SE "(Enforcement Action)|(\[TIMEOUT)|(CHR.+\|PRM\|1\|D.+(SWITCH|SIGNAL).+UNKNOWN)" - &gt;&gt; 2017-03-03-UncaughtWiMAX.txt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672</v>
      </c>
      <c r="B57" s="7">
        <v>4030</v>
      </c>
      <c r="C57" s="21" t="s">
        <v>251</v>
      </c>
      <c r="D57" s="21" t="s">
        <v>847</v>
      </c>
      <c r="E57" s="13">
        <v>42797.412743055553</v>
      </c>
      <c r="F57" s="13">
        <v>42797.414282407408</v>
      </c>
      <c r="G57" s="7">
        <v>0</v>
      </c>
      <c r="H57" s="21" t="s">
        <v>848</v>
      </c>
      <c r="I57" s="13">
        <v>42797.441921296297</v>
      </c>
      <c r="J57" s="7">
        <v>0</v>
      </c>
      <c r="K57" s="98" t="str">
        <f t="shared" si="0"/>
        <v>4029/4030</v>
      </c>
      <c r="L57" s="21" t="str">
        <f>VLOOKUP(A57,'Trips&amp;Operators'!$C$1:$G$99999,5,FALSE)</f>
        <v>ROCHA YAOTL</v>
      </c>
      <c r="M57" s="6">
        <f t="shared" si="1"/>
        <v>2.7638888888759539E-2</v>
      </c>
      <c r="N57" s="7">
        <f t="shared" si="24"/>
        <v>39.799999999813735</v>
      </c>
      <c r="O57" s="7"/>
      <c r="P57" s="7"/>
      <c r="Q57" s="22"/>
      <c r="R57" s="22"/>
      <c r="S57" s="31">
        <f t="shared" si="17"/>
        <v>1</v>
      </c>
      <c r="T57" s="46" t="str">
        <f t="shared" si="3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4"/>
        <v>https://d0f6bd738d7f1b3e5a7ca70fe4ff75f0.us-east-1.aws.found.io/app/kibana#/discover/Steve-Slow-Train-Analysis-(2080s-and-2083s)?_g=(refreshInterval:(display:Off,pause:!f,section:0,value:0),time:(from:'2017-03-03T08:54:21-0700',mode:absolute,to:'2017-03-03T11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97" t="str">
        <f t="shared" si="5"/>
        <v>N</v>
      </c>
      <c r="X57" s="197">
        <f t="shared" si="23"/>
        <v>1</v>
      </c>
      <c r="Y57" s="62">
        <f t="shared" si="21"/>
        <v>23.2989</v>
      </c>
      <c r="Z57" s="62">
        <f t="shared" si="8"/>
        <v>1.3599999999999999E-2</v>
      </c>
      <c r="AA57" s="62">
        <f t="shared" si="9"/>
        <v>23.285299999999999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0144-03</v>
      </c>
      <c r="AE57" s="85" t="str">
        <f t="shared" si="11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57" s="82" t="str">
        <f t="shared" si="12"/>
        <v>"C:\Program Files (x86)\AstroGrep\AstroGrep.exe" /spath="%USERPROFILE%\AppData\Local\Temp\OnboardLogs" /stypes="app*4030*20170303*" /stext=" 17:.+((SYSTEM_STATE.+slice.+state.+changed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6" t="str">
        <f t="shared" si="18"/>
        <v>"%USERPROFILE%\Documents\GitHub\eaglep3\Utilities\RefineRTDCRunTimes.py" --tripid 144-03 --locoid 4030 --swversion DE.1.0.9.0 --startMP 204:232989 --initTime 2017-03-03T09:54:21 --startdatetime 2017-03-03T09:56:34 --delay 0 --endMP 204:136 --enddatetime 2017-03-03T10:36:22 --enforcementcount 0 &gt;&gt;C:\Users\stu\Documents\GitHub\eaglep3-reporting\EC\2017-03-03-refined-times.txt</v>
      </c>
      <c r="AI57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{"issue":{"subject":"","project_id":79,"tracker_id":40,"status_id":1,"priority_id":2,"assigned_to_id":23,"start_date":"2017-03-03","description":"","custom_fields":[{"id":1,"name":"Subdivision","value":"EC"},{"id":4,"name":"Milepost","value":"0.0136"},{"id":17,"name":"Train ID","value":"144-03"},{"id":16,"name":"Locomotive ID","value":"4030"},{"id":130,"name":"Impact","value":""},{"id":150,"name":"Time of Event (Mountain Time)","value":"10:36:22"},{"id":151,"name":"Denver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4030 --day 2017-03-03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"%USERPROFILE%\AppData\Local\Temp\OnboardLogs"\RTDC4030\*4030*20170303* | grep -SE "(Enforcement Action)|(\[TIMEOUT)|(CHR.+\|PRM\|1\|D.+(SWITCH|SIGNAL).+UNKNOWN)" - &gt;&gt; 2017-03-03-UncaughtWiMAX.txt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667</v>
      </c>
      <c r="B58" s="7">
        <v>4031</v>
      </c>
      <c r="C58" s="21" t="s">
        <v>251</v>
      </c>
      <c r="D58" s="21" t="s">
        <v>220</v>
      </c>
      <c r="E58" s="13">
        <v>42797.383726851855</v>
      </c>
      <c r="F58" s="13">
        <v>42797.385914351849</v>
      </c>
      <c r="G58" s="7">
        <v>2</v>
      </c>
      <c r="H58" s="21" t="s">
        <v>258</v>
      </c>
      <c r="I58" s="13">
        <v>42797.411782407406</v>
      </c>
      <c r="J58" s="7">
        <v>0</v>
      </c>
      <c r="K58" s="98" t="str">
        <f t="shared" si="0"/>
        <v>4031/4032</v>
      </c>
      <c r="L58" s="21" t="str">
        <f>VLOOKUP(A58,'Trips&amp;Operators'!$C$1:$G$99999,5,FALSE)</f>
        <v>DAVIS WENDY</v>
      </c>
      <c r="M58" s="6">
        <f t="shared" si="1"/>
        <v>2.5868055556202307E-2</v>
      </c>
      <c r="N58" s="7">
        <f t="shared" si="24"/>
        <v>37.250000000931323</v>
      </c>
      <c r="O58" s="7"/>
      <c r="P58" s="7"/>
      <c r="Q58" s="22"/>
      <c r="R58" s="22"/>
      <c r="S58" s="31">
        <f t="shared" si="17"/>
        <v>1</v>
      </c>
      <c r="T58" s="46" t="str">
        <f t="shared" si="3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4"/>
        <v>https://d0f6bd738d7f1b3e5a7ca70fe4ff75f0.us-east-1.aws.found.io/app/kibana#/discover/Steve-Slow-Train-Analysis-(2080s-and-2083s)?_g=(refreshInterval:(display:Off,pause:!f,section:0,value:0),time:(from:'2017-03-03T08:12:34-0700',mode:absolute,to:'2017-03-03T10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97" t="str">
        <f t="shared" si="5"/>
        <v>N</v>
      </c>
      <c r="X58" s="197">
        <f t="shared" si="23"/>
        <v>1</v>
      </c>
      <c r="Y58" s="62">
        <f t="shared" si="21"/>
        <v>4.5699999999999998E-2</v>
      </c>
      <c r="Z58" s="62">
        <f t="shared" si="8"/>
        <v>23.331399999999999</v>
      </c>
      <c r="AA58" s="62">
        <f t="shared" si="9"/>
        <v>23.285699999999999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0145-03</v>
      </c>
      <c r="AE58" s="85" t="str">
        <f t="shared" si="11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58" s="82" t="str">
        <f t="shared" si="12"/>
        <v>"C:\Program Files (x86)\AstroGrep\AstroGrep.exe" /spath="%USERPROFILE%\AppData\Local\Temp\OnboardLogs" /stypes="app*4031*20170303*" /stext=" 16:.+((SYSTEM_STATE.+slice.+state.+changed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6" t="str">
        <f t="shared" si="18"/>
        <v>"%USERPROFILE%\Documents\GitHub\eaglep3\Utilities\RefineRTDCRunTimes.py" --tripid 145-03 --locoid 4031 --swversion DE.1.0.9.0 --startMP 204:457 --initTime 2017-03-03T09:12:34 --startdatetime 2017-03-03T09:15:43 --delay 2 --endMP 204:233314 --enddatetime 2017-03-03T09:52:58 --enforcementcount 0 &gt;&gt;C:\Users\stu\Documents\GitHub\eaglep3-reporting\EC\2017-03-03-refined-times.txt</v>
      </c>
      <c r="AI58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{"issue":{"subject":"","project_id":79,"tracker_id":40,"status_id":1,"priority_id":2,"assigned_to_id":23,"start_date":"2017-03-03","description":"","custom_fields":[{"id":1,"name":"Subdivision","value":"EC"},{"id":4,"name":"Milepost","value":"23.3314"},{"id":17,"name":"Train ID","value":"145-03"},{"id":16,"name":"Locomotive ID","value":"4031"},{"id":130,"name":"Impact","value":""},{"id":150,"name":"Time of Event (Mountain Time)","value":"09:52:58"},{"id":151,"name":"Denver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4031 --day 2017-03-03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"%USERPROFILE%\AppData\Local\Temp\OnboardLogs"\RTDC4031\*4031*20170303* | grep -SE "(Enforcement Action)|(\[TIMEOUT)|(CHR.+\|PRM\|1\|D.+(SWITCH|SIGNAL).+UNKNOWN)" - &gt;&gt; 2017-03-03-UncaughtWiMAX.txt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587</v>
      </c>
      <c r="B59" s="7">
        <v>4032</v>
      </c>
      <c r="C59" s="21" t="s">
        <v>251</v>
      </c>
      <c r="D59" s="21" t="s">
        <v>279</v>
      </c>
      <c r="E59" s="13">
        <v>42797.420474537037</v>
      </c>
      <c r="F59" s="13">
        <v>42797.42460648148</v>
      </c>
      <c r="G59" s="7">
        <v>1</v>
      </c>
      <c r="H59" s="21" t="s">
        <v>210</v>
      </c>
      <c r="I59" s="13">
        <v>42797.454953703702</v>
      </c>
      <c r="J59" s="7">
        <v>0</v>
      </c>
      <c r="K59" s="98" t="str">
        <f t="shared" si="0"/>
        <v>4031/4032</v>
      </c>
      <c r="L59" s="21" t="str">
        <f>VLOOKUP(A59,'Trips&amp;Operators'!$C$1:$G$99999,5,FALSE)</f>
        <v>DAVIS WENDY</v>
      </c>
      <c r="M59" s="6">
        <f t="shared" si="1"/>
        <v>3.0347222222189885E-2</v>
      </c>
      <c r="N59" s="7">
        <f t="shared" si="24"/>
        <v>43.699999999953434</v>
      </c>
      <c r="O59" s="7"/>
      <c r="P59" s="7"/>
      <c r="Q59" s="22"/>
      <c r="R59" s="22"/>
      <c r="S59" s="31">
        <f t="shared" si="17"/>
        <v>1</v>
      </c>
      <c r="T59" s="46" t="str">
        <f t="shared" si="3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4"/>
        <v>https://d0f6bd738d7f1b3e5a7ca70fe4ff75f0.us-east-1.aws.found.io/app/kibana#/discover/Steve-Slow-Train-Analysis-(2080s-and-2083s)?_g=(refreshInterval:(display:Off,pause:!f,section:0,value:0),time:(from:'2017-03-03T09:05:29-0700',mode:absolute,to:'2017-03-03T11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197" t="str">
        <f t="shared" si="5"/>
        <v>N</v>
      </c>
      <c r="X59" s="197">
        <f t="shared" si="23"/>
        <v>1</v>
      </c>
      <c r="Y59" s="62">
        <f t="shared" si="21"/>
        <v>23.299800000000001</v>
      </c>
      <c r="Z59" s="62">
        <f t="shared" si="8"/>
        <v>1.54E-2</v>
      </c>
      <c r="AA59" s="62">
        <f t="shared" si="9"/>
        <v>23.284400000000002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0146-03</v>
      </c>
      <c r="AE59" s="85" t="str">
        <f t="shared" si="11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59" s="82" t="str">
        <f t="shared" si="12"/>
        <v>"C:\Program Files (x86)\AstroGrep\AstroGrep.exe" /spath="%USERPROFILE%\AppData\Local\Temp\OnboardLogs" /stypes="app*4032*20170303*" /stext=" 17:.+((SYSTEM_STATE.+slice.+state.+changed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6" t="str">
        <f t="shared" si="18"/>
        <v>"%USERPROFILE%\Documents\GitHub\eaglep3\Utilities\RefineRTDCRunTimes.py" --tripid 146-03 --locoid 4032 --swversion DE.1.0.9.0 --startMP 204:232998 --initTime 2017-03-03T10:05:29 --startdatetime 2017-03-03T10:11:26 --delay 1 --endMP 204:154 --enddatetime 2017-03-03T10:55:08 --enforcementcount 0 &gt;&gt;C:\Users\stu\Documents\GitHub\eaglep3-reporting\EC\2017-03-03-refined-times.txt</v>
      </c>
      <c r="AI59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{"issue":{"subject":"","project_id":79,"tracker_id":40,"status_id":1,"priority_id":2,"assigned_to_id":23,"start_date":"2017-03-03","description":"","custom_fields":[{"id":1,"name":"Subdivision","value":"EC"},{"id":4,"name":"Milepost","value":"0.0154"},{"id":17,"name":"Train ID","value":"146-03"},{"id":16,"name":"Locomotive ID","value":"4032"},{"id":130,"name":"Impact","value":""},{"id":150,"name":"Time of Event (Mountain Time)","value":"10:55:08"},{"id":151,"name":"Denver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4032 --day 2017-03-03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"%USERPROFILE%\AppData\Local\Temp\OnboardLogs"\RTDC4032\*4032*20170303* | grep -SE "(Enforcement Action)|(\[TIMEOUT)|(CHR.+\|PRM\|1\|D.+(SWITCH|SIGNAL).+UNKNOWN)" - &gt;&gt; 2017-03-03-UncaughtWiMAX.txt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668</v>
      </c>
      <c r="B60" s="7">
        <v>4024</v>
      </c>
      <c r="C60" s="21" t="s">
        <v>251</v>
      </c>
      <c r="D60" s="21" t="s">
        <v>849</v>
      </c>
      <c r="E60" s="13">
        <v>42797.39266203704</v>
      </c>
      <c r="F60" s="13">
        <v>42797.396018518521</v>
      </c>
      <c r="G60" s="7">
        <v>1</v>
      </c>
      <c r="H60" s="21" t="s">
        <v>261</v>
      </c>
      <c r="I60" s="13">
        <v>42797.421388888892</v>
      </c>
      <c r="J60" s="7">
        <v>0</v>
      </c>
      <c r="K60" s="98" t="str">
        <f t="shared" si="0"/>
        <v>4023/4024</v>
      </c>
      <c r="L60" s="21" t="str">
        <f>VLOOKUP(A60,'Trips&amp;Operators'!$C$1:$G$99999,5,FALSE)</f>
        <v>ROBINSON KADDIBA</v>
      </c>
      <c r="M60" s="6">
        <f t="shared" si="1"/>
        <v>2.5370370371092577E-2</v>
      </c>
      <c r="N60" s="7">
        <f t="shared" si="24"/>
        <v>36.53333333437331</v>
      </c>
      <c r="O60" s="7"/>
      <c r="P60" s="7"/>
      <c r="Q60" s="22"/>
      <c r="R60" s="22"/>
      <c r="S60" s="31">
        <f t="shared" si="17"/>
        <v>1</v>
      </c>
      <c r="T60" s="46" t="str">
        <f t="shared" si="3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4"/>
        <v>https://d0f6bd738d7f1b3e5a7ca70fe4ff75f0.us-east-1.aws.found.io/app/kibana#/discover/Steve-Slow-Train-Analysis-(2080s-and-2083s)?_g=(refreshInterval:(display:Off,pause:!f,section:0,value:0),time:(from:'2017-03-03T08:25:26-0700',mode:absolute,to:'2017-03-03T11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0" s="197" t="str">
        <f t="shared" si="5"/>
        <v>N</v>
      </c>
      <c r="X60" s="197">
        <f t="shared" si="23"/>
        <v>1</v>
      </c>
      <c r="Y60" s="62">
        <f t="shared" si="21"/>
        <v>4.7500000000000001E-2</v>
      </c>
      <c r="Z60" s="62">
        <f t="shared" si="8"/>
        <v>23.330400000000001</v>
      </c>
      <c r="AA60" s="62">
        <f t="shared" si="9"/>
        <v>23.282900000000001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0147-03</v>
      </c>
      <c r="AE60" s="85" t="str">
        <f t="shared" si="11"/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AF60" s="82" t="str">
        <f t="shared" si="12"/>
        <v>"C:\Program Files (x86)\AstroGrep\AstroGrep.exe" /spath="%USERPROFILE%\AppData\Local\Temp\OnboardLogs" /stypes="app*4024*20170303*"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6" t="str">
        <f t="shared" si="18"/>
        <v>"%USERPROFILE%\Documents\GitHub\eaglep3\Utilities\RefineRTDCRunTimes.py" --tripid 147-03 --locoid 4024 --swversion DE.1.0.9.0 --startMP 204:475 --initTime 2017-03-03T09:25:26 --startdatetime 2017-03-03T09:30:16 --delay 1 --endMP 204:233304 --enddatetime 2017-03-03T10:06:48 --enforcementcount 0 &gt;&gt;C:\Users\stu\Documents\GitHub\eaglep3-reporting\EC\2017-03-03-refined-times.txt</v>
      </c>
      <c r="AI60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{"issue":{"subject":"","project_id":79,"tracker_id":40,"status_id":1,"priority_id":2,"assigned_to_id":23,"start_date":"2017-03-03","description":"","custom_fields":[{"id":1,"name":"Subdivision","value":"EC"},{"id":4,"name":"Milepost","value":"23.3304"},{"id":17,"name":"Train ID","value":"147-03"},{"id":16,"name":"Locomotive ID","value":"4024"},{"id":130,"name":"Impact","value":""},{"id":150,"name":"Time of Event (Mountain Time)","value":"10:06:48"},{"id":151,"name":"Denver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4024 --day 2017-03-03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"%USERPROFILE%\AppData\Local\Temp\OnboardLogs"\RTDC4024\*4024*20170303* | grep -SE "(Enforcement Action)|(\[TIMEOUT)|(CHR.+\|PRM\|1\|D.+(SWITCH|SIGNAL).+UNKNOWN)" - &gt;&gt; 2017-03-03-UncaughtWiMAX.txt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676</v>
      </c>
      <c r="B61" s="7">
        <v>4023</v>
      </c>
      <c r="C61" s="21" t="s">
        <v>251</v>
      </c>
      <c r="D61" s="21" t="s">
        <v>303</v>
      </c>
      <c r="E61" s="13">
        <v>42797.427754629629</v>
      </c>
      <c r="F61" s="13">
        <v>42797.434884259259</v>
      </c>
      <c r="G61" s="7">
        <v>1</v>
      </c>
      <c r="H61" s="21" t="s">
        <v>196</v>
      </c>
      <c r="I61" s="13">
        <v>42797.461458333331</v>
      </c>
      <c r="J61" s="7">
        <v>0</v>
      </c>
      <c r="K61" s="98" t="str">
        <f t="shared" si="0"/>
        <v>4023/4024</v>
      </c>
      <c r="L61" s="21" t="str">
        <f>VLOOKUP(A61,'Trips&amp;Operators'!$C$1:$G$99999,5,FALSE)</f>
        <v>ROBINSON KADDIBA</v>
      </c>
      <c r="M61" s="6">
        <f t="shared" si="1"/>
        <v>2.6574074072414078E-2</v>
      </c>
      <c r="N61" s="7">
        <f t="shared" si="24"/>
        <v>38.266666664276272</v>
      </c>
      <c r="O61" s="7"/>
      <c r="P61" s="7"/>
      <c r="Q61" s="22"/>
      <c r="R61" s="22"/>
      <c r="S61" s="31">
        <f t="shared" si="17"/>
        <v>1</v>
      </c>
      <c r="T61" s="46" t="str">
        <f t="shared" si="3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4"/>
        <v>https://d0f6bd738d7f1b3e5a7ca70fe4ff75f0.us-east-1.aws.found.io/app/kibana#/discover/Steve-Slow-Train-Analysis-(2080s-and-2083s)?_g=(refreshInterval:(display:Off,pause:!f,section:0,value:0),time:(from:'2017-03-03T09:15:58-0700',mode:absolute,to:'2017-03-03T12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1" s="197" t="str">
        <f t="shared" si="5"/>
        <v>N</v>
      </c>
      <c r="X61" s="197">
        <f t="shared" si="23"/>
        <v>1</v>
      </c>
      <c r="Y61" s="62">
        <f t="shared" si="21"/>
        <v>23.300799999999999</v>
      </c>
      <c r="Z61" s="62">
        <f t="shared" si="8"/>
        <v>1.4500000000000001E-2</v>
      </c>
      <c r="AA61" s="62">
        <f t="shared" si="9"/>
        <v>23.286299999999997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0148-03</v>
      </c>
      <c r="AE61" s="85" t="str">
        <f t="shared" si="11"/>
        <v>aws s3 cp s3://rtdc.mdm.uploadarchive.raw/RTDC4023/ "%USERPROFILE%\AppData\Local\Temp\OnboardLogs"\RTDC4023\2017-03-03 --exclude "*" --recursive --include "*20170303*" &amp; "%USERPROFILE%\Documents\GitHub\mrs-test-scripts\Headless Mode &amp; Sideloading\WalkAndUnGZ.bat" "%USERPROFILE%\AppData\Local\Temp\OnboardLogs"\RTDC4023\2017-03-03 &amp; aws s3 cp s3://rtdc.mdm.uploadarchive.raw/RTDC4023/ "%USERPROFILE%\AppData\Local\Temp\OnboardLogs"\RTDC4023\2017-03-04 --exclude "*" --recursive --include "*20170304*" &amp; "%USERPROFILE%\Documents\GitHub\mrs-test-scripts\Headless Mode &amp; Sideloading\WalkAndUnGZ.bat" "%USERPROFILE%\AppData\Local\Temp\OnboardLogs"\RTDC4023\2017-03-04</v>
      </c>
      <c r="AF61" s="82" t="str">
        <f t="shared" si="12"/>
        <v>"C:\Program Files (x86)\AstroGrep\AstroGrep.exe" /spath="%USERPROFILE%\AppData\Local\Temp\OnboardLogs" /stypes="app*4023*20170303*" /stext=" 18:.+((SYSTEM_STATE.+slice.+state.+changed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6" t="str">
        <f t="shared" si="18"/>
        <v>"%USERPROFILE%\Documents\GitHub\eaglep3\Utilities\RefineRTDCRunTimes.py" --tripid 148-03 --locoid 4023 --swversion DE.1.0.9.0 --startMP 204:233008 --initTime 2017-03-03T10:15:58 --startdatetime 2017-03-03T10:26:14 --delay 1 --endMP 204:145 --enddatetime 2017-03-03T11:04:30 --enforcementcount 0 &gt;&gt;C:\Users\stu\Documents\GitHub\eaglep3-reporting\EC\2017-03-03-refined-times.txt</v>
      </c>
      <c r="AI61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ID","value":"148-03"},{"id":16,"name":"Locomotive ID","value":"4023"},{"id":130,"name":"Impact","value":""},{"id":150,"name":"Time of Event (Mountain Time)","value":"11:04:30"},{"id":151,"name":"Denver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4023 --day 2017-03-03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"%USERPROFILE%\AppData\Local\Temp\OnboardLogs"\RTDC4023\*4023*20170303* | grep -SE "(Enforcement Action)|(\[TIMEOUT)|(CHR.+\|PRM\|1\|D.+(SWITCH|SIGNAL).+UNKNOWN)" - &gt;&gt; 2017-03-03-UncaughtWiMAX.txt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671</v>
      </c>
      <c r="B62" s="7">
        <v>4051</v>
      </c>
      <c r="C62" s="21" t="s">
        <v>251</v>
      </c>
      <c r="D62" s="21" t="s">
        <v>203</v>
      </c>
      <c r="E62" s="13">
        <v>42797.403113425928</v>
      </c>
      <c r="F62" s="13">
        <v>42797.40662037037</v>
      </c>
      <c r="G62" s="7">
        <v>1</v>
      </c>
      <c r="H62" s="21" t="s">
        <v>259</v>
      </c>
      <c r="I62" s="13">
        <v>42797.433113425926</v>
      </c>
      <c r="J62" s="7">
        <v>0</v>
      </c>
      <c r="K62" s="98" t="str">
        <f t="shared" si="0"/>
        <v>4051/4052</v>
      </c>
      <c r="L62" s="21" t="str">
        <f>VLOOKUP(A62,'Trips&amp;Operators'!$C$1:$G$99999,5,FALSE)</f>
        <v>STARKS ANGELINA</v>
      </c>
      <c r="M62" s="6">
        <f t="shared" si="1"/>
        <v>2.6493055556784384E-2</v>
      </c>
      <c r="N62" s="7">
        <f t="shared" si="24"/>
        <v>38.150000001769513</v>
      </c>
      <c r="O62" s="7"/>
      <c r="P62" s="7"/>
      <c r="Q62" s="22"/>
      <c r="R62" s="22"/>
      <c r="S62" s="31">
        <f t="shared" si="17"/>
        <v>1</v>
      </c>
      <c r="T62" s="46" t="str">
        <f t="shared" si="3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4"/>
        <v>https://d0f6bd738d7f1b3e5a7ca70fe4ff75f0.us-east-1.aws.found.io/app/kibana#/discover/Steve-Slow-Train-Analysis-(2080s-and-2083s)?_g=(refreshInterval:(display:Off,pause:!f,section:0,value:0),time:(from:'2017-03-03T08:40:29-0700',mode:absolute,to:'2017-03-03T11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2" s="197" t="str">
        <f t="shared" si="5"/>
        <v>N</v>
      </c>
      <c r="X62" s="197">
        <f t="shared" si="23"/>
        <v>1</v>
      </c>
      <c r="Y62" s="62">
        <f t="shared" si="21"/>
        <v>4.6199999999999998E-2</v>
      </c>
      <c r="Z62" s="62">
        <f t="shared" si="8"/>
        <v>23.329699999999999</v>
      </c>
      <c r="AA62" s="62">
        <f t="shared" si="9"/>
        <v>23.2835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0149-03</v>
      </c>
      <c r="AE62" s="85" t="str">
        <f t="shared" si="11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62" s="82" t="str">
        <f t="shared" si="12"/>
        <v>"C:\Program Files (x86)\AstroGrep\AstroGrep.exe" /spath="%USERPROFILE%\AppData\Local\Temp\OnboardLogs" /stypes="app*4051*20170303*" /stext=" 17:.+((SYSTEM_STATE.+slice.+state.+changed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6" t="str">
        <f t="shared" si="18"/>
        <v>"%USERPROFILE%\Documents\GitHub\eaglep3\Utilities\RefineRTDCRunTimes.py" --tripid 149-03 --locoid 4051 --swversion DE.1.0.9.0 --startMP 204:462 --initTime 2017-03-03T09:40:29 --startdatetime 2017-03-03T09:45:32 --delay 1 --endMP 204:233297 --enddatetime 2017-03-03T10:23:41 --enforcementcount 0 &gt;&gt;C:\Users\stu\Documents\GitHub\eaglep3-reporting\EC\2017-03-03-refined-times.txt</v>
      </c>
      <c r="AI62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{"issue":{"subject":"","project_id":79,"tracker_id":40,"status_id":1,"priority_id":2,"assigned_to_id":23,"start_date":"2017-03-03","description":"","custom_fields":[{"id":1,"name":"Subdivision","value":"EC"},{"id":4,"name":"Milepost","value":"23.3297"},{"id":17,"name":"Train ID","value":"149-03"},{"id":16,"name":"Locomotive ID","value":"4051"},{"id":130,"name":"Impact","value":""},{"id":150,"name":"Time of Event (Mountain Time)","value":"10:23:41"},{"id":151,"name":"Denver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4051 --day 2017-03-03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"%USERPROFILE%\AppData\Local\Temp\OnboardLogs"\RTDC4051\*4051*20170303* | grep -SE "(Enforcement Action)|(\[TIMEOUT)|(CHR.+\|PRM\|1\|D.+(SWITCH|SIGNAL).+UNKNOWN)" - &gt;&gt; 2017-03-03-UncaughtWiMAX.txt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678</v>
      </c>
      <c r="B63" s="7">
        <v>4052</v>
      </c>
      <c r="C63" s="21" t="s">
        <v>251</v>
      </c>
      <c r="D63" s="21" t="s">
        <v>850</v>
      </c>
      <c r="E63" s="13">
        <v>42797.440127314818</v>
      </c>
      <c r="F63" s="13">
        <v>42797.445520833331</v>
      </c>
      <c r="G63" s="7">
        <v>2</v>
      </c>
      <c r="H63" s="21" t="s">
        <v>260</v>
      </c>
      <c r="I63" s="13">
        <v>42797.473287037035</v>
      </c>
      <c r="J63" s="7">
        <v>0</v>
      </c>
      <c r="K63" s="98" t="str">
        <f t="shared" si="0"/>
        <v>4051/4052</v>
      </c>
      <c r="L63" s="21" t="str">
        <f>VLOOKUP(A63,'Trips&amp;Operators'!$C$1:$G$99999,5,FALSE)</f>
        <v>STARKS ANGELINA</v>
      </c>
      <c r="M63" s="6">
        <f t="shared" si="1"/>
        <v>2.7766203704231884E-2</v>
      </c>
      <c r="N63" s="7">
        <f t="shared" si="24"/>
        <v>39.983333334093913</v>
      </c>
      <c r="O63" s="7"/>
      <c r="P63" s="7"/>
      <c r="Q63" s="22"/>
      <c r="R63" s="22"/>
      <c r="S63" s="31">
        <f t="shared" si="17"/>
        <v>1</v>
      </c>
      <c r="T63" s="46" t="str">
        <f t="shared" si="3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4"/>
        <v>https://d0f6bd738d7f1b3e5a7ca70fe4ff75f0.us-east-1.aws.found.io/app/kibana#/discover/Steve-Slow-Train-Analysis-(2080s-and-2083s)?_g=(refreshInterval:(display:Off,pause:!f,section:0,value:0),time:(from:'2017-03-03T09:33:47-0700',mode:absolute,to:'2017-03-03T12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3" s="197" t="str">
        <f t="shared" si="5"/>
        <v>N</v>
      </c>
      <c r="X63" s="197">
        <f t="shared" si="23"/>
        <v>1</v>
      </c>
      <c r="Y63" s="62">
        <f t="shared" si="21"/>
        <v>23.297999999999998</v>
      </c>
      <c r="Z63" s="62">
        <f t="shared" si="8"/>
        <v>1.6500000000000001E-2</v>
      </c>
      <c r="AA63" s="62">
        <f t="shared" si="9"/>
        <v>23.281499999999998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0150-03</v>
      </c>
      <c r="AE63" s="85" t="str">
        <f t="shared" si="11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63" s="82" t="str">
        <f t="shared" si="12"/>
        <v>"C:\Program Files (x86)\AstroGrep\AstroGrep.exe" /spath="%USERPROFILE%\AppData\Local\Temp\OnboardLogs" /stypes="app*4052*20170303*" /stext=" 18:.+((SYSTEM_STATE.+slice.+state.+changed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6" t="str">
        <f t="shared" si="18"/>
        <v>"%USERPROFILE%\Documents\GitHub\eaglep3\Utilities\RefineRTDCRunTimes.py" --tripid 150-03 --locoid 4052 --swversion DE.1.0.9.0 --startMP 204:232980 --initTime 2017-03-03T10:33:47 --startdatetime 2017-03-03T10:41:33 --delay 2 --endMP 204:165 --enddatetime 2017-03-03T11:21:32 --enforcementcount 0 &gt;&gt;C:\Users\stu\Documents\GitHub\eaglep3-reporting\EC\2017-03-03-refined-times.txt</v>
      </c>
      <c r="AI63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{"issue":{"subject":"","project_id":79,"tracker_id":40,"status_id":1,"priority_id":2,"assigned_to_id":23,"start_date":"2017-03-03","description":"","custom_fields":[{"id":1,"name":"Subdivision","value":"EC"},{"id":4,"name":"Milepost","value":"0.0165"},{"id":17,"name":"Train ID","value":"150-03"},{"id":16,"name":"Locomotive ID","value":"4052"},{"id":130,"name":"Impact","value":""},{"id":150,"name":"Time of Event (Mountain Time)","value":"11:21:32"},{"id":151,"name":"Denver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4052 --day 2017-03-03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673</v>
      </c>
      <c r="B64" s="7">
        <v>4046</v>
      </c>
      <c r="C64" s="21" t="s">
        <v>251</v>
      </c>
      <c r="D64" s="21" t="s">
        <v>276</v>
      </c>
      <c r="E64" s="13">
        <v>42797.413032407407</v>
      </c>
      <c r="F64" s="13">
        <v>42797.417025462964</v>
      </c>
      <c r="G64" s="7">
        <v>1</v>
      </c>
      <c r="H64" s="21" t="s">
        <v>280</v>
      </c>
      <c r="I64" s="13">
        <v>42797.442152777781</v>
      </c>
      <c r="J64" s="7">
        <v>0</v>
      </c>
      <c r="K64" s="98" t="str">
        <f t="shared" si="0"/>
        <v>4045/4046</v>
      </c>
      <c r="L64" s="21" t="str">
        <f>VLOOKUP(A64,'Trips&amp;Operators'!$C$1:$G$99999,5,FALSE)</f>
        <v>LOZA FIDEL</v>
      </c>
      <c r="M64" s="6">
        <f t="shared" si="1"/>
        <v>2.5127314816927537E-2</v>
      </c>
      <c r="N64" s="7">
        <f t="shared" si="24"/>
        <v>36.183333336375654</v>
      </c>
      <c r="O64" s="7"/>
      <c r="P64" s="7"/>
      <c r="Q64" s="22"/>
      <c r="R64" s="22"/>
      <c r="S64" s="31">
        <f t="shared" si="17"/>
        <v>1</v>
      </c>
      <c r="T64" s="46" t="str">
        <f t="shared" si="3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4"/>
        <v>https://d0f6bd738d7f1b3e5a7ca70fe4ff75f0.us-east-1.aws.found.io/app/kibana#/discover/Steve-Slow-Train-Analysis-(2080s-and-2083s)?_g=(refreshInterval:(display:Off,pause:!f,section:0,value:0),time:(from:'2017-03-03T08:54:46-0700',mode:absolute,to:'2017-03-03T11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4" s="197" t="str">
        <f t="shared" si="5"/>
        <v>N</v>
      </c>
      <c r="X64" s="197">
        <f t="shared" si="23"/>
        <v>1</v>
      </c>
      <c r="Y64" s="62">
        <f t="shared" si="21"/>
        <v>4.6699999999999998E-2</v>
      </c>
      <c r="Z64" s="62">
        <f t="shared" si="8"/>
        <v>23.331499999999998</v>
      </c>
      <c r="AA64" s="62">
        <f t="shared" si="9"/>
        <v>23.284799999999997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0151-03</v>
      </c>
      <c r="AE64" s="85" t="str">
        <f t="shared" si="11"/>
        <v>aws s3 cp s3://rtdc.mdm.uploadarchive.raw/RTDC4046/ "%USERPROFILE%\AppData\Local\Temp\OnboardLogs"\RTDC4046\2017-03-03 --exclude "*" --recursive --include "*20170303*" &amp; "%USERPROFILE%\Documents\GitHub\mrs-test-scripts\Headless Mode &amp; Sideloading\WalkAndUnGZ.bat" "%USERPROFILE%\AppData\Local\Temp\OnboardLogs"\RTDC4046\2017-03-03 &amp; 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</v>
      </c>
      <c r="AF64" s="82" t="str">
        <f t="shared" si="12"/>
        <v>"C:\Program Files (x86)\AstroGrep\AstroGrep.exe" /spath="%USERPROFILE%\AppData\Local\Temp\OnboardLogs" /stypes="app*4046*20170303*" /stext=" 17:.+((SYSTEM_STATE.+slice.+state.+changed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6" t="str">
        <f t="shared" si="18"/>
        <v>"%USERPROFILE%\Documents\GitHub\eaglep3\Utilities\RefineRTDCRunTimes.py" --tripid 151-03 --locoid 4046 --swversion DE.1.0.9.0 --startMP 204:467 --initTime 2017-03-03T09:54:46 --startdatetime 2017-03-03T10:00:31 --delay 1 --endMP 204:233315 --enddatetime 2017-03-03T10:36:42 --enforcementcount 0 &gt;&gt;C:\Users\stu\Documents\GitHub\eaglep3-reporting\EC\2017-03-03-refined-times.txt</v>
      </c>
      <c r="AI64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{"issue":{"subject":"","project_id":79,"tracker_id":40,"status_id":1,"priority_id":2,"assigned_to_id":23,"start_date":"2017-03-03","description":"","custom_fields":[{"id":1,"name":"Subdivision","value":"EC"},{"id":4,"name":"Milepost","value":"23.3315"},{"id":17,"name":"Train ID","value":"151-03"},{"id":16,"name":"Locomotive ID","value":"4046"},{"id":130,"name":"Impact","value":""},{"id":150,"name":"Time of Event (Mountain Time)","value":"10:36:42"},{"id":151,"name":"Denver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4046 --day 2017-03-03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"%USERPROFILE%\AppData\Local\Temp\OnboardLogs"\RTDC4046\*4046*20170303* | grep -SE "(Enforcement Action)|(\[TIMEOUT)|(CHR.+\|PRM\|1\|D.+(SWITCH|SIGNAL).+UNKNOWN)" - &gt;&gt; 2017-03-03-UncaughtWiMAX.txt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681</v>
      </c>
      <c r="B65" s="7">
        <v>4045</v>
      </c>
      <c r="C65" s="21" t="s">
        <v>251</v>
      </c>
      <c r="D65" s="21" t="s">
        <v>279</v>
      </c>
      <c r="E65" s="13">
        <v>42797.452349537038</v>
      </c>
      <c r="F65" s="13">
        <v>42797.456157407411</v>
      </c>
      <c r="G65" s="7">
        <v>1</v>
      </c>
      <c r="H65" s="21" t="s">
        <v>348</v>
      </c>
      <c r="I65" s="13">
        <v>42797.482812499999</v>
      </c>
      <c r="J65" s="7">
        <v>0</v>
      </c>
      <c r="K65" s="98" t="str">
        <f t="shared" si="0"/>
        <v>4045/4046</v>
      </c>
      <c r="L65" s="21" t="str">
        <f>VLOOKUP(A65,'Trips&amp;Operators'!$C$1:$G$99999,5,FALSE)</f>
        <v>LOZA FIDEL</v>
      </c>
      <c r="M65" s="6">
        <f t="shared" si="1"/>
        <v>2.6655092588043772E-2</v>
      </c>
      <c r="N65" s="7">
        <f t="shared" si="24"/>
        <v>38.383333326783031</v>
      </c>
      <c r="O65" s="7"/>
      <c r="P65" s="7"/>
      <c r="Q65" s="22"/>
      <c r="R65" s="22"/>
      <c r="S65" s="31">
        <f t="shared" si="17"/>
        <v>1</v>
      </c>
      <c r="T65" s="46" t="str">
        <f t="shared" si="3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4"/>
        <v>https://d0f6bd738d7f1b3e5a7ca70fe4ff75f0.us-east-1.aws.found.io/app/kibana#/discover/Steve-Slow-Train-Analysis-(2080s-and-2083s)?_g=(refreshInterval:(display:Off,pause:!f,section:0,value:0),time:(from:'2017-03-03T09:51:23-0700',mode:absolute,to:'2017-03-03T12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5" s="197" t="str">
        <f t="shared" si="5"/>
        <v>N</v>
      </c>
      <c r="X65" s="197">
        <f t="shared" si="23"/>
        <v>1</v>
      </c>
      <c r="Y65" s="62">
        <f t="shared" si="21"/>
        <v>23.299800000000001</v>
      </c>
      <c r="Z65" s="62">
        <f t="shared" si="8"/>
        <v>1.29E-2</v>
      </c>
      <c r="AA65" s="62">
        <f t="shared" si="9"/>
        <v>23.286900000000003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0152-03</v>
      </c>
      <c r="AE65" s="85" t="str">
        <f t="shared" si="11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65" s="82" t="str">
        <f t="shared" si="12"/>
        <v>"C:\Program Files (x86)\AstroGrep\AstroGrep.exe" /spath="%USERPROFILE%\AppData\Local\Temp\OnboardLogs" /stypes="app*4045*20170303*" /stext=" 18:.+((SYSTEM_STATE.+slice.+state.+changed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6" t="str">
        <f t="shared" si="18"/>
        <v>"%USERPROFILE%\Documents\GitHub\eaglep3\Utilities\RefineRTDCRunTimes.py" --tripid 152-03 --locoid 4045 --swversion DE.1.0.9.0 --startMP 204:232998 --initTime 2017-03-03T10:51:23 --startdatetime 2017-03-03T10:56:52 --delay 1 --endMP 204:129 --enddatetime 2017-03-03T11:35:15 --enforcementcount 0 &gt;&gt;C:\Users\stu\Documents\GitHub\eaglep3-reporting\EC\2017-03-03-refined-times.txt</v>
      </c>
      <c r="AI65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{"issue":{"subject":"","project_id":79,"tracker_id":40,"status_id":1,"priority_id":2,"assigned_to_id":23,"start_date":"2017-03-03","description":"","custom_fields":[{"id":1,"name":"Subdivision","value":"EC"},{"id":4,"name":"Milepost","value":"0.0129"},{"id":17,"name":"Train ID","value":"152-03"},{"id":16,"name":"Locomotive ID","value":"4045"},{"id":130,"name":"Impact","value":""},{"id":150,"name":"Time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4045 --day 2017-03-03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"%USERPROFILE%\AppData\Local\Temp\OnboardLogs"\RTDC4045\*4045*20170303* | grep -SE "(Enforcement Action)|(\[TIMEOUT)|(CHR.+\|PRM\|1\|D.+(SWITCH|SIGNAL).+UNKNOWN)" - &gt;&gt; 2017-03-03-UncaughtWiMAX.txt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675</v>
      </c>
      <c r="B66" s="7">
        <v>4027</v>
      </c>
      <c r="C66" s="21" t="s">
        <v>251</v>
      </c>
      <c r="D66" s="21" t="s">
        <v>246</v>
      </c>
      <c r="E66" s="13">
        <v>42797.422719907408</v>
      </c>
      <c r="F66" s="13">
        <v>42797.427245370367</v>
      </c>
      <c r="G66" s="7">
        <v>1</v>
      </c>
      <c r="H66" s="21" t="s">
        <v>262</v>
      </c>
      <c r="I66" s="13">
        <v>42797.451469907406</v>
      </c>
      <c r="J66" s="7">
        <v>0</v>
      </c>
      <c r="K66" s="98" t="str">
        <f t="shared" si="0"/>
        <v>4027/4028</v>
      </c>
      <c r="L66" s="21" t="str">
        <f>VLOOKUP(A66,'Trips&amp;Operators'!$C$1:$G$99999,5,FALSE)</f>
        <v>BEAM ROSS</v>
      </c>
      <c r="M66" s="6">
        <f t="shared" si="1"/>
        <v>2.4224537039117422E-2</v>
      </c>
      <c r="N66" s="7">
        <f t="shared" si="24"/>
        <v>34.883333336329088</v>
      </c>
      <c r="O66" s="7"/>
      <c r="P66" s="7"/>
      <c r="Q66" s="22"/>
      <c r="R66" s="22"/>
      <c r="S66" s="31">
        <f t="shared" si="17"/>
        <v>1</v>
      </c>
      <c r="T66" s="46" t="str">
        <f t="shared" si="3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4"/>
        <v>https://d0f6bd738d7f1b3e5a7ca70fe4ff75f0.us-east-1.aws.found.io/app/kibana#/discover/Steve-Slow-Train-Analysis-(2080s-and-2083s)?_g=(refreshInterval:(display:Off,pause:!f,section:0,value:0),time:(from:'2017-03-03T09:08:43-0700',mode:absolute,to:'2017-03-03T11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197" t="str">
        <f t="shared" si="5"/>
        <v>N</v>
      </c>
      <c r="X66" s="197">
        <f t="shared" si="23"/>
        <v>1</v>
      </c>
      <c r="Y66" s="62">
        <f t="shared" si="21"/>
        <v>4.6600000000000003E-2</v>
      </c>
      <c r="Z66" s="62">
        <f t="shared" si="8"/>
        <v>23.329899999999999</v>
      </c>
      <c r="AA66" s="62">
        <f t="shared" si="9"/>
        <v>23.283299999999997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0153-03</v>
      </c>
      <c r="AE66" s="85" t="str">
        <f t="shared" si="11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66" s="82" t="str">
        <f t="shared" si="12"/>
        <v>"C:\Program Files (x86)\AstroGrep\AstroGrep.exe" /spath="%USERPROFILE%\AppData\Local\Temp\OnboardLogs" /stypes="app*4027*20170303*" /stext=" 17:.+((SYSTEM_STATE.+slice.+state.+changed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6" t="str">
        <f t="shared" si="18"/>
        <v>"%USERPROFILE%\Documents\GitHub\eaglep3\Utilities\RefineRTDCRunTimes.py" --tripid 153-03 --locoid 4027 --swversion DE.1.0.9.0 --startMP 204:466 --initTime 2017-03-03T10:08:43 --startdatetime 2017-03-03T10:15:14 --delay 1 --endMP 204:233299 --enddatetime 2017-03-03T10:50:07 --enforcementcount 0 &gt;&gt;C:\Users\stu\Documents\GitHub\eaglep3-reporting\EC\2017-03-03-refined-times.txt</v>
      </c>
      <c r="AI66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{"issue":{"subject":"","project_id":79,"tracker_id":40,"status_id":1,"priority_id":2,"assigned_to_id":23,"start_date":"2017-03-03","description":"","custom_fields":[{"id":1,"name":"Subdivision","value":"EC"},{"id":4,"name":"Milepost","value":"23.3299"},{"id":17,"name":"Train ID","value":"153-03"},{"id":16,"name":"Locomotive ID","value":"4027"},{"id":130,"name":"Impact","value":""},{"id":150,"name":"Time of Event (Mountain Time)","value":"10:50:07"},{"id":151,"name":"Denver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4027 --day 2017-03-03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"%USERPROFILE%\AppData\Local\Temp\OnboardLogs"\RTDC4027\*4027*20170303* | grep -SE "(Enforcement Action)|(\[TIMEOUT)|(CHR.+\|PRM\|1\|D.+(SWITCH|SIGNAL).+UNKNOWN)" - &gt;&gt; 2017-03-03-UncaughtWiMAX.txt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685</v>
      </c>
      <c r="B67" s="7">
        <v>4028</v>
      </c>
      <c r="C67" s="21" t="s">
        <v>251</v>
      </c>
      <c r="D67" s="21" t="s">
        <v>343</v>
      </c>
      <c r="E67" s="13">
        <v>42797.462418981479</v>
      </c>
      <c r="F67" s="13">
        <v>42797.466134259259</v>
      </c>
      <c r="G67" s="7">
        <v>1</v>
      </c>
      <c r="H67" s="21" t="s">
        <v>531</v>
      </c>
      <c r="I67" s="13">
        <v>42797.493645833332</v>
      </c>
      <c r="J67" s="7">
        <v>0</v>
      </c>
      <c r="K67" s="98" t="str">
        <f t="shared" si="0"/>
        <v>4027/4028</v>
      </c>
      <c r="L67" s="21" t="str">
        <f>VLOOKUP(A67,'Trips&amp;Operators'!$C$1:$G$99999,5,FALSE)</f>
        <v>BEAM ROSS</v>
      </c>
      <c r="M67" s="6">
        <f t="shared" si="1"/>
        <v>2.7511574073287193E-2</v>
      </c>
      <c r="N67" s="7">
        <f t="shared" si="24"/>
        <v>39.616666665533558</v>
      </c>
      <c r="O67" s="7"/>
      <c r="P67" s="7"/>
      <c r="Q67" s="22"/>
      <c r="R67" s="22"/>
      <c r="S67" s="31">
        <f t="shared" si="17"/>
        <v>1</v>
      </c>
      <c r="T67" s="46" t="str">
        <f t="shared" si="3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4"/>
        <v>https://d0f6bd738d7f1b3e5a7ca70fe4ff75f0.us-east-1.aws.found.io/app/kibana#/discover/Steve-Slow-Train-Analysis-(2080s-and-2083s)?_g=(refreshInterval:(display:Off,pause:!f,section:0,value:0),time:(from:'2017-03-03T10:05:53-0700',mode:absolute,to:'2017-03-03T12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97" t="str">
        <f t="shared" si="5"/>
        <v>N</v>
      </c>
      <c r="X67" s="197">
        <f t="shared" si="23"/>
        <v>1</v>
      </c>
      <c r="Y67" s="62">
        <f t="shared" si="21"/>
        <v>23.297799999999999</v>
      </c>
      <c r="Z67" s="62">
        <f t="shared" si="8"/>
        <v>1.38E-2</v>
      </c>
      <c r="AA67" s="62">
        <f t="shared" si="9"/>
        <v>23.283999999999999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0154-03</v>
      </c>
      <c r="AE67" s="85" t="str">
        <f t="shared" si="11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67" s="82" t="str">
        <f t="shared" si="12"/>
        <v>"C:\Program Files (x86)\AstroGrep\AstroGrep.exe" /spath="%USERPROFILE%\AppData\Local\Temp\OnboardLogs" /stypes="app*4028*20170303*"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6" t="str">
        <f t="shared" si="18"/>
        <v>"%USERPROFILE%\Documents\GitHub\eaglep3\Utilities\RefineRTDCRunTimes.py" --tripid 154-03 --locoid 4028 --swversion DE.1.0.9.0 --startMP 204:232978 --initTime 2017-03-03T11:05:53 --startdatetime 2017-03-03T11:11:14 --delay 1 --endMP 204:138 --enddatetime 2017-03-03T11:50:51 --enforcementcount 0 &gt;&gt;C:\Users\stu\Documents\GitHub\eaglep3-reporting\EC\2017-03-03-refined-times.txt</v>
      </c>
      <c r="AI67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{"issue":{"subject":"","project_id":79,"tracker_id":40,"status_id":1,"priority_id":2,"assigned_to_id":23,"start_date":"2017-03-03","description":"","custom_fields":[{"id":1,"name":"Subdivision","value":"EC"},{"id":4,"name":"Milepost","value":"0.0138"},{"id":17,"name":"Train ID","value":"154-03"},{"id":16,"name":"Locomotive ID","value":"4028"},{"id":130,"name":"Impact","value":""},{"id":150,"name":"Time of Event (Mountain Time)","value":"11:50:51"},{"id":151,"name":"Denver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4028 --day 2017-03-03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"%USERPROFILE%\AppData\Local\Temp\OnboardLogs"\RTDC4028\*4028*20170303* | grep -SE "(Enforcement Action)|(\[TIMEOUT)|(CHR.+\|PRM\|1\|D.+(SWITCH|SIGNAL).+UNKNOWN)" - &gt;&gt; 2017-03-03-UncaughtWiMAX.txt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677</v>
      </c>
      <c r="B68" s="7">
        <v>4053</v>
      </c>
      <c r="C68" s="21" t="s">
        <v>251</v>
      </c>
      <c r="D68" s="21" t="s">
        <v>246</v>
      </c>
      <c r="E68" s="13">
        <v>42797.434398148151</v>
      </c>
      <c r="F68" s="13">
        <v>42797.437696759262</v>
      </c>
      <c r="G68" s="7">
        <v>1</v>
      </c>
      <c r="H68" s="21" t="s">
        <v>529</v>
      </c>
      <c r="I68" s="13">
        <v>42797.462627314817</v>
      </c>
      <c r="J68" s="7">
        <v>0</v>
      </c>
      <c r="K68" s="98" t="str">
        <f t="shared" si="0"/>
        <v>4053/4054</v>
      </c>
      <c r="L68" s="21" t="str">
        <f>VLOOKUP(A68,'Trips&amp;Operators'!$C$1:$G$99999,5,FALSE)</f>
        <v>GEBRETEKLE DAGNEW</v>
      </c>
      <c r="M68" s="6">
        <f t="shared" si="1"/>
        <v>2.4930555555329192E-2</v>
      </c>
      <c r="N68" s="7">
        <f t="shared" si="24"/>
        <v>35.899999999674037</v>
      </c>
      <c r="O68" s="7"/>
      <c r="P68" s="7"/>
      <c r="Q68" s="22"/>
      <c r="R68" s="22"/>
      <c r="S68" s="31">
        <f t="shared" si="17"/>
        <v>1</v>
      </c>
      <c r="T68" s="46" t="str">
        <f t="shared" si="3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4"/>
        <v>https://d0f6bd738d7f1b3e5a7ca70fe4ff75f0.us-east-1.aws.found.io/app/kibana#/discover/Steve-Slow-Train-Analysis-(2080s-and-2083s)?_g=(refreshInterval:(display:Off,pause:!f,section:0,value:0),time:(from:'2017-03-03T09:25:32-0700',mode:absolute,to:'2017-03-03T12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8" s="197" t="str">
        <f t="shared" si="5"/>
        <v>N</v>
      </c>
      <c r="X68" s="197">
        <f t="shared" si="23"/>
        <v>1</v>
      </c>
      <c r="Y68" s="62">
        <f t="shared" si="21"/>
        <v>4.6600000000000003E-2</v>
      </c>
      <c r="Z68" s="62">
        <f t="shared" si="8"/>
        <v>23.330200000000001</v>
      </c>
      <c r="AA68" s="62">
        <f t="shared" si="9"/>
        <v>23.2836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0155-03</v>
      </c>
      <c r="AE68" s="85" t="str">
        <f t="shared" si="11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68" s="82" t="str">
        <f t="shared" si="12"/>
        <v>"C:\Program Files (x86)\AstroGrep\AstroGrep.exe" /spath="%USERPROFILE%\AppData\Local\Temp\OnboardLogs" /stypes="app*4053*20170303*" /stext=" 18:.+((SYSTEM_STATE.+slice.+state.+changed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6" t="str">
        <f t="shared" si="18"/>
        <v>"%USERPROFILE%\Documents\GitHub\eaglep3\Utilities\RefineRTDCRunTimes.py" --tripid 155-03 --locoid 4053 --swversion DE.1.0.9.0 --startMP 204:466 --initTime 2017-03-03T10:25:32 --startdatetime 2017-03-03T10:30:17 --delay 1 --endMP 204:233302 --enddatetime 2017-03-03T11:06:11 --enforcementcount 0 &gt;&gt;C:\Users\stu\Documents\GitHub\eaglep3-reporting\EC\2017-03-03-refined-times.txt</v>
      </c>
      <c r="AI68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{"issue":{"subject":"","project_id":79,"tracker_id":40,"status_id":1,"priority_id":2,"assigned_to_id":23,"start_date":"2017-03-03","description":"","custom_fields":[{"id":1,"name":"Subdivision","value":"EC"},{"id":4,"name":"Milepost","value":"23.3302"},{"id":17,"name":"Train ID","value":"155-03"},{"id":16,"name":"Locomotive ID","value":"4053"},{"id":130,"name":"Impact","value":""},{"id":150,"name":"Time of Event (Mountain Time)","value":"11:06:11"},{"id":151,"name":"Denver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4053 --day 2017-03-03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"%USERPROFILE%\AppData\Local\Temp\OnboardLogs"\RTDC4053\*4053*20170303* | grep -SE "(Enforcement Action)|(\[TIMEOUT)|(CHR.+\|PRM\|1\|D.+(SWITCH|SIGNAL).+UNKNOWN)" - &gt;&gt; 2017-03-03-UncaughtWiMAX.txt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20" customFormat="1" x14ac:dyDescent="0.25">
      <c r="A69" s="33" t="s">
        <v>689</v>
      </c>
      <c r="B69" s="7">
        <v>4054</v>
      </c>
      <c r="C69" s="21" t="s">
        <v>251</v>
      </c>
      <c r="D69" s="21" t="s">
        <v>279</v>
      </c>
      <c r="E69" s="13">
        <v>42797.465150462966</v>
      </c>
      <c r="F69" s="13">
        <v>42797.476620370369</v>
      </c>
      <c r="G69" s="7">
        <v>1</v>
      </c>
      <c r="H69" s="21" t="s">
        <v>240</v>
      </c>
      <c r="I69" s="13">
        <v>42797.504791666666</v>
      </c>
      <c r="J69" s="7">
        <v>0</v>
      </c>
      <c r="K69" s="98" t="str">
        <f t="shared" si="0"/>
        <v>4053/4054</v>
      </c>
      <c r="L69" s="21" t="str">
        <f>VLOOKUP(A69,'Trips&amp;Operators'!$C$1:$G$99999,5,FALSE)</f>
        <v>GEBRETEKLE DAGNEW</v>
      </c>
      <c r="M69" s="6">
        <f t="shared" si="1"/>
        <v>2.8171296296932269E-2</v>
      </c>
      <c r="N69" s="7">
        <f t="shared" si="24"/>
        <v>40.566666667582467</v>
      </c>
      <c r="O69" s="7"/>
      <c r="P69" s="7"/>
      <c r="Q69" s="22"/>
      <c r="R69" s="22"/>
      <c r="S69" s="31">
        <f t="shared" si="17"/>
        <v>1</v>
      </c>
      <c r="T69" s="46" t="str">
        <f t="shared" si="3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4"/>
        <v>https://d0f6bd738d7f1b3e5a7ca70fe4ff75f0.us-east-1.aws.found.io/app/kibana#/discover/Steve-Slow-Train-Analysis-(2080s-and-2083s)?_g=(refreshInterval:(display:Off,pause:!f,section:0,value:0),time:(from:'2017-03-03T10:09:49-0700',mode:absolute,to:'2017-03-03T13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97" t="str">
        <f t="shared" si="5"/>
        <v>N</v>
      </c>
      <c r="X69" s="197">
        <f t="shared" si="23"/>
        <v>1</v>
      </c>
      <c r="Y69" s="62">
        <f t="shared" si="21"/>
        <v>23.299800000000001</v>
      </c>
      <c r="Z69" s="62">
        <f t="shared" si="8"/>
        <v>1.5599999999999999E-2</v>
      </c>
      <c r="AA69" s="62">
        <f t="shared" si="9"/>
        <v>23.284200000000002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0156-03</v>
      </c>
      <c r="AE69" s="85" t="str">
        <f t="shared" si="11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69" s="82" t="str">
        <f t="shared" si="12"/>
        <v>"C:\Program Files (x86)\AstroGrep\AstroGrep.exe" /spath="%USERPROFILE%\AppData\Local\Temp\OnboardLogs" /stypes="app*4054*20170303*" /stext=" 19:.+((SYSTEM_STATE.+slice.+state.+changed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6" t="str">
        <f t="shared" si="18"/>
        <v>"%USERPROFILE%\Documents\GitHub\eaglep3\Utilities\RefineRTDCRunTimes.py" --tripid 156-03 --locoid 4054 --swversion DE.1.0.9.0 --startMP 204:232998 --initTime 2017-03-03T11:09:49 --startdatetime 2017-03-03T11:26:20 --delay 1 --endMP 204:156 --enddatetime 2017-03-03T12:06:54 --enforcementcount 0 &gt;&gt;C:\Users\stu\Documents\GitHub\eaglep3-reporting\EC\2017-03-03-refined-times.txt</v>
      </c>
      <c r="AI69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{"issue":{"subject":"","project_id":79,"tracker_id":40,"status_id":1,"priority_id":2,"assigned_to_id":23,"start_date":"2017-03-03","description":"","custom_fields":[{"id":1,"name":"Subdivision","value":"EC"},{"id":4,"name":"Milepost","value":"0.0156"},{"id":17,"name":"Train ID","value":"156-03"},{"id":16,"name":"Locomotive ID","value":"4054"},{"id":130,"name":"Impact","value":""},{"id":150,"name":"Time of Event (Mountain Time)","value":"12:06:54"},{"id":151,"name":"Denver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4054 --day 2017-03-03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"%USERPROFILE%\AppData\Local\Temp\OnboardLogs"\RTDC4054\*4054*20170303* | grep -SE "(Enforcement Action)|(\[TIMEOUT)|(CHR.+\|PRM\|1\|D.+(SWITCH|SIGNAL).+UNKNOWN)" - &gt;&gt; 2017-03-03-UncaughtWiMAX.txt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680</v>
      </c>
      <c r="B70" s="7">
        <v>4029</v>
      </c>
      <c r="C70" s="21" t="s">
        <v>251</v>
      </c>
      <c r="D70" s="21" t="s">
        <v>231</v>
      </c>
      <c r="E70" s="13">
        <v>42797.443518518521</v>
      </c>
      <c r="F70" s="13">
        <v>42797.448136574072</v>
      </c>
      <c r="G70" s="7">
        <v>1</v>
      </c>
      <c r="H70" s="21" t="s">
        <v>296</v>
      </c>
      <c r="I70" s="13">
        <v>42797.473356481481</v>
      </c>
      <c r="J70" s="7">
        <v>0</v>
      </c>
      <c r="K70" s="98" t="str">
        <f t="shared" si="0"/>
        <v>4029/4030</v>
      </c>
      <c r="L70" s="21" t="str">
        <f>VLOOKUP(A70,'Trips&amp;Operators'!$C$1:$G$99999,5,FALSE)</f>
        <v>MAYBERRY BILL</v>
      </c>
      <c r="M70" s="6">
        <f t="shared" si="1"/>
        <v>2.5219907409336884E-2</v>
      </c>
      <c r="N70" s="7">
        <f t="shared" si="24"/>
        <v>36.316666669445112</v>
      </c>
      <c r="O70" s="7"/>
      <c r="P70" s="7"/>
      <c r="Q70" s="22"/>
      <c r="R70" s="22"/>
      <c r="S70" s="31">
        <f t="shared" si="17"/>
        <v>1</v>
      </c>
      <c r="T70" s="46" t="str">
        <f t="shared" si="3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4"/>
        <v>https://d0f6bd738d7f1b3e5a7ca70fe4ff75f0.us-east-1.aws.found.io/app/kibana#/discover/Steve-Slow-Train-Analysis-(2080s-and-2083s)?_g=(refreshInterval:(display:Off,pause:!f,section:0,value:0),time:(from:'2017-03-03T09:38:40-0700',mode:absolute,to:'2017-03-03T12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97" t="str">
        <f t="shared" si="5"/>
        <v>N</v>
      </c>
      <c r="X70" s="197">
        <f t="shared" si="23"/>
        <v>1</v>
      </c>
      <c r="Y70" s="62">
        <f t="shared" si="21"/>
        <v>4.4600000000000001E-2</v>
      </c>
      <c r="Z70" s="62">
        <f t="shared" si="8"/>
        <v>23.330100000000002</v>
      </c>
      <c r="AA70" s="62">
        <f t="shared" si="9"/>
        <v>23.285500000000003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0157-03</v>
      </c>
      <c r="AE70" s="85" t="str">
        <f t="shared" si="11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70" s="82" t="str">
        <f t="shared" si="12"/>
        <v>"C:\Program Files (x86)\AstroGrep\AstroGrep.exe" /spath="%USERPROFILE%\AppData\Local\Temp\OnboardLogs" /stypes="app*4029*20170303*"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6" t="str">
        <f t="shared" si="18"/>
        <v>"%USERPROFILE%\Documents\GitHub\eaglep3\Utilities\RefineRTDCRunTimes.py" --tripid 157-03 --locoid 4029 --swversion DE.1.0.9.0 --startMP 204:446 --initTime 2017-03-03T10:38:40 --startdatetime 2017-03-03T10:45:19 --delay 1 --endMP 204:233301 --enddatetime 2017-03-03T11:21:38 --enforcementcount 0 &gt;&gt;C:\Users\stu\Documents\GitHub\eaglep3-reporting\EC\2017-03-03-refined-times.txt</v>
      </c>
      <c r="AI70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{"issue":{"subject":"","project_id":79,"tracker_id":40,"status_id":1,"priority_id":2,"assigned_to_id":23,"start_date":"2017-03-03","description":"","custom_fields":[{"id":1,"name":"Subdivision","value":"EC"},{"id":4,"name":"Milepost","value":"23.3301"},{"id":17,"name":"Train ID","value":"157-03"},{"id":16,"name":"Locomotive ID","value":"4029"},{"id":130,"name":"Impact","value":""},{"id":150,"name":"Time of Event (Mountain Time)","value":"11:21:38"},{"id":151,"name":"Denver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4029 --day 2017-03-03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"%USERPROFILE%\AppData\Local\Temp\OnboardLogs"\RTDC4029\*4029*20170303* | grep -SE "(Enforcement Action)|(\[TIMEOUT)|(CHR.+\|PRM\|1\|D.+(SWITCH|SIGNAL).+UNKNOWN)" - &gt;&gt; 2017-03-03-UncaughtWiMAX.txt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x14ac:dyDescent="0.25">
      <c r="A71" s="33" t="s">
        <v>691</v>
      </c>
      <c r="B71" s="7">
        <v>4030</v>
      </c>
      <c r="C71" s="21" t="s">
        <v>251</v>
      </c>
      <c r="D71" s="21" t="s">
        <v>299</v>
      </c>
      <c r="E71" s="13">
        <v>42797.477719907409</v>
      </c>
      <c r="F71" s="13">
        <v>42797.487326388888</v>
      </c>
      <c r="G71" s="7">
        <v>1</v>
      </c>
      <c r="H71" s="21" t="s">
        <v>196</v>
      </c>
      <c r="I71" s="13">
        <v>42797.514814814815</v>
      </c>
      <c r="J71" s="7">
        <v>0</v>
      </c>
      <c r="K71" s="98" t="str">
        <f t="shared" si="0"/>
        <v>4029/4030</v>
      </c>
      <c r="L71" s="21" t="str">
        <f>VLOOKUP(A71,'Trips&amp;Operators'!$C$1:$G$99999,5,FALSE)</f>
        <v>MAYBERRY BILL</v>
      </c>
      <c r="M71" s="6">
        <f t="shared" si="1"/>
        <v>2.7488425927003846E-2</v>
      </c>
      <c r="N71" s="7">
        <f t="shared" si="24"/>
        <v>39.583333334885538</v>
      </c>
      <c r="O71" s="7"/>
      <c r="P71" s="7"/>
      <c r="Q71" s="22"/>
      <c r="R71" s="22"/>
      <c r="S71" s="31">
        <f t="shared" si="17"/>
        <v>1</v>
      </c>
      <c r="T71" s="46" t="str">
        <f t="shared" si="3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4"/>
        <v>https://d0f6bd738d7f1b3e5a7ca70fe4ff75f0.us-east-1.aws.found.io/app/kibana#/discover/Steve-Slow-Train-Analysis-(2080s-and-2083s)?_g=(refreshInterval:(display:Off,pause:!f,section:0,value:0),time:(from:'2017-03-03T10:27:55-0700',mode:absolute,to:'2017-03-03T13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197" t="str">
        <f t="shared" si="5"/>
        <v>N</v>
      </c>
      <c r="X71" s="197">
        <f t="shared" si="23"/>
        <v>1</v>
      </c>
      <c r="Y71" s="62">
        <f t="shared" si="21"/>
        <v>23.2973</v>
      </c>
      <c r="Z71" s="62">
        <f t="shared" si="8"/>
        <v>1.4500000000000001E-2</v>
      </c>
      <c r="AA71" s="62">
        <f t="shared" si="9"/>
        <v>23.282799999999998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0158-03</v>
      </c>
      <c r="AE71" s="85" t="str">
        <f t="shared" si="11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71" s="82" t="str">
        <f t="shared" si="12"/>
        <v>"C:\Program Files (x86)\AstroGrep\AstroGrep.exe" /spath="%USERPROFILE%\AppData\Local\Temp\OnboardLogs" /stypes="app*4030*20170303*"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6" t="str">
        <f t="shared" si="18"/>
        <v>"%USERPROFILE%\Documents\GitHub\eaglep3\Utilities\RefineRTDCRunTimes.py" --tripid 158-03 --locoid 4030 --swversion DE.1.0.9.0 --startMP 204:232973 --initTime 2017-03-03T11:27:55 --startdatetime 2017-03-03T11:41:45 --delay 1 --endMP 204:145 --enddatetime 2017-03-03T12:21:20 --enforcementcount 0 &gt;&gt;C:\Users\stu\Documents\GitHub\eaglep3-reporting\EC\2017-03-03-refined-times.txt</v>
      </c>
      <c r="AI71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ID","value":"158-03"},{"id":16,"name":"Locomotive ID","value":"4030"},{"id":130,"name":"Impact","value":""},{"id":150,"name":"Time of Event (Mountain Time)","value":"12:21:20"},{"id":151,"name":"Denver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4030 --day 2017-03-03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"%USERPROFILE%\AppData\Local\Temp\OnboardLogs"\RTDC4030\*4030*20170303* | grep -SE "(Enforcement Action)|(\[TIMEOUT)|(CHR.+\|PRM\|1\|D.+(SWITCH|SIGNAL).+UNKNOWN)" - &gt;&gt; 2017-03-03-UncaughtWiMAX.txt</v>
      </c>
    </row>
    <row r="72" spans="1:91" s="20" customFormat="1" x14ac:dyDescent="0.25">
      <c r="A72" s="33" t="s">
        <v>683</v>
      </c>
      <c r="B72" s="7">
        <v>4031</v>
      </c>
      <c r="C72" s="21" t="s">
        <v>251</v>
      </c>
      <c r="D72" s="21" t="s">
        <v>219</v>
      </c>
      <c r="E72" s="13">
        <v>42797.457824074074</v>
      </c>
      <c r="F72" s="13">
        <v>42797.460439814815</v>
      </c>
      <c r="G72" s="7">
        <v>2</v>
      </c>
      <c r="H72" s="21" t="s">
        <v>851</v>
      </c>
      <c r="I72" s="13">
        <v>42797.485358796293</v>
      </c>
      <c r="J72" s="7">
        <v>0</v>
      </c>
      <c r="K72" s="98" t="str">
        <f t="shared" si="0"/>
        <v>4031/4032</v>
      </c>
      <c r="L72" s="21" t="str">
        <f>VLOOKUP(A72,'Trips&amp;Operators'!$C$1:$G$99999,5,FALSE)</f>
        <v>STEWART MICHAEL</v>
      </c>
      <c r="M72" s="6">
        <f t="shared" si="1"/>
        <v>2.491898147854954E-2</v>
      </c>
      <c r="N72" s="7">
        <f t="shared" si="24"/>
        <v>35.883333329111338</v>
      </c>
      <c r="O72" s="7"/>
      <c r="P72" s="7"/>
      <c r="Q72" s="22"/>
      <c r="R72" s="22"/>
      <c r="S72" s="31">
        <f t="shared" si="17"/>
        <v>1</v>
      </c>
      <c r="T72" s="46" t="str">
        <f t="shared" si="3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4"/>
        <v>https://d0f6bd738d7f1b3e5a7ca70fe4ff75f0.us-east-1.aws.found.io/app/kibana#/discover/Steve-Slow-Train-Analysis-(2080s-and-2083s)?_g=(refreshInterval:(display:Off,pause:!f,section:0,value:0),time:(from:'2017-03-03T09:59:16-0700',mode:absolute,to:'2017-03-03T12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2" s="197" t="str">
        <f t="shared" si="5"/>
        <v>N</v>
      </c>
      <c r="X72" s="197">
        <f t="shared" si="23"/>
        <v>1</v>
      </c>
      <c r="Y72" s="62">
        <f t="shared" si="21"/>
        <v>4.5100000000000001E-2</v>
      </c>
      <c r="Z72" s="62">
        <f t="shared" si="8"/>
        <v>23.328299999999999</v>
      </c>
      <c r="AA72" s="62">
        <f t="shared" si="9"/>
        <v>23.283199999999997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0159-03</v>
      </c>
      <c r="AE72" s="85" t="str">
        <f t="shared" si="11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72" s="82" t="str">
        <f t="shared" si="12"/>
        <v>"C:\Program Files (x86)\AstroGrep\AstroGrep.exe" /spath="%USERPROFILE%\AppData\Local\Temp\OnboardLogs" /stypes="app*4031*20170303*" /stext=" 18:.+((SYSTEM_STATE.+slice.+state.+changed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6" t="str">
        <f t="shared" si="18"/>
        <v>"%USERPROFILE%\Documents\GitHub\eaglep3\Utilities\RefineRTDCRunTimes.py" --tripid 159-03 --locoid 4031 --swversion DE.1.0.9.0 --startMP 204:451 --initTime 2017-03-03T10:59:16 --startdatetime 2017-03-03T11:03:02 --delay 2 --endMP 204:233283 --enddatetime 2017-03-03T11:38:55 --enforcementcount 0 &gt;&gt;C:\Users\stu\Documents\GitHub\eaglep3-reporting\EC\2017-03-03-refined-times.txt</v>
      </c>
      <c r="AI72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{"issue":{"subject":"","project_id":79,"tracker_id":40,"status_id":1,"priority_id":2,"assigned_to_id":23,"start_date":"2017-03-03","description":"","custom_fields":[{"id":1,"name":"Subdivision","value":"EC"},{"id":4,"name":"Milepost","value":"23.3283"},{"id":17,"name":"Train ID","value":"159-03"},{"id":16,"name":"Locomotive ID","value":"4031"},{"id":130,"name":"Impact","value":""},{"id":150,"name":"Time of Event (Mountain Time)","value":"11:38:55"},{"id":151,"name":"Denver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4031 --day 2017-03-03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"%USERPROFILE%\AppData\Local\Temp\OnboardLogs"\RTDC4031\*4031*20170303* | grep -SE "(Enforcement Action)|(\[TIMEOUT)|(CHR.+\|PRM\|1\|D.+(SWITCH|SIGNAL).+UNKNOWN)" - &gt;&gt; 2017-03-03-UncaughtWiMAX.txt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694</v>
      </c>
      <c r="B73" s="7">
        <v>4032</v>
      </c>
      <c r="C73" s="21" t="s">
        <v>251</v>
      </c>
      <c r="D73" s="21" t="s">
        <v>530</v>
      </c>
      <c r="E73" s="13">
        <v>42797.494189814817</v>
      </c>
      <c r="F73" s="13">
        <v>42797.497476851851</v>
      </c>
      <c r="G73" s="7">
        <v>1</v>
      </c>
      <c r="H73" s="21" t="s">
        <v>243</v>
      </c>
      <c r="I73" s="13">
        <v>42797.525370370371</v>
      </c>
      <c r="J73" s="7">
        <v>0</v>
      </c>
      <c r="K73" s="98" t="str">
        <f t="shared" si="0"/>
        <v>4031/4032</v>
      </c>
      <c r="L73" s="21" t="str">
        <f>VLOOKUP(A73,'Trips&amp;Operators'!$C$1:$G$99999,5,FALSE)</f>
        <v>STEWART MICHAEL</v>
      </c>
      <c r="M73" s="6">
        <f t="shared" si="1"/>
        <v>2.789351851970423E-2</v>
      </c>
      <c r="N73" s="7">
        <f t="shared" si="24"/>
        <v>40.166666668374091</v>
      </c>
      <c r="O73" s="7"/>
      <c r="P73" s="7"/>
      <c r="Q73" s="22"/>
      <c r="R73" s="22"/>
      <c r="S73" s="31">
        <f t="shared" si="17"/>
        <v>1</v>
      </c>
      <c r="T73" s="46" t="str">
        <f t="shared" si="3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4"/>
        <v>https://d0f6bd738d7f1b3e5a7ca70fe4ff75f0.us-east-1.aws.found.io/app/kibana#/discover/Steve-Slow-Train-Analysis-(2080s-and-2083s)?_g=(refreshInterval:(display:Off,pause:!f,section:0,value:0),time:(from:'2017-03-03T10:51:38-0700',mode:absolute,to:'2017-03-03T13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197" t="str">
        <f t="shared" si="5"/>
        <v>N</v>
      </c>
      <c r="X73" s="197">
        <f t="shared" si="23"/>
        <v>1</v>
      </c>
      <c r="Y73" s="62">
        <f t="shared" si="21"/>
        <v>23.298300000000001</v>
      </c>
      <c r="Z73" s="62">
        <f t="shared" si="8"/>
        <v>1.47E-2</v>
      </c>
      <c r="AA73" s="62">
        <f t="shared" si="9"/>
        <v>23.2836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0160-03</v>
      </c>
      <c r="AE73" s="85" t="str">
        <f t="shared" si="11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73" s="82" t="str">
        <f t="shared" si="12"/>
        <v>"C:\Program Files (x86)\AstroGrep\AstroGrep.exe" /spath="%USERPROFILE%\AppData\Local\Temp\OnboardLogs" /stypes="app*4032*20170303*" /stext=" 19:.+((SYSTEM_STATE.+slice.+state.+changed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6" t="str">
        <f t="shared" si="18"/>
        <v>"%USERPROFILE%\Documents\GitHub\eaglep3\Utilities\RefineRTDCRunTimes.py" --tripid 160-03 --locoid 4032 --swversion DE.1.0.9.0 --startMP 204:232983 --initTime 2017-03-03T11:51:38 --startdatetime 2017-03-03T11:56:22 --delay 1 --endMP 204:147 --enddatetime 2017-03-03T12:36:32 --enforcementcount 0 &gt;&gt;C:\Users\stu\Documents\GitHub\eaglep3-reporting\EC\2017-03-03-refined-times.txt</v>
      </c>
      <c r="AI73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{"issue":{"subject":"","project_id":79,"tracker_id":40,"status_id":1,"priority_id":2,"assigned_to_id":23,"start_date":"2017-03-03","description":"","custom_fields":[{"id":1,"name":"Subdivision","value":"EC"},{"id":4,"name":"Milepost","value":"0.0147"},{"id":17,"name":"Train ID","value":"160-03"},{"id":16,"name":"Locomotive ID","value":"4032"},{"id":130,"name":"Impact","value":""},{"id":150,"name":"Time of Event (Mountain Time)","value":"12:36:32"},{"id":151,"name":"Denver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4032 --day 2017-03-03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"%USERPROFILE%\AppData\Local\Temp\OnboardLogs"\RTDC4032\*4032*20170303* | grep -SE "(Enforcement Action)|(\[TIMEOUT)|(CHR.+\|PRM\|1\|D.+(SWITCH|SIGNAL).+UNKNOWN)" - &gt;&gt; 2017-03-03-UncaughtWiMAX.txt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686</v>
      </c>
      <c r="B74" s="7">
        <v>4024</v>
      </c>
      <c r="C74" s="21" t="s">
        <v>251</v>
      </c>
      <c r="D74" s="21" t="s">
        <v>220</v>
      </c>
      <c r="E74" s="13">
        <v>42797.464513888888</v>
      </c>
      <c r="F74" s="13">
        <v>42797.469074074077</v>
      </c>
      <c r="G74" s="7">
        <v>1</v>
      </c>
      <c r="H74" s="21" t="s">
        <v>273</v>
      </c>
      <c r="I74" s="13">
        <v>42797.493750000001</v>
      </c>
      <c r="J74" s="7">
        <v>0</v>
      </c>
      <c r="K74" s="98" t="str">
        <f t="shared" si="0"/>
        <v>4023/4024</v>
      </c>
      <c r="L74" s="21" t="str">
        <f>VLOOKUP(A74,'Trips&amp;Operators'!$C$1:$G$99999,5,FALSE)</f>
        <v>ROMERO CHAD</v>
      </c>
      <c r="M74" s="6">
        <f t="shared" si="1"/>
        <v>2.4675925924384501E-2</v>
      </c>
      <c r="N74" s="7">
        <f t="shared" si="24"/>
        <v>35.533333331113681</v>
      </c>
      <c r="O74" s="7"/>
      <c r="P74" s="7"/>
      <c r="Q74" s="22"/>
      <c r="R74" s="22"/>
      <c r="S74" s="31">
        <f t="shared" si="17"/>
        <v>1</v>
      </c>
      <c r="T74" s="46" t="str">
        <f t="shared" si="3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4"/>
        <v>https://d0f6bd738d7f1b3e5a7ca70fe4ff75f0.us-east-1.aws.found.io/app/kibana#/discover/Steve-Slow-Train-Analysis-(2080s-and-2083s)?_g=(refreshInterval:(display:Off,pause:!f,section:0,value:0),time:(from:'2017-03-03T10:08:54-0700',mode:absolute,to:'2017-03-03T12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4" s="197" t="str">
        <f t="shared" si="5"/>
        <v>N</v>
      </c>
      <c r="X74" s="197">
        <f t="shared" si="23"/>
        <v>1</v>
      </c>
      <c r="Y74" s="62">
        <f t="shared" si="21"/>
        <v>4.5699999999999998E-2</v>
      </c>
      <c r="Z74" s="62">
        <f t="shared" si="8"/>
        <v>23.331199999999999</v>
      </c>
      <c r="AA74" s="62">
        <f t="shared" si="9"/>
        <v>23.285499999999999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0161-03</v>
      </c>
      <c r="AE74" s="85" t="str">
        <f t="shared" si="11"/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AF74" s="82" t="str">
        <f t="shared" si="12"/>
        <v>"C:\Program Files (x86)\AstroGrep\AstroGrep.exe" /spath="%USERPROFILE%\AppData\Local\Temp\OnboardLogs" /stypes="app*4024*20170303*" /stext=" 18:.+((SYSTEM_STATE.+slice.+state.+changed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6" t="str">
        <f t="shared" si="18"/>
        <v>"%USERPROFILE%\Documents\GitHub\eaglep3\Utilities\RefineRTDCRunTimes.py" --tripid 161-03 --locoid 4024 --swversion DE.1.0.9.0 --startMP 204:457 --initTime 2017-03-03T11:08:54 --startdatetime 2017-03-03T11:15:28 --delay 1 --endMP 204:233312 --enddatetime 2017-03-03T11:51:00 --enforcementcount 0 &gt;&gt;C:\Users\stu\Documents\GitHub\eaglep3-reporting\EC\2017-03-03-refined-times.txt</v>
      </c>
      <c r="AI74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{"issue":{"subject":"","project_id":79,"tracker_id":40,"status_id":1,"priority_id":2,"assigned_to_id":23,"start_date":"2017-03-03","description":"","custom_fields":[{"id":1,"name":"Subdivision","value":"EC"},{"id":4,"name":"Milepost","value":"23.3312"},{"id":17,"name":"Train ID","value":"161-03"},{"id":16,"name":"Locomotive ID","value":"4024"},{"id":130,"name":"Impact","value":""},{"id":150,"name":"Time of Event (Mountain Time)","value":"11:51:00"},{"id":151,"name":"Denver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4024 --day 2017-03-03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"%USERPROFILE%\AppData\Local\Temp\OnboardLogs"\RTDC4024\*4024*20170303* | grep -SE "(Enforcement Action)|(\[TIMEOUT)|(CHR.+\|PRM\|1\|D.+(SWITCH|SIGNAL).+UNKNOWN)" - &gt;&gt; 2017-03-03-UncaughtWiMAX.txt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1015</v>
      </c>
      <c r="B75" s="7">
        <v>4023</v>
      </c>
      <c r="C75" s="21" t="s">
        <v>251</v>
      </c>
      <c r="D75" s="21" t="s">
        <v>852</v>
      </c>
      <c r="E75" s="13">
        <v>42797.500335648147</v>
      </c>
      <c r="F75" s="13">
        <v>42797.507800925923</v>
      </c>
      <c r="G75" s="7">
        <v>1</v>
      </c>
      <c r="H75" s="21" t="s">
        <v>233</v>
      </c>
      <c r="I75" s="13">
        <v>42797.533784722225</v>
      </c>
      <c r="J75" s="7">
        <v>0</v>
      </c>
      <c r="K75" s="98" t="str">
        <f t="shared" si="0"/>
        <v>4023/4024</v>
      </c>
      <c r="L75" s="21" t="e">
        <f>VLOOKUP(A75,'Trips&amp;Operators'!$C$1:$G$99999,5,FALSE)</f>
        <v>#N/A</v>
      </c>
      <c r="M75" s="6">
        <f t="shared" si="1"/>
        <v>2.5983796302170958E-2</v>
      </c>
      <c r="N75" s="7">
        <f t="shared" si="24"/>
        <v>37.41666667512618</v>
      </c>
      <c r="O75" s="7"/>
      <c r="P75" s="7"/>
      <c r="Q75" s="22"/>
      <c r="R75" s="22" t="s">
        <v>1010</v>
      </c>
      <c r="S75" s="31">
        <f t="shared" si="17"/>
        <v>0</v>
      </c>
      <c r="T75" s="46" t="e">
        <f t="shared" si="3"/>
        <v>#VALUE!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196" t="str">
        <f t="shared" si="4"/>
        <v>https://d0f6bd738d7f1b3e5a7ca70fe4ff75f0.us-east-1.aws.found.io/app/kibana#/discover/Steve-Slow-Train-Analysis-(2080s-and-2083s)?_g=(refreshInterval:(display:Off,pause:!f,section:0,value:0),time:(from:'2017-03-03T11:00:29-0700',mode:absolute,to:'2017-03-03T13:48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5" s="197" t="str">
        <f t="shared" si="5"/>
        <v>N</v>
      </c>
      <c r="X75" s="197" t="e">
        <f t="shared" si="23"/>
        <v>#VALUE!</v>
      </c>
      <c r="Y75" s="62">
        <f t="shared" si="21"/>
        <v>23.3001</v>
      </c>
      <c r="Z75" s="62">
        <f t="shared" si="8"/>
        <v>1.3899999999999999E-2</v>
      </c>
      <c r="AA75" s="62">
        <f t="shared" si="9"/>
        <v>23.286200000000001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hsc</v>
      </c>
      <c r="AE75" s="85" t="str">
        <f t="shared" si="11"/>
        <v>aws s3 cp s3://rtdc.mdm.uploadarchive.raw/RTDC4023/ "%USERPROFILE%\AppData\Local\Temp\OnboardLogs"\RTDC4023\2017-03-03 --exclude "*" --recursive --include "*20170303*" &amp; "%USERPROFILE%\Documents\GitHub\mrs-test-scripts\Headless Mode &amp; Sideloading\WalkAndUnGZ.bat" "%USERPROFILE%\AppData\Local\Temp\OnboardLogs"\RTDC4023\2017-03-03 &amp; aws s3 cp s3://rtdc.mdm.uploadarchive.raw/RTDC4023/ "%USERPROFILE%\AppData\Local\Temp\OnboardLogs"\RTDC4023\2017-03-04 --exclude "*" --recursive --include "*20170304*" &amp; "%USERPROFILE%\Documents\GitHub\mrs-test-scripts\Headless Mode &amp; Sideloading\WalkAndUnGZ.bat" "%USERPROFILE%\AppData\Local\Temp\OnboardLogs"\RTDC4023\2017-03-04</v>
      </c>
      <c r="AF75" s="82" t="str">
        <f t="shared" si="12"/>
        <v>"C:\Program Files (x86)\AstroGrep\AstroGrep.exe" /spath="%USERPROFILE%\AppData\Local\Temp\OnboardLogs" /stypes="app*4023*20170303*" /stext=" 19:.+((SYSTEM_STATE.+slice.+state.+changed )|(ment ac)|(multiple cpu faults)|(system.+state.+changed )|(\[timeout)|(PRM\|1\|D)|(kpr)|(kdp)|(\|lc)|(penalty))" /e /r /s</v>
      </c>
      <c r="AG75" s="1" t="str">
        <f t="shared" si="13"/>
        <v>Other</v>
      </c>
      <c r="AH75" s="86" t="str">
        <f t="shared" si="18"/>
        <v>"%USERPROFILE%\Documents\GitHub\eaglep3\Utilities\RefineRTDCRunTimes.py" --tripid hsc --locoid 4023 --swversion DE.1.0.9.0 --startMP 204:233001 --initTime 2017-03-03T12:00:29 --startdatetime 2017-03-03T12:11:14 --delay 1 --endMP 204:139 --enddatetime 2017-03-03T12:48:39 --enforcementcount 0 &gt;&gt;C:\Users\stu\Documents\GitHub\eaglep3-reporting\EC\2017-03-03-refined-times.txt</v>
      </c>
      <c r="AI75" s="108" t="str">
        <f t="shared" si="19"/>
        <v>echo {"issue":{"subject":"Unhealthy @ Chambers due to train stop","project_id":79,"tracker_id":40,"status_id":1,"priority_id":2,"assigned_to_id":23,"start_date":"2017-03-03","description":"","custom_fields":[{"id":1,"name":"Subdivision","value":"Other"},{"id":4,"name":"Milepost","value":"0.0139"},{"id":17,"name":"Train ID","value":"hsc"},{"id":16,"name":"Locomotive ID","value":"4023"},{"id":130,"name":"Impact","value":""},{"id":150,"name":"Time of Event (Mountain Time)","value":"12:48:39"},{"id":151,"name":"Denver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4023 --day 2017-03-03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"%USERPROFILE%\AppData\Local\Temp\OnboardLogs"\RTDC4023\*4023*20170303* | grep -SE "(Enforcement Action)|(\[TIMEOUT)|(CHR.+\|PRM\|1\|D.+(SWITCH|SIGNAL).+UNKNOWN)" - &gt;&gt; 2017-03-03-UncaughtWiMAX.txt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 s="33" t="s">
        <v>690</v>
      </c>
      <c r="B76" s="7">
        <v>4051</v>
      </c>
      <c r="C76" s="21" t="s">
        <v>251</v>
      </c>
      <c r="D76" s="21" t="s">
        <v>220</v>
      </c>
      <c r="E76" s="13">
        <v>42797.47556712963</v>
      </c>
      <c r="F76" s="13">
        <v>42797.479317129626</v>
      </c>
      <c r="G76" s="7">
        <v>1</v>
      </c>
      <c r="H76" s="21" t="s">
        <v>301</v>
      </c>
      <c r="I76" s="13">
        <v>42797.505983796298</v>
      </c>
      <c r="J76" s="7">
        <v>0</v>
      </c>
      <c r="K76" s="98" t="str">
        <f t="shared" si="0"/>
        <v>4051/4052</v>
      </c>
      <c r="L76" s="21" t="str">
        <f>VLOOKUP(A76,'Trips&amp;Operators'!$C$1:$G$99999,5,FALSE)</f>
        <v>CLARK KATHLEEN</v>
      </c>
      <c r="M76" s="6">
        <f t="shared" si="1"/>
        <v>2.6666666672099382E-2</v>
      </c>
      <c r="N76" s="7">
        <f t="shared" si="24"/>
        <v>38.40000000782311</v>
      </c>
      <c r="O76" s="7"/>
      <c r="P76" s="7"/>
      <c r="Q76" s="22"/>
      <c r="R76" s="22"/>
      <c r="S76" s="31">
        <f t="shared" si="17"/>
        <v>1</v>
      </c>
      <c r="T76" s="46" t="str">
        <f t="shared" si="3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4"/>
        <v>https://d0f6bd738d7f1b3e5a7ca70fe4ff75f0.us-east-1.aws.found.io/app/kibana#/discover/Steve-Slow-Train-Analysis-(2080s-and-2083s)?_g=(refreshInterval:(display:Off,pause:!f,section:0,value:0),time:(from:'2017-03-03T10:24:49-0700',mode:absolute,to:'2017-03-03T13:08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6" s="197" t="str">
        <f t="shared" si="5"/>
        <v>N</v>
      </c>
      <c r="X76" s="197" t="e">
        <f t="shared" si="23"/>
        <v>#VALUE!</v>
      </c>
      <c r="Y76" s="62">
        <f t="shared" si="21"/>
        <v>4.5699999999999998E-2</v>
      </c>
      <c r="Z76" s="62">
        <f t="shared" si="8"/>
        <v>23.3323</v>
      </c>
      <c r="AA76" s="62">
        <f t="shared" si="9"/>
        <v>23.2866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0163-03</v>
      </c>
      <c r="AE76" s="85" t="str">
        <f t="shared" si="11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76" s="82" t="str">
        <f t="shared" si="12"/>
        <v>"C:\Program Files (x86)\AstroGrep\AstroGrep.exe" /spath="%USERPROFILE%\AppData\Local\Temp\OnboardLogs" /stypes="app*4051*20170303*" /stext=" 19:.+((SYSTEM_STATE.+slice.+state.+changed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86" t="str">
        <f t="shared" si="18"/>
        <v>"%USERPROFILE%\Documents\GitHub\eaglep3\Utilities\RefineRTDCRunTimes.py" --tripid 163-03 --locoid 4051 --swversion DE.1.0.9.0 --startMP 204:457 --initTime 2017-03-03T11:24:49 --startdatetime 2017-03-03T11:30:13 --delay 1 --endMP 204:233323 --enddatetime 2017-03-03T12:08:37 --enforcementcount 0 &gt;&gt;C:\Users\stu\Documents\GitHub\eaglep3-reporting\EC\2017-03-03-refined-times.txt</v>
      </c>
      <c r="AI76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{"issue":{"subject":"","project_id":79,"tracker_id":40,"status_id":1,"priority_id":2,"assigned_to_id":23,"start_date":"2017-03-03","description":"","custom_fields":[{"id":1,"name":"Subdivision","value":"EC"},{"id":4,"name":"Milepost","value":"23.3323"},{"id":17,"name":"Train ID","value":"163-03"},{"id":16,"name":"Locomotive ID","value":"4051"},{"id":130,"name":"Impact","value":""},{"id":150,"name":"Time of Event (Mountain Time)","value":"12:08:37"},{"id":151,"name":"Denver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4051 --day 2017-03-03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"%USERPROFILE%\AppData\Local\Temp\OnboardLogs"\RTDC4051\*4051*20170303* | grep -SE "(Enforcement Action)|(\[TIMEOUT)|(CHR.+\|PRM\|1\|D.+(SWITCH|SIGNAL).+UNKNOWN)" - &gt;&gt; 2017-03-03-UncaughtWiMAX.txt</v>
      </c>
    </row>
    <row r="77" spans="1:91" s="20" customFormat="1" x14ac:dyDescent="0.25">
      <c r="A77" s="33" t="s">
        <v>700</v>
      </c>
      <c r="B77" s="7">
        <v>4052</v>
      </c>
      <c r="C77" s="21" t="s">
        <v>251</v>
      </c>
      <c r="D77" s="21" t="s">
        <v>303</v>
      </c>
      <c r="E77" s="13">
        <v>42797.512789351851</v>
      </c>
      <c r="F77" s="13">
        <v>42797.518229166664</v>
      </c>
      <c r="G77" s="7">
        <v>1</v>
      </c>
      <c r="H77" s="21" t="s">
        <v>853</v>
      </c>
      <c r="I77" s="13">
        <v>42797.5465625</v>
      </c>
      <c r="J77" s="7">
        <v>0</v>
      </c>
      <c r="K77" s="98" t="str">
        <f t="shared" ref="K77:K140" si="25">IF(ISEVEN(B77),(B77-1)&amp;"/"&amp;B77,B77&amp;"/"&amp;(B77+1))</f>
        <v>4051/4052</v>
      </c>
      <c r="L77" s="21" t="str">
        <f>VLOOKUP(A77,'Trips&amp;Operators'!$C$1:$G$99999,5,FALSE)</f>
        <v>CLARK KATHLEEN</v>
      </c>
      <c r="M77" s="6">
        <f t="shared" ref="M77:M140" si="26">I77-F77</f>
        <v>2.8333333335467614E-2</v>
      </c>
      <c r="N77" s="7">
        <f t="shared" si="24"/>
        <v>40.800000003073364</v>
      </c>
      <c r="O77" s="7"/>
      <c r="P77" s="7"/>
      <c r="Q77" s="22"/>
      <c r="R77" s="22"/>
      <c r="S77" s="31">
        <f t="shared" si="17"/>
        <v>1</v>
      </c>
      <c r="T77" s="46" t="str">
        <f t="shared" ref="T77:T140" si="2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-03T11:18:25-0700',mode:absolute,to:'2017-03-03T14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7" s="197" t="str">
        <f t="shared" ref="W77:W140" si="29">IF(AA77&lt;IF(AG77="EC",23,5.65),"Y","N")</f>
        <v>N</v>
      </c>
      <c r="X77" s="197">
        <f t="shared" ref="X77:X99" si="30">VALUE(LEFT(AD77,4))-VALUE(LEFT(AD76,4))</f>
        <v>1</v>
      </c>
      <c r="Y77" s="62">
        <f t="shared" si="21"/>
        <v>23.300799999999999</v>
      </c>
      <c r="Z77" s="62">
        <f t="shared" ref="Z77:Z140" si="31">RIGHT(H77,LEN(H77)-4)/10000</f>
        <v>1.8499999999999999E-2</v>
      </c>
      <c r="AA77" s="62">
        <f t="shared" ref="AA77:AA140" si="32">ABS(Z77-Y77)</f>
        <v>23.282299999999999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3">IF(LEN(A77)=6,"0"&amp;A77,A77)</f>
        <v>0164-03</v>
      </c>
      <c r="AE77" s="85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77" s="82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/stypes="app*4052*20170303*" /stext=" 20:.+((SYSTEM_STATE.+slice.+state.+changed )|(ment ac)|(multiple cpu faults)|(system.+state.+changed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164-03 --locoid 4052 --swversion DE.1.0.9.0 --startMP 204:233008 --initTime 2017-03-03T12:18:25 --startdatetime 2017-03-03T12:26:15 --delay 1 --endMP 204:185 --enddatetime 2017-03-03T13:07:03 --enforcementcount 0 &gt;&gt;C:\Users\stu\Documents\GitHub\eaglep3-reporting\EC\2017-03-03-refined-times.txt</v>
      </c>
      <c r="AI77" s="108" t="str">
        <f t="shared" si="19"/>
        <v>echo {"issue":{"subject":"","project_id":79,"tracker_id":40,"status_id":1,"priority_id":2,"assigned_to_id":23,"start_date":"2017-03-03","description":"","custom_fields":[{"id":1,"name":"Subdivision","value":"EC"},{"id":4,"name":"Milepost","value":"0.0185"},{"id":17,"name":"Train ID","value":"164-03"},{"id":16,"name":"Locomotive ID","value":"4052"},{"id":130,"name":"Impact","value":""},{"id":150,"name":"Time of Event (Mountain Time)","value":"13:07:03"},{"id":151,"name":"Denver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4052 --day 2017-03-03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693</v>
      </c>
      <c r="B78" s="7">
        <v>4046</v>
      </c>
      <c r="C78" s="21" t="s">
        <v>251</v>
      </c>
      <c r="D78" s="21" t="s">
        <v>854</v>
      </c>
      <c r="E78" s="13">
        <v>42797.485844907409</v>
      </c>
      <c r="F78" s="13">
        <v>42797.48978009259</v>
      </c>
      <c r="G78" s="7">
        <v>3</v>
      </c>
      <c r="H78" s="21" t="s">
        <v>258</v>
      </c>
      <c r="I78" s="13">
        <v>42797.514814814815</v>
      </c>
      <c r="J78" s="7">
        <v>0</v>
      </c>
      <c r="K78" s="98" t="str">
        <f t="shared" si="25"/>
        <v>4045/4046</v>
      </c>
      <c r="L78" s="21" t="str">
        <f>VLOOKUP(A78,'Trips&amp;Operators'!$C$1:$G$99999,5,FALSE)</f>
        <v>BRUDER RICHARD</v>
      </c>
      <c r="M78" s="6">
        <f t="shared" si="26"/>
        <v>2.5034722224518191E-2</v>
      </c>
      <c r="N78" s="7">
        <f t="shared" si="24"/>
        <v>36.050000003306195</v>
      </c>
      <c r="O78" s="7"/>
      <c r="P78" s="7"/>
      <c r="Q78" s="22"/>
      <c r="R78" s="22"/>
      <c r="S78" s="31">
        <f t="shared" ref="S78:S141" si="37">SUM(U78:U78)/IF(AG78="EC",12,1)</f>
        <v>1</v>
      </c>
      <c r="T78" s="46" t="str">
        <f t="shared" si="27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8"/>
        <v>https://d0f6bd738d7f1b3e5a7ca70fe4ff75f0.us-east-1.aws.found.io/app/kibana#/discover/Steve-Slow-Train-Analysis-(2080s-and-2083s)?_g=(refreshInterval:(display:Off,pause:!f,section:0,value:0),time:(from:'2017-03-03T10:39:37-0700',mode:absolute,to:'2017-03-03T13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8" s="197" t="str">
        <f t="shared" si="29"/>
        <v>N</v>
      </c>
      <c r="X78" s="197">
        <f t="shared" si="30"/>
        <v>1</v>
      </c>
      <c r="Y78" s="62">
        <f t="shared" si="21"/>
        <v>4.7100000000000003E-2</v>
      </c>
      <c r="Z78" s="62">
        <f t="shared" si="31"/>
        <v>23.331399999999999</v>
      </c>
      <c r="AA78" s="62">
        <f t="shared" si="32"/>
        <v>23.284299999999998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3"/>
        <v>0165-03</v>
      </c>
      <c r="AE78" s="85" t="str">
        <f t="shared" si="34"/>
        <v>aws s3 cp s3://rtdc.mdm.uploadarchive.raw/RTDC4046/ "%USERPROFILE%\AppData\Local\Temp\OnboardLogs"\RTDC4046\2017-03-03 --exclude "*" --recursive --include "*20170303*" &amp; "%USERPROFILE%\Documents\GitHub\mrs-test-scripts\Headless Mode &amp; Sideloading\WalkAndUnGZ.bat" "%USERPROFILE%\AppData\Local\Temp\OnboardLogs"\RTDC4046\2017-03-03 &amp; 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</v>
      </c>
      <c r="AF78" s="82" t="str">
        <f t="shared" si="35"/>
        <v>"C:\Program Files (x86)\AstroGrep\AstroGrep.exe" /spath="%USERPROFILE%\AppData\Local\Temp\OnboardLogs" /stypes="app*4046*20170303*" /stext=" 19:.+((SYSTEM_STATE.+slice.+state.+changed )|(ment ac)|(multiple cpu faults)|(system.+state.+changed )|(\[timeout)|(PRM\|1\|D)|(kpr)|(kdp)|(\|lc)|(penalty))" /e /r /s</v>
      </c>
      <c r="AG78" s="1" t="str">
        <f t="shared" si="36"/>
        <v>EC</v>
      </c>
      <c r="AH78" s="86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165-03 --locoid 4046 --swversion DE.1.0.9.0 --startMP 204:471 --initTime 2017-03-03T11:39:37 --startdatetime 2017-03-03T11:45:17 --delay 3 --endMP 204:233314 --enddatetime 2017-03-03T12:21:20 --enforcementcount 0 &gt;&gt;C:\Users\stu\Documents\GitHub\eaglep3-reporting\EC\2017-03-03-refined-times.txt</v>
      </c>
      <c r="AI78" s="108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{"issue":{"subject":"","project_id":79,"tracker_id":40,"status_id":1,"priority_id":2,"assigned_to_id":23,"start_date":"2017-03-03","description":"","custom_fields":[{"id":1,"name":"Subdivision","value":"EC"},{"id":4,"name":"Milepost","value":"23.3314"},{"id":17,"name":"Train ID","value":"165-03"},{"id":16,"name":"Locomotive ID","value":"4046"},{"id":130,"name":"Impact","value":""},{"id":150,"name":"Time of Event (Mountain Time)","value":"12:21:20"},{"id":151,"name":"Denver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0">"start /low /b "&amp;dls3logs&amp;" --loco "&amp;B78&amp;" --day "&amp;TEXT(F78,"YYYY-MM-DD")</f>
        <v>start /low /b %USERPROFILE%\Documents\GitHub\eaglep3\Utilities\DownloadLogsFromS3.py --loco 4046 --day 2017-03-03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"%USERPROFILE%\AppData\Local\Temp\OnboardLogs"\RTDC4046\*4046*20170303* | grep -SE "(Enforcement Action)|(\[TIMEOUT)|(CHR.+\|PRM\|1\|D.+(SWITCH|SIGNAL).+UNKNOWN)" - &gt;&gt; 2017-03-03-UncaughtWiMAX.txt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702</v>
      </c>
      <c r="B79" s="7">
        <v>4045</v>
      </c>
      <c r="C79" s="21" t="s">
        <v>251</v>
      </c>
      <c r="D79" s="21" t="s">
        <v>525</v>
      </c>
      <c r="E79" s="13">
        <v>42797.525046296294</v>
      </c>
      <c r="F79" s="13">
        <v>42797.528657407405</v>
      </c>
      <c r="G79" s="7">
        <v>1</v>
      </c>
      <c r="H79" s="21" t="s">
        <v>237</v>
      </c>
      <c r="I79" s="13">
        <v>42797.555844907409</v>
      </c>
      <c r="J79" s="7">
        <v>0</v>
      </c>
      <c r="K79" s="98" t="str">
        <f t="shared" si="25"/>
        <v>4045/4046</v>
      </c>
      <c r="L79" s="21" t="str">
        <f>VLOOKUP(A79,'Trips&amp;Operators'!$C$1:$G$99999,5,FALSE)</f>
        <v>BRUDER RICHARD</v>
      </c>
      <c r="M79" s="6">
        <f t="shared" si="26"/>
        <v>2.718750000349246E-2</v>
      </c>
      <c r="N79" s="7">
        <f t="shared" si="24"/>
        <v>39.150000005029142</v>
      </c>
      <c r="O79" s="7"/>
      <c r="P79" s="7"/>
      <c r="Q79" s="22"/>
      <c r="R79" s="22"/>
      <c r="S79" s="31">
        <f t="shared" si="37"/>
        <v>1</v>
      </c>
      <c r="T79" s="46" t="str">
        <f t="shared" si="2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8"/>
        <v>https://d0f6bd738d7f1b3e5a7ca70fe4ff75f0.us-east-1.aws.found.io/app/kibana#/discover/Steve-Slow-Train-Analysis-(2080s-and-2083s)?_g=(refreshInterval:(display:Off,pause:!f,section:0,value:0),time:(from:'2017-03-03T11:36:04-0700',mode:absolute,to:'2017-03-03T14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9" s="197" t="str">
        <f t="shared" si="29"/>
        <v>N</v>
      </c>
      <c r="X79" s="197">
        <f t="shared" si="30"/>
        <v>1</v>
      </c>
      <c r="Y79" s="62">
        <f t="shared" si="21"/>
        <v>23.298200000000001</v>
      </c>
      <c r="Z79" s="62">
        <f t="shared" si="31"/>
        <v>1.41E-2</v>
      </c>
      <c r="AA79" s="62">
        <f t="shared" si="32"/>
        <v>23.284100000000002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3"/>
        <v>0166-03</v>
      </c>
      <c r="AE79" s="85" t="str">
        <f t="shared" si="34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79" s="82" t="str">
        <f t="shared" si="35"/>
        <v>"C:\Program Files (x86)\AstroGrep\AstroGrep.exe" /spath="%USERPROFILE%\AppData\Local\Temp\OnboardLogs" /stypes="app*4045*20170303*" /stext=" 20:.+((SYSTEM_STATE.+slice.+state.+changed )|(ment ac)|(multiple cpu faults)|(system.+state.+changed )|(\[timeout)|(PRM\|1\|D)|(kpr)|(kdp)|(\|lc)|(penalty))" /e /r /s</v>
      </c>
      <c r="AG79" s="1" t="str">
        <f t="shared" si="36"/>
        <v>EC</v>
      </c>
      <c r="AH79" s="86" t="str">
        <f t="shared" si="38"/>
        <v>"%USERPROFILE%\Documents\GitHub\eaglep3\Utilities\RefineRTDCRunTimes.py" --tripid 166-03 --locoid 4045 --swversion DE.1.0.9.0 --startMP 204:232982 --initTime 2017-03-03T12:36:04 --startdatetime 2017-03-03T12:41:16 --delay 1 --endMP 204:141 --enddatetime 2017-03-03T13:20:25 --enforcementcount 0 &gt;&gt;C:\Users\stu\Documents\GitHub\eaglep3-reporting\EC\2017-03-03-refined-times.txt</v>
      </c>
      <c r="AI79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{"issue":{"subject":"","project_id":79,"tracker_id":40,"status_id":1,"priority_id":2,"assigned_to_id":23,"start_date":"2017-03-03","description":"","custom_fields":[{"id":1,"name":"Subdivision","value":"EC"},{"id":4,"name":"Milepost","value":"0.0141"},{"id":17,"name":"Train ID","value":"166-03"},{"id":16,"name":"Locomotive ID","value":"4045"},{"id":130,"name":"Impact","value":""},{"id":150,"name":"Time of Event (Mountain Time)","value":"13:20:25"},{"id":151,"name":"Denver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0"/>
        <v>start /low /b %USERPROFILE%\Documents\GitHub\eaglep3\Utilities\DownloadLogsFromS3.py --loco 4045 --day 2017-03-03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"%USERPROFILE%\AppData\Local\Temp\OnboardLogs"\RTDC4045\*4045*20170303* | grep -SE "(Enforcement Action)|(\[TIMEOUT)|(CHR.+\|PRM\|1\|D.+(SWITCH|SIGNAL).+UNKNOWN)" - &gt;&gt; 2017-03-03-UncaughtWiMAX.txt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695</v>
      </c>
      <c r="B80" s="7">
        <v>4027</v>
      </c>
      <c r="C80" s="21" t="s">
        <v>251</v>
      </c>
      <c r="D80" s="21" t="s">
        <v>252</v>
      </c>
      <c r="E80" s="13">
        <v>42797.496562499997</v>
      </c>
      <c r="F80" s="13">
        <v>42797.500219907408</v>
      </c>
      <c r="G80" s="7">
        <v>2</v>
      </c>
      <c r="H80" s="21" t="s">
        <v>241</v>
      </c>
      <c r="I80" s="13">
        <v>42797.525069444448</v>
      </c>
      <c r="J80" s="7">
        <v>0</v>
      </c>
      <c r="K80" s="98" t="str">
        <f t="shared" si="25"/>
        <v>4027/4028</v>
      </c>
      <c r="L80" s="21" t="str">
        <f>VLOOKUP(A80,'Trips&amp;Operators'!$C$1:$G$99999,5,FALSE)</f>
        <v>HELVIE ADAM</v>
      </c>
      <c r="M80" s="6">
        <f t="shared" si="26"/>
        <v>2.4849537039699499E-2</v>
      </c>
      <c r="N80" s="7">
        <f t="shared" si="24"/>
        <v>35.783333337167278</v>
      </c>
      <c r="O80" s="7"/>
      <c r="P80" s="7"/>
      <c r="Q80" s="22"/>
      <c r="R80" s="22"/>
      <c r="S80" s="31">
        <f t="shared" si="37"/>
        <v>1</v>
      </c>
      <c r="T80" s="46" t="str">
        <f t="shared" si="2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8"/>
        <v>https://d0f6bd738d7f1b3e5a7ca70fe4ff75f0.us-east-1.aws.found.io/app/kibana#/discover/Steve-Slow-Train-Analysis-(2080s-and-2083s)?_g=(refreshInterval:(display:Off,pause:!f,section:0,value:0),time:(from:'2017-03-03T10:55:03-0700',mode:absolute,to:'2017-03-03T13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0" s="197" t="str">
        <f t="shared" si="29"/>
        <v>N</v>
      </c>
      <c r="X80" s="197">
        <f t="shared" si="30"/>
        <v>1</v>
      </c>
      <c r="Y80" s="62">
        <f t="shared" si="21"/>
        <v>4.58E-2</v>
      </c>
      <c r="Z80" s="62">
        <f t="shared" si="31"/>
        <v>23.331</v>
      </c>
      <c r="AA80" s="62">
        <f t="shared" si="32"/>
        <v>23.2852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3"/>
        <v>0167-03</v>
      </c>
      <c r="AE80" s="85" t="str">
        <f t="shared" si="34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80" s="82" t="str">
        <f t="shared" si="35"/>
        <v>"C:\Program Files (x86)\AstroGrep\AstroGrep.exe" /spath="%USERPROFILE%\AppData\Local\Temp\OnboardLogs" /stypes="app*4027*20170303*" /stext=" 19:.+((SYSTEM_STATE.+slice.+state.+changed )|(ment ac)|(multiple cpu faults)|(system.+state.+changed )|(\[timeout)|(PRM\|1\|D)|(kpr)|(kdp)|(\|lc)|(penalty))" /e /r /s</v>
      </c>
      <c r="AG80" s="1" t="str">
        <f t="shared" si="36"/>
        <v>EC</v>
      </c>
      <c r="AH80" s="86" t="str">
        <f t="shared" si="38"/>
        <v>"%USERPROFILE%\Documents\GitHub\eaglep3\Utilities\RefineRTDCRunTimes.py" --tripid 167-03 --locoid 4027 --swversion DE.1.0.9.0 --startMP 204:458 --initTime 2017-03-03T11:55:03 --startdatetime 2017-03-03T12:00:19 --delay 2 --endMP 204:233310 --enddatetime 2017-03-03T12:36:06 --enforcementcount 0 &gt;&gt;C:\Users\stu\Documents\GitHub\eaglep3-reporting\EC\2017-03-03-refined-times.txt</v>
      </c>
      <c r="AI80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{"issue":{"subject":"","project_id":79,"tracker_id":40,"status_id":1,"priority_id":2,"assigned_to_id":23,"start_date":"2017-03-03","description":"","custom_fields":[{"id":1,"name":"Subdivision","value":"EC"},{"id":4,"name":"Milepost","value":"23.331"},{"id":17,"name":"Train ID","value":"167-03"},{"id":16,"name":"Locomotive ID","value":"4027"},{"id":130,"name":"Impact","value":""},{"id":150,"name":"Time of Event (Mountain Time)","value":"12:36:06"},{"id":151,"name":"Denver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0"/>
        <v>start /low /b %USERPROFILE%\Documents\GitHub\eaglep3\Utilities\DownloadLogsFromS3.py --loco 4027 --day 2017-03-03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"%USERPROFILE%\AppData\Local\Temp\OnboardLogs"\RTDC4027\*4027*20170303* | grep -SE "(Enforcement Action)|(\[TIMEOUT)|(CHR.+\|PRM\|1\|D.+(SWITCH|SIGNAL).+UNKNOWN)" - &gt;&gt; 2017-03-03-UncaughtWiMAX.txt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706</v>
      </c>
      <c r="B81" s="7">
        <v>4028</v>
      </c>
      <c r="C81" s="21" t="s">
        <v>251</v>
      </c>
      <c r="D81" s="21" t="s">
        <v>350</v>
      </c>
      <c r="E81" s="13">
        <v>42797.536828703705</v>
      </c>
      <c r="F81" s="13">
        <v>42797.539085648146</v>
      </c>
      <c r="G81" s="7">
        <v>2</v>
      </c>
      <c r="H81" s="21" t="s">
        <v>184</v>
      </c>
      <c r="I81" s="13">
        <v>42797.566053240742</v>
      </c>
      <c r="J81" s="7">
        <v>0</v>
      </c>
      <c r="K81" s="98" t="str">
        <f t="shared" si="25"/>
        <v>4027/4028</v>
      </c>
      <c r="L81" s="21" t="str">
        <f>VLOOKUP(A81,'Trips&amp;Operators'!$C$1:$G$99999,5,FALSE)</f>
        <v>HELVIE ADAM</v>
      </c>
      <c r="M81" s="6">
        <f t="shared" si="26"/>
        <v>2.6967592595610768E-2</v>
      </c>
      <c r="N81" s="7">
        <f t="shared" si="24"/>
        <v>38.833333337679505</v>
      </c>
      <c r="O81" s="7"/>
      <c r="P81" s="7"/>
      <c r="Q81" s="22"/>
      <c r="R81" s="22"/>
      <c r="S81" s="31">
        <f t="shared" si="37"/>
        <v>1</v>
      </c>
      <c r="T81" s="46" t="str">
        <f t="shared" si="2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8"/>
        <v>https://d0f6bd738d7f1b3e5a7ca70fe4ff75f0.us-east-1.aws.found.io/app/kibana#/discover/Steve-Slow-Train-Analysis-(2080s-and-2083s)?_g=(refreshInterval:(display:Off,pause:!f,section:0,value:0),time:(from:'2017-03-03T11:53:02-0700',mode:absolute,to:'2017-03-03T14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7" t="str">
        <f t="shared" si="29"/>
        <v>N</v>
      </c>
      <c r="X81" s="197">
        <f t="shared" si="30"/>
        <v>1</v>
      </c>
      <c r="Y81" s="62">
        <f t="shared" si="21"/>
        <v>23.298500000000001</v>
      </c>
      <c r="Z81" s="62">
        <f t="shared" si="31"/>
        <v>1.49E-2</v>
      </c>
      <c r="AA81" s="62">
        <f t="shared" si="32"/>
        <v>23.2836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3"/>
        <v>0168-03</v>
      </c>
      <c r="AE81" s="85" t="str">
        <f t="shared" si="34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81" s="82" t="str">
        <f t="shared" si="35"/>
        <v>"C:\Program Files (x86)\AstroGrep\AstroGrep.exe" /spath="%USERPROFILE%\AppData\Local\Temp\OnboardLogs" /stypes="app*4028*20170303*" /stext=" 20:.+((SYSTEM_STATE.+slice.+state.+changed )|(ment ac)|(multiple cpu faults)|(system.+state.+changed )|(\[timeout)|(PRM\|1\|D)|(kpr)|(kdp)|(\|lc)|(penalty))" /e /r /s</v>
      </c>
      <c r="AG81" s="1" t="str">
        <f t="shared" si="36"/>
        <v>EC</v>
      </c>
      <c r="AH81" s="86" t="str">
        <f t="shared" si="38"/>
        <v>"%USERPROFILE%\Documents\GitHub\eaglep3\Utilities\RefineRTDCRunTimes.py" --tripid 168-03 --locoid 4028 --swversion DE.1.0.9.0 --startMP 204:232985 --initTime 2017-03-03T12:53:02 --startdatetime 2017-03-03T12:56:17 --delay 2 --endMP 204:149 --enddatetime 2017-03-03T13:35:07 --enforcementcount 0 &gt;&gt;C:\Users\stu\Documents\GitHub\eaglep3-reporting\EC\2017-03-03-refined-times.txt</v>
      </c>
      <c r="AI81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{"issue":{"subject":"","project_id":79,"tracker_id":40,"status_id":1,"priority_id":2,"assigned_to_id":23,"start_date":"2017-03-03","description":"","custom_fields":[{"id":1,"name":"Subdivision","value":"EC"},{"id":4,"name":"Milepost","value":"0.0149"},{"id":17,"name":"Train ID","value":"168-03"},{"id":16,"name":"Locomotive ID","value":"4028"},{"id":130,"name":"Impact","value":""},{"id":150,"name":"Time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0"/>
        <v>start /low /b %USERPROFILE%\Documents\GitHub\eaglep3\Utilities\DownloadLogsFromS3.py --loco 4028 --day 2017-03-03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"%USERPROFILE%\AppData\Local\Temp\OnboardLogs"\RTDC4028\*4028*20170303* | grep -SE "(Enforcement Action)|(\[TIMEOUT)|(CHR.+\|PRM\|1\|D.+(SWITCH|SIGNAL).+UNKNOWN)" - &gt;&gt; 2017-03-03-UncaughtWiMAX.txt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698</v>
      </c>
      <c r="B82" s="7">
        <v>4053</v>
      </c>
      <c r="C82" s="21" t="s">
        <v>251</v>
      </c>
      <c r="D82" s="21" t="s">
        <v>203</v>
      </c>
      <c r="E82" s="13">
        <v>42797.506550925929</v>
      </c>
      <c r="F82" s="13">
        <v>42797.51059027778</v>
      </c>
      <c r="G82" s="7">
        <v>1</v>
      </c>
      <c r="H82" s="21" t="s">
        <v>533</v>
      </c>
      <c r="I82" s="13">
        <v>42797.536666666667</v>
      </c>
      <c r="J82" s="7">
        <v>0</v>
      </c>
      <c r="K82" s="98" t="str">
        <f t="shared" si="25"/>
        <v>4053/4054</v>
      </c>
      <c r="L82" s="21" t="str">
        <f>VLOOKUP(A82,'Trips&amp;Operators'!$C$1:$G$99999,5,FALSE)</f>
        <v>KILLION DAVID</v>
      </c>
      <c r="M82" s="6">
        <f t="shared" si="26"/>
        <v>2.6076388887304347E-2</v>
      </c>
      <c r="N82" s="7">
        <f t="shared" si="24"/>
        <v>37.54999999771826</v>
      </c>
      <c r="O82" s="7"/>
      <c r="P82" s="7"/>
      <c r="Q82" s="22"/>
      <c r="R82" s="22"/>
      <c r="S82" s="31">
        <f t="shared" si="37"/>
        <v>1</v>
      </c>
      <c r="T82" s="46" t="str">
        <f t="shared" si="27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8"/>
        <v>https://d0f6bd738d7f1b3e5a7ca70fe4ff75f0.us-east-1.aws.found.io/app/kibana#/discover/Steve-Slow-Train-Analysis-(2080s-and-2083s)?_g=(refreshInterval:(display:Off,pause:!f,section:0,value:0),time:(from:'2017-03-03T11:09:26-0700',mode:absolute,to:'2017-03-03T13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2" s="197" t="str">
        <f t="shared" si="29"/>
        <v>N</v>
      </c>
      <c r="X82" s="197">
        <f t="shared" si="30"/>
        <v>1</v>
      </c>
      <c r="Y82" s="62">
        <f t="shared" si="21"/>
        <v>4.6199999999999998E-2</v>
      </c>
      <c r="Z82" s="62">
        <f t="shared" si="31"/>
        <v>23.327200000000001</v>
      </c>
      <c r="AA82" s="62">
        <f t="shared" si="32"/>
        <v>23.281000000000002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3"/>
        <v>0169-03</v>
      </c>
      <c r="AE82" s="85" t="str">
        <f t="shared" si="34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82" s="82" t="str">
        <f t="shared" si="35"/>
        <v>"C:\Program Files (x86)\AstroGrep\AstroGrep.exe" /spath="%USERPROFILE%\AppData\Local\Temp\OnboardLogs" /stypes="app*4053*20170303*" /stext=" 19:.+((SYSTEM_STATE.+slice.+state.+changed )|(ment ac)|(multiple cpu faults)|(system.+state.+changed )|(\[timeout)|(PRM\|1\|D)|(kpr)|(kdp)|(\|lc)|(penalty))" /e /r /s</v>
      </c>
      <c r="AG82" s="1" t="str">
        <f t="shared" si="36"/>
        <v>EC</v>
      </c>
      <c r="AH82" s="86" t="str">
        <f t="shared" si="38"/>
        <v>"%USERPROFILE%\Documents\GitHub\eaglep3\Utilities\RefineRTDCRunTimes.py" --tripid 169-03 --locoid 4053 --swversion DE.1.0.9.0 --startMP 204:462 --initTime 2017-03-03T12:09:26 --startdatetime 2017-03-03T12:15:15 --delay 1 --endMP 204:233272 --enddatetime 2017-03-03T12:52:48 --enforcementcount 0 &gt;&gt;C:\Users\stu\Documents\GitHub\eaglep3-reporting\EC\2017-03-03-refined-times.txt</v>
      </c>
      <c r="AI82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{"issue":{"subject":"","project_id":79,"tracker_id":40,"status_id":1,"priority_id":2,"assigned_to_id":23,"start_date":"2017-03-03","description":"","custom_fields":[{"id":1,"name":"Subdivision","value":"EC"},{"id":4,"name":"Milepost","value":"23.3272"},{"id":17,"name":"Train ID","value":"169-03"},{"id":16,"name":"Locomotive ID","value":"4053"},{"id":130,"name":"Impact","value":""},{"id":150,"name":"Time of Event (Mountain Time)","value":"12:52:48"},{"id":151,"name":"Denver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0"/>
        <v>start /low /b %USERPROFILE%\Documents\GitHub\eaglep3\Utilities\DownloadLogsFromS3.py --loco 4053 --day 2017-03-03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"%USERPROFILE%\AppData\Local\Temp\OnboardLogs"\RTDC4053\*4053*20170303* | grep -SE "(Enforcement Action)|(\[TIMEOUT)|(CHR.+\|PRM\|1\|D.+(SWITCH|SIGNAL).+UNKNOWN)" - &gt;&gt; 2017-03-03-UncaughtWiMAX.txt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707</v>
      </c>
      <c r="B83" s="7">
        <v>4054</v>
      </c>
      <c r="C83" s="21" t="s">
        <v>251</v>
      </c>
      <c r="D83" s="21" t="s">
        <v>299</v>
      </c>
      <c r="E83" s="13">
        <v>42797.538599537038</v>
      </c>
      <c r="F83" s="13">
        <v>42797.549490740741</v>
      </c>
      <c r="G83" s="7">
        <v>1</v>
      </c>
      <c r="H83" s="21" t="s">
        <v>240</v>
      </c>
      <c r="I83" s="13">
        <v>42797.577777777777</v>
      </c>
      <c r="J83" s="7">
        <v>0</v>
      </c>
      <c r="K83" s="98" t="str">
        <f t="shared" si="25"/>
        <v>4053/4054</v>
      </c>
      <c r="L83" s="21" t="str">
        <f>VLOOKUP(A83,'Trips&amp;Operators'!$C$1:$G$99999,5,FALSE)</f>
        <v>KILLION DAVID</v>
      </c>
      <c r="M83" s="6">
        <f t="shared" si="26"/>
        <v>2.8287037035624962E-2</v>
      </c>
      <c r="N83" s="7">
        <f t="shared" si="24"/>
        <v>40.733333331299946</v>
      </c>
      <c r="O83" s="7"/>
      <c r="P83" s="7"/>
      <c r="Q83" s="22"/>
      <c r="R83" s="22"/>
      <c r="S83" s="31">
        <f t="shared" si="37"/>
        <v>1</v>
      </c>
      <c r="T83" s="46" t="str">
        <f t="shared" si="27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8"/>
        <v>https://d0f6bd738d7f1b3e5a7ca70fe4ff75f0.us-east-1.aws.found.io/app/kibana#/discover/Steve-Slow-Train-Analysis-(2080s-and-2083s)?_g=(refreshInterval:(display:Off,pause:!f,section:0,value:0),time:(from:'2017-03-03T11:55:35-0700',mode:absolute,to:'2017-03-03T14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197" t="str">
        <f t="shared" si="29"/>
        <v>N</v>
      </c>
      <c r="X83" s="197">
        <f t="shared" si="30"/>
        <v>1</v>
      </c>
      <c r="Y83" s="62">
        <f t="shared" si="21"/>
        <v>23.2973</v>
      </c>
      <c r="Z83" s="62">
        <f t="shared" si="31"/>
        <v>1.5599999999999999E-2</v>
      </c>
      <c r="AA83" s="62">
        <f t="shared" si="32"/>
        <v>23.281700000000001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3"/>
        <v>0170-03</v>
      </c>
      <c r="AE83" s="85" t="str">
        <f t="shared" si="34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83" s="82" t="str">
        <f t="shared" si="35"/>
        <v>"C:\Program Files (x86)\AstroGrep\AstroGrep.exe" /spath="%USERPROFILE%\AppData\Local\Temp\OnboardLogs" /stypes="app*4054*20170303*" /stext=" 20:.+((SYSTEM_STATE.+slice.+state.+changed )|(ment ac)|(multiple cpu faults)|(system.+state.+changed )|(\[timeout)|(PRM\|1\|D)|(kpr)|(kdp)|(\|lc)|(penalty))" /e /r /s</v>
      </c>
      <c r="AG83" s="1" t="str">
        <f t="shared" si="36"/>
        <v>EC</v>
      </c>
      <c r="AH83" s="86" t="str">
        <f t="shared" si="38"/>
        <v>"%USERPROFILE%\Documents\GitHub\eaglep3\Utilities\RefineRTDCRunTimes.py" --tripid 170-03 --locoid 4054 --swversion DE.1.0.9.0 --startMP 204:232973 --initTime 2017-03-03T12:55:35 --startdatetime 2017-03-03T13:11:16 --delay 1 --endMP 204:156 --enddatetime 2017-03-03T13:52:00 --enforcementcount 0 &gt;&gt;C:\Users\stu\Documents\GitHub\eaglep3-reporting\EC\2017-03-03-refined-times.txt</v>
      </c>
      <c r="AI83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{"issue":{"subject":"","project_id":79,"tracker_id":40,"status_id":1,"priority_id":2,"assigned_to_id":23,"start_date":"2017-03-03","description":"","custom_fields":[{"id":1,"name":"Subdivision","value":"EC"},{"id":4,"name":"Milepost","value":"0.0156"},{"id":17,"name":"Train ID","value":"170-03"},{"id":16,"name":"Locomotive ID","value":"4054"},{"id":130,"name":"Impact","value":""},{"id":150,"name":"Time of Event (Mountain Time)","value":"13:52:00"},{"id":151,"name":"Denver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0"/>
        <v>start /low /b %USERPROFILE%\Documents\GitHub\eaglep3\Utilities\DownloadLogsFromS3.py --loco 4054 --day 2017-03-03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"%USERPROFILE%\AppData\Local\Temp\OnboardLogs"\RTDC4054\*4054*20170303* | grep -SE "(Enforcement Action)|(\[TIMEOUT)|(CHR.+\|PRM\|1\|D.+(SWITCH|SIGNAL).+UNKNOWN)" - &gt;&gt; 2017-03-03-UncaughtWiMAX.txt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701</v>
      </c>
      <c r="B84" s="7">
        <v>4029</v>
      </c>
      <c r="C84" s="21" t="s">
        <v>251</v>
      </c>
      <c r="D84" s="21" t="s">
        <v>203</v>
      </c>
      <c r="E84" s="13">
        <v>42797.517268518517</v>
      </c>
      <c r="F84" s="13">
        <v>42797.520995370367</v>
      </c>
      <c r="G84" s="7">
        <v>1</v>
      </c>
      <c r="H84" s="21" t="s">
        <v>273</v>
      </c>
      <c r="I84" s="13">
        <v>42797.546388888892</v>
      </c>
      <c r="J84" s="7">
        <v>0</v>
      </c>
      <c r="K84" s="98" t="str">
        <f t="shared" si="25"/>
        <v>4029/4030</v>
      </c>
      <c r="L84" s="21" t="str">
        <f>VLOOKUP(A84,'Trips&amp;Operators'!$C$1:$G$99999,5,FALSE)</f>
        <v>WHITED DUSTIN</v>
      </c>
      <c r="M84" s="6">
        <f t="shared" si="26"/>
        <v>2.5393518524651881E-2</v>
      </c>
      <c r="N84" s="7">
        <f t="shared" si="24"/>
        <v>36.566666675498709</v>
      </c>
      <c r="O84" s="7"/>
      <c r="P84" s="7"/>
      <c r="Q84" s="22"/>
      <c r="R84" s="22"/>
      <c r="S84" s="31">
        <f t="shared" si="37"/>
        <v>1</v>
      </c>
      <c r="T84" s="46" t="str">
        <f t="shared" si="27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8"/>
        <v>https://d0f6bd738d7f1b3e5a7ca70fe4ff75f0.us-east-1.aws.found.io/app/kibana#/discover/Steve-Slow-Train-Analysis-(2080s-and-2083s)?_g=(refreshInterval:(display:Off,pause:!f,section:0,value:0),time:(from:'2017-03-03T11:24:52-0700',mode:absolute,to:'2017-03-03T14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197" t="str">
        <f t="shared" si="29"/>
        <v>N</v>
      </c>
      <c r="X84" s="197">
        <f t="shared" si="30"/>
        <v>1</v>
      </c>
      <c r="Y84" s="62">
        <f t="shared" si="21"/>
        <v>4.6199999999999998E-2</v>
      </c>
      <c r="Z84" s="62">
        <f t="shared" si="31"/>
        <v>23.331199999999999</v>
      </c>
      <c r="AA84" s="62">
        <f t="shared" si="32"/>
        <v>23.285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3"/>
        <v>0171-03</v>
      </c>
      <c r="AE84" s="85" t="str">
        <f t="shared" si="34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84" s="82" t="str">
        <f t="shared" si="35"/>
        <v>"C:\Program Files (x86)\AstroGrep\AstroGrep.exe" /spath="%USERPROFILE%\AppData\Local\Temp\OnboardLogs" /stypes="app*4029*20170303*" /stext=" 20:.+((SYSTEM_STATE.+slice.+state.+changed )|(ment ac)|(multiple cpu faults)|(system.+state.+changed )|(\[timeout)|(PRM\|1\|D)|(kpr)|(kdp)|(\|lc)|(penalty))" /e /r /s</v>
      </c>
      <c r="AG84" s="1" t="str">
        <f t="shared" si="36"/>
        <v>EC</v>
      </c>
      <c r="AH84" s="86" t="str">
        <f t="shared" si="38"/>
        <v>"%USERPROFILE%\Documents\GitHub\eaglep3\Utilities\RefineRTDCRunTimes.py" --tripid 171-03 --locoid 4029 --swversion DE.1.0.9.0 --startMP 204:462 --initTime 2017-03-03T12:24:52 --startdatetime 2017-03-03T12:30:14 --delay 1 --endMP 204:233312 --enddatetime 2017-03-03T13:06:48 --enforcementcount 0 &gt;&gt;C:\Users\stu\Documents\GitHub\eaglep3-reporting\EC\2017-03-03-refined-times.txt</v>
      </c>
      <c r="AI84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{"issue":{"subject":"","project_id":79,"tracker_id":40,"status_id":1,"priority_id":2,"assigned_to_id":23,"start_date":"2017-03-03","description":"","custom_fields":[{"id":1,"name":"Subdivision","value":"EC"},{"id":4,"name":"Milepost","value":"23.3312"},{"id":17,"name":"Train ID","value":"171-03"},{"id":16,"name":"Locomotive ID","value":"4029"},{"id":130,"name":"Impact","value":""},{"id":150,"name":"Time of Event (Mountain Time)","value":"13:06:48"},{"id":151,"name":"Denver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0"/>
        <v>start /low /b %USERPROFILE%\Documents\GitHub\eaglep3\Utilities\DownloadLogsFromS3.py --loco 4029 --day 2017-03-03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"%USERPROFILE%\AppData\Local\Temp\OnboardLogs"\RTDC4029\*4029*20170303* | grep -SE "(Enforcement Action)|(\[TIMEOUT)|(CHR.+\|PRM\|1\|D.+(SWITCH|SIGNAL).+UNKNOWN)" - &gt;&gt; 2017-03-03-UncaughtWiMAX.txt</v>
      </c>
    </row>
    <row r="85" spans="1:91" s="20" customFormat="1" x14ac:dyDescent="0.25">
      <c r="A85" s="33" t="s">
        <v>710</v>
      </c>
      <c r="B85" s="7">
        <v>4030</v>
      </c>
      <c r="C85" s="21" t="s">
        <v>251</v>
      </c>
      <c r="D85" s="21" t="s">
        <v>855</v>
      </c>
      <c r="E85" s="13">
        <v>42797.548819444448</v>
      </c>
      <c r="F85" s="13">
        <v>42797.560034722221</v>
      </c>
      <c r="G85" s="7">
        <v>2</v>
      </c>
      <c r="H85" s="21" t="s">
        <v>856</v>
      </c>
      <c r="I85" s="13">
        <v>42797.588449074072</v>
      </c>
      <c r="J85" s="7">
        <v>0</v>
      </c>
      <c r="K85" s="98" t="str">
        <f t="shared" si="25"/>
        <v>4029/4030</v>
      </c>
      <c r="L85" s="21" t="str">
        <f>VLOOKUP(A85,'Trips&amp;Operators'!$C$1:$G$99999,5,FALSE)</f>
        <v>WHITED DUSTIN</v>
      </c>
      <c r="M85" s="6">
        <f t="shared" si="26"/>
        <v>2.8414351851097308E-2</v>
      </c>
      <c r="N85" s="7">
        <f t="shared" si="24"/>
        <v>40.916666665580124</v>
      </c>
      <c r="O85" s="7"/>
      <c r="P85" s="7"/>
      <c r="Q85" s="22"/>
      <c r="R85" s="22"/>
      <c r="S85" s="31">
        <f t="shared" si="37"/>
        <v>1</v>
      </c>
      <c r="T85" s="46" t="str">
        <f t="shared" si="27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8"/>
        <v>https://d0f6bd738d7f1b3e5a7ca70fe4ff75f0.us-east-1.aws.found.io/app/kibana#/discover/Steve-Slow-Train-Analysis-(2080s-and-2083s)?_g=(refreshInterval:(display:Off,pause:!f,section:0,value:0),time:(from:'2017-03-03T12:10:18-0700',mode:absolute,to:'2017-03-03T15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5" s="197" t="str">
        <f t="shared" si="29"/>
        <v>N</v>
      </c>
      <c r="X85" s="197">
        <f t="shared" si="30"/>
        <v>1</v>
      </c>
      <c r="Y85" s="62">
        <f t="shared" si="21"/>
        <v>23.3017</v>
      </c>
      <c r="Z85" s="62">
        <f t="shared" si="31"/>
        <v>1.14E-2</v>
      </c>
      <c r="AA85" s="62">
        <f t="shared" si="32"/>
        <v>23.290300000000002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3"/>
        <v>0172-03</v>
      </c>
      <c r="AE85" s="85" t="str">
        <f t="shared" si="34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85" s="82" t="str">
        <f t="shared" si="35"/>
        <v>"C:\Program Files (x86)\AstroGrep\AstroGrep.exe" /spath="%USERPROFILE%\AppData\Local\Temp\OnboardLogs" /stypes="app*4030*20170303*" /stext=" 21:.+((SYSTEM_STATE.+slice.+state.+changed )|(ment ac)|(multiple cpu faults)|(system.+state.+changed )|(\[timeout)|(PRM\|1\|D)|(kpr)|(kdp)|(\|lc)|(penalty))" /e /r /s</v>
      </c>
      <c r="AG85" s="1" t="str">
        <f t="shared" si="36"/>
        <v>EC</v>
      </c>
      <c r="AH85" s="86" t="str">
        <f t="shared" si="38"/>
        <v>"%USERPROFILE%\Documents\GitHub\eaglep3\Utilities\RefineRTDCRunTimes.py" --tripid 172-03 --locoid 4030 --swversion DE.1.0.9.0 --startMP 204:233017 --initTime 2017-03-03T13:10:18 --startdatetime 2017-03-03T13:26:27 --delay 2 --endMP 204:114 --enddatetime 2017-03-03T14:07:22 --enforcementcount 0 &gt;&gt;C:\Users\stu\Documents\GitHub\eaglep3-reporting\EC\2017-03-03-refined-times.txt</v>
      </c>
      <c r="AI85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{"issue":{"subject":"","project_id":79,"tracker_id":40,"status_id":1,"priority_id":2,"assigned_to_id":23,"start_date":"2017-03-03","description":"","custom_fields":[{"id":1,"name":"Subdivision","value":"EC"},{"id":4,"name":"Milepost","value":"0.0114"},{"id":17,"name":"Train ID","value":"172-03"},{"id":16,"name":"Locomotive ID","value":"4030"},{"id":130,"name":"Impact","value":""},{"id":150,"name":"Time of Event (Mountain Time)","value":"14:07:22"},{"id":151,"name":"Denver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0"/>
        <v>start /low /b %USERPROFILE%\Documents\GitHub\eaglep3\Utilities\DownloadLogsFromS3.py --loco 4030 --day 2017-03-03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"%USERPROFILE%\AppData\Local\Temp\OnboardLogs"\RTDC4030\*4030*20170303* | grep -SE "(Enforcement Action)|(\[TIMEOUT)|(CHR.+\|PRM\|1\|D.+(SWITCH|SIGNAL).+UNKNOWN)" - &gt;&gt; 2017-03-03-UncaughtWiMAX.txt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704</v>
      </c>
      <c r="B86" s="7">
        <v>4031</v>
      </c>
      <c r="C86" s="21" t="s">
        <v>251</v>
      </c>
      <c r="D86" s="21" t="s">
        <v>203</v>
      </c>
      <c r="E86" s="13">
        <v>42797.528321759259</v>
      </c>
      <c r="F86" s="13">
        <v>42797.531597222223</v>
      </c>
      <c r="G86" s="7">
        <v>2</v>
      </c>
      <c r="H86" s="21" t="s">
        <v>318</v>
      </c>
      <c r="I86" s="13">
        <v>42797.557430555556</v>
      </c>
      <c r="J86" s="7">
        <v>0</v>
      </c>
      <c r="K86" s="98" t="str">
        <f t="shared" si="25"/>
        <v>4031/4032</v>
      </c>
      <c r="L86" s="21" t="str">
        <f>VLOOKUP(A86,'Trips&amp;Operators'!$C$1:$G$99999,5,FALSE)</f>
        <v>STRICKLAND EVAN</v>
      </c>
      <c r="M86" s="6">
        <f t="shared" si="26"/>
        <v>2.5833333333139308E-2</v>
      </c>
      <c r="N86" s="7">
        <f t="shared" si="24"/>
        <v>37.199999999720603</v>
      </c>
      <c r="O86" s="7"/>
      <c r="P86" s="7"/>
      <c r="Q86" s="22"/>
      <c r="R86" s="22"/>
      <c r="S86" s="31">
        <f t="shared" si="37"/>
        <v>1</v>
      </c>
      <c r="T86" s="46" t="str">
        <f t="shared" si="27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8"/>
        <v>https://d0f6bd738d7f1b3e5a7ca70fe4ff75f0.us-east-1.aws.found.io/app/kibana#/discover/Steve-Slow-Train-Analysis-(2080s-and-2083s)?_g=(refreshInterval:(display:Off,pause:!f,section:0,value:0),time:(from:'2017-03-03T11:40:47-0700',mode:absolute,to:'2017-03-03T14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6" s="197" t="str">
        <f t="shared" si="29"/>
        <v>N</v>
      </c>
      <c r="X86" s="197">
        <f t="shared" si="30"/>
        <v>1</v>
      </c>
      <c r="Y86" s="62">
        <f t="shared" si="21"/>
        <v>4.6199999999999998E-2</v>
      </c>
      <c r="Z86" s="62">
        <f t="shared" si="31"/>
        <v>23.3307</v>
      </c>
      <c r="AA86" s="62">
        <f t="shared" si="32"/>
        <v>23.284500000000001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3"/>
        <v>0173-03</v>
      </c>
      <c r="AE86" s="85" t="str">
        <f t="shared" si="34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86" s="82" t="str">
        <f t="shared" si="35"/>
        <v>"C:\Program Files (x86)\AstroGrep\AstroGrep.exe" /spath="%USERPROFILE%\AppData\Local\Temp\OnboardLogs" /stypes="app*4031*20170303*" /stext=" 20:.+((SYSTEM_STATE.+slice.+state.+changed )|(ment ac)|(multiple cpu faults)|(system.+state.+changed )|(\[timeout)|(PRM\|1\|D)|(kpr)|(kdp)|(\|lc)|(penalty))" /e /r /s</v>
      </c>
      <c r="AG86" s="1" t="str">
        <f t="shared" si="36"/>
        <v>EC</v>
      </c>
      <c r="AH86" s="86" t="str">
        <f t="shared" si="38"/>
        <v>"%USERPROFILE%\Documents\GitHub\eaglep3\Utilities\RefineRTDCRunTimes.py" --tripid 173-03 --locoid 4031 --swversion DE.1.0.9.0 --startMP 204:462 --initTime 2017-03-03T12:40:47 --startdatetime 2017-03-03T12:45:30 --delay 2 --endMP 204:233307 --enddatetime 2017-03-03T13:22:42 --enforcementcount 0 &gt;&gt;C:\Users\stu\Documents\GitHub\eaglep3-reporting\EC\2017-03-03-refined-times.txt</v>
      </c>
      <c r="AI86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{"issue":{"subject":"","project_id":79,"tracker_id":40,"status_id":1,"priority_id":2,"assigned_to_id":23,"start_date":"2017-03-03","description":"","custom_fields":[{"id":1,"name":"Subdivision","value":"EC"},{"id":4,"name":"Milepost","value":"23.3307"},{"id":17,"name":"Train ID","value":"173-03"},{"id":16,"name":"Locomotive ID","value":"4031"},{"id":130,"name":"Impact","value":""},{"id":150,"name":"Time of Event (Mountain Time)","value":"13:22:42"},{"id":151,"name":"Denver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0"/>
        <v>start /low /b %USERPROFILE%\Documents\GitHub\eaglep3\Utilities\DownloadLogsFromS3.py --loco 4031 --day 2017-03-03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"%USERPROFILE%\AppData\Local\Temp\OnboardLogs"\RTDC4031\*4031*20170303* | grep -SE "(Enforcement Action)|(\[TIMEOUT)|(CHR.+\|PRM\|1\|D.+(SWITCH|SIGNAL).+UNKNOWN)" - &gt;&gt; 2017-03-03-UncaughtWiMAX.txt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589</v>
      </c>
      <c r="B87" s="7">
        <v>4032</v>
      </c>
      <c r="C87" s="21" t="s">
        <v>251</v>
      </c>
      <c r="D87" s="21" t="s">
        <v>278</v>
      </c>
      <c r="E87" s="13">
        <v>42797.559583333335</v>
      </c>
      <c r="F87" s="13">
        <v>42797.570324074077</v>
      </c>
      <c r="G87" s="7">
        <v>1</v>
      </c>
      <c r="H87" s="21" t="s">
        <v>194</v>
      </c>
      <c r="I87" s="13">
        <v>42797.59915509259</v>
      </c>
      <c r="J87" s="7">
        <v>0</v>
      </c>
      <c r="K87" s="98" t="str">
        <f t="shared" si="25"/>
        <v>4031/4032</v>
      </c>
      <c r="L87" s="21" t="str">
        <f>VLOOKUP(A87,'Trips&amp;Operators'!$C$1:$G$99999,5,FALSE)</f>
        <v>STRICKLAND EVAN</v>
      </c>
      <c r="M87" s="6">
        <f t="shared" si="26"/>
        <v>2.8831018513301387E-2</v>
      </c>
      <c r="N87" s="7">
        <f t="shared" si="24"/>
        <v>41.516666659153998</v>
      </c>
      <c r="O87" s="7"/>
      <c r="P87" s="7"/>
      <c r="Q87" s="22"/>
      <c r="R87" s="22"/>
      <c r="S87" s="31">
        <f t="shared" si="37"/>
        <v>1</v>
      </c>
      <c r="T87" s="46" t="str">
        <f t="shared" si="27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8"/>
        <v>https://d0f6bd738d7f1b3e5a7ca70fe4ff75f0.us-east-1.aws.found.io/app/kibana#/discover/Steve-Slow-Train-Analysis-(2080s-and-2083s)?_g=(refreshInterval:(display:Off,pause:!f,section:0,value:0),time:(from:'2017-03-03T12:25:48-0700',mode:absolute,to:'2017-03-03T15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197" t="str">
        <f t="shared" si="29"/>
        <v>N</v>
      </c>
      <c r="X87" s="197">
        <f t="shared" si="30"/>
        <v>1</v>
      </c>
      <c r="Y87" s="62">
        <f t="shared" si="21"/>
        <v>23.3</v>
      </c>
      <c r="Z87" s="62">
        <f t="shared" si="31"/>
        <v>1.4999999999999999E-2</v>
      </c>
      <c r="AA87" s="62">
        <f t="shared" si="32"/>
        <v>23.285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3"/>
        <v>0174-03</v>
      </c>
      <c r="AE87" s="85" t="str">
        <f t="shared" si="34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87" s="82" t="str">
        <f t="shared" si="35"/>
        <v>"C:\Program Files (x86)\AstroGrep\AstroGrep.exe" /spath="%USERPROFILE%\AppData\Local\Temp\OnboardLogs" /stypes="app*4032*20170303*" /stext=" 21:.+((SYSTEM_STATE.+slice.+state.+changed )|(ment ac)|(multiple cpu faults)|(system.+state.+changed )|(\[timeout)|(PRM\|1\|D)|(kpr)|(kdp)|(\|lc)|(penalty))" /e /r /s</v>
      </c>
      <c r="AG87" s="1" t="str">
        <f t="shared" si="36"/>
        <v>EC</v>
      </c>
      <c r="AH87" s="86" t="str">
        <f t="shared" si="38"/>
        <v>"%USERPROFILE%\Documents\GitHub\eaglep3\Utilities\RefineRTDCRunTimes.py" --tripid 174-03 --locoid 4032 --swversion DE.1.0.9.0 --startMP 204:233000 --initTime 2017-03-03T13:25:48 --startdatetime 2017-03-03T13:41:16 --delay 1 --endMP 204:150 --enddatetime 2017-03-03T14:22:47 --enforcementcount 0 &gt;&gt;C:\Users\stu\Documents\GitHub\eaglep3-reporting\EC\2017-03-03-refined-times.txt</v>
      </c>
      <c r="AI87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{"issue":{"subject":"","project_id":79,"tracker_id":40,"status_id":1,"priority_id":2,"assigned_to_id":23,"start_date":"2017-03-03","description":"","custom_fields":[{"id":1,"name":"Subdivision","value":"EC"},{"id":4,"name":"Milepost","value":"0.015"},{"id":17,"name":"Train ID","value":"174-03"},{"id":16,"name":"Locomotive ID","value":"4032"},{"id":130,"name":"Impact","value":""},{"id":150,"name":"Time of Event (Mountain Time)","value":"14:22:47"},{"id":151,"name":"Denver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0"/>
        <v>start /low /b %USERPROFILE%\Documents\GitHub\eaglep3\Utilities\DownloadLogsFromS3.py --loco 4032 --day 2017-03-03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"%USERPROFILE%\AppData\Local\Temp\OnboardLogs"\RTDC4032\*4032*20170303* | grep -SE "(Enforcement Action)|(\[TIMEOUT)|(CHR.+\|PRM\|1\|D.+(SWITCH|SIGNAL).+UNKNOWN)" - &gt;&gt; 2017-03-03-UncaughtWiMAX.txt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705</v>
      </c>
      <c r="B88" s="7">
        <v>4024</v>
      </c>
      <c r="C88" s="21" t="s">
        <v>251</v>
      </c>
      <c r="D88" s="21" t="s">
        <v>203</v>
      </c>
      <c r="E88" s="13">
        <v>42797.536111111112</v>
      </c>
      <c r="F88" s="13">
        <v>42797.542071759257</v>
      </c>
      <c r="G88" s="7">
        <v>2</v>
      </c>
      <c r="H88" s="21" t="s">
        <v>244</v>
      </c>
      <c r="I88" s="13">
        <v>42797.566840277781</v>
      </c>
      <c r="J88" s="7">
        <v>0</v>
      </c>
      <c r="K88" s="98" t="str">
        <f t="shared" si="25"/>
        <v>4023/4024</v>
      </c>
      <c r="L88" s="21" t="str">
        <f>VLOOKUP(A88,'Trips&amp;Operators'!$C$1:$G$99999,5,FALSE)</f>
        <v>ROMERO CHAD</v>
      </c>
      <c r="M88" s="6">
        <f t="shared" si="26"/>
        <v>2.4768518524069805E-2</v>
      </c>
      <c r="N88" s="7">
        <f t="shared" ref="N88:N113" si="41">24*60*SUM($M88:$M88)</f>
        <v>35.666666674660519</v>
      </c>
      <c r="O88" s="7"/>
      <c r="P88" s="7"/>
      <c r="Q88" s="22"/>
      <c r="R88" s="22"/>
      <c r="S88" s="31">
        <f t="shared" si="37"/>
        <v>1</v>
      </c>
      <c r="T88" s="46" t="str">
        <f t="shared" si="27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8"/>
        <v>https://d0f6bd738d7f1b3e5a7ca70fe4ff75f0.us-east-1.aws.found.io/app/kibana#/discover/Steve-Slow-Train-Analysis-(2080s-and-2083s)?_g=(refreshInterval:(display:Off,pause:!f,section:0,value:0),time:(from:'2017-03-03T11:52:00-0700',mode:absolute,to:'2017-03-03T14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8" s="197" t="str">
        <f t="shared" si="29"/>
        <v>N</v>
      </c>
      <c r="X88" s="197">
        <f t="shared" si="30"/>
        <v>1</v>
      </c>
      <c r="Y88" s="62">
        <f t="shared" si="21"/>
        <v>4.6199999999999998E-2</v>
      </c>
      <c r="Z88" s="62">
        <f t="shared" si="31"/>
        <v>23.331700000000001</v>
      </c>
      <c r="AA88" s="62">
        <f t="shared" si="32"/>
        <v>23.285500000000003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3"/>
        <v>0175-03</v>
      </c>
      <c r="AE88" s="85" t="str">
        <f t="shared" si="34"/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AF88" s="82" t="str">
        <f t="shared" si="35"/>
        <v>"C:\Program Files (x86)\AstroGrep\AstroGrep.exe" /spath="%USERPROFILE%\AppData\Local\Temp\OnboardLogs" /stypes="app*4024*20170303*" /stext=" 20:.+((SYSTEM_STATE.+slice.+state.+changed )|(ment ac)|(multiple cpu faults)|(system.+state.+changed )|(\[timeout)|(PRM\|1\|D)|(kpr)|(kdp)|(\|lc)|(penalty))" /e /r /s</v>
      </c>
      <c r="AG88" s="1" t="str">
        <f t="shared" si="36"/>
        <v>EC</v>
      </c>
      <c r="AH88" s="86" t="str">
        <f t="shared" si="38"/>
        <v>"%USERPROFILE%\Documents\GitHub\eaglep3\Utilities\RefineRTDCRunTimes.py" --tripid 175-03 --locoid 4024 --swversion DE.1.0.9.0 --startMP 204:462 --initTime 2017-03-03T12:52:00 --startdatetime 2017-03-03T13:00:35 --delay 2 --endMP 204:233317 --enddatetime 2017-03-03T13:36:15 --enforcementcount 0 &gt;&gt;C:\Users\stu\Documents\GitHub\eaglep3-reporting\EC\2017-03-03-refined-times.txt</v>
      </c>
      <c r="AI88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{"issue":{"subject":"","project_id":79,"tracker_id":40,"status_id":1,"priority_id":2,"assigned_to_id":23,"start_date":"2017-03-03","description":"","custom_fields":[{"id":1,"name":"Subdivision","value":"EC"},{"id":4,"name":"Milepost","value":"23.3317"},{"id":17,"name":"Train ID","value":"175-03"},{"id":16,"name":"Locomotive ID","value":"4024"},{"id":130,"name":"Impact","value":""},{"id":150,"name":"Time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0"/>
        <v>start /low /b %USERPROFILE%\Documents\GitHub\eaglep3\Utilities\DownloadLogsFromS3.py --loco 4024 --day 2017-03-03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"%USERPROFILE%\AppData\Local\Temp\OnboardLogs"\RTDC4024\*4024*20170303* | grep -SE "(Enforcement Action)|(\[TIMEOUT)|(CHR.+\|PRM\|1\|D.+(SWITCH|SIGNAL).+UNKNOWN)" - &gt;&gt; 2017-03-03-UncaughtWiMAX.txt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592</v>
      </c>
      <c r="B89" s="7">
        <v>4023</v>
      </c>
      <c r="C89" s="21" t="s">
        <v>251</v>
      </c>
      <c r="D89" s="21" t="s">
        <v>857</v>
      </c>
      <c r="E89" s="13">
        <v>42797.573506944442</v>
      </c>
      <c r="F89" s="13">
        <v>42797.580706018518</v>
      </c>
      <c r="G89" s="7">
        <v>1</v>
      </c>
      <c r="H89" s="21" t="s">
        <v>858</v>
      </c>
      <c r="I89" s="13">
        <v>42797.607094907406</v>
      </c>
      <c r="J89" s="7">
        <v>0</v>
      </c>
      <c r="K89" s="98" t="str">
        <f t="shared" si="25"/>
        <v>4023/4024</v>
      </c>
      <c r="L89" s="21" t="str">
        <f>VLOOKUP(A89,'Trips&amp;Operators'!$C$1:$G$99999,5,FALSE)</f>
        <v>ROMERO CHAD</v>
      </c>
      <c r="M89" s="6">
        <f t="shared" si="26"/>
        <v>2.6388888887595385E-2</v>
      </c>
      <c r="N89" s="7">
        <f t="shared" si="41"/>
        <v>37.999999998137355</v>
      </c>
      <c r="O89" s="7"/>
      <c r="P89" s="7"/>
      <c r="Q89" s="22"/>
      <c r="R89" s="22"/>
      <c r="S89" s="31">
        <f t="shared" si="37"/>
        <v>1</v>
      </c>
      <c r="T89" s="46" t="str">
        <f t="shared" si="27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8"/>
        <v>https://d0f6bd738d7f1b3e5a7ca70fe4ff75f0.us-east-1.aws.found.io/app/kibana#/discover/Steve-Slow-Train-Analysis-(2080s-and-2083s)?_g=(refreshInterval:(display:Off,pause:!f,section:0,value:0),time:(from:'2017-03-03T12:45:51-0700',mode:absolute,to:'2017-03-03T15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9" s="197" t="str">
        <f t="shared" si="29"/>
        <v>N</v>
      </c>
      <c r="X89" s="197">
        <f t="shared" si="30"/>
        <v>1</v>
      </c>
      <c r="Y89" s="62">
        <f t="shared" si="21"/>
        <v>23.301300000000001</v>
      </c>
      <c r="Z89" s="62">
        <f t="shared" si="31"/>
        <v>1.9099999999999999E-2</v>
      </c>
      <c r="AA89" s="62">
        <f t="shared" si="32"/>
        <v>23.2822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3"/>
        <v>0176-03</v>
      </c>
      <c r="AE89" s="85" t="str">
        <f t="shared" si="34"/>
        <v>aws s3 cp s3://rtdc.mdm.uploadarchive.raw/RTDC4023/ "%USERPROFILE%\AppData\Local\Temp\OnboardLogs"\RTDC4023\2017-03-03 --exclude "*" --recursive --include "*20170303*" &amp; "%USERPROFILE%\Documents\GitHub\mrs-test-scripts\Headless Mode &amp; Sideloading\WalkAndUnGZ.bat" "%USERPROFILE%\AppData\Local\Temp\OnboardLogs"\RTDC4023\2017-03-03 &amp; aws s3 cp s3://rtdc.mdm.uploadarchive.raw/RTDC4023/ "%USERPROFILE%\AppData\Local\Temp\OnboardLogs"\RTDC4023\2017-03-04 --exclude "*" --recursive --include "*20170304*" &amp; "%USERPROFILE%\Documents\GitHub\mrs-test-scripts\Headless Mode &amp; Sideloading\WalkAndUnGZ.bat" "%USERPROFILE%\AppData\Local\Temp\OnboardLogs"\RTDC4023\2017-03-04</v>
      </c>
      <c r="AF89" s="82" t="str">
        <f t="shared" si="35"/>
        <v>"C:\Program Files (x86)\AstroGrep\AstroGrep.exe" /spath="%USERPROFILE%\AppData\Local\Temp\OnboardLogs" /stypes="app*4023*20170303*" /stext=" 21:.+((SYSTEM_STATE.+slice.+state.+changed )|(ment ac)|(multiple cpu faults)|(system.+state.+changed )|(\[timeout)|(PRM\|1\|D)|(kpr)|(kdp)|(\|lc)|(penalty))" /e /r /s</v>
      </c>
      <c r="AG89" s="1" t="str">
        <f t="shared" si="36"/>
        <v>EC</v>
      </c>
      <c r="AH89" s="86" t="str">
        <f t="shared" si="38"/>
        <v>"%USERPROFILE%\Documents\GitHub\eaglep3\Utilities\RefineRTDCRunTimes.py" --tripid 176-03 --locoid 4023 --swversion DE.1.0.9.0 --startMP 204:233013 --initTime 2017-03-03T13:45:51 --startdatetime 2017-03-03T13:56:13 --delay 1 --endMP 204:191 --enddatetime 2017-03-03T14:34:13 --enforcementcount 0 &gt;&gt;C:\Users\stu\Documents\GitHub\eaglep3-reporting\EC\2017-03-03-refined-times.txt</v>
      </c>
      <c r="AI89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{"issue":{"subject":"","project_id":79,"tracker_id":40,"status_id":1,"priority_id":2,"assigned_to_id":23,"start_date":"2017-03-03","description":"","custom_fields":[{"id":1,"name":"Subdivision","value":"EC"},{"id":4,"name":"Milepost","value":"0.0191"},{"id":17,"name":"Train ID","value":"176-03"},{"id":16,"name":"Locomotive ID","value":"4023"},{"id":130,"name":"Impact","value":""},{"id":150,"name":"Time of Event (Mountain Time)","value":"14:34:13"},{"id":151,"name":"Denver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0"/>
        <v>start /low /b %USERPROFILE%\Documents\GitHub\eaglep3\Utilities\DownloadLogsFromS3.py --loco 4023 --day 2017-03-03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"%USERPROFILE%\AppData\Local\Temp\OnboardLogs"\RTDC4023\*4023*20170303* | grep -SE "(Enforcement Action)|(\[TIMEOUT)|(CHR.+\|PRM\|1\|D.+(SWITCH|SIGNAL).+UNKNOWN)" - &gt;&gt; 2017-03-03-UncaughtWiMAX.txt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709</v>
      </c>
      <c r="B90" s="7">
        <v>4051</v>
      </c>
      <c r="C90" s="21" t="s">
        <v>251</v>
      </c>
      <c r="D90" s="21" t="s">
        <v>859</v>
      </c>
      <c r="E90" s="13">
        <v>42797.548784722225</v>
      </c>
      <c r="F90" s="13">
        <v>42797.55228009259</v>
      </c>
      <c r="G90" s="7">
        <v>1</v>
      </c>
      <c r="H90" s="21" t="s">
        <v>818</v>
      </c>
      <c r="I90" s="13">
        <v>42797.578541666669</v>
      </c>
      <c r="J90" s="7">
        <v>0</v>
      </c>
      <c r="K90" s="98" t="str">
        <f t="shared" si="25"/>
        <v>4051/4052</v>
      </c>
      <c r="L90" s="21" t="str">
        <f>VLOOKUP(A90,'Trips&amp;Operators'!$C$1:$G$99999,5,FALSE)</f>
        <v>CLARK KATHLEEN</v>
      </c>
      <c r="M90" s="6">
        <f t="shared" si="26"/>
        <v>2.6261574079398997E-2</v>
      </c>
      <c r="N90" s="7">
        <f t="shared" si="41"/>
        <v>37.816666674334556</v>
      </c>
      <c r="O90" s="7"/>
      <c r="P90" s="7"/>
      <c r="Q90" s="22"/>
      <c r="R90" s="22"/>
      <c r="S90" s="31">
        <f t="shared" si="37"/>
        <v>1</v>
      </c>
      <c r="T90" s="46" t="str">
        <f t="shared" si="27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8"/>
        <v>https://d0f6bd738d7f1b3e5a7ca70fe4ff75f0.us-east-1.aws.found.io/app/kibana#/discover/Steve-Slow-Train-Analysis-(2080s-and-2083s)?_g=(refreshInterval:(display:Off,pause:!f,section:0,value:0),time:(from:'2017-03-03T12:10:15-0700',mode:absolute,to:'2017-03-03T14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197" t="str">
        <f t="shared" si="29"/>
        <v>N</v>
      </c>
      <c r="X90" s="197">
        <f t="shared" si="30"/>
        <v>1</v>
      </c>
      <c r="Y90" s="62">
        <f t="shared" si="21"/>
        <v>4.9299999999999997E-2</v>
      </c>
      <c r="Z90" s="62">
        <f t="shared" si="31"/>
        <v>23.3309</v>
      </c>
      <c r="AA90" s="62">
        <f t="shared" si="32"/>
        <v>23.281600000000001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3"/>
        <v>0177-03</v>
      </c>
      <c r="AE90" s="85" t="str">
        <f t="shared" si="34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90" s="82" t="str">
        <f t="shared" si="35"/>
        <v>"C:\Program Files (x86)\AstroGrep\AstroGrep.exe" /spath="%USERPROFILE%\AppData\Local\Temp\OnboardLogs" /stypes="app*4051*20170303*" /stext=" 20:.+((SYSTEM_STATE.+slice.+state.+changed )|(ment ac)|(multiple cpu faults)|(system.+state.+changed )|(\[timeout)|(PRM\|1\|D)|(kpr)|(kdp)|(\|lc)|(penalty))" /e /r /s</v>
      </c>
      <c r="AG90" s="1" t="str">
        <f t="shared" si="36"/>
        <v>EC</v>
      </c>
      <c r="AH90" s="86" t="str">
        <f t="shared" si="38"/>
        <v>"%USERPROFILE%\Documents\GitHub\eaglep3\Utilities\RefineRTDCRunTimes.py" --tripid 177-03 --locoid 4051 --swversion DE.1.0.9.0 --startMP 204:493 --initTime 2017-03-03T13:10:15 --startdatetime 2017-03-03T13:15:17 --delay 1 --endMP 204:233309 --enddatetime 2017-03-03T13:53:06 --enforcementcount 0 &gt;&gt;C:\Users\stu\Documents\GitHub\eaglep3-reporting\EC\2017-03-03-refined-times.txt</v>
      </c>
      <c r="AI90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{"issue":{"subject":"","project_id":79,"tracker_id":40,"status_id":1,"priority_id":2,"assigned_to_id":23,"start_date":"2017-03-03","description":"","custom_fields":[{"id":1,"name":"Subdivision","value":"EC"},{"id":4,"name":"Milepost","value":"23.3309"},{"id":17,"name":"Train ID","value":"177-03"},{"id":16,"name":"Locomotive ID","value":"4051"},{"id":130,"name":"Impact","value":""},{"id":150,"name":"Time of Event (Mountain Time)","value":"13:53:06"},{"id":151,"name":"Denver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0"/>
        <v>start /low /b %USERPROFILE%\Documents\GitHub\eaglep3\Utilities\DownloadLogsFromS3.py --loco 4051 --day 2017-03-03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"%USERPROFILE%\AppData\Local\Temp\OnboardLogs"\RTDC4051\*4051*20170303* | grep -SE "(Enforcement Action)|(\[TIMEOUT)|(CHR.+\|PRM\|1\|D.+(SWITCH|SIGNAL).+UNKNOWN)" - &gt;&gt; 2017-03-03-UncaughtWiMAX.txt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715</v>
      </c>
      <c r="B91" s="7">
        <v>4052</v>
      </c>
      <c r="C91" s="21" t="s">
        <v>251</v>
      </c>
      <c r="D91" s="21" t="s">
        <v>274</v>
      </c>
      <c r="E91" s="13">
        <v>42797.586701388886</v>
      </c>
      <c r="F91" s="13">
        <v>42797.591145833336</v>
      </c>
      <c r="G91" s="7">
        <v>1</v>
      </c>
      <c r="H91" s="21" t="s">
        <v>860</v>
      </c>
      <c r="I91" s="13">
        <v>42797.621493055558</v>
      </c>
      <c r="J91" s="7">
        <v>0</v>
      </c>
      <c r="K91" s="98" t="str">
        <f t="shared" si="25"/>
        <v>4051/4052</v>
      </c>
      <c r="L91" s="21" t="str">
        <f>VLOOKUP(A91,'Trips&amp;Operators'!$C$1:$G$99999,5,FALSE)</f>
        <v>CLARK KATHLEEN</v>
      </c>
      <c r="M91" s="6">
        <f t="shared" si="26"/>
        <v>3.0347222222189885E-2</v>
      </c>
      <c r="N91" s="7">
        <f t="shared" si="41"/>
        <v>43.699999999953434</v>
      </c>
      <c r="O91" s="7"/>
      <c r="P91" s="7"/>
      <c r="Q91" s="22"/>
      <c r="R91" s="22"/>
      <c r="S91" s="31">
        <f t="shared" si="37"/>
        <v>1</v>
      </c>
      <c r="T91" s="46" t="str">
        <f t="shared" si="27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8"/>
        <v>https://d0f6bd738d7f1b3e5a7ca70fe4ff75f0.us-east-1.aws.found.io/app/kibana#/discover/Steve-Slow-Train-Analysis-(2080s-and-2083s)?_g=(refreshInterval:(display:Off,pause:!f,section:0,value:0),time:(from:'2017-03-03T13:04:51-0700',mode:absolute,to:'2017-03-03T15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1" s="197" t="str">
        <f t="shared" si="29"/>
        <v>N</v>
      </c>
      <c r="X91" s="197">
        <f t="shared" si="30"/>
        <v>1</v>
      </c>
      <c r="Y91" s="62">
        <f t="shared" si="21"/>
        <v>23.297699999999999</v>
      </c>
      <c r="Z91" s="62">
        <f t="shared" si="31"/>
        <v>1.89E-2</v>
      </c>
      <c r="AA91" s="62">
        <f t="shared" si="32"/>
        <v>23.2788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3"/>
        <v>0178-03</v>
      </c>
      <c r="AE91" s="85" t="str">
        <f t="shared" si="34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91" s="82" t="str">
        <f t="shared" si="35"/>
        <v>"C:\Program Files (x86)\AstroGrep\AstroGrep.exe" /spath="%USERPROFILE%\AppData\Local\Temp\OnboardLogs" /stypes="app*4052*20170303*" /stext=" 21:.+((SYSTEM_STATE.+slice.+state.+changed )|(ment ac)|(multiple cpu faults)|(system.+state.+changed )|(\[timeout)|(PRM\|1\|D)|(kpr)|(kdp)|(\|lc)|(penalty))" /e /r /s</v>
      </c>
      <c r="AG91" s="1" t="str">
        <f t="shared" si="36"/>
        <v>EC</v>
      </c>
      <c r="AH91" s="86" t="str">
        <f t="shared" si="38"/>
        <v>"%USERPROFILE%\Documents\GitHub\eaglep3\Utilities\RefineRTDCRunTimes.py" --tripid 178-03 --locoid 4052 --swversion DE.1.0.9.0 --startMP 204:232977 --initTime 2017-03-03T14:04:51 --startdatetime 2017-03-03T14:11:15 --delay 1 --endMP 204:189 --enddatetime 2017-03-03T14:54:57 --enforcementcount 0 &gt;&gt;C:\Users\stu\Documents\GitHub\eaglep3-reporting\EC\2017-03-03-refined-times.txt</v>
      </c>
      <c r="AI91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{"issue":{"subject":"","project_id":79,"tracker_id":40,"status_id":1,"priority_id":2,"assigned_to_id":23,"start_date":"2017-03-03","description":"","custom_fields":[{"id":1,"name":"Subdivision","value":"EC"},{"id":4,"name":"Milepost","value":"0.0189"},{"id":17,"name":"Train ID","value":"178-03"},{"id":16,"name":"Locomotive ID","value":"4052"},{"id":130,"name":"Impact","value":""},{"id":150,"name":"Time of Event (Mountain Time)","value":"14:54:57"},{"id":151,"name":"Denver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0"/>
        <v>start /low /b %USERPROFILE%\Documents\GitHub\eaglep3\Utilities\DownloadLogsFromS3.py --loco 4052 --day 2017-03-03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711</v>
      </c>
      <c r="B92" s="7">
        <v>4046</v>
      </c>
      <c r="C92" s="21" t="s">
        <v>251</v>
      </c>
      <c r="D92" s="21" t="s">
        <v>524</v>
      </c>
      <c r="E92" s="13">
        <v>42797.558391203704</v>
      </c>
      <c r="F92" s="13">
        <v>42797.562685185185</v>
      </c>
      <c r="G92" s="7">
        <v>4</v>
      </c>
      <c r="H92" s="21" t="s">
        <v>273</v>
      </c>
      <c r="I92" s="13">
        <v>42797.587523148148</v>
      </c>
      <c r="J92" s="7">
        <v>0</v>
      </c>
      <c r="K92" s="98" t="str">
        <f t="shared" si="25"/>
        <v>4045/4046</v>
      </c>
      <c r="L92" s="21" t="str">
        <f>VLOOKUP(A92,'Trips&amp;Operators'!$C$1:$G$99999,5,FALSE)</f>
        <v>BRUDER RICHARD</v>
      </c>
      <c r="M92" s="6">
        <f t="shared" si="26"/>
        <v>2.4837962962919846E-2</v>
      </c>
      <c r="N92" s="7">
        <f t="shared" si="41"/>
        <v>35.766666666604578</v>
      </c>
      <c r="O92" s="7"/>
      <c r="P92" s="7"/>
      <c r="Q92" s="22"/>
      <c r="R92" s="22"/>
      <c r="S92" s="31">
        <f t="shared" si="37"/>
        <v>1</v>
      </c>
      <c r="T92" s="46" t="str">
        <f t="shared" si="27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8"/>
        <v>https://d0f6bd738d7f1b3e5a7ca70fe4ff75f0.us-east-1.aws.found.io/app/kibana#/discover/Steve-Slow-Train-Analysis-(2080s-and-2083s)?_g=(refreshInterval:(display:Off,pause:!f,section:0,value:0),time:(from:'2017-03-03T12:24:05-0700',mode:absolute,to:'2017-03-03T15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2" s="197" t="str">
        <f t="shared" si="29"/>
        <v>N</v>
      </c>
      <c r="X92" s="197">
        <f t="shared" si="30"/>
        <v>1</v>
      </c>
      <c r="Y92" s="62">
        <f t="shared" si="21"/>
        <v>5.04E-2</v>
      </c>
      <c r="Z92" s="62">
        <f t="shared" si="31"/>
        <v>23.331199999999999</v>
      </c>
      <c r="AA92" s="62">
        <f t="shared" si="32"/>
        <v>23.280799999999999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3"/>
        <v>0179-03</v>
      </c>
      <c r="AE92" s="85" t="str">
        <f t="shared" si="34"/>
        <v>aws s3 cp s3://rtdc.mdm.uploadarchive.raw/RTDC4046/ "%USERPROFILE%\AppData\Local\Temp\OnboardLogs"\RTDC4046\2017-03-03 --exclude "*" --recursive --include "*20170303*" &amp; "%USERPROFILE%\Documents\GitHub\mrs-test-scripts\Headless Mode &amp; Sideloading\WalkAndUnGZ.bat" "%USERPROFILE%\AppData\Local\Temp\OnboardLogs"\RTDC4046\2017-03-03 &amp; 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</v>
      </c>
      <c r="AF92" s="82" t="str">
        <f t="shared" si="35"/>
        <v>"C:\Program Files (x86)\AstroGrep\AstroGrep.exe" /spath="%USERPROFILE%\AppData\Local\Temp\OnboardLogs" /stypes="app*4046*20170303*" /stext=" 21:.+((SYSTEM_STATE.+slice.+state.+changed )|(ment ac)|(multiple cpu faults)|(system.+state.+changed )|(\[timeout)|(PRM\|1\|D)|(kpr)|(kdp)|(\|lc)|(penalty))" /e /r /s</v>
      </c>
      <c r="AG92" s="1" t="str">
        <f t="shared" si="36"/>
        <v>EC</v>
      </c>
      <c r="AH92" s="86" t="str">
        <f t="shared" si="38"/>
        <v>"%USERPROFILE%\Documents\GitHub\eaglep3\Utilities\RefineRTDCRunTimes.py" --tripid 179-03 --locoid 4046 --swversion DE.1.0.9.0 --startMP 204:504 --initTime 2017-03-03T13:24:05 --startdatetime 2017-03-03T13:30:16 --delay 4 --endMP 204:233312 --enddatetime 2017-03-03T14:06:02 --enforcementcount 0 &gt;&gt;C:\Users\stu\Documents\GitHub\eaglep3-reporting\EC\2017-03-03-refined-times.txt</v>
      </c>
      <c r="AI92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{"issue":{"subject":"","project_id":79,"tracker_id":40,"status_id":1,"priority_id":2,"assigned_to_id":23,"start_date":"2017-03-03","description":"","custom_fields":[{"id":1,"name":"Subdivision","value":"EC"},{"id":4,"name":"Milepost","value":"23.3312"},{"id":17,"name":"Train ID","value":"179-03"},{"id":16,"name":"Locomotive ID","value":"4046"},{"id":130,"name":"Impact","value":""},{"id":150,"name":"Time of Event (Mountain Time)","value":"14:06:02"},{"id":151,"name":"Denver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0"/>
        <v>start /low /b %USERPROFILE%\Documents\GitHub\eaglep3\Utilities\DownloadLogsFromS3.py --loco 4046 --day 2017-03-03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"%USERPROFILE%\AppData\Local\Temp\OnboardLogs"\RTDC4046\*4046*20170303* | grep -SE "(Enforcement Action)|(\[TIMEOUT)|(CHR.+\|PRM\|1\|D.+(SWITCH|SIGNAL).+UNKNOWN)" - &gt;&gt; 2017-03-03-UncaughtWiMAX.txt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717</v>
      </c>
      <c r="B93" s="7">
        <v>4045</v>
      </c>
      <c r="C93" s="21" t="s">
        <v>251</v>
      </c>
      <c r="D93" s="21" t="s">
        <v>253</v>
      </c>
      <c r="E93" s="13">
        <v>42797.597141203703</v>
      </c>
      <c r="F93" s="13">
        <v>42797.601631944446</v>
      </c>
      <c r="G93" s="7">
        <v>1</v>
      </c>
      <c r="H93" s="21" t="s">
        <v>194</v>
      </c>
      <c r="I93" s="13">
        <v>42797.63013888889</v>
      </c>
      <c r="J93" s="7">
        <v>0</v>
      </c>
      <c r="K93" s="98" t="str">
        <f t="shared" si="25"/>
        <v>4045/4046</v>
      </c>
      <c r="L93" s="21" t="str">
        <f>VLOOKUP(A93,'Trips&amp;Operators'!$C$1:$G$99999,5,FALSE)</f>
        <v>BRUDER RICHARD</v>
      </c>
      <c r="M93" s="6">
        <f t="shared" si="26"/>
        <v>2.8506944443506654E-2</v>
      </c>
      <c r="N93" s="7">
        <f t="shared" si="41"/>
        <v>41.049999998649582</v>
      </c>
      <c r="O93" s="7"/>
      <c r="P93" s="7"/>
      <c r="Q93" s="22"/>
      <c r="R93" s="22"/>
      <c r="S93" s="31">
        <f t="shared" si="37"/>
        <v>1</v>
      </c>
      <c r="T93" s="46" t="str">
        <f t="shared" si="27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8"/>
        <v>https://d0f6bd738d7f1b3e5a7ca70fe4ff75f0.us-east-1.aws.found.io/app/kibana#/discover/Steve-Slow-Train-Analysis-(2080s-and-2083s)?_g=(refreshInterval:(display:Off,pause:!f,section:0,value:0),time:(from:'2017-03-03T13:19:53-0700',mode:absolute,to:'2017-03-03T16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3" s="197" t="str">
        <f t="shared" si="29"/>
        <v>N</v>
      </c>
      <c r="X93" s="197">
        <f t="shared" si="30"/>
        <v>1</v>
      </c>
      <c r="Y93" s="62">
        <f t="shared" si="21"/>
        <v>23.299399999999999</v>
      </c>
      <c r="Z93" s="62">
        <f t="shared" si="31"/>
        <v>1.4999999999999999E-2</v>
      </c>
      <c r="AA93" s="62">
        <f t="shared" si="32"/>
        <v>23.284399999999998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3"/>
        <v>0180-03</v>
      </c>
      <c r="AE93" s="85" t="str">
        <f t="shared" si="34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93" s="82" t="str">
        <f t="shared" si="35"/>
        <v>"C:\Program Files (x86)\AstroGrep\AstroGrep.exe" /spath="%USERPROFILE%\AppData\Local\Temp\OnboardLogs" /stypes="app*4045*20170303*" /stext=" 22:.+((SYSTEM_STATE.+slice.+state.+changed )|(ment ac)|(multiple cpu faults)|(system.+state.+changed )|(\[timeout)|(PRM\|1\|D)|(kpr)|(kdp)|(\|lc)|(penalty))" /e /r /s</v>
      </c>
      <c r="AG93" s="1" t="str">
        <f t="shared" si="36"/>
        <v>EC</v>
      </c>
      <c r="AH93" s="86" t="str">
        <f t="shared" si="38"/>
        <v>"%USERPROFILE%\Documents\GitHub\eaglep3\Utilities\RefineRTDCRunTimes.py" --tripid 180-03 --locoid 4045 --swversion DE.1.0.9.0 --startMP 204:232994 --initTime 2017-03-03T14:19:53 --startdatetime 2017-03-03T14:26:21 --delay 1 --endMP 204:150 --enddatetime 2017-03-03T15:07:24 --enforcementcount 0 &gt;&gt;C:\Users\stu\Documents\GitHub\eaglep3-reporting\EC\2017-03-03-refined-times.txt</v>
      </c>
      <c r="AI93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{"issue":{"subject":"","project_id":79,"tracker_id":40,"status_id":1,"priority_id":2,"assigned_to_id":23,"start_date":"2017-03-03","description":"","custom_fields":[{"id":1,"name":"Subdivision","value":"EC"},{"id":4,"name":"Milepost","value":"0.015"},{"id":17,"name":"Train ID","value":"180-03"},{"id":16,"name":"Locomotive ID","value":"4045"},{"id":130,"name":"Impact","value":""},{"id":150,"name":"Time of Event (Mountain Time)","value":"15:07:24"},{"id":151,"name":"Denver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0"/>
        <v>start /low /b %USERPROFILE%\Documents\GitHub\eaglep3\Utilities\DownloadLogsFromS3.py --loco 4045 --day 2017-03-03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"%USERPROFILE%\AppData\Local\Temp\OnboardLogs"\RTDC4045\*4045*20170303* | grep -SE "(Enforcement Action)|(\[TIMEOUT)|(CHR.+\|PRM\|1\|D.+(SWITCH|SIGNAL).+UNKNOWN)" - &gt;&gt; 2017-03-03-UncaughtWiMAX.txt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713</v>
      </c>
      <c r="B94" s="7">
        <v>4027</v>
      </c>
      <c r="C94" s="21" t="s">
        <v>251</v>
      </c>
      <c r="D94" s="21" t="s">
        <v>246</v>
      </c>
      <c r="E94" s="13">
        <v>42797.570115740738</v>
      </c>
      <c r="F94" s="13">
        <v>42797.573449074072</v>
      </c>
      <c r="G94" s="7">
        <v>1</v>
      </c>
      <c r="H94" s="21" t="s">
        <v>534</v>
      </c>
      <c r="I94" s="13">
        <v>42797.598113425927</v>
      </c>
      <c r="J94" s="7">
        <v>0</v>
      </c>
      <c r="K94" s="98" t="str">
        <f t="shared" si="25"/>
        <v>4027/4028</v>
      </c>
      <c r="L94" s="21" t="str">
        <f>VLOOKUP(A94,'Trips&amp;Operators'!$C$1:$G$99999,5,FALSE)</f>
        <v>HELVIE ADAM</v>
      </c>
      <c r="M94" s="6">
        <f t="shared" si="26"/>
        <v>2.4664351854880806E-2</v>
      </c>
      <c r="N94" s="7">
        <f t="shared" si="41"/>
        <v>35.516666671028361</v>
      </c>
      <c r="O94" s="7"/>
      <c r="P94" s="7"/>
      <c r="Q94" s="22"/>
      <c r="R94" s="22"/>
      <c r="S94" s="31">
        <f t="shared" si="37"/>
        <v>1</v>
      </c>
      <c r="T94" s="46" t="str">
        <f t="shared" si="27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8"/>
        <v>https://d0f6bd738d7f1b3e5a7ca70fe4ff75f0.us-east-1.aws.found.io/app/kibana#/discover/Steve-Slow-Train-Analysis-(2080s-and-2083s)?_g=(refreshInterval:(display:Off,pause:!f,section:0,value:0),time:(from:'2017-03-03T12:40:58-0700',mode:absolute,to:'2017-03-03T15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4" s="197" t="str">
        <f t="shared" si="29"/>
        <v>N</v>
      </c>
      <c r="X94" s="197">
        <f t="shared" si="30"/>
        <v>1</v>
      </c>
      <c r="Y94" s="62">
        <f t="shared" si="21"/>
        <v>4.6600000000000003E-2</v>
      </c>
      <c r="Z94" s="62">
        <f t="shared" si="31"/>
        <v>23.330500000000001</v>
      </c>
      <c r="AA94" s="62">
        <f t="shared" si="32"/>
        <v>23.283899999999999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3"/>
        <v>0181-03</v>
      </c>
      <c r="AE94" s="85" t="str">
        <f t="shared" si="34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94" s="82" t="str">
        <f t="shared" si="35"/>
        <v>"C:\Program Files (x86)\AstroGrep\AstroGrep.exe" /spath="%USERPROFILE%\AppData\Local\Temp\OnboardLogs" /stypes="app*4027*20170303*" /stext=" 21:.+((SYSTEM_STATE.+slice.+state.+changed )|(ment ac)|(multiple cpu faults)|(system.+state.+changed )|(\[timeout)|(PRM\|1\|D)|(kpr)|(kdp)|(\|lc)|(penalty))" /e /r /s</v>
      </c>
      <c r="AG94" s="1" t="str">
        <f t="shared" si="36"/>
        <v>EC</v>
      </c>
      <c r="AH94" s="86" t="str">
        <f t="shared" si="38"/>
        <v>"%USERPROFILE%\Documents\GitHub\eaglep3\Utilities\RefineRTDCRunTimes.py" --tripid 181-03 --locoid 4027 --swversion DE.1.0.9.0 --startMP 204:466 --initTime 2017-03-03T13:40:58 --startdatetime 2017-03-03T13:45:46 --delay 1 --endMP 204:233305 --enddatetime 2017-03-03T14:21:17 --enforcementcount 0 &gt;&gt;C:\Users\stu\Documents\GitHub\eaglep3-reporting\EC\2017-03-03-refined-times.txt</v>
      </c>
      <c r="AI94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{"issue":{"subject":"","project_id":79,"tracker_id":40,"status_id":1,"priority_id":2,"assigned_to_id":23,"start_date":"2017-03-03","description":"","custom_fields":[{"id":1,"name":"Subdivision","value":"EC"},{"id":4,"name":"Milepost","value":"23.3305"},{"id":17,"name":"Train ID","value":"181-03"},{"id":16,"name":"Locomotive ID","value":"4027"},{"id":130,"name":"Impact","value":""},{"id":150,"name":"Time of Event (Mountain Time)","value":"14:21:17"},{"id":151,"name":"Denver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0"/>
        <v>start /low /b %USERPROFILE%\Documents\GitHub\eaglep3\Utilities\DownloadLogsFromS3.py --loco 4027 --day 2017-03-03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"%USERPROFILE%\AppData\Local\Temp\OnboardLogs"\RTDC4027\*4027*20170303* | grep -SE "(Enforcement Action)|(\[TIMEOUT)|(CHR.+\|PRM\|1\|D.+(SWITCH|SIGNAL).+UNKNOWN)" - &gt;&gt; 2017-03-03-UncaughtWiMAX.txt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593</v>
      </c>
      <c r="B95" s="7">
        <v>4028</v>
      </c>
      <c r="C95" s="21" t="s">
        <v>251</v>
      </c>
      <c r="D95" s="21" t="s">
        <v>525</v>
      </c>
      <c r="E95" s="13">
        <v>42797.608784722222</v>
      </c>
      <c r="F95" s="13">
        <v>42797.612175925926</v>
      </c>
      <c r="G95" s="7">
        <v>1</v>
      </c>
      <c r="H95" s="21" t="s">
        <v>205</v>
      </c>
      <c r="I95" s="13">
        <v>42797.641111111108</v>
      </c>
      <c r="J95" s="7">
        <v>0</v>
      </c>
      <c r="K95" s="98" t="str">
        <f t="shared" si="25"/>
        <v>4027/4028</v>
      </c>
      <c r="L95" s="21" t="str">
        <f>VLOOKUP(A95,'Trips&amp;Operators'!$C$1:$G$99999,5,FALSE)</f>
        <v>HELVIE ADAM</v>
      </c>
      <c r="M95" s="6">
        <f t="shared" si="26"/>
        <v>2.8935185182490386E-2</v>
      </c>
      <c r="N95" s="7">
        <f t="shared" si="41"/>
        <v>41.666666662786156</v>
      </c>
      <c r="O95" s="7"/>
      <c r="P95" s="7"/>
      <c r="Q95" s="22"/>
      <c r="R95" s="22"/>
      <c r="S95" s="31">
        <f t="shared" si="37"/>
        <v>1</v>
      </c>
      <c r="T95" s="46" t="str">
        <f t="shared" si="27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8"/>
        <v>https://d0f6bd738d7f1b3e5a7ca70fe4ff75f0.us-east-1.aws.found.io/app/kibana#/discover/Steve-Slow-Train-Analysis-(2080s-and-2083s)?_g=(refreshInterval:(display:Off,pause:!f,section:0,value:0),time:(from:'2017-03-03T13:36:39-0700',mode:absolute,to:'2017-03-03T16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7" t="str">
        <f t="shared" si="29"/>
        <v>N</v>
      </c>
      <c r="X95" s="197">
        <f t="shared" si="30"/>
        <v>1</v>
      </c>
      <c r="Y95" s="62">
        <f t="shared" si="21"/>
        <v>23.298200000000001</v>
      </c>
      <c r="Z95" s="62">
        <f t="shared" si="31"/>
        <v>1.5800000000000002E-2</v>
      </c>
      <c r="AA95" s="62">
        <f t="shared" si="32"/>
        <v>23.282400000000003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3"/>
        <v>0182-03</v>
      </c>
      <c r="AE95" s="85" t="str">
        <f t="shared" si="34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95" s="82" t="str">
        <f t="shared" si="35"/>
        <v>"C:\Program Files (x86)\AstroGrep\AstroGrep.exe" /spath="%USERPROFILE%\AppData\Local\Temp\OnboardLogs" /stypes="app*4028*20170303*" /stext=" 22:.+((SYSTEM_STATE.+slice.+state.+changed )|(ment ac)|(multiple cpu faults)|(system.+state.+changed )|(\[timeout)|(PRM\|1\|D)|(kpr)|(kdp)|(\|lc)|(penalty))" /e /r /s</v>
      </c>
      <c r="AG95" s="1" t="str">
        <f t="shared" si="36"/>
        <v>EC</v>
      </c>
      <c r="AH95" s="86" t="str">
        <f t="shared" si="38"/>
        <v>"%USERPROFILE%\Documents\GitHub\eaglep3\Utilities\RefineRTDCRunTimes.py" --tripid 182-03 --locoid 4028 --swversion DE.1.0.9.0 --startMP 204:232982 --initTime 2017-03-03T14:36:39 --startdatetime 2017-03-03T14:41:32 --delay 1 --endMP 204:158 --enddatetime 2017-03-03T15:23:12 --enforcementcount 0 &gt;&gt;C:\Users\stu\Documents\GitHub\eaglep3-reporting\EC\2017-03-03-refined-times.txt</v>
      </c>
      <c r="AI95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{"issue":{"subject":"","project_id":79,"tracker_id":40,"status_id":1,"priority_id":2,"assigned_to_id":23,"start_date":"2017-03-03","description":"","custom_fields":[{"id":1,"name":"Subdivision","value":"EC"},{"id":4,"name":"Milepost","value":"0.0158"},{"id":17,"name":"Train ID","value":"182-03"},{"id":16,"name":"Locomotive ID","value":"4028"},{"id":130,"name":"Impact","value":""},{"id":150,"name":"Time of Event (Mountain Time)","value":"15:23:12"},{"id":151,"name":"Denver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0"/>
        <v>start /low /b %USERPROFILE%\Documents\GitHub\eaglep3\Utilities\DownloadLogsFromS3.py --loco 4028 --day 2017-03-03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"%USERPROFILE%\AppData\Local\Temp\OnboardLogs"\RTDC4028\*4028*20170303* | grep -SE "(Enforcement Action)|(\[TIMEOUT)|(CHR.+\|PRM\|1\|D.+(SWITCH|SIGNAL).+UNKNOWN)" - &gt;&gt; 2017-03-03-UncaughtWiMAX.txt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714</v>
      </c>
      <c r="B96" s="7">
        <v>4053</v>
      </c>
      <c r="C96" s="21" t="s">
        <v>251</v>
      </c>
      <c r="D96" s="21" t="s">
        <v>220</v>
      </c>
      <c r="E96" s="13">
        <v>42797.58085648148</v>
      </c>
      <c r="F96" s="13">
        <v>42797.583738425928</v>
      </c>
      <c r="G96" s="7">
        <v>1</v>
      </c>
      <c r="H96" s="21" t="s">
        <v>275</v>
      </c>
      <c r="I96" s="13">
        <v>42797.610451388886</v>
      </c>
      <c r="J96" s="7">
        <v>0</v>
      </c>
      <c r="K96" s="98" t="str">
        <f t="shared" si="25"/>
        <v>4053/4054</v>
      </c>
      <c r="L96" s="21" t="str">
        <f>VLOOKUP(A96,'Trips&amp;Operators'!$C$1:$G$99999,5,FALSE)</f>
        <v>KILLION DAVID</v>
      </c>
      <c r="M96" s="6">
        <f t="shared" si="26"/>
        <v>2.6712962957390118E-2</v>
      </c>
      <c r="N96" s="7">
        <f t="shared" si="41"/>
        <v>38.46666665864177</v>
      </c>
      <c r="O96" s="7"/>
      <c r="P96" s="7"/>
      <c r="Q96" s="22"/>
      <c r="R96" s="22"/>
      <c r="S96" s="31">
        <f t="shared" si="37"/>
        <v>1</v>
      </c>
      <c r="T96" s="46" t="str">
        <f t="shared" si="27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8"/>
        <v>https://d0f6bd738d7f1b3e5a7ca70fe4ff75f0.us-east-1.aws.found.io/app/kibana#/discover/Steve-Slow-Train-Analysis-(2080s-and-2083s)?_g=(refreshInterval:(display:Off,pause:!f,section:0,value:0),time:(from:'2017-03-03T12:56:26-0700',mode:absolute,to:'2017-03-03T15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197" t="str">
        <f t="shared" si="29"/>
        <v>N</v>
      </c>
      <c r="X96" s="197">
        <f t="shared" si="30"/>
        <v>1</v>
      </c>
      <c r="Y96" s="62">
        <f t="shared" si="21"/>
        <v>4.5699999999999998E-2</v>
      </c>
      <c r="Z96" s="62">
        <f t="shared" si="31"/>
        <v>23.3308</v>
      </c>
      <c r="AA96" s="62">
        <f t="shared" si="32"/>
        <v>23.2851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3"/>
        <v>0183-03</v>
      </c>
      <c r="AE96" s="85" t="str">
        <f t="shared" si="34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96" s="82" t="str">
        <f t="shared" si="35"/>
        <v>"C:\Program Files (x86)\AstroGrep\AstroGrep.exe" /spath="%USERPROFILE%\AppData\Local\Temp\OnboardLogs" /stypes="app*4053*20170303*" /stext=" 21:.+((SYSTEM_STATE.+slice.+state.+changed )|(ment ac)|(multiple cpu faults)|(system.+state.+changed )|(\[timeout)|(PRM\|1\|D)|(kpr)|(kdp)|(\|lc)|(penalty))" /e /r /s</v>
      </c>
      <c r="AG96" s="1" t="str">
        <f t="shared" si="36"/>
        <v>EC</v>
      </c>
      <c r="AH96" s="86" t="str">
        <f t="shared" si="38"/>
        <v>"%USERPROFILE%\Documents\GitHub\eaglep3\Utilities\RefineRTDCRunTimes.py" --tripid 183-03 --locoid 4053 --swversion DE.1.0.9.0 --startMP 204:457 --initTime 2017-03-03T13:56:26 --startdatetime 2017-03-03T14:00:35 --delay 1 --endMP 204:233308 --enddatetime 2017-03-03T14:39:03 --enforcementcount 0 &gt;&gt;C:\Users\stu\Documents\GitHub\eaglep3-reporting\EC\2017-03-03-refined-times.txt</v>
      </c>
      <c r="AI96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{"issue":{"subject":"","project_id":79,"tracker_id":40,"status_id":1,"priority_id":2,"assigned_to_id":23,"start_date":"2017-03-03","description":"","custom_fields":[{"id":1,"name":"Subdivision","value":"EC"},{"id":4,"name":"Milepost","value":"23.3308"},{"id":17,"name":"Train ID","value":"183-03"},{"id":16,"name":"Locomotive ID","value":"4053"},{"id":130,"name":"Impact","value":""},{"id":150,"name":"Time of Event (Mountain Time)","value":"14:39:03"},{"id":151,"name":"Denver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0"/>
        <v>start /low /b %USERPROFILE%\Documents\GitHub\eaglep3\Utilities\DownloadLogsFromS3.py --loco 4053 --day 2017-03-03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"%USERPROFILE%\AppData\Local\Temp\OnboardLogs"\RTDC4053\*4053*20170303* | grep -SE "(Enforcement Action)|(\[TIMEOUT)|(CHR.+\|PRM\|1\|D.+(SWITCH|SIGNAL).+UNKNOWN)" - &gt;&gt; 2017-03-03-UncaughtWiMAX.txt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721</v>
      </c>
      <c r="B97" s="7">
        <v>4054</v>
      </c>
      <c r="C97" s="21" t="s">
        <v>251</v>
      </c>
      <c r="D97" s="21" t="s">
        <v>257</v>
      </c>
      <c r="E97" s="13">
        <v>42797.615752314814</v>
      </c>
      <c r="F97" s="13">
        <v>42797.622453703705</v>
      </c>
      <c r="G97" s="7">
        <v>1</v>
      </c>
      <c r="H97" s="21" t="s">
        <v>260</v>
      </c>
      <c r="I97" s="13">
        <v>42797.651053240741</v>
      </c>
      <c r="J97" s="7">
        <v>0</v>
      </c>
      <c r="K97" s="98" t="str">
        <f t="shared" si="25"/>
        <v>4053/4054</v>
      </c>
      <c r="L97" s="21" t="str">
        <f>VLOOKUP(A97,'Trips&amp;Operators'!$C$1:$G$99999,5,FALSE)</f>
        <v>KILLION DAVID</v>
      </c>
      <c r="M97" s="6">
        <f t="shared" si="26"/>
        <v>2.8599537035916001E-2</v>
      </c>
      <c r="N97" s="7">
        <f t="shared" si="41"/>
        <v>41.183333331719041</v>
      </c>
      <c r="O97" s="7"/>
      <c r="P97" s="7"/>
      <c r="Q97" s="22"/>
      <c r="R97" s="22"/>
      <c r="S97" s="31">
        <f t="shared" si="37"/>
        <v>1</v>
      </c>
      <c r="T97" s="46" t="str">
        <f t="shared" si="27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8"/>
        <v>https://d0f6bd738d7f1b3e5a7ca70fe4ff75f0.us-east-1.aws.found.io/app/kibana#/discover/Steve-Slow-Train-Analysis-(2080s-and-2083s)?_g=(refreshInterval:(display:Off,pause:!f,section:0,value:0),time:(from:'2017-03-03T13:46:41-0700',mode:absolute,to:'2017-03-03T16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197" t="str">
        <f t="shared" si="29"/>
        <v>N</v>
      </c>
      <c r="X97" s="197">
        <f t="shared" si="30"/>
        <v>1</v>
      </c>
      <c r="Y97" s="62">
        <f t="shared" ref="Y97:Y160" si="42">RIGHT(D97,LEN(D97)-4)/10000</f>
        <v>23.2987</v>
      </c>
      <c r="Z97" s="62">
        <f t="shared" si="31"/>
        <v>1.6500000000000001E-2</v>
      </c>
      <c r="AA97" s="62">
        <f t="shared" si="32"/>
        <v>23.2822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3"/>
        <v>0184-03</v>
      </c>
      <c r="AE97" s="85" t="str">
        <f t="shared" si="34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97" s="82" t="str">
        <f t="shared" si="35"/>
        <v>"C:\Program Files (x86)\AstroGrep\AstroGrep.exe" /spath="%USERPROFILE%\AppData\Local\Temp\OnboardLogs" /stypes="app*4054*20170303*" /stext=" 22:.+((SYSTEM_STATE.+slice.+state.+changed )|(ment ac)|(multiple cpu faults)|(system.+state.+changed )|(\[timeout)|(PRM\|1\|D)|(kpr)|(kdp)|(\|lc)|(penalty))" /e /r /s</v>
      </c>
      <c r="AG97" s="1" t="str">
        <f t="shared" si="36"/>
        <v>EC</v>
      </c>
      <c r="AH97" s="86" t="str">
        <f t="shared" si="38"/>
        <v>"%USERPROFILE%\Documents\GitHub\eaglep3\Utilities\RefineRTDCRunTimes.py" --tripid 184-03 --locoid 4054 --swversion DE.1.0.9.0 --startMP 204:232987 --initTime 2017-03-03T14:46:41 --startdatetime 2017-03-03T14:56:20 --delay 1 --endMP 204:165 --enddatetime 2017-03-03T15:37:31 --enforcementcount 0 &gt;&gt;C:\Users\stu\Documents\GitHub\eaglep3-reporting\EC\2017-03-03-refined-times.txt</v>
      </c>
      <c r="AI97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{"issue":{"subject":"","project_id":79,"tracker_id":40,"status_id":1,"priority_id":2,"assigned_to_id":23,"start_date":"2017-03-03","description":"","custom_fields":[{"id":1,"name":"Subdivision","value":"EC"},{"id":4,"name":"Milepost","value":"0.0165"},{"id":17,"name":"Train ID","value":"184-03"},{"id":16,"name":"Locomotive ID","value":"4054"},{"id":130,"name":"Impact","value":""},{"id":150,"name":"Time of Event (Mountain Time)","value":"15:37:31"},{"id":151,"name":"Denver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0"/>
        <v>start /low /b %USERPROFILE%\Documents\GitHub\eaglep3\Utilities\DownloadLogsFromS3.py --loco 4054 --day 2017-03-03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"%USERPROFILE%\AppData\Local\Temp\OnboardLogs"\RTDC4054\*4054*20170303* | grep -SE "(Enforcement Action)|(\[TIMEOUT)|(CHR.+\|PRM\|1\|D.+(SWITCH|SIGNAL).+UNKNOWN)" - &gt;&gt; 2017-03-03-UncaughtWiMAX.txt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716</v>
      </c>
      <c r="B98" s="7">
        <v>4029</v>
      </c>
      <c r="C98" s="21" t="s">
        <v>251</v>
      </c>
      <c r="D98" s="21" t="s">
        <v>861</v>
      </c>
      <c r="E98" s="13">
        <v>42797.591898148145</v>
      </c>
      <c r="F98" s="13">
        <v>42797.5940162037</v>
      </c>
      <c r="G98" s="7">
        <v>1</v>
      </c>
      <c r="H98" s="21" t="s">
        <v>862</v>
      </c>
      <c r="I98" s="13">
        <v>42797.619120370371</v>
      </c>
      <c r="J98" s="7">
        <v>0</v>
      </c>
      <c r="K98" s="98" t="str">
        <f t="shared" si="25"/>
        <v>4029/4030</v>
      </c>
      <c r="L98" s="21" t="str">
        <f>VLOOKUP(A98,'Trips&amp;Operators'!$C$1:$G$99999,5,FALSE)</f>
        <v>WHITED DUSTIN</v>
      </c>
      <c r="M98" s="6">
        <f t="shared" si="26"/>
        <v>2.510416667064419E-2</v>
      </c>
      <c r="N98" s="7">
        <f t="shared" si="41"/>
        <v>36.150000005727634</v>
      </c>
      <c r="O98" s="7"/>
      <c r="P98" s="7"/>
      <c r="Q98" s="22"/>
      <c r="R98" s="22"/>
      <c r="S98" s="31">
        <f t="shared" si="37"/>
        <v>1</v>
      </c>
      <c r="T98" s="46" t="str">
        <f t="shared" si="27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8"/>
        <v>https://d0f6bd738d7f1b3e5a7ca70fe4ff75f0.us-east-1.aws.found.io/app/kibana#/discover/Steve-Slow-Train-Analysis-(2080s-and-2083s)?_g=(refreshInterval:(display:Off,pause:!f,section:0,value:0),time:(from:'2017-03-03T13:12:20-0700',mode:absolute,to:'2017-03-03T15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97" t="str">
        <f t="shared" si="29"/>
        <v>N</v>
      </c>
      <c r="X98" s="197">
        <f t="shared" si="30"/>
        <v>1</v>
      </c>
      <c r="Y98" s="62">
        <f t="shared" si="42"/>
        <v>4.2700000000000002E-2</v>
      </c>
      <c r="Z98" s="62">
        <f t="shared" si="31"/>
        <v>23.3353</v>
      </c>
      <c r="AA98" s="62">
        <f t="shared" si="32"/>
        <v>23.2926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3"/>
        <v>0185-03</v>
      </c>
      <c r="AE98" s="85" t="str">
        <f t="shared" si="34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98" s="82" t="str">
        <f t="shared" si="35"/>
        <v>"C:\Program Files (x86)\AstroGrep\AstroGrep.exe" /spath="%USERPROFILE%\AppData\Local\Temp\OnboardLogs" /stypes="app*4029*20170303*" /stext=" 21:.+((SYSTEM_STATE.+slice.+state.+changed )|(ment ac)|(multiple cpu faults)|(system.+state.+changed )|(\[timeout)|(PRM\|1\|D)|(kpr)|(kdp)|(\|lc)|(penalty))" /e /r /s</v>
      </c>
      <c r="AG98" s="1" t="str">
        <f t="shared" si="36"/>
        <v>EC</v>
      </c>
      <c r="AH98" s="86" t="str">
        <f t="shared" si="38"/>
        <v>"%USERPROFILE%\Documents\GitHub\eaglep3\Utilities\RefineRTDCRunTimes.py" --tripid 185-03 --locoid 4029 --swversion DE.1.0.9.0 --startMP 204:427 --initTime 2017-03-03T14:12:20 --startdatetime 2017-03-03T14:15:23 --delay 1 --endMP 204:233353 --enddatetime 2017-03-03T14:51:32 --enforcementcount 0 &gt;&gt;C:\Users\stu\Documents\GitHub\eaglep3-reporting\EC\2017-03-03-refined-times.txt</v>
      </c>
      <c r="AI98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{"issue":{"subject":"","project_id":79,"tracker_id":40,"status_id":1,"priority_id":2,"assigned_to_id":23,"start_date":"2017-03-03","description":"","custom_fields":[{"id":1,"name":"Subdivision","value":"EC"},{"id":4,"name":"Milepost","value":"23.3353"},{"id":17,"name":"Train ID","value":"185-03"},{"id":16,"name":"Locomotive ID","value":"4029"},{"id":130,"name":"Impact","value":""},{"id":150,"name":"Time of Event (Mountain Time)","value":"14:51:32"},{"id":151,"name":"Denver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0"/>
        <v>start /low /b %USERPROFILE%\Documents\GitHub\eaglep3\Utilities\DownloadLogsFromS3.py --loco 4029 --day 2017-03-03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"%USERPROFILE%\AppData\Local\Temp\OnboardLogs"\RTDC4029\*4029*20170303* | grep -SE "(Enforcement Action)|(\[TIMEOUT)|(CHR.+\|PRM\|1\|D.+(SWITCH|SIGNAL).+UNKNOWN)" - &gt;&gt; 2017-03-03-UncaughtWiMAX.txt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722</v>
      </c>
      <c r="B99" s="7">
        <v>4030</v>
      </c>
      <c r="C99" s="21" t="s">
        <v>251</v>
      </c>
      <c r="D99" s="21" t="s">
        <v>863</v>
      </c>
      <c r="E99" s="13">
        <v>42797.626643518517</v>
      </c>
      <c r="F99" s="13">
        <v>42797.633263888885</v>
      </c>
      <c r="G99" s="7">
        <v>1</v>
      </c>
      <c r="H99" s="21" t="s">
        <v>864</v>
      </c>
      <c r="I99" s="13">
        <v>42797.660462962966</v>
      </c>
      <c r="J99" s="7">
        <v>0</v>
      </c>
      <c r="K99" s="98" t="str">
        <f t="shared" si="25"/>
        <v>4029/4030</v>
      </c>
      <c r="L99" s="21" t="str">
        <f>VLOOKUP(A99,'Trips&amp;Operators'!$C$1:$G$99999,5,FALSE)</f>
        <v>WHITED DUSTIN</v>
      </c>
      <c r="M99" s="6">
        <f t="shared" si="26"/>
        <v>2.7199074080272112E-2</v>
      </c>
      <c r="N99" s="7">
        <f t="shared" si="41"/>
        <v>39.166666675591841</v>
      </c>
      <c r="O99" s="7"/>
      <c r="P99" s="7"/>
      <c r="Q99" s="22"/>
      <c r="R99" s="22"/>
      <c r="S99" s="31">
        <f t="shared" si="37"/>
        <v>1</v>
      </c>
      <c r="T99" s="46" t="str">
        <f t="shared" si="27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8"/>
        <v>https://d0f6bd738d7f1b3e5a7ca70fe4ff75f0.us-east-1.aws.found.io/app/kibana#/discover/Steve-Slow-Train-Analysis-(2080s-and-2083s)?_g=(refreshInterval:(display:Off,pause:!f,section:0,value:0),time:(from:'2017-03-03T14:02:22-0700',mode:absolute,to:'2017-03-03T16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97" t="str">
        <f t="shared" si="29"/>
        <v>N</v>
      </c>
      <c r="X99" s="197">
        <f t="shared" si="30"/>
        <v>1</v>
      </c>
      <c r="Y99" s="62">
        <f t="shared" si="42"/>
        <v>23.303599999999999</v>
      </c>
      <c r="Z99" s="62">
        <f t="shared" si="31"/>
        <v>1.03E-2</v>
      </c>
      <c r="AA99" s="62">
        <f t="shared" si="32"/>
        <v>23.293299999999999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3"/>
        <v>0186-03</v>
      </c>
      <c r="AE99" s="85" t="str">
        <f t="shared" si="34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99" s="82" t="str">
        <f t="shared" si="35"/>
        <v>"C:\Program Files (x86)\AstroGrep\AstroGrep.exe" /spath="%USERPROFILE%\AppData\Local\Temp\OnboardLogs" /stypes="app*4030*20170303*" /stext=" 22:.+((SYSTEM_STATE.+slice.+state.+changed )|(ment ac)|(multiple cpu faults)|(system.+state.+changed )|(\[timeout)|(PRM\|1\|D)|(kpr)|(kdp)|(\|lc)|(penalty))" /e /r /s</v>
      </c>
      <c r="AG99" s="1" t="str">
        <f t="shared" si="36"/>
        <v>EC</v>
      </c>
      <c r="AH99" s="86" t="str">
        <f t="shared" si="38"/>
        <v>"%USERPROFILE%\Documents\GitHub\eaglep3\Utilities\RefineRTDCRunTimes.py" --tripid 186-03 --locoid 4030 --swversion DE.1.0.9.0 --startMP 204:233036 --initTime 2017-03-03T15:02:22 --startdatetime 2017-03-03T15:11:54 --delay 1 --endMP 204:103 --enddatetime 2017-03-03T15:51:04 --enforcementcount 0 &gt;&gt;C:\Users\stu\Documents\GitHub\eaglep3-reporting\EC\2017-03-03-refined-times.txt</v>
      </c>
      <c r="AI99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{"issue":{"subject":"","project_id":79,"tracker_id":40,"status_id":1,"priority_id":2,"assigned_to_id":23,"start_date":"2017-03-03","description":"","custom_fields":[{"id":1,"name":"Subdivision","value":"EC"},{"id":4,"name":"Milepost","value":"0.0103"},{"id":17,"name":"Train ID","value":"186-03"},{"id":16,"name":"Locomotive ID","value":"4030"},{"id":130,"name":"Impact","value":""},{"id":150,"name":"Time of Event (Mountain Time)","value":"15:51:04"},{"id":151,"name":"Denver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0"/>
        <v>start /low /b %USERPROFILE%\Documents\GitHub\eaglep3\Utilities\DownloadLogsFromS3.py --loco 4030 --day 2017-03-03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"%USERPROFILE%\AppData\Local\Temp\OnboardLogs"\RTDC4030\*4030*20170303* | grep -SE "(Enforcement Action)|(\[TIMEOUT)|(CHR.+\|PRM\|1\|D.+(SWITCH|SIGNAL).+UNKNOWN)" - &gt;&gt; 2017-03-03-UncaughtWiMAX.txt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3" t="s">
        <v>718</v>
      </c>
      <c r="B100" s="7">
        <v>4031</v>
      </c>
      <c r="C100" s="21" t="s">
        <v>251</v>
      </c>
      <c r="D100" s="21" t="s">
        <v>232</v>
      </c>
      <c r="E100" s="13">
        <v>42797.601087962961</v>
      </c>
      <c r="F100" s="13">
        <v>42797.604305555556</v>
      </c>
      <c r="G100" s="7">
        <v>1</v>
      </c>
      <c r="H100" s="21" t="s">
        <v>241</v>
      </c>
      <c r="I100" s="13">
        <v>42797.631493055553</v>
      </c>
      <c r="J100" s="7">
        <v>0</v>
      </c>
      <c r="K100" s="98" t="str">
        <f t="shared" si="25"/>
        <v>4031/4032</v>
      </c>
      <c r="L100" s="21" t="str">
        <f>VLOOKUP(A100,'Trips&amp;Operators'!$C$1:$G$99999,5,FALSE)</f>
        <v>STRICKLAND EVAN</v>
      </c>
      <c r="M100" s="6">
        <f t="shared" si="26"/>
        <v>2.7187499996216502E-2</v>
      </c>
      <c r="N100" s="7">
        <f t="shared" si="41"/>
        <v>39.149999994551763</v>
      </c>
      <c r="O100" s="7"/>
      <c r="P100" s="7"/>
      <c r="Q100" s="22"/>
      <c r="R100" s="22" t="s">
        <v>1011</v>
      </c>
      <c r="S100" s="31">
        <f t="shared" si="37"/>
        <v>1</v>
      </c>
      <c r="T100" s="46" t="str">
        <f t="shared" si="27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8"/>
        <v>https://d0f6bd738d7f1b3e5a7ca70fe4ff75f0.us-east-1.aws.found.io/app/kibana#/discover/Steve-Slow-Train-Analysis-(2080s-and-2083s)?_g=(refreshInterval:(display:Off,pause:!f,section:0,value:0),time:(from:'2017-03-03T13:25:34-0700',mode:absolute,to:'2017-03-03T16:09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97" t="str">
        <f t="shared" si="29"/>
        <v>N</v>
      </c>
      <c r="X100" s="197">
        <f t="shared" ref="X100:X105" si="43">VALUE(LEFT(AD100,4))-VALUE(LEFT(AD99,4))</f>
        <v>1</v>
      </c>
      <c r="Y100" s="62">
        <f t="shared" si="42"/>
        <v>4.5499999999999999E-2</v>
      </c>
      <c r="Z100" s="62">
        <f t="shared" si="31"/>
        <v>23.331</v>
      </c>
      <c r="AA100" s="62">
        <f t="shared" si="32"/>
        <v>23.285499999999999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3"/>
        <v>0187-03</v>
      </c>
      <c r="AE100" s="85" t="str">
        <f t="shared" si="34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100" s="82" t="str">
        <f t="shared" si="35"/>
        <v>"C:\Program Files (x86)\AstroGrep\AstroGrep.exe" /spath="%USERPROFILE%\AppData\Local\Temp\OnboardLogs" /stypes="app*4031*20170303*" /stext=" 22:.+((SYSTEM_STATE.+slice.+state.+changed )|(ment ac)|(multiple cpu faults)|(system.+state.+changed )|(\[timeout)|(PRM\|1\|D)|(kpr)|(kdp)|(\|lc)|(penalty))" /e /r /s</v>
      </c>
      <c r="AG100" s="1" t="str">
        <f t="shared" si="36"/>
        <v>EC</v>
      </c>
      <c r="AH100" s="86" t="str">
        <f t="shared" si="38"/>
        <v>"%USERPROFILE%\Documents\GitHub\eaglep3\Utilities\RefineRTDCRunTimes.py" --tripid 187-03 --locoid 4031 --swversion DE.1.0.9.0 --startMP 204:455 --initTime 2017-03-03T14:25:34 --startdatetime 2017-03-03T14:30:12 --delay 1 --endMP 204:233310 --enddatetime 2017-03-03T15:09:21 --enforcementcount 0 &gt;&gt;C:\Users\stu\Documents\GitHub\eaglep3-reporting\EC\2017-03-03-refined-times.txt</v>
      </c>
      <c r="AI100" s="108" t="str">
        <f t="shared" si="39"/>
        <v>echo {"issue":{"subject":"No evidence of penalty brake found in reported timeframe (39505)","project_id":79,"tracker_id":40,"status_id":1,"priority_id":2,"assigned_to_id":23,"start_date":"2017-03-03","description":"","custom_fields":[{"id":1,"name":"Subdivision","value":"EC"},{"id":4,"name":"Milepost","value":"23.331"},{"id":17,"name":"Train ID","value":"187-03"},{"id":16,"name":"Locomotive ID","value":"4031"},{"id":130,"name":"Impact","value":""},{"id":150,"name":"Time of Event (Mountain Time)","value":"15:09:21"},{"id":151,"name":"Denver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0"/>
        <v>start /low /b %USERPROFILE%\Documents\GitHub\eaglep3\Utilities\DownloadLogsFromS3.py --loco 4031 --day 2017-03-03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"%USERPROFILE%\AppData\Local\Temp\OnboardLogs"\RTDC4031\*4031*20170303* | grep -SE "(Enforcement Action)|(\[TIMEOUT)|(CHR.+\|PRM\|1\|D.+(SWITCH|SIGNAL).+UNKNOWN)" - &gt;&gt; 2017-03-03-UncaughtWiMAX.txt</v>
      </c>
    </row>
    <row r="101" spans="1:91" x14ac:dyDescent="0.25">
      <c r="A101" s="33" t="s">
        <v>724</v>
      </c>
      <c r="B101" s="7">
        <v>4032</v>
      </c>
      <c r="C101" s="21" t="s">
        <v>251</v>
      </c>
      <c r="D101" s="21" t="s">
        <v>253</v>
      </c>
      <c r="E101" s="13">
        <v>42797.6328587963</v>
      </c>
      <c r="F101" s="13">
        <v>42797.643379629626</v>
      </c>
      <c r="G101" s="7">
        <v>1</v>
      </c>
      <c r="H101" s="21" t="s">
        <v>240</v>
      </c>
      <c r="I101" s="13">
        <v>42797.6715625</v>
      </c>
      <c r="J101" s="7">
        <v>0</v>
      </c>
      <c r="K101" s="98" t="str">
        <f t="shared" si="25"/>
        <v>4031/4032</v>
      </c>
      <c r="L101" s="21" t="str">
        <f>VLOOKUP(A101,'Trips&amp;Operators'!$C$1:$G$99999,5,FALSE)</f>
        <v>STRICKLAND EVAN</v>
      </c>
      <c r="M101" s="6">
        <f t="shared" si="26"/>
        <v>2.8182870373711921E-2</v>
      </c>
      <c r="N101" s="7">
        <f t="shared" si="41"/>
        <v>40.583333338145167</v>
      </c>
      <c r="O101" s="7"/>
      <c r="P101" s="7"/>
      <c r="Q101" s="22"/>
      <c r="R101" s="22"/>
      <c r="S101" s="31">
        <f t="shared" si="37"/>
        <v>1</v>
      </c>
      <c r="T101" s="46" t="str">
        <f t="shared" si="27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8"/>
        <v>https://d0f6bd738d7f1b3e5a7ca70fe4ff75f0.us-east-1.aws.found.io/app/kibana#/discover/Steve-Slow-Train-Analysis-(2080s-and-2083s)?_g=(refreshInterval:(display:Off,pause:!f,section:0,value:0),time:(from:'2017-03-03T14:11:19-0700',mode:absolute,to:'2017-03-03T17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197" t="str">
        <f t="shared" si="29"/>
        <v>N</v>
      </c>
      <c r="X101" s="197">
        <f t="shared" si="43"/>
        <v>1</v>
      </c>
      <c r="Y101" s="62">
        <f t="shared" si="42"/>
        <v>23.299399999999999</v>
      </c>
      <c r="Z101" s="62">
        <f t="shared" si="31"/>
        <v>1.5599999999999999E-2</v>
      </c>
      <c r="AA101" s="62">
        <f t="shared" si="32"/>
        <v>23.283799999999999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3"/>
        <v>0188-03</v>
      </c>
      <c r="AE101" s="85" t="str">
        <f t="shared" si="34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101" s="82" t="str">
        <f t="shared" si="35"/>
        <v>"C:\Program Files (x86)\AstroGrep\AstroGrep.exe" /spath="%USERPROFILE%\AppData\Local\Temp\OnboardLogs" /stypes="app*4032*20170303*" /stext=" 23:.+((SYSTEM_STATE.+slice.+state.+changed )|(ment ac)|(multiple cpu faults)|(system.+state.+changed )|(\[timeout)|(PRM\|1\|D)|(kpr)|(kdp)|(\|lc)|(penalty))" /e /r /s</v>
      </c>
      <c r="AG101" s="1" t="str">
        <f t="shared" si="36"/>
        <v>EC</v>
      </c>
      <c r="AH101" s="86" t="str">
        <f t="shared" si="38"/>
        <v>"%USERPROFILE%\Documents\GitHub\eaglep3\Utilities\RefineRTDCRunTimes.py" --tripid 188-03 --locoid 4032 --swversion DE.1.0.9.0 --startMP 204:232994 --initTime 2017-03-03T15:11:19 --startdatetime 2017-03-03T15:26:28 --delay 1 --endMP 204:156 --enddatetime 2017-03-03T16:07:03 --enforcementcount 0 &gt;&gt;C:\Users\stu\Documents\GitHub\eaglep3-reporting\EC\2017-03-03-refined-times.txt</v>
      </c>
      <c r="AI101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{"issue":{"subject":"","project_id":79,"tracker_id":40,"status_id":1,"priority_id":2,"assigned_to_id":23,"start_date":"2017-03-03","description":"","custom_fields":[{"id":1,"name":"Subdivision","value":"EC"},{"id":4,"name":"Milepost","value":"0.0156"},{"id":17,"name":"Train ID","value":"188-03"},{"id":16,"name":"Locomotive ID","value":"4032"},{"id":130,"name":"Impact","value":""},{"id":150,"name":"Time of Event (Mountain Time)","value":"16:07:03"},{"id":151,"name":"Denver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0"/>
        <v>start /low /b %USERPROFILE%\Documents\GitHub\eaglep3\Utilities\DownloadLogsFromS3.py --loco 4032 --day 2017-03-03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"%USERPROFILE%\AppData\Local\Temp\OnboardLogs"\RTDC4032\*4032*20170303* | grep -SE "(Enforcement Action)|(\[TIMEOUT)|(CHR.+\|PRM\|1\|D.+(SWITCH|SIGNAL).+UNKNOWN)" - &gt;&gt; 2017-03-03-UncaughtWiMAX.txt</v>
      </c>
    </row>
    <row r="102" spans="1:91" s="20" customFormat="1" x14ac:dyDescent="0.25">
      <c r="A102" s="33" t="s">
        <v>720</v>
      </c>
      <c r="B102" s="7">
        <v>4011</v>
      </c>
      <c r="C102" s="21" t="s">
        <v>251</v>
      </c>
      <c r="D102" s="21" t="s">
        <v>865</v>
      </c>
      <c r="E102" s="13">
        <v>42797.611944444441</v>
      </c>
      <c r="F102" s="13">
        <v>42797.61513888889</v>
      </c>
      <c r="G102" s="7">
        <v>1</v>
      </c>
      <c r="H102" s="21" t="s">
        <v>866</v>
      </c>
      <c r="I102" s="13">
        <v>42797.639745370368</v>
      </c>
      <c r="J102" s="7">
        <v>0</v>
      </c>
      <c r="K102" s="98" t="str">
        <f t="shared" si="25"/>
        <v>4011/4012</v>
      </c>
      <c r="L102" s="21" t="str">
        <f>VLOOKUP(A102,'Trips&amp;Operators'!$C$1:$G$99999,5,FALSE)</f>
        <v>ROMERO CHAD</v>
      </c>
      <c r="M102" s="6">
        <f t="shared" si="26"/>
        <v>2.4606481478258502E-2</v>
      </c>
      <c r="N102" s="7">
        <f t="shared" si="41"/>
        <v>35.433333328692243</v>
      </c>
      <c r="O102" s="7"/>
      <c r="P102" s="7"/>
      <c r="Q102" s="22"/>
      <c r="R102" s="22"/>
      <c r="S102" s="31">
        <f t="shared" si="37"/>
        <v>1</v>
      </c>
      <c r="T102" s="46" t="str">
        <f t="shared" si="27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8"/>
        <v>https://d0f6bd738d7f1b3e5a7ca70fe4ff75f0.us-east-1.aws.found.io/app/kibana#/discover/Steve-Slow-Train-Analysis-(2080s-and-2083s)?_g=(refreshInterval:(display:Off,pause:!f,section:0,value:0),time:(from:'2017-03-03T13:41:12-0700',mode:absolute,to:'2017-03-03T16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197" t="str">
        <f t="shared" si="29"/>
        <v>N</v>
      </c>
      <c r="X102" s="197">
        <f t="shared" si="43"/>
        <v>1</v>
      </c>
      <c r="Y102" s="62">
        <f t="shared" si="42"/>
        <v>0.14710000000000001</v>
      </c>
      <c r="Z102" s="62">
        <f t="shared" si="31"/>
        <v>23.3414</v>
      </c>
      <c r="AA102" s="62">
        <f t="shared" si="32"/>
        <v>23.194299999999998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3"/>
        <v>0189-03</v>
      </c>
      <c r="AE102" s="85" t="str">
        <f t="shared" si="34"/>
        <v>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 &amp; aws s3 cp s3://rtdc.mdm.uploadarchive.raw/RTDC4011/ "%USERPROFILE%\AppData\Local\Temp\OnboardLogs"\RTDC4011\2017-03-04 --exclude "*" --recursive --include "*20170304*" &amp; "%USERPROFILE%\Documents\GitHub\mrs-test-scripts\Headless Mode &amp; Sideloading\WalkAndUnGZ.bat" "%USERPROFILE%\AppData\Local\Temp\OnboardLogs"\RTDC4011\2017-03-04</v>
      </c>
      <c r="AF102" s="82" t="str">
        <f t="shared" si="35"/>
        <v>"C:\Program Files (x86)\AstroGrep\AstroGrep.exe" /spath="%USERPROFILE%\AppData\Local\Temp\OnboardLogs" /stypes="app*4011*20170303*" /stext=" 22:.+((SYSTEM_STATE.+slice.+state.+changed )|(ment ac)|(multiple cpu faults)|(system.+state.+changed )|(\[timeout)|(PRM\|1\|D)|(kpr)|(kdp)|(\|lc)|(penalty))" /e /r /s</v>
      </c>
      <c r="AG102" s="1" t="str">
        <f t="shared" si="36"/>
        <v>EC</v>
      </c>
      <c r="AH102" s="86" t="str">
        <f t="shared" si="38"/>
        <v>"%USERPROFILE%\Documents\GitHub\eaglep3\Utilities\RefineRTDCRunTimes.py" --tripid 189-03 --locoid 4011 --swversion DE.1.0.9.0 --startMP 204:1471 --initTime 2017-03-03T14:41:12 --startdatetime 2017-03-03T14:45:48 --delay 1 --endMP 204:233414 --enddatetime 2017-03-03T15:21:14 --enforcementcount 0 &gt;&gt;C:\Users\stu\Documents\GitHub\eaglep3-reporting\EC\2017-03-03-refined-times.txt</v>
      </c>
      <c r="AI102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{"issue":{"subject":"","project_id":79,"tracker_id":40,"status_id":1,"priority_id":2,"assigned_to_id":23,"start_date":"2017-03-03","description":"","custom_fields":[{"id":1,"name":"Subdivision","value":"EC"},{"id":4,"name":"Milepost","value":"23.3414"},{"id":17,"name":"Train ID","value":"189-03"},{"id":16,"name":"Locomotive ID","value":"4011"},{"id":130,"name":"Impact","value":""},{"id":150,"name":"Time of Event (Mountain Time)","value":"15:21:14"},{"id":151,"name":"Denver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0"/>
        <v>start /low /b %USERPROFILE%\Documents\GitHub\eaglep3\Utilities\DownloadLogsFromS3.py --loco 4011 --day 2017-03-03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"%USERPROFILE%\AppData\Local\Temp\OnboardLogs"\RTDC4011\*4011*20170303* | grep -SE "(Enforcement Action)|(\[TIMEOUT)|(CHR.+\|PRM\|1\|D.+(SWITCH|SIGNAL).+UNKNOWN)" - &gt;&gt; 2017-03-03-UncaughtWiMAX.txt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727</v>
      </c>
      <c r="B103" s="7">
        <v>4012</v>
      </c>
      <c r="C103" s="21" t="s">
        <v>251</v>
      </c>
      <c r="D103" s="21" t="s">
        <v>867</v>
      </c>
      <c r="E103" s="13">
        <v>42797.64634259259</v>
      </c>
      <c r="F103" s="13">
        <v>42797.653645833336</v>
      </c>
      <c r="G103" s="7">
        <v>1</v>
      </c>
      <c r="H103" s="21" t="s">
        <v>295</v>
      </c>
      <c r="I103" s="13">
        <v>42797.680856481478</v>
      </c>
      <c r="J103" s="7">
        <v>0</v>
      </c>
      <c r="K103" s="98" t="str">
        <f t="shared" si="25"/>
        <v>4011/4012</v>
      </c>
      <c r="L103" s="21" t="str">
        <f>VLOOKUP(A103,'Trips&amp;Operators'!$C$1:$G$99999,5,FALSE)</f>
        <v>DELGADO DIANAH</v>
      </c>
      <c r="M103" s="6">
        <f t="shared" si="26"/>
        <v>2.7210648142499849E-2</v>
      </c>
      <c r="N103" s="7">
        <f t="shared" si="41"/>
        <v>39.183333325199783</v>
      </c>
      <c r="O103" s="7"/>
      <c r="P103" s="7"/>
      <c r="Q103" s="22"/>
      <c r="R103" s="22"/>
      <c r="S103" s="31">
        <f t="shared" si="37"/>
        <v>1</v>
      </c>
      <c r="T103" s="46" t="str">
        <f t="shared" si="27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8"/>
        <v>https://d0f6bd738d7f1b3e5a7ca70fe4ff75f0.us-east-1.aws.found.io/app/kibana#/discover/Steve-Slow-Train-Analysis-(2080s-and-2083s)?_g=(refreshInterval:(display:Off,pause:!f,section:0,value:0),time:(from:'2017-03-03T14:30:44-0700',mode:absolute,to:'2017-03-03T17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197" t="str">
        <f t="shared" si="29"/>
        <v>N</v>
      </c>
      <c r="X103" s="197">
        <f t="shared" si="43"/>
        <v>1</v>
      </c>
      <c r="Y103" s="62">
        <f t="shared" si="42"/>
        <v>23.308199999999999</v>
      </c>
      <c r="Z103" s="62">
        <f t="shared" si="31"/>
        <v>1.34E-2</v>
      </c>
      <c r="AA103" s="62">
        <f t="shared" si="32"/>
        <v>23.294799999999999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3"/>
        <v>0190-03</v>
      </c>
      <c r="AE103" s="85" t="str">
        <f t="shared" si="34"/>
        <v>aws s3 cp s3://rtdc.mdm.uploadarchive.raw/RTDC4012/ "%USERPROFILE%\AppData\Local\Temp\OnboardLogs"\RTDC4012\2017-03-03 --exclude "*" --recursive --include "*20170303*" &amp; "%USERPROFILE%\Documents\GitHub\mrs-test-scripts\Headless Mode &amp; Sideloading\WalkAndUnGZ.bat" "%USERPROFILE%\AppData\Local\Temp\OnboardLogs"\RTDC4012\2017-03-03 &amp; 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</v>
      </c>
      <c r="AF103" s="82" t="str">
        <f t="shared" si="35"/>
        <v>"C:\Program Files (x86)\AstroGrep\AstroGrep.exe" /spath="%USERPROFILE%\AppData\Local\Temp\OnboardLogs" /stypes="app*4012*20170303*" /stext=" 23:.+((SYSTEM_STATE.+slice.+state.+changed )|(ment ac)|(multiple cpu faults)|(system.+state.+changed )|(\[timeout)|(PRM\|1\|D)|(kpr)|(kdp)|(\|lc)|(penalty))" /e /r /s</v>
      </c>
      <c r="AG103" s="1" t="str">
        <f t="shared" si="36"/>
        <v>EC</v>
      </c>
      <c r="AH103" s="86" t="str">
        <f t="shared" si="38"/>
        <v>"%USERPROFILE%\Documents\GitHub\eaglep3\Utilities\RefineRTDCRunTimes.py" --tripid 190-03 --locoid 4012 --swversion DE.1.0.9.0 --startMP 204:233082 --initTime 2017-03-03T15:30:44 --startdatetime 2017-03-03T15:41:15 --delay 1 --endMP 204:134 --enddatetime 2017-03-03T16:20:26 --enforcementcount 0 &gt;&gt;C:\Users\stu\Documents\GitHub\eaglep3-reporting\EC\2017-03-03-refined-times.txt</v>
      </c>
      <c r="AI103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{"issue":{"subject":"","project_id":79,"tracker_id":40,"status_id":1,"priority_id":2,"assigned_to_id":23,"start_date":"2017-03-03","description":"","custom_fields":[{"id":1,"name":"Subdivision","value":"EC"},{"id":4,"name":"Milepost","value":"0.0134"},{"id":17,"name":"Train ID","value":"190-03"},{"id":16,"name":"Locomotive ID","value":"4012"},{"id":130,"name":"Impact","value":""},{"id":150,"name":"Time of Event (Mountain Time)","value":"16:20:26"},{"id":151,"name":"Denver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0"/>
        <v>start /low /b %USERPROFILE%\Documents\GitHub\eaglep3\Utilities\DownloadLogsFromS3.py --loco 4012 --day 2017-03-03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"%USERPROFILE%\AppData\Local\Temp\OnboardLogs"\RTDC4012\*4012*20170303* | grep -SE "(Enforcement Action)|(\[TIMEOUT)|(CHR.+\|PRM\|1\|D.+(SWITCH|SIGNAL).+UNKNOWN)" - &gt;&gt; 2017-03-03-UncaughtWiMAX.txt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594</v>
      </c>
      <c r="B104" s="7">
        <v>4051</v>
      </c>
      <c r="C104" s="21" t="s">
        <v>251</v>
      </c>
      <c r="D104" s="21" t="s">
        <v>868</v>
      </c>
      <c r="E104" s="13">
        <v>42797.622615740744</v>
      </c>
      <c r="F104" s="13">
        <v>42797.625150462962</v>
      </c>
      <c r="G104" s="7">
        <v>1</v>
      </c>
      <c r="H104" s="21" t="s">
        <v>346</v>
      </c>
      <c r="I104" s="13">
        <v>42797.653900462959</v>
      </c>
      <c r="J104" s="7">
        <v>0</v>
      </c>
      <c r="K104" s="98" t="str">
        <f t="shared" si="25"/>
        <v>4051/4052</v>
      </c>
      <c r="L104" s="21" t="str">
        <f>VLOOKUP(A104,'Trips&amp;Operators'!$C$1:$G$99999,5,FALSE)</f>
        <v>CLARK KATHLEEN</v>
      </c>
      <c r="M104" s="6">
        <f t="shared" si="26"/>
        <v>2.8749999997671694E-2</v>
      </c>
      <c r="N104" s="7">
        <f t="shared" si="41"/>
        <v>41.399999996647239</v>
      </c>
      <c r="O104" s="7"/>
      <c r="P104" s="7"/>
      <c r="Q104" s="22"/>
      <c r="R104" s="22"/>
      <c r="S104" s="31">
        <f t="shared" si="37"/>
        <v>1</v>
      </c>
      <c r="T104" s="46" t="str">
        <f t="shared" si="27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8"/>
        <v>https://d0f6bd738d7f1b3e5a7ca70fe4ff75f0.us-east-1.aws.found.io/app/kibana#/discover/Steve-Slow-Train-Analysis-(2080s-and-2083s)?_g=(refreshInterval:(display:Off,pause:!f,section:0,value:0),time:(from:'2017-03-03T13:56:34-0700',mode:absolute,to:'2017-03-03T16:41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4" s="197" t="str">
        <f t="shared" si="29"/>
        <v>N</v>
      </c>
      <c r="X104" s="197">
        <f t="shared" si="43"/>
        <v>1</v>
      </c>
      <c r="Y104" s="62">
        <f t="shared" si="42"/>
        <v>4.9099999999999998E-2</v>
      </c>
      <c r="Z104" s="62">
        <f t="shared" si="31"/>
        <v>23.329799999999999</v>
      </c>
      <c r="AA104" s="62">
        <f t="shared" si="32"/>
        <v>23.2807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3"/>
        <v>0191-03</v>
      </c>
      <c r="AE104" s="85" t="str">
        <f t="shared" si="34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104" s="82" t="str">
        <f t="shared" si="35"/>
        <v>"C:\Program Files (x86)\AstroGrep\AstroGrep.exe" /spath="%USERPROFILE%\AppData\Local\Temp\OnboardLogs" /stypes="app*4051*20170303*" /stext=" 22:.+((SYSTEM_STATE.+slice.+state.+changed )|(ment ac)|(multiple cpu faults)|(system.+state.+changed )|(\[timeout)|(PRM\|1\|D)|(kpr)|(kdp)|(\|lc)|(penalty))" /e /r /s</v>
      </c>
      <c r="AG104" s="1" t="str">
        <f t="shared" si="36"/>
        <v>EC</v>
      </c>
      <c r="AH104" s="86" t="str">
        <f t="shared" si="38"/>
        <v>"%USERPROFILE%\Documents\GitHub\eaglep3\Utilities\RefineRTDCRunTimes.py" --tripid 191-03 --locoid 4051 --swversion DE.1.0.9.0 --startMP 204:491 --initTime 2017-03-03T14:56:34 --startdatetime 2017-03-03T15:00:13 --delay 1 --endMP 204:233298 --enddatetime 2017-03-03T15:41:37 --enforcementcount 0 &gt;&gt;C:\Users\stu\Documents\GitHub\eaglep3-reporting\EC\2017-03-03-refined-times.txt</v>
      </c>
      <c r="AI104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{"issue":{"subject":"","project_id":79,"tracker_id":40,"status_id":1,"priority_id":2,"assigned_to_id":23,"start_date":"2017-03-03","description":"","custom_fields":[{"id":1,"name":"Subdivision","value":"EC"},{"id":4,"name":"Milepost","value":"23.3298"},{"id":17,"name":"Train ID","value":"191-03"},{"id":16,"name":"Locomotive ID","value":"4051"},{"id":130,"name":"Impact","value":""},{"id":150,"name":"Time of Event (Mountain Time)","value":"15:41:37"},{"id":151,"name":"Denver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0"/>
        <v>start /low /b %USERPROFILE%\Documents\GitHub\eaglep3\Utilities\DownloadLogsFromS3.py --loco 4051 --day 2017-03-03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"%USERPROFILE%\AppData\Local\Temp\OnboardLogs"\RTDC4051\*4051*20170303* | grep -SE "(Enforcement Action)|(\[TIMEOUT)|(CHR.+\|PRM\|1\|D.+(SWITCH|SIGNAL).+UNKNOWN)" - &gt;&gt; 2017-03-03-UncaughtWiMAX.txt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734</v>
      </c>
      <c r="B105" s="7">
        <v>4052</v>
      </c>
      <c r="C105" s="21" t="s">
        <v>251</v>
      </c>
      <c r="D105" s="21" t="s">
        <v>321</v>
      </c>
      <c r="E105" s="13">
        <v>42797.659039351849</v>
      </c>
      <c r="F105" s="13">
        <v>42797.6640625</v>
      </c>
      <c r="G105" s="7">
        <v>1</v>
      </c>
      <c r="H105" s="21" t="s">
        <v>869</v>
      </c>
      <c r="I105" s="13">
        <v>42797.692407407405</v>
      </c>
      <c r="J105" s="7">
        <v>0</v>
      </c>
      <c r="K105" s="98" t="str">
        <f t="shared" si="25"/>
        <v>4051/4052</v>
      </c>
      <c r="L105" s="21" t="str">
        <f>VLOOKUP(A105,'Trips&amp;Operators'!$C$1:$G$99999,5,FALSE)</f>
        <v>CLARK KATHLEEN</v>
      </c>
      <c r="M105" s="6">
        <f t="shared" si="26"/>
        <v>2.8344907404971309E-2</v>
      </c>
      <c r="N105" s="7">
        <f t="shared" si="41"/>
        <v>40.816666663158685</v>
      </c>
      <c r="O105" s="7"/>
      <c r="P105" s="7"/>
      <c r="Q105" s="22"/>
      <c r="R105" s="22"/>
      <c r="S105" s="31">
        <f t="shared" si="37"/>
        <v>1</v>
      </c>
      <c r="T105" s="46" t="str">
        <f t="shared" si="27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8"/>
        <v>https://d0f6bd738d7f1b3e5a7ca70fe4ff75f0.us-east-1.aws.found.io/app/kibana#/discover/Steve-Slow-Train-Analysis-(2080s-and-2083s)?_g=(refreshInterval:(display:Off,pause:!f,section:0,value:0),time:(from:'2017-03-03T14:49:01-0700',mode:absolute,to:'2017-03-03T17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5" s="197" t="str">
        <f t="shared" si="29"/>
        <v>N</v>
      </c>
      <c r="X105" s="197">
        <f t="shared" si="43"/>
        <v>1</v>
      </c>
      <c r="Y105" s="62">
        <f t="shared" si="42"/>
        <v>23.298100000000002</v>
      </c>
      <c r="Z105" s="62">
        <f t="shared" si="31"/>
        <v>1.83E-2</v>
      </c>
      <c r="AA105" s="62">
        <f t="shared" si="32"/>
        <v>23.279800000000002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3"/>
        <v>0192-03</v>
      </c>
      <c r="AE105" s="85" t="str">
        <f t="shared" si="34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105" s="82" t="str">
        <f t="shared" si="35"/>
        <v>"C:\Program Files (x86)\AstroGrep\AstroGrep.exe" /spath="%USERPROFILE%\AppData\Local\Temp\OnboardLogs" /stypes="app*4052*20170303*" /stext=" 23:.+((SYSTEM_STATE.+slice.+state.+changed )|(ment ac)|(multiple cpu faults)|(system.+state.+changed )|(\[timeout)|(PRM\|1\|D)|(kpr)|(kdp)|(\|lc)|(penalty))" /e /r /s</v>
      </c>
      <c r="AG105" s="1" t="str">
        <f t="shared" si="36"/>
        <v>EC</v>
      </c>
      <c r="AH105" s="86" t="str">
        <f t="shared" si="38"/>
        <v>"%USERPROFILE%\Documents\GitHub\eaglep3\Utilities\RefineRTDCRunTimes.py" --tripid 192-03 --locoid 4052 --swversion DE.1.0.9.0 --startMP 204:232981 --initTime 2017-03-03T15:49:01 --startdatetime 2017-03-03T15:56:15 --delay 1 --endMP 204:183 --enddatetime 2017-03-03T16:37:04 --enforcementcount 0 &gt;&gt;C:\Users\stu\Documents\GitHub\eaglep3-reporting\EC\2017-03-03-refined-times.txt</v>
      </c>
      <c r="AI105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{"issue":{"subject":"","project_id":79,"tracker_id":40,"status_id":1,"priority_id":2,"assigned_to_id":23,"start_date":"2017-03-03","description":"","custom_fields":[{"id":1,"name":"Subdivision","value":"EC"},{"id":4,"name":"Milepost","value":"0.0183"},{"id":17,"name":"Train ID","value":"192-03"},{"id":16,"name":"Locomotive ID","value":"4052"},{"id":130,"name":"Impact","value":""},{"id":150,"name":"Time of Event (Mountain Time)","value":"16:37:04"},{"id":151,"name":"Denver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0"/>
        <v>start /low /b %USERPROFILE%\Documents\GitHub\eaglep3\Utilities\DownloadLogsFromS3.py --loco 4052 --day 2017-03-03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723</v>
      </c>
      <c r="B106" s="7">
        <v>4046</v>
      </c>
      <c r="C106" s="21" t="s">
        <v>251</v>
      </c>
      <c r="D106" s="21" t="s">
        <v>230</v>
      </c>
      <c r="E106" s="13">
        <v>42797.631666666668</v>
      </c>
      <c r="F106" s="13">
        <v>42797.635601851849</v>
      </c>
      <c r="G106" s="7">
        <v>1</v>
      </c>
      <c r="H106" s="21" t="s">
        <v>349</v>
      </c>
      <c r="I106" s="13">
        <v>42797.659930555557</v>
      </c>
      <c r="J106" s="7">
        <v>0</v>
      </c>
      <c r="K106" s="98" t="str">
        <f t="shared" si="25"/>
        <v>4045/4046</v>
      </c>
      <c r="L106" s="21" t="str">
        <f>VLOOKUP(A106,'Trips&amp;Operators'!$C$1:$G$99999,5,FALSE)</f>
        <v>BRUDER RICHARD</v>
      </c>
      <c r="M106" s="6">
        <f t="shared" si="26"/>
        <v>2.4328703708306421E-2</v>
      </c>
      <c r="N106" s="7">
        <f t="shared" si="41"/>
        <v>35.033333339961246</v>
      </c>
      <c r="O106" s="7"/>
      <c r="P106" s="7"/>
      <c r="Q106" s="22"/>
      <c r="R106" s="22"/>
      <c r="S106" s="31">
        <f t="shared" si="37"/>
        <v>1</v>
      </c>
      <c r="T106" s="46" t="str">
        <f t="shared" si="27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8"/>
        <v>https://d0f6bd738d7f1b3e5a7ca70fe4ff75f0.us-east-1.aws.found.io/app/kibana#/discover/Steve-Slow-Train-Analysis-(2080s-and-2083s)?_g=(refreshInterval:(display:Off,pause:!f,section:0,value:0),time:(from:'2017-03-03T14:09:36-0700',mode:absolute,to:'2017-03-03T16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6" s="197" t="str">
        <f t="shared" si="29"/>
        <v>N</v>
      </c>
      <c r="X106" s="197">
        <f t="shared" ref="X106:X113" si="44">VALUE(LEFT(AD106,4))-VALUE(LEFT(AD105,4))</f>
        <v>1</v>
      </c>
      <c r="Y106" s="62">
        <f t="shared" si="42"/>
        <v>4.53E-2</v>
      </c>
      <c r="Z106" s="62">
        <f t="shared" si="31"/>
        <v>23.3291</v>
      </c>
      <c r="AA106" s="62">
        <f t="shared" si="32"/>
        <v>23.283799999999999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3"/>
        <v>0193-03</v>
      </c>
      <c r="AE106" s="85" t="str">
        <f t="shared" si="34"/>
        <v>aws s3 cp s3://rtdc.mdm.uploadarchive.raw/RTDC4046/ "%USERPROFILE%\AppData\Local\Temp\OnboardLogs"\RTDC4046\2017-03-03 --exclude "*" --recursive --include "*20170303*" &amp; "%USERPROFILE%\Documents\GitHub\mrs-test-scripts\Headless Mode &amp; Sideloading\WalkAndUnGZ.bat" "%USERPROFILE%\AppData\Local\Temp\OnboardLogs"\RTDC4046\2017-03-03 &amp; 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</v>
      </c>
      <c r="AF106" s="82" t="str">
        <f t="shared" si="35"/>
        <v>"C:\Program Files (x86)\AstroGrep\AstroGrep.exe" /spath="%USERPROFILE%\AppData\Local\Temp\OnboardLogs" /stypes="app*4046*20170303*" /stext=" 22:.+((SYSTEM_STATE.+slice.+state.+changed )|(ment ac)|(multiple cpu faults)|(system.+state.+changed )|(\[timeout)|(PRM\|1\|D)|(kpr)|(kdp)|(\|lc)|(penalty))" /e /r /s</v>
      </c>
      <c r="AG106" s="1" t="str">
        <f t="shared" si="36"/>
        <v>EC</v>
      </c>
      <c r="AH106" s="86" t="str">
        <f t="shared" si="38"/>
        <v>"%USERPROFILE%\Documents\GitHub\eaglep3\Utilities\RefineRTDCRunTimes.py" --tripid 193-03 --locoid 4046 --swversion DE.1.0.9.0 --startMP 204:453 --initTime 2017-03-03T15:09:36 --startdatetime 2017-03-03T15:15:16 --delay 1 --endMP 204:233291 --enddatetime 2017-03-03T15:50:18 --enforcementcount 0 &gt;&gt;C:\Users\stu\Documents\GitHub\eaglep3-reporting\EC\2017-03-03-refined-times.txt</v>
      </c>
      <c r="AI106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{"issue":{"subject":"","project_id":79,"tracker_id":40,"status_id":1,"priority_id":2,"assigned_to_id":23,"start_date":"2017-03-03","description":"","custom_fields":[{"id":1,"name":"Subdivision","value":"EC"},{"id":4,"name":"Milepost","value":"23.3291"},{"id":17,"name":"Train ID","value":"193-03"},{"id":16,"name":"Locomotive ID","value":"4046"},{"id":130,"name":"Impact","value":""},{"id":150,"name":"Time of Event (Mountain Time)","value":"15:50:18"},{"id":151,"name":"Denver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0"/>
        <v>start /low /b %USERPROFILE%\Documents\GitHub\eaglep3\Utilities\DownloadLogsFromS3.py --loco 4046 --day 2017-03-03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"%USERPROFILE%\AppData\Local\Temp\OnboardLogs"\RTDC4046\*4046*20170303* | grep -SE "(Enforcement Action)|(\[TIMEOUT)|(CHR.+\|PRM\|1\|D.+(SWITCH|SIGNAL).+UNKNOWN)" - &gt;&gt; 2017-03-03-UncaughtWiMAX.txt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735</v>
      </c>
      <c r="B107" s="7">
        <v>4045</v>
      </c>
      <c r="C107" s="21" t="s">
        <v>251</v>
      </c>
      <c r="D107" s="21" t="s">
        <v>850</v>
      </c>
      <c r="E107" s="13">
        <v>42797.668437499997</v>
      </c>
      <c r="F107" s="13">
        <v>42797.674537037034</v>
      </c>
      <c r="G107" s="7">
        <v>1</v>
      </c>
      <c r="H107" s="21" t="s">
        <v>210</v>
      </c>
      <c r="I107" s="13">
        <v>42797.702141203707</v>
      </c>
      <c r="J107" s="7">
        <v>0</v>
      </c>
      <c r="K107" s="98" t="str">
        <f t="shared" si="25"/>
        <v>4045/4046</v>
      </c>
      <c r="L107" s="21" t="str">
        <f>VLOOKUP(A107,'Trips&amp;Operators'!$C$1:$G$99999,5,FALSE)</f>
        <v>BRUDER RICHARD</v>
      </c>
      <c r="M107" s="6">
        <f t="shared" si="26"/>
        <v>2.7604166672972497E-2</v>
      </c>
      <c r="N107" s="7">
        <f t="shared" si="41"/>
        <v>39.750000009080395</v>
      </c>
      <c r="O107" s="7"/>
      <c r="P107" s="7"/>
      <c r="Q107" s="22"/>
      <c r="R107" s="22"/>
      <c r="S107" s="31">
        <f t="shared" si="37"/>
        <v>1</v>
      </c>
      <c r="T107" s="46" t="str">
        <f t="shared" si="27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8"/>
        <v>https://d0f6bd738d7f1b3e5a7ca70fe4ff75f0.us-east-1.aws.found.io/app/kibana#/discover/Steve-Slow-Train-Analysis-(2080s-and-2083s)?_g=(refreshInterval:(display:Off,pause:!f,section:0,value:0),time:(from:'2017-03-03T15:02:33-0700',mode:absolute,to:'2017-03-03T17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7" s="197" t="str">
        <f t="shared" si="29"/>
        <v>N</v>
      </c>
      <c r="X107" s="197">
        <f t="shared" si="44"/>
        <v>1</v>
      </c>
      <c r="Y107" s="62">
        <f t="shared" si="42"/>
        <v>23.297999999999998</v>
      </c>
      <c r="Z107" s="62">
        <f t="shared" si="31"/>
        <v>1.54E-2</v>
      </c>
      <c r="AA107" s="62">
        <f t="shared" si="32"/>
        <v>23.282599999999999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3"/>
        <v>0194-03</v>
      </c>
      <c r="AE107" s="85" t="str">
        <f t="shared" si="34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107" s="82" t="str">
        <f t="shared" si="35"/>
        <v>"C:\Program Files (x86)\AstroGrep\AstroGrep.exe" /spath="%USERPROFILE%\AppData\Local\Temp\OnboardLogs" /stypes="app*4045*20170303*" /stext=" 23:.+((SYSTEM_STATE.+slice.+state.+changed )|(ment ac)|(multiple cpu faults)|(system.+state.+changed )|(\[timeout)|(PRM\|1\|D)|(kpr)|(kdp)|(\|lc)|(penalty))" /e /r /s</v>
      </c>
      <c r="AG107" s="1" t="str">
        <f t="shared" si="36"/>
        <v>EC</v>
      </c>
      <c r="AH107" s="86" t="str">
        <f t="shared" si="38"/>
        <v>"%USERPROFILE%\Documents\GitHub\eaglep3\Utilities\RefineRTDCRunTimes.py" --tripid 194-03 --locoid 4045 --swversion DE.1.0.9.0 --startMP 204:232980 --initTime 2017-03-03T16:02:33 --startdatetime 2017-03-03T16:11:20 --delay 1 --endMP 204:154 --enddatetime 2017-03-03T16:51:05 --enforcementcount 0 &gt;&gt;C:\Users\stu\Documents\GitHub\eaglep3-reporting\EC\2017-03-03-refined-times.txt</v>
      </c>
      <c r="AI107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{"issue":{"subject":"","project_id":79,"tracker_id":40,"status_id":1,"priority_id":2,"assigned_to_id":23,"start_date":"2017-03-03","description":"","custom_fields":[{"id":1,"name":"Subdivision","value":"EC"},{"id":4,"name":"Milepost","value":"0.0154"},{"id":17,"name":"Train ID","value":"194-03"},{"id":16,"name":"Locomotive ID","value":"4045"},{"id":130,"name":"Impact","value":""},{"id":150,"name":"Time of Event (Mountain Time)","value":"16:51:05"},{"id":151,"name":"Denver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0"/>
        <v>start /low /b %USERPROFILE%\Documents\GitHub\eaglep3\Utilities\DownloadLogsFromS3.py --loco 4045 --day 2017-03-03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"%USERPROFILE%\AppData\Local\Temp\OnboardLogs"\RTDC4045\*4045*20170303* | grep -SE "(Enforcement Action)|(\[TIMEOUT)|(CHR.+\|PRM\|1\|D.+(SWITCH|SIGNAL).+UNKNOWN)" - &gt;&gt; 2017-03-03-UncaughtWiMAX.txt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726</v>
      </c>
      <c r="B108" s="7">
        <v>4027</v>
      </c>
      <c r="C108" s="21" t="s">
        <v>251</v>
      </c>
      <c r="D108" s="21" t="s">
        <v>320</v>
      </c>
      <c r="E108" s="13">
        <v>42797.643043981479</v>
      </c>
      <c r="F108" s="13">
        <v>42797.646226851852</v>
      </c>
      <c r="G108" s="7">
        <v>1</v>
      </c>
      <c r="H108" s="21" t="s">
        <v>241</v>
      </c>
      <c r="I108" s="13">
        <v>42797.671620370369</v>
      </c>
      <c r="J108" s="7">
        <v>0</v>
      </c>
      <c r="K108" s="98" t="str">
        <f t="shared" si="25"/>
        <v>4027/4028</v>
      </c>
      <c r="L108" s="21" t="str">
        <f>VLOOKUP(A108,'Trips&amp;Operators'!$C$1:$G$99999,5,FALSE)</f>
        <v>HELVIE ADAM</v>
      </c>
      <c r="M108" s="6">
        <f t="shared" si="26"/>
        <v>2.5393518517375924E-2</v>
      </c>
      <c r="N108" s="7">
        <f t="shared" si="41"/>
        <v>36.56666666502133</v>
      </c>
      <c r="O108" s="7"/>
      <c r="P108" s="7"/>
      <c r="Q108" s="22"/>
      <c r="R108" s="22"/>
      <c r="S108" s="31">
        <f t="shared" si="37"/>
        <v>1</v>
      </c>
      <c r="T108" s="46" t="str">
        <f t="shared" si="27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8"/>
        <v>https://d0f6bd738d7f1b3e5a7ca70fe4ff75f0.us-east-1.aws.found.io/app/kibana#/discover/Steve-Slow-Train-Analysis-(2080s-and-2083s)?_g=(refreshInterval:(display:Off,pause:!f,section:0,value:0),time:(from:'2017-03-03T14:25:59-0700',mode:absolute,to:'2017-03-03T17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8" s="197" t="str">
        <f t="shared" si="29"/>
        <v>N</v>
      </c>
      <c r="X108" s="197">
        <f t="shared" si="44"/>
        <v>1</v>
      </c>
      <c r="Y108" s="62">
        <f t="shared" si="42"/>
        <v>4.4900000000000002E-2</v>
      </c>
      <c r="Z108" s="62">
        <f t="shared" si="31"/>
        <v>23.331</v>
      </c>
      <c r="AA108" s="62">
        <f t="shared" si="32"/>
        <v>23.286100000000001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3"/>
        <v>0195-03</v>
      </c>
      <c r="AE108" s="85" t="str">
        <f t="shared" si="34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108" s="82" t="str">
        <f t="shared" si="35"/>
        <v>"C:\Program Files (x86)\AstroGrep\AstroGrep.exe" /spath="%USERPROFILE%\AppData\Local\Temp\OnboardLogs" /stypes="app*4027*20170303*" /stext=" 23:.+((SYSTEM_STATE.+slice.+state.+changed )|(ment ac)|(multiple cpu faults)|(system.+state.+changed )|(\[timeout)|(PRM\|1\|D)|(kpr)|(kdp)|(\|lc)|(penalty))" /e /r /s</v>
      </c>
      <c r="AG108" s="1" t="str">
        <f t="shared" si="36"/>
        <v>EC</v>
      </c>
      <c r="AH108" s="86" t="str">
        <f t="shared" si="38"/>
        <v>"%USERPROFILE%\Documents\GitHub\eaglep3\Utilities\RefineRTDCRunTimes.py" --tripid 195-03 --locoid 4027 --swversion DE.1.0.9.0 --startMP 204:449 --initTime 2017-03-03T15:25:59 --startdatetime 2017-03-03T15:30:34 --delay 1 --endMP 204:233310 --enddatetime 2017-03-03T16:07:08 --enforcementcount 0 &gt;&gt;C:\Users\stu\Documents\GitHub\eaglep3-reporting\EC\2017-03-03-refined-times.txt</v>
      </c>
      <c r="AI108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{"issue":{"subject":"","project_id":79,"tracker_id":40,"status_id":1,"priority_id":2,"assigned_to_id":23,"start_date":"2017-03-03","description":"","custom_fields":[{"id":1,"name":"Subdivision","value":"EC"},{"id":4,"name":"Milepost","value":"23.331"},{"id":17,"name":"Train ID","value":"195-03"},{"id":16,"name":"Locomotive ID","value":"4027"},{"id":130,"name":"Impact","value":""},{"id":150,"name":"Time of Event (Mountain Time)","value":"16:07:08"},{"id":151,"name":"Denver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0"/>
        <v>start /low /b %USERPROFILE%\Documents\GitHub\eaglep3\Utilities\DownloadLogsFromS3.py --loco 4027 --day 2017-03-03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"%USERPROFILE%\AppData\Local\Temp\OnboardLogs"\RTDC4027\*4027*20170303* | grep -SE "(Enforcement Action)|(\[TIMEOUT)|(CHR.+\|PRM\|1\|D.+(SWITCH|SIGNAL).+UNKNOWN)" - &gt;&gt; 2017-03-03-UncaughtWiMAX.txt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738</v>
      </c>
      <c r="B109" s="7">
        <v>4028</v>
      </c>
      <c r="C109" s="21" t="s">
        <v>251</v>
      </c>
      <c r="D109" s="21" t="s">
        <v>297</v>
      </c>
      <c r="E109" s="13">
        <v>42797.682951388888</v>
      </c>
      <c r="F109" s="13">
        <v>42797.685254629629</v>
      </c>
      <c r="G109" s="7">
        <v>1</v>
      </c>
      <c r="H109" s="21" t="s">
        <v>184</v>
      </c>
      <c r="I109" s="13">
        <v>42797.713101851848</v>
      </c>
      <c r="J109" s="7">
        <v>0</v>
      </c>
      <c r="K109" s="98" t="str">
        <f t="shared" si="25"/>
        <v>4027/4028</v>
      </c>
      <c r="L109" s="21" t="str">
        <f>VLOOKUP(A109,'Trips&amp;Operators'!$C$1:$G$99999,5,FALSE)</f>
        <v>HELVIE ADAM</v>
      </c>
      <c r="M109" s="6">
        <f t="shared" si="26"/>
        <v>2.7847222219861578E-2</v>
      </c>
      <c r="N109" s="7">
        <f t="shared" si="41"/>
        <v>40.099999996600673</v>
      </c>
      <c r="O109" s="7"/>
      <c r="P109" s="7"/>
      <c r="Q109" s="22"/>
      <c r="R109" s="22"/>
      <c r="S109" s="31">
        <f t="shared" si="37"/>
        <v>1</v>
      </c>
      <c r="T109" s="46" t="str">
        <f t="shared" si="27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8"/>
        <v>https://d0f6bd738d7f1b3e5a7ca70fe4ff75f0.us-east-1.aws.found.io/app/kibana#/discover/Steve-Slow-Train-Analysis-(2080s-and-2083s)?_g=(refreshInterval:(display:Off,pause:!f,section:0,value:0),time:(from:'2017-03-03T15:23:27-0700',mode:absolute,to:'2017-03-03T18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7" t="str">
        <f t="shared" si="29"/>
        <v>N</v>
      </c>
      <c r="X109" s="197">
        <f t="shared" si="44"/>
        <v>1</v>
      </c>
      <c r="Y109" s="62">
        <f t="shared" si="42"/>
        <v>23.3004</v>
      </c>
      <c r="Z109" s="62">
        <f t="shared" si="31"/>
        <v>1.49E-2</v>
      </c>
      <c r="AA109" s="62">
        <f t="shared" si="32"/>
        <v>23.285499999999999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3"/>
        <v>0196-03</v>
      </c>
      <c r="AE109" s="85" t="str">
        <f t="shared" si="34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109" s="82" t="str">
        <f t="shared" si="35"/>
        <v>"C:\Program Files (x86)\AstroGrep\AstroGrep.exe" /spath="%USERPROFILE%\AppData\Local\Temp\OnboardLogs" /stypes="app*4028*20170304*" /stext=" 00:.+((SYSTEM_STATE.+slice.+state.+changed )|(ment ac)|(multiple cpu faults)|(system.+state.+changed )|(\[timeout)|(PRM\|1\|D)|(kpr)|(kdp)|(\|lc)|(penalty))" /e /r /s</v>
      </c>
      <c r="AG109" s="1" t="str">
        <f t="shared" si="36"/>
        <v>EC</v>
      </c>
      <c r="AH109" s="86" t="str">
        <f t="shared" si="38"/>
        <v>"%USERPROFILE%\Documents\GitHub\eaglep3\Utilities\RefineRTDCRunTimes.py" --tripid 196-03 --locoid 4028 --swversion DE.1.0.9.0 --startMP 204:233004 --initTime 2017-03-03T16:23:27 --startdatetime 2017-03-03T16:26:46 --delay 1 --endMP 204:149 --enddatetime 2017-03-03T17:06:52 --enforcementcount 0 &gt;&gt;C:\Users\stu\Documents\GitHub\eaglep3-reporting\EC\2017-03-03-refined-times.txt</v>
      </c>
      <c r="AI109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{"issue":{"subject":"","project_id":79,"tracker_id":40,"status_id":1,"priority_id":2,"assigned_to_id":23,"start_date":"2017-03-03","description":"","custom_fields":[{"id":1,"name":"Subdivision","value":"EC"},{"id":4,"name":"Milepost","value":"0.0149"},{"id":17,"name":"Train ID","value":"196-03"},{"id":16,"name":"Locomotive ID","value":"4028"},{"id":130,"name":"Impact","value":""},{"id":150,"name":"Time of Event (Mountain Time)","value":"17:06:52"},{"id":151,"name":"Denver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0"/>
        <v>start /low /b %USERPROFILE%\Documents\GitHub\eaglep3\Utilities\DownloadLogsFromS3.py --loco 4028 --day 2017-03-03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"%USERPROFILE%\AppData\Local\Temp\OnboardLogs"\RTDC4028\*4028*20170303* | grep -SE "(Enforcement Action)|(\[TIMEOUT)|(CHR.+\|PRM\|1\|D.+(SWITCH|SIGNAL).+UNKNOWN)" - &gt;&gt; 2017-03-03-UncaughtWiMAX.txt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732</v>
      </c>
      <c r="B110" s="7">
        <v>4053</v>
      </c>
      <c r="C110" s="21" t="s">
        <v>251</v>
      </c>
      <c r="D110" s="21" t="s">
        <v>276</v>
      </c>
      <c r="E110" s="13">
        <v>42797.652870370373</v>
      </c>
      <c r="F110" s="13">
        <v>42797.656574074077</v>
      </c>
      <c r="G110" s="7">
        <v>3</v>
      </c>
      <c r="H110" s="21" t="s">
        <v>347</v>
      </c>
      <c r="I110" s="13">
        <v>42797.68310185185</v>
      </c>
      <c r="J110" s="7">
        <v>0</v>
      </c>
      <c r="K110" s="98" t="str">
        <f t="shared" si="25"/>
        <v>4053/4054</v>
      </c>
      <c r="L110" s="21" t="str">
        <f>VLOOKUP(A110,'Trips&amp;Operators'!$C$1:$G$99999,5,FALSE)</f>
        <v>BRANDNER MELINDA</v>
      </c>
      <c r="M110" s="6">
        <f t="shared" si="26"/>
        <v>2.6527777772571426E-2</v>
      </c>
      <c r="N110" s="7">
        <f t="shared" si="41"/>
        <v>38.199999992502853</v>
      </c>
      <c r="O110" s="7"/>
      <c r="P110" s="7"/>
      <c r="Q110" s="22"/>
      <c r="R110" s="22"/>
      <c r="S110" s="31">
        <f t="shared" si="37"/>
        <v>1</v>
      </c>
      <c r="T110" s="46" t="str">
        <f t="shared" si="27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8"/>
        <v>https://d0f6bd738d7f1b3e5a7ca70fe4ff75f0.us-east-1.aws.found.io/app/kibana#/discover/Steve-Slow-Train-Analysis-(2080s-and-2083s)?_g=(refreshInterval:(display:Off,pause:!f,section:0,value:0),time:(from:'2017-03-03T14:40:08-0700',mode:absolute,to:'2017-03-03T17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97" t="str">
        <f t="shared" si="29"/>
        <v>N</v>
      </c>
      <c r="X110" s="197">
        <f t="shared" si="44"/>
        <v>1</v>
      </c>
      <c r="Y110" s="62">
        <f t="shared" si="42"/>
        <v>4.6699999999999998E-2</v>
      </c>
      <c r="Z110" s="62">
        <f t="shared" si="31"/>
        <v>23.330300000000001</v>
      </c>
      <c r="AA110" s="62">
        <f t="shared" si="32"/>
        <v>23.2836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3"/>
        <v>0197-03</v>
      </c>
      <c r="AE110" s="85" t="str">
        <f t="shared" si="34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110" s="82" t="str">
        <f t="shared" si="35"/>
        <v>"C:\Program Files (x86)\AstroGrep\AstroGrep.exe" /spath="%USERPROFILE%\AppData\Local\Temp\OnboardLogs" /stypes="app*4053*20170303*" /stext=" 23:.+((SYSTEM_STATE.+slice.+state.+changed )|(ment ac)|(multiple cpu faults)|(system.+state.+changed )|(\[timeout)|(PRM\|1\|D)|(kpr)|(kdp)|(\|lc)|(penalty))" /e /r /s</v>
      </c>
      <c r="AG110" s="1" t="str">
        <f t="shared" si="36"/>
        <v>EC</v>
      </c>
      <c r="AH110" s="86" t="str">
        <f t="shared" si="38"/>
        <v>"%USERPROFILE%\Documents\GitHub\eaglep3\Utilities\RefineRTDCRunTimes.py" --tripid 197-03 --locoid 4053 --swversion DE.1.0.9.0 --startMP 204:467 --initTime 2017-03-03T15:40:08 --startdatetime 2017-03-03T15:45:28 --delay 3 --endMP 204:233303 --enddatetime 2017-03-03T16:23:40 --enforcementcount 0 &gt;&gt;C:\Users\stu\Documents\GitHub\eaglep3-reporting\EC\2017-03-03-refined-times.txt</v>
      </c>
      <c r="AI110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{"issue":{"subject":"","project_id":79,"tracker_id":40,"status_id":1,"priority_id":2,"assigned_to_id":23,"start_date":"2017-03-03","description":"","custom_fields":[{"id":1,"name":"Subdivision","value":"EC"},{"id":4,"name":"Milepost","value":"23.3303"},{"id":17,"name":"Train ID","value":"197-03"},{"id":16,"name":"Locomotive ID","value":"4053"},{"id":130,"name":"Impact","value":""},{"id":150,"name":"Time of Event (Mountain Time)","value":"16:23:40"},{"id":151,"name":"Denver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0"/>
        <v>start /low /b %USERPROFILE%\Documents\GitHub\eaglep3\Utilities\DownloadLogsFromS3.py --loco 4053 --day 2017-03-03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"%USERPROFILE%\AppData\Local\Temp\OnboardLogs"\RTDC4053\*4053*20170303* | grep -SE "(Enforcement Action)|(\[TIMEOUT)|(CHR.+\|PRM\|1\|D.+(SWITCH|SIGNAL).+UNKNOWN)" - &gt;&gt; 2017-03-03-UncaughtWiMAX.txt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740</v>
      </c>
      <c r="B111" s="7">
        <v>4054</v>
      </c>
      <c r="C111" s="21" t="s">
        <v>251</v>
      </c>
      <c r="D111" s="21" t="s">
        <v>281</v>
      </c>
      <c r="E111" s="13">
        <v>42797.690451388888</v>
      </c>
      <c r="F111" s="13">
        <v>42797.695428240739</v>
      </c>
      <c r="G111" s="7">
        <v>1</v>
      </c>
      <c r="H111" s="21" t="s">
        <v>196</v>
      </c>
      <c r="I111" s="13">
        <v>42797.723599537036</v>
      </c>
      <c r="J111" s="7">
        <v>0</v>
      </c>
      <c r="K111" s="98" t="str">
        <f t="shared" si="25"/>
        <v>4053/4054</v>
      </c>
      <c r="L111" s="21" t="str">
        <f>VLOOKUP(A111,'Trips&amp;Operators'!$C$1:$G$99999,5,FALSE)</f>
        <v>BRANDNER MELINDA</v>
      </c>
      <c r="M111" s="6">
        <f t="shared" si="26"/>
        <v>2.8171296296932269E-2</v>
      </c>
      <c r="N111" s="7">
        <f t="shared" si="41"/>
        <v>40.566666667582467</v>
      </c>
      <c r="O111" s="7"/>
      <c r="P111" s="7"/>
      <c r="Q111" s="22"/>
      <c r="R111" s="22"/>
      <c r="S111" s="31">
        <f t="shared" si="37"/>
        <v>1</v>
      </c>
      <c r="T111" s="46" t="str">
        <f t="shared" si="27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8"/>
        <v>https://d0f6bd738d7f1b3e5a7ca70fe4ff75f0.us-east-1.aws.found.io/app/kibana#/discover/Steve-Slow-Train-Analysis-(2080s-and-2083s)?_g=(refreshInterval:(display:Off,pause:!f,section:0,value:0),time:(from:'2017-03-03T15:34:15-0700',mode:absolute,to:'2017-03-03T18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197" t="str">
        <f t="shared" si="29"/>
        <v>N</v>
      </c>
      <c r="X111" s="197">
        <f t="shared" si="44"/>
        <v>1</v>
      </c>
      <c r="Y111" s="62">
        <f t="shared" si="42"/>
        <v>23.297499999999999</v>
      </c>
      <c r="Z111" s="62">
        <f t="shared" si="31"/>
        <v>1.4500000000000001E-2</v>
      </c>
      <c r="AA111" s="62">
        <f t="shared" si="32"/>
        <v>23.282999999999998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3"/>
        <v>0198-03</v>
      </c>
      <c r="AE111" s="85" t="str">
        <f t="shared" si="34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111" s="82" t="str">
        <f t="shared" si="35"/>
        <v>"C:\Program Files (x86)\AstroGrep\AstroGrep.exe" /spath="%USERPROFILE%\AppData\Local\Temp\OnboardLogs" /stypes="app*4054*20170304*" /stext=" 00:.+((SYSTEM_STATE.+slice.+state.+changed )|(ment ac)|(multiple cpu faults)|(system.+state.+changed )|(\[timeout)|(PRM\|1\|D)|(kpr)|(kdp)|(\|lc)|(penalty))" /e /r /s</v>
      </c>
      <c r="AG111" s="1" t="str">
        <f t="shared" si="36"/>
        <v>EC</v>
      </c>
      <c r="AH111" s="86" t="str">
        <f t="shared" si="38"/>
        <v>"%USERPROFILE%\Documents\GitHub\eaglep3\Utilities\RefineRTDCRunTimes.py" --tripid 198-03 --locoid 4054 --swversion DE.1.0.9.0 --startMP 204:232975 --initTime 2017-03-03T16:34:15 --startdatetime 2017-03-03T16:41:25 --delay 1 --endMP 204:145 --enddatetime 2017-03-03T17:21:59 --enforcementcount 0 &gt;&gt;C:\Users\stu\Documents\GitHub\eaglep3-reporting\EC\2017-03-03-refined-times.txt</v>
      </c>
      <c r="AI111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ID","value":"198-03"},{"id":16,"name":"Locomotive ID","value":"4054"},{"id":130,"name":"Impact","value":""},{"id":150,"name":"Time of Event (Mountain Time)","value":"17:21:59"},{"id":151,"name":"Denver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0"/>
        <v>start /low /b %USERPROFILE%\Documents\GitHub\eaglep3\Utilities\DownloadLogsFromS3.py --loco 4054 --day 2017-03-03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"%USERPROFILE%\AppData\Local\Temp\OnboardLogs"\RTDC4054\*4054*20170304* | grep -SE "(Enforcement Action)|(\[TIMEOUT)|(CHR.+\|PRM\|1\|D.+(SWITCH|SIGNAL).+UNKNOWN)" - &gt;&gt; 2017-03-03-UncaughtWiMAX.txt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595</v>
      </c>
      <c r="B112" s="7">
        <v>4029</v>
      </c>
      <c r="C112" s="21" t="s">
        <v>251</v>
      </c>
      <c r="D112" s="21" t="s">
        <v>870</v>
      </c>
      <c r="E112" s="13">
        <v>42797.663078703707</v>
      </c>
      <c r="F112" s="13">
        <v>42797.666944444441</v>
      </c>
      <c r="G112" s="7">
        <v>1</v>
      </c>
      <c r="H112" s="21" t="s">
        <v>871</v>
      </c>
      <c r="I112" s="13">
        <v>42797.693437499998</v>
      </c>
      <c r="J112" s="7">
        <v>0</v>
      </c>
      <c r="K112" s="98" t="str">
        <f t="shared" si="25"/>
        <v>4029/4030</v>
      </c>
      <c r="L112" s="21" t="str">
        <f>VLOOKUP(A112,'Trips&amp;Operators'!$C$1:$G$99999,5,FALSE)</f>
        <v>WHITED DUSTIN</v>
      </c>
      <c r="M112" s="6">
        <f t="shared" si="26"/>
        <v>2.6493055556784384E-2</v>
      </c>
      <c r="N112" s="7">
        <f t="shared" si="41"/>
        <v>38.150000001769513</v>
      </c>
      <c r="O112" s="7"/>
      <c r="P112" s="7"/>
      <c r="Q112" s="22"/>
      <c r="R112" s="22"/>
      <c r="S112" s="31">
        <f t="shared" si="37"/>
        <v>1</v>
      </c>
      <c r="T112" s="46" t="str">
        <f t="shared" si="27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8"/>
        <v>https://d0f6bd738d7f1b3e5a7ca70fe4ff75f0.us-east-1.aws.found.io/app/kibana#/discover/Steve-Slow-Train-Analysis-(2080s-and-2083s)?_g=(refreshInterval:(display:Off,pause:!f,section:0,value:0),time:(from:'2017-03-03T14:54:50-0700',mode:absolute,to:'2017-03-03T17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97" t="str">
        <f t="shared" si="29"/>
        <v>N</v>
      </c>
      <c r="X112" s="197">
        <f t="shared" si="44"/>
        <v>1</v>
      </c>
      <c r="Y112" s="62">
        <f t="shared" si="42"/>
        <v>4.2000000000000003E-2</v>
      </c>
      <c r="Z112" s="62">
        <f t="shared" si="31"/>
        <v>23.3368</v>
      </c>
      <c r="AA112" s="62">
        <f t="shared" si="32"/>
        <v>23.294799999999999</v>
      </c>
      <c r="AB112" s="59" t="str">
        <f>VLOOKUP(A112,Enforcements!$C$7:$K$13,8,0)</f>
        <v>Bulletin (2)</v>
      </c>
      <c r="AC112" s="55" t="str">
        <f>VLOOKUP(A112,Enforcements!$C$7:$E$13,3,0)</f>
        <v>GRADE CROSSING</v>
      </c>
      <c r="AD112" s="56" t="str">
        <f t="shared" si="33"/>
        <v>0199-03</v>
      </c>
      <c r="AE112" s="85" t="str">
        <f t="shared" si="34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112" s="82" t="str">
        <f t="shared" si="35"/>
        <v>"C:\Program Files (x86)\AstroGrep\AstroGrep.exe" /spath="%USERPROFILE%\AppData\Local\Temp\OnboardLogs" /stypes="app*4029*20170303*" /stext=" 23:.+((SYSTEM_STATE.+slice.+state.+changed )|(ment ac)|(multiple cpu faults)|(system.+state.+changed )|(\[timeout)|(PRM\|1\|D)|(kpr)|(kdp)|(\|lc)|(penalty))" /e /r /s</v>
      </c>
      <c r="AG112" s="1" t="str">
        <f t="shared" si="36"/>
        <v>EC</v>
      </c>
      <c r="AH112" s="86" t="str">
        <f t="shared" si="38"/>
        <v>"%USERPROFILE%\Documents\GitHub\eaglep3\Utilities\RefineRTDCRunTimes.py" --tripid 199-03 --locoid 4029 --swversion DE.1.0.9.0 --startMP 204:420 --initTime 2017-03-03T15:54:50 --startdatetime 2017-03-03T16:00:24 --delay 1 --endMP 204:233368 --enddatetime 2017-03-03T16:38:33 --enforcementcount 0 &gt;&gt;C:\Users\stu\Documents\GitHub\eaglep3-reporting\EC\2017-03-03-refined-times.txt</v>
      </c>
      <c r="AI112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{"issue":{"subject":"","project_id":79,"tracker_id":40,"status_id":1,"priority_id":2,"assigned_to_id":23,"start_date":"2017-03-03","description":"","custom_fields":[{"id":1,"name":"Subdivision","value":"EC"},{"id":4,"name":"Milepost","value":"23.3368"},{"id":17,"name":"Train ID","value":"199-03"},{"id":16,"name":"Locomotive ID","value":"4029"},{"id":130,"name":"Impact","value":""},{"id":150,"name":"Time of Event (Mountain Time)","value":"16:38:33"},{"id":151,"name":"Denver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0"/>
        <v>start /low /b %USERPROFILE%\Documents\GitHub\eaglep3\Utilities\DownloadLogsFromS3.py --loco 4029 --day 2017-03-03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"%USERPROFILE%\AppData\Local\Temp\OnboardLogs"\RTDC4029\*4029*20170303* | grep -SE "(Enforcement Action)|(\[TIMEOUT)|(CHR.+\|PRM\|1\|D.+(SWITCH|SIGNAL).+UNKNOWN)" - &gt;&gt; 2017-03-03-UncaughtWiMAX.txt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744</v>
      </c>
      <c r="B113" s="7">
        <v>4030</v>
      </c>
      <c r="C113" s="21" t="s">
        <v>251</v>
      </c>
      <c r="D113" s="21" t="s">
        <v>872</v>
      </c>
      <c r="E113" s="13">
        <v>42797.699201388888</v>
      </c>
      <c r="F113" s="13">
        <v>42797.705717592595</v>
      </c>
      <c r="G113" s="7">
        <v>1</v>
      </c>
      <c r="H113" s="21" t="s">
        <v>348</v>
      </c>
      <c r="I113" s="13">
        <v>42797.73814814815</v>
      </c>
      <c r="J113" s="7">
        <v>0</v>
      </c>
      <c r="K113" s="98" t="str">
        <f t="shared" si="25"/>
        <v>4029/4030</v>
      </c>
      <c r="L113" s="21" t="str">
        <f>VLOOKUP(A113,'Trips&amp;Operators'!$C$1:$G$99999,5,FALSE)</f>
        <v>WHITED DUSTIN</v>
      </c>
      <c r="M113" s="6">
        <f t="shared" si="26"/>
        <v>3.2430555555038154E-2</v>
      </c>
      <c r="N113" s="7">
        <f t="shared" si="41"/>
        <v>46.699999999254942</v>
      </c>
      <c r="O113" s="7"/>
      <c r="P113" s="7"/>
      <c r="Q113" s="22"/>
      <c r="R113" s="22"/>
      <c r="S113" s="31">
        <f t="shared" si="37"/>
        <v>1</v>
      </c>
      <c r="T113" s="46" t="str">
        <f t="shared" si="27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8"/>
        <v>https://d0f6bd738d7f1b3e5a7ca70fe4ff75f0.us-east-1.aws.found.io/app/kibana#/discover/Steve-Slow-Train-Analysis-(2080s-and-2083s)?_g=(refreshInterval:(display:Off,pause:!f,section:0,value:0),time:(from:'2017-03-03T15:46:51-0700',mode:absolute,to:'2017-03-03T18:42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97" t="str">
        <f t="shared" si="29"/>
        <v>N</v>
      </c>
      <c r="X113" s="197">
        <f t="shared" si="44"/>
        <v>1</v>
      </c>
      <c r="Y113" s="62">
        <f t="shared" si="42"/>
        <v>23.305700000000002</v>
      </c>
      <c r="Z113" s="62">
        <f t="shared" si="31"/>
        <v>1.29E-2</v>
      </c>
      <c r="AA113" s="62">
        <f t="shared" si="32"/>
        <v>23.292800000000003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3"/>
        <v>0200-03</v>
      </c>
      <c r="AE113" s="85" t="str">
        <f t="shared" si="34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113" s="82" t="str">
        <f t="shared" si="35"/>
        <v>"C:\Program Files (x86)\AstroGrep\AstroGrep.exe" /spath="%USERPROFILE%\AppData\Local\Temp\OnboardLogs" /stypes="app*4030*20170304*" /stext=" 00:.+((SYSTEM_STATE.+slice.+state.+changed )|(ment ac)|(multiple cpu faults)|(system.+state.+changed )|(\[timeout)|(PRM\|1\|D)|(kpr)|(kdp)|(\|lc)|(penalty))" /e /r /s</v>
      </c>
      <c r="AG113" s="1" t="str">
        <f t="shared" si="36"/>
        <v>EC</v>
      </c>
      <c r="AH113" s="86" t="str">
        <f t="shared" si="38"/>
        <v>"%USERPROFILE%\Documents\GitHub\eaglep3\Utilities\RefineRTDCRunTimes.py" --tripid 200-03 --locoid 4030 --swversion DE.1.0.9.0 --startMP 204:233057 --initTime 2017-03-03T16:46:51 --startdatetime 2017-03-03T16:56:14 --delay 1 --endMP 204:129 --enddatetime 2017-03-03T17:42:56 --enforcementcount 0 &gt;&gt;C:\Users\stu\Documents\GitHub\eaglep3-reporting\EC\2017-03-03-refined-times.txt</v>
      </c>
      <c r="AI113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{"issue":{"subject":"","project_id":79,"tracker_id":40,"status_id":1,"priority_id":2,"assigned_to_id":23,"start_date":"2017-03-03","description":"","custom_fields":[{"id":1,"name":"Subdivision","value":"EC"},{"id":4,"name":"Milepost","value":"0.0129"},{"id":17,"name":"Train ID","value":"200-03"},{"id":16,"name":"Locomotive ID","value":"4030"},{"id":130,"name":"Impact","value":""},{"id":150,"name":"Time of Event (Mountain Time)","value":"17:42:56"},{"id":151,"name":"Denver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0"/>
        <v>start /low /b %USERPROFILE%\Documents\GitHub\eaglep3\Utilities\DownloadLogsFromS3.py --loco 4030 --day 2017-03-03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"%USERPROFILE%\AppData\Local\Temp\OnboardLogs"\RTDC4030\*4030*20170304* | grep -SE "(Enforcement Action)|(\[TIMEOUT)|(CHR.+\|PRM\|1\|D.+(SWITCH|SIGNAL).+UNKNOWN)" - &gt;&gt; 2017-03-03-UncaughtWiMAX.txt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1009</v>
      </c>
      <c r="B114" s="7">
        <v>4031</v>
      </c>
      <c r="C114" s="21" t="s">
        <v>251</v>
      </c>
      <c r="D114" s="21" t="s">
        <v>872</v>
      </c>
      <c r="E114" s="13">
        <v>42797.699201388888</v>
      </c>
      <c r="F114" s="13">
        <v>42797.677337962959</v>
      </c>
      <c r="G114" s="7">
        <v>1</v>
      </c>
      <c r="H114" s="21" t="s">
        <v>348</v>
      </c>
      <c r="I114" s="13">
        <v>42797.702499999999</v>
      </c>
      <c r="J114" s="7">
        <v>0</v>
      </c>
      <c r="K114" s="98" t="str">
        <f t="shared" si="25"/>
        <v>4031/4032</v>
      </c>
      <c r="L114" s="21" t="s">
        <v>1013</v>
      </c>
      <c r="M114" s="6">
        <f t="shared" si="26"/>
        <v>2.5162037039990537E-2</v>
      </c>
      <c r="N114" s="7">
        <f>24*60*SUM($M114:$M114)</f>
        <v>36.233333337586373</v>
      </c>
      <c r="O114" s="7"/>
      <c r="P114" s="7"/>
      <c r="Q114" s="22"/>
      <c r="R114" s="22" t="s">
        <v>1014</v>
      </c>
      <c r="S114" s="31">
        <f t="shared" ref="S114" si="45">SUM(U114:U114)/IF(AG114="EC",12,1)</f>
        <v>1</v>
      </c>
      <c r="T114" s="46" t="str">
        <f t="shared" si="27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8"/>
        <v>https://d0f6bd738d7f1b3e5a7ca70fe4ff75f0.us-east-1.aws.found.io/app/kibana#/discover/Steve-Slow-Train-Analysis-(2080s-and-2083s)?_g=(refreshInterval:(display:Off,pause:!f,section:0,value:0),time:(from:'2017-03-03T15:46:51-0700',mode:absolute,to:'2017-03-03T17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197" t="str">
        <f t="shared" si="29"/>
        <v>N</v>
      </c>
      <c r="X114" s="197">
        <f t="shared" ref="X114:X119" si="46">VALUE(LEFT(AD114,4))-VALUE(LEFT(AD113,4))</f>
        <v>1</v>
      </c>
      <c r="Y114" s="62">
        <v>4.2000000000000003E-2</v>
      </c>
      <c r="Z114" s="62">
        <v>23.3368</v>
      </c>
      <c r="AA114" s="62">
        <f t="shared" si="32"/>
        <v>23.294799999999999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3"/>
        <v>0201-03</v>
      </c>
      <c r="AE114" s="85" t="str">
        <f t="shared" si="34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114" s="82" t="str">
        <f t="shared" si="35"/>
        <v>"C:\Program Files (x86)\AstroGrep\AstroGrep.exe" /spath="%USERPROFILE%\AppData\Local\Temp\OnboardLogs" /stypes="app*4031*20170303*" /stext=" 23:.+((SYSTEM_STATE.+slice.+state.+changed )|(ment ac)|(multiple cpu faults)|(system.+state.+changed )|(\[timeout)|(PRM\|1\|D)|(kpr)|(kdp)|(\|lc)|(penalty))" /e /r /s</v>
      </c>
      <c r="AG114" s="1" t="str">
        <f t="shared" si="36"/>
        <v>EC</v>
      </c>
      <c r="AH114" s="86" t="str">
        <f t="shared" ref="AH114" si="47"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201-03 --locoid 4031 --swversion DE.1.0.9.0 --startMP 204:233057 --initTime 2017-03-03T16:46:51 --startdatetime 2017-03-03T16:15:22 --delay 1 --endMP 204:129 --enddatetime 2017-03-03T16:51:36 --enforcementcount 0 &gt;&gt;C:\Users\stu\Documents\GitHub\eaglep3-reporting\EC\2017-03-03-refined-times.txt</v>
      </c>
      <c r="AI114" s="108" t="str">
        <f t="shared" ref="AI114" si="48"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-X POST -H ""Content-Type: application/json"" -H ""X-Redmine-API-Key: "&amp;redm_api_key&amp;""" "&amp;redm_url&amp;" --data @-"</f>
        <v>echo {"issue":{"subject":"Run as second instance of trip 187-03","project_id":79,"tracker_id":40,"status_id":1,"priority_id":2,"assigned_to_id":23,"start_date":"2017-03-03","description":"","custom_fields":[{"id":1,"name":"Subdivision","value":"EC"},{"id":4,"name":"Milepost","value":"23.3368"},{"id":17,"name":"Train ID","value":"201-03"},{"id":16,"name":"Locomotive ID","value":"4031"},{"id":130,"name":"Impact","value":""},{"id":150,"name":"Time of Event (Mountain Time)","value":"16:51:36"},{"id":151,"name":"Denver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ref="AM114" si="49">"start /low /b "&amp;dls3logs&amp;" --loco "&amp;B114&amp;" --day "&amp;TEXT(F114,"YYYY-MM-DD")</f>
        <v>start /low /b %USERPROFILE%\Documents\GitHub\eaglep3\Utilities\DownloadLogsFromS3.py --loco 4031 --day 2017-03-03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"%USERPROFILE%\AppData\Local\Temp\OnboardLogs"\RTDC4031\*4031*20170303* | grep -SE "(Enforcement Action)|(\[TIMEOUT)|(CHR.+\|PRM\|1\|D.+(SWITCH|SIGNAL).+UNKNOWN)" - &gt;&gt; 2017-03-03-UncaughtWiMAX.txt</v>
      </c>
    </row>
    <row r="115" spans="1:91" s="20" customFormat="1" x14ac:dyDescent="0.25">
      <c r="A115" s="33" t="s">
        <v>746</v>
      </c>
      <c r="B115" s="7">
        <v>4032</v>
      </c>
      <c r="C115" s="21" t="s">
        <v>251</v>
      </c>
      <c r="D115" s="21" t="s">
        <v>525</v>
      </c>
      <c r="E115" s="13">
        <v>42797.712465277778</v>
      </c>
      <c r="F115" s="13">
        <v>42797.716157407405</v>
      </c>
      <c r="G115" s="7">
        <v>1</v>
      </c>
      <c r="H115" s="21" t="s">
        <v>300</v>
      </c>
      <c r="I115" s="13">
        <v>42797.747013888889</v>
      </c>
      <c r="J115" s="7">
        <v>0</v>
      </c>
      <c r="K115" s="98" t="str">
        <f t="shared" si="25"/>
        <v>4031/4032</v>
      </c>
      <c r="L115" s="21" t="str">
        <f>VLOOKUP(A115,'Trips&amp;Operators'!$C$1:$G$99999,5,FALSE)</f>
        <v>STEWART MICHAEL</v>
      </c>
      <c r="M115" s="6">
        <f t="shared" si="26"/>
        <v>3.0856481484079268E-2</v>
      </c>
      <c r="N115" s="7">
        <f t="shared" ref="N115:N146" si="50">24*60*SUM($M115:$M115)</f>
        <v>44.433333337074146</v>
      </c>
      <c r="O115" s="7"/>
      <c r="P115" s="7"/>
      <c r="Q115" s="22"/>
      <c r="R115" s="22"/>
      <c r="S115" s="31">
        <f t="shared" si="37"/>
        <v>1</v>
      </c>
      <c r="T115" s="46" t="str">
        <f t="shared" si="27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8"/>
        <v>https://d0f6bd738d7f1b3e5a7ca70fe4ff75f0.us-east-1.aws.found.io/app/kibana#/discover/Steve-Slow-Train-Analysis-(2080s-and-2083s)?_g=(refreshInterval:(display:Off,pause:!f,section:0,value:0),time:(from:'2017-03-03T16:05:57-0700',mode:absolute,to:'2017-03-03T18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197" t="str">
        <f t="shared" si="29"/>
        <v>N</v>
      </c>
      <c r="X115" s="197">
        <f t="shared" si="46"/>
        <v>1</v>
      </c>
      <c r="Y115" s="62">
        <f t="shared" si="42"/>
        <v>23.298200000000001</v>
      </c>
      <c r="Z115" s="62">
        <f t="shared" si="31"/>
        <v>1.61E-2</v>
      </c>
      <c r="AA115" s="62">
        <f t="shared" si="32"/>
        <v>23.2821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3"/>
        <v>0202-03</v>
      </c>
      <c r="AE115" s="85" t="str">
        <f t="shared" si="34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115" s="82" t="str">
        <f t="shared" si="35"/>
        <v>"C:\Program Files (x86)\AstroGrep\AstroGrep.exe" /spath="%USERPROFILE%\AppData\Local\Temp\OnboardLogs" /stypes="app*4032*20170304*" /stext=" 00:.+((SYSTEM_STATE.+slice.+state.+changed )|(ment ac)|(multiple cpu faults)|(system.+state.+changed )|(\[timeout)|(PRM\|1\|D)|(kpr)|(kdp)|(\|lc)|(penalty))" /e /r /s</v>
      </c>
      <c r="AG115" s="1" t="str">
        <f t="shared" si="36"/>
        <v>EC</v>
      </c>
      <c r="AH115" s="86" t="str">
        <f t="shared" si="38"/>
        <v>"%USERPROFILE%\Documents\GitHub\eaglep3\Utilities\RefineRTDCRunTimes.py" --tripid 202-03 --locoid 4032 --swversion DE.1.0.9.0 --startMP 204:232982 --initTime 2017-03-03T17:05:57 --startdatetime 2017-03-03T17:11:16 --delay 1 --endMP 204:161 --enddatetime 2017-03-03T17:55:42 --enforcementcount 0 &gt;&gt;C:\Users\stu\Documents\GitHub\eaglep3-reporting\EC\2017-03-03-refined-times.txt</v>
      </c>
      <c r="AI115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{"issue":{"subject":"","project_id":79,"tracker_id":40,"status_id":1,"priority_id":2,"assigned_to_id":23,"start_date":"2017-03-03","description":"","custom_fields":[{"id":1,"name":"Subdivision","value":"EC"},{"id":4,"name":"Milepost","value":"0.0161"},{"id":17,"name":"Train ID","value":"202-03"},{"id":16,"name":"Locomotive ID","value":"4032"},{"id":130,"name":"Impact","value":""},{"id":150,"name":"Time of Event (Mountain Time)","value":"17:55:42"},{"id":151,"name":"Denver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0"/>
        <v>start /low /b %USERPROFILE%\Documents\GitHub\eaglep3\Utilities\DownloadLogsFromS3.py --loco 4032 --day 2017-03-03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"%USERPROFILE%\AppData\Local\Temp\OnboardLogs"\RTDC4032\*4032*20170304* | grep -SE "(Enforcement Action)|(\[TIMEOUT)|(CHR.+\|PRM\|1\|D.+(SWITCH|SIGNAL).+UNKNOWN)" - &gt;&gt; 2017-03-03-UncaughtWiMAX.txt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739</v>
      </c>
      <c r="B116" s="7">
        <v>4011</v>
      </c>
      <c r="C116" s="21" t="s">
        <v>251</v>
      </c>
      <c r="D116" s="21" t="s">
        <v>238</v>
      </c>
      <c r="E116" s="13">
        <v>42797.685231481482</v>
      </c>
      <c r="F116" s="13">
        <v>42797.687685185185</v>
      </c>
      <c r="G116" s="7">
        <v>1</v>
      </c>
      <c r="H116" s="21" t="s">
        <v>244</v>
      </c>
      <c r="I116" s="13">
        <v>42797.714537037034</v>
      </c>
      <c r="J116" s="7">
        <v>0</v>
      </c>
      <c r="K116" s="98" t="str">
        <f t="shared" si="25"/>
        <v>4011/4012</v>
      </c>
      <c r="L116" s="21" t="str">
        <f>VLOOKUP(A116,'Trips&amp;Operators'!$C$1:$G$99999,5,FALSE)</f>
        <v>DELGADO DIANAH</v>
      </c>
      <c r="M116" s="6">
        <f t="shared" si="26"/>
        <v>2.6851851849642117E-2</v>
      </c>
      <c r="N116" s="7">
        <f t="shared" si="50"/>
        <v>38.666666663484648</v>
      </c>
      <c r="O116" s="7"/>
      <c r="P116" s="7"/>
      <c r="Q116" s="22"/>
      <c r="R116" s="22"/>
      <c r="S116" s="31">
        <f t="shared" si="37"/>
        <v>1</v>
      </c>
      <c r="T116" s="46" t="str">
        <f t="shared" si="27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8"/>
        <v>https://d0f6bd738d7f1b3e5a7ca70fe4ff75f0.us-east-1.aws.found.io/app/kibana#/discover/Steve-Slow-Train-Analysis-(2080s-and-2083s)?_g=(refreshInterval:(display:Off,pause:!f,section:0,value:0),time:(from:'2017-03-03T15:26:44-0700',mode:absolute,to:'2017-03-03T18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197" t="str">
        <f t="shared" si="29"/>
        <v>N</v>
      </c>
      <c r="X116" s="197">
        <f t="shared" si="46"/>
        <v>1</v>
      </c>
      <c r="Y116" s="62">
        <f t="shared" si="42"/>
        <v>4.3999999999999997E-2</v>
      </c>
      <c r="Z116" s="62">
        <f t="shared" si="31"/>
        <v>23.331700000000001</v>
      </c>
      <c r="AA116" s="62">
        <f t="shared" si="32"/>
        <v>23.287700000000001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3"/>
        <v>0203-03</v>
      </c>
      <c r="AE116" s="85" t="str">
        <f t="shared" si="34"/>
        <v>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 &amp; aws s3 cp s3://rtdc.mdm.uploadarchive.raw/RTDC4011/ "%USERPROFILE%\AppData\Local\Temp\OnboardLogs"\RTDC4011\2017-03-04 --exclude "*" --recursive --include "*20170304*" &amp; "%USERPROFILE%\Documents\GitHub\mrs-test-scripts\Headless Mode &amp; Sideloading\WalkAndUnGZ.bat" "%USERPROFILE%\AppData\Local\Temp\OnboardLogs"\RTDC4011\2017-03-04</v>
      </c>
      <c r="AF116" s="82" t="str">
        <f t="shared" si="35"/>
        <v>"C:\Program Files (x86)\AstroGrep\AstroGrep.exe" /spath="%USERPROFILE%\AppData\Local\Temp\OnboardLogs" /stypes="app*4011*20170304*" /stext=" 00:.+((SYSTEM_STATE.+slice.+state.+changed )|(ment ac)|(multiple cpu faults)|(system.+state.+changed )|(\[timeout)|(PRM\|1\|D)|(kpr)|(kdp)|(\|lc)|(penalty))" /e /r /s</v>
      </c>
      <c r="AG116" s="1" t="str">
        <f t="shared" si="36"/>
        <v>EC</v>
      </c>
      <c r="AH116" s="86" t="str">
        <f t="shared" si="38"/>
        <v>"%USERPROFILE%\Documents\GitHub\eaglep3\Utilities\RefineRTDCRunTimes.py" --tripid 203-03 --locoid 4011 --swversion DE.1.0.9.0 --startMP 204:440 --initTime 2017-03-03T16:26:44 --startdatetime 2017-03-03T16:30:16 --delay 1 --endMP 204:233317 --enddatetime 2017-03-03T17:08:56 --enforcementcount 0 &gt;&gt;C:\Users\stu\Documents\GitHub\eaglep3-reporting\EC\2017-03-03-refined-times.txt</v>
      </c>
      <c r="AI116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{"issue":{"subject":"","project_id":79,"tracker_id":40,"status_id":1,"priority_id":2,"assigned_to_id":23,"start_date":"2017-03-03","description":"","custom_fields":[{"id":1,"name":"Subdivision","value":"EC"},{"id":4,"name":"Milepost","value":"23.3317"},{"id":17,"name":"Train ID","value":"203-03"},{"id":16,"name":"Locomotive ID","value":"4011"},{"id":130,"name":"Impact","value":""},{"id":150,"name":"Time of Event (Mountain Time)","value":"17:08:56"},{"id":151,"name":"Denver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0"/>
        <v>start /low /b %USERPROFILE%\Documents\GitHub\eaglep3\Utilities\DownloadLogsFromS3.py --loco 4011 --day 2017-03-03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"%USERPROFILE%\AppData\Local\Temp\OnboardLogs"\RTDC4011\*4011*20170303* | grep -SE "(Enforcement Action)|(\[TIMEOUT)|(CHR.+\|PRM\|1\|D.+(SWITCH|SIGNAL).+UNKNOWN)" - &gt;&gt; 2017-03-03-UncaughtWiMAX.txt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749</v>
      </c>
      <c r="B117" s="7">
        <v>4012</v>
      </c>
      <c r="C117" s="21" t="s">
        <v>251</v>
      </c>
      <c r="D117" s="21" t="s">
        <v>873</v>
      </c>
      <c r="E117" s="13">
        <v>42797.717326388891</v>
      </c>
      <c r="F117" s="13">
        <v>42797.726574074077</v>
      </c>
      <c r="G117" s="7">
        <v>1</v>
      </c>
      <c r="H117" s="21" t="s">
        <v>824</v>
      </c>
      <c r="I117" s="13">
        <v>42797.756712962961</v>
      </c>
      <c r="J117" s="7">
        <v>0</v>
      </c>
      <c r="K117" s="98" t="str">
        <f t="shared" si="25"/>
        <v>4011/4012</v>
      </c>
      <c r="L117" s="21" t="str">
        <f>VLOOKUP(A117,'Trips&amp;Operators'!$C$1:$G$99999,5,FALSE)</f>
        <v>DELGADO DIANAH</v>
      </c>
      <c r="M117" s="6">
        <f t="shared" si="26"/>
        <v>3.0138888883811887E-2</v>
      </c>
      <c r="N117" s="7">
        <f t="shared" si="50"/>
        <v>43.399999992689118</v>
      </c>
      <c r="O117" s="7"/>
      <c r="P117" s="7"/>
      <c r="Q117" s="22"/>
      <c r="R117" s="22"/>
      <c r="S117" s="31">
        <f t="shared" si="37"/>
        <v>1</v>
      </c>
      <c r="T117" s="46" t="str">
        <f t="shared" si="27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8"/>
        <v>https://d0f6bd738d7f1b3e5a7ca70fe4ff75f0.us-east-1.aws.found.io/app/kibana#/discover/Steve-Slow-Train-Analysis-(2080s-and-2083s)?_g=(refreshInterval:(display:Off,pause:!f,section:0,value:0),time:(from:'2017-03-03T16:12:57-0700',mode:absolute,to:'2017-03-03T19:09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7" s="197" t="str">
        <f t="shared" si="29"/>
        <v>N</v>
      </c>
      <c r="X117" s="197">
        <f t="shared" si="46"/>
        <v>1</v>
      </c>
      <c r="Y117" s="62">
        <f t="shared" si="42"/>
        <v>23.302099999999999</v>
      </c>
      <c r="Z117" s="62">
        <f t="shared" si="31"/>
        <v>1.6299999999999999E-2</v>
      </c>
      <c r="AA117" s="62">
        <f t="shared" si="32"/>
        <v>23.285799999999998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3"/>
        <v>0204-03</v>
      </c>
      <c r="AE117" s="85" t="str">
        <f t="shared" si="34"/>
        <v>aws s3 cp s3://rtdc.mdm.uploadarchive.raw/RTDC4012/ "%USERPROFILE%\AppData\Local\Temp\OnboardLogs"\RTDC4012\2017-03-03 --exclude "*" --recursive --include "*20170303*" &amp; "%USERPROFILE%\Documents\GitHub\mrs-test-scripts\Headless Mode &amp; Sideloading\WalkAndUnGZ.bat" "%USERPROFILE%\AppData\Local\Temp\OnboardLogs"\RTDC4012\2017-03-03 &amp; 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</v>
      </c>
      <c r="AF117" s="82" t="str">
        <f t="shared" si="35"/>
        <v>"C:\Program Files (x86)\AstroGrep\AstroGrep.exe" /spath="%USERPROFILE%\AppData\Local\Temp\OnboardLogs" /stypes="app*4012*20170304*" /stext=" 01:.+((SYSTEM_STATE.+slice.+state.+changed )|(ment ac)|(multiple cpu faults)|(system.+state.+changed )|(\[timeout)|(PRM\|1\|D)|(kpr)|(kdp)|(\|lc)|(penalty))" /e /r /s</v>
      </c>
      <c r="AG117" s="1" t="str">
        <f t="shared" si="36"/>
        <v>EC</v>
      </c>
      <c r="AH117" s="86" t="str">
        <f t="shared" si="38"/>
        <v>"%USERPROFILE%\Documents\GitHub\eaglep3\Utilities\RefineRTDCRunTimes.py" --tripid 204-03 --locoid 4012 --swversion DE.1.0.9.0 --startMP 204:233021 --initTime 2017-03-03T17:12:57 --startdatetime 2017-03-03T17:26:16 --delay 1 --endMP 204:163 --enddatetime 2017-03-03T18:09:40 --enforcementcount 0 &gt;&gt;C:\Users\stu\Documents\GitHub\eaglep3-reporting\EC\2017-03-03-refined-times.txt</v>
      </c>
      <c r="AI117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{"issue":{"subject":"","project_id":79,"tracker_id":40,"status_id":1,"priority_id":2,"assigned_to_id":23,"start_date":"2017-03-03","description":"","custom_fields":[{"id":1,"name":"Subdivision","value":"EC"},{"id":4,"name":"Milepost","value":"0.0163"},{"id":17,"name":"Train ID","value":"204-03"},{"id":16,"name":"Locomotive ID","value":"4012"},{"id":130,"name":"Impact","value":""},{"id":150,"name":"Time of Event (Mountain Time)","value":"18:09:40"},{"id":151,"name":"Denver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0"/>
        <v>start /low /b %USERPROFILE%\Documents\GitHub\eaglep3\Utilities\DownloadLogsFromS3.py --loco 4012 --day 2017-03-03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"%USERPROFILE%\AppData\Local\Temp\OnboardLogs"\RTDC4012\*4012*20170304* | grep -SE "(Enforcement Action)|(\[TIMEOUT)|(CHR.+\|PRM\|1\|D.+(SWITCH|SIGNAL).+UNKNOWN)" - &gt;&gt; 2017-03-03-UncaughtWiMAX.txt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742</v>
      </c>
      <c r="B118" s="7">
        <v>4051</v>
      </c>
      <c r="C118" s="21" t="s">
        <v>251</v>
      </c>
      <c r="D118" s="21" t="s">
        <v>874</v>
      </c>
      <c r="E118" s="13">
        <v>42797.693831018521</v>
      </c>
      <c r="F118" s="13">
        <v>42797.698078703703</v>
      </c>
      <c r="G118" s="7">
        <v>1</v>
      </c>
      <c r="H118" s="21" t="s">
        <v>875</v>
      </c>
      <c r="I118" s="13">
        <v>42797.724143518521</v>
      </c>
      <c r="J118" s="7">
        <v>0</v>
      </c>
      <c r="K118" s="98" t="str">
        <f t="shared" si="25"/>
        <v>4051/4052</v>
      </c>
      <c r="L118" s="21" t="str">
        <f>VLOOKUP(A118,'Trips&amp;Operators'!$C$1:$G$99999,5,FALSE)</f>
        <v>CLARK KATHLEEN</v>
      </c>
      <c r="M118" s="6">
        <f t="shared" si="26"/>
        <v>2.6064814817800652E-2</v>
      </c>
      <c r="N118" s="7">
        <f t="shared" si="50"/>
        <v>37.533333337632939</v>
      </c>
      <c r="O118" s="7"/>
      <c r="P118" s="7"/>
      <c r="Q118" s="22"/>
      <c r="R118" s="22"/>
      <c r="S118" s="31">
        <f t="shared" si="37"/>
        <v>1</v>
      </c>
      <c r="T118" s="46" t="str">
        <f t="shared" si="27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8"/>
        <v>https://d0f6bd738d7f1b3e5a7ca70fe4ff75f0.us-east-1.aws.found.io/app/kibana#/discover/Steve-Slow-Train-Analysis-(2080s-and-2083s)?_g=(refreshInterval:(display:Off,pause:!f,section:0,value:0),time:(from:'2017-03-03T15:39:07-0700',mode:absolute,to:'2017-03-03T18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8" s="197" t="str">
        <f t="shared" si="29"/>
        <v>N</v>
      </c>
      <c r="X118" s="197">
        <f t="shared" si="46"/>
        <v>1</v>
      </c>
      <c r="Y118" s="62">
        <f t="shared" si="42"/>
        <v>4.8899999999999999E-2</v>
      </c>
      <c r="Z118" s="62">
        <f t="shared" si="31"/>
        <v>23.327400000000001</v>
      </c>
      <c r="AA118" s="62">
        <f t="shared" si="32"/>
        <v>23.278500000000001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3"/>
        <v>0205-03</v>
      </c>
      <c r="AE118" s="85" t="str">
        <f t="shared" si="34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118" s="82" t="str">
        <f t="shared" si="35"/>
        <v>"C:\Program Files (x86)\AstroGrep\AstroGrep.exe" /spath="%USERPROFILE%\AppData\Local\Temp\OnboardLogs" /stypes="app*4051*20170304*" /stext=" 00:.+((SYSTEM_STATE.+slice.+state.+changed )|(ment ac)|(multiple cpu faults)|(system.+state.+changed )|(\[timeout)|(PRM\|1\|D)|(kpr)|(kdp)|(\|lc)|(penalty))" /e /r /s</v>
      </c>
      <c r="AG118" s="1" t="str">
        <f t="shared" si="36"/>
        <v>EC</v>
      </c>
      <c r="AH118" s="86" t="str">
        <f t="shared" si="38"/>
        <v>"%USERPROFILE%\Documents\GitHub\eaglep3\Utilities\RefineRTDCRunTimes.py" --tripid 205-03 --locoid 4051 --swversion DE.1.0.9.0 --startMP 204:489 --initTime 2017-03-03T16:39:07 --startdatetime 2017-03-03T16:45:14 --delay 1 --endMP 204:233274 --enddatetime 2017-03-03T17:22:46 --enforcementcount 0 &gt;&gt;C:\Users\stu\Documents\GitHub\eaglep3-reporting\EC\2017-03-03-refined-times.txt</v>
      </c>
      <c r="AI118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{"issue":{"subject":"","project_id":79,"tracker_id":40,"status_id":1,"priority_id":2,"assigned_to_id":23,"start_date":"2017-03-03","description":"","custom_fields":[{"id":1,"name":"Subdivision","value":"EC"},{"id":4,"name":"Milepost","value":"23.3274"},{"id":17,"name":"Train ID","value":"205-03"},{"id":16,"name":"Locomotive ID","value":"4051"},{"id":130,"name":"Impact","value":""},{"id":150,"name":"Time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0"/>
        <v>start /low /b %USERPROFILE%\Documents\GitHub\eaglep3\Utilities\DownloadLogsFromS3.py --loco 4051 --day 2017-03-03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"%USERPROFILE%\AppData\Local\Temp\OnboardLogs"\RTDC4051\*4051*20170304* | grep -SE "(Enforcement Action)|(\[TIMEOUT)|(CHR.+\|PRM\|1\|D.+(SWITCH|SIGNAL).+UNKNOWN)" - &gt;&gt; 2017-03-03-UncaughtWiMAX.txt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752</v>
      </c>
      <c r="B119" s="7">
        <v>4052</v>
      </c>
      <c r="C119" s="21" t="s">
        <v>251</v>
      </c>
      <c r="D119" s="21" t="s">
        <v>876</v>
      </c>
      <c r="E119" s="13">
        <v>42797.731840277775</v>
      </c>
      <c r="F119" s="13">
        <v>42797.736979166664</v>
      </c>
      <c r="G119" s="7">
        <v>1</v>
      </c>
      <c r="H119" s="21" t="s">
        <v>846</v>
      </c>
      <c r="I119" s="13">
        <v>42797.76829861111</v>
      </c>
      <c r="J119" s="7">
        <v>0</v>
      </c>
      <c r="K119" s="98" t="str">
        <f t="shared" si="25"/>
        <v>4051/4052</v>
      </c>
      <c r="L119" s="21" t="str">
        <f>VLOOKUP(A119,'Trips&amp;Operators'!$C$1:$G$99999,5,FALSE)</f>
        <v>CLARK KATHLEEN</v>
      </c>
      <c r="M119" s="6">
        <f t="shared" si="26"/>
        <v>3.1319444446125999E-2</v>
      </c>
      <c r="N119" s="7">
        <f t="shared" si="50"/>
        <v>45.100000002421439</v>
      </c>
      <c r="O119" s="7"/>
      <c r="P119" s="7"/>
      <c r="Q119" s="22"/>
      <c r="R119" s="22"/>
      <c r="S119" s="31">
        <f t="shared" si="37"/>
        <v>1</v>
      </c>
      <c r="T119" s="46" t="str">
        <f t="shared" si="27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8"/>
        <v>https://d0f6bd738d7f1b3e5a7ca70fe4ff75f0.us-east-1.aws.found.io/app/kibana#/discover/Steve-Slow-Train-Analysis-(2080s-and-2083s)?_g=(refreshInterval:(display:Off,pause:!f,section:0,value:0),time:(from:'2017-03-03T16:33:51-0700',mode:absolute,to:'2017-03-03T19:26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9" s="197" t="str">
        <f t="shared" si="29"/>
        <v>N</v>
      </c>
      <c r="X119" s="197">
        <f t="shared" si="46"/>
        <v>1</v>
      </c>
      <c r="Y119" s="62">
        <f t="shared" si="42"/>
        <v>23.295200000000001</v>
      </c>
      <c r="Z119" s="62">
        <f t="shared" si="31"/>
        <v>1.6E-2</v>
      </c>
      <c r="AA119" s="62">
        <f t="shared" si="32"/>
        <v>23.279200000000003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3"/>
        <v>0206-03</v>
      </c>
      <c r="AE119" s="85" t="str">
        <f t="shared" si="34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119" s="82" t="str">
        <f t="shared" si="35"/>
        <v>"C:\Program Files (x86)\AstroGrep\AstroGrep.exe" /spath="%USERPROFILE%\AppData\Local\Temp\OnboardLogs" /stypes="app*4052*20170304*" /stext=" 01:.+((SYSTEM_STATE.+slice.+state.+changed )|(ment ac)|(multiple cpu faults)|(system.+state.+changed )|(\[timeout)|(PRM\|1\|D)|(kpr)|(kdp)|(\|lc)|(penalty))" /e /r /s</v>
      </c>
      <c r="AG119" s="1" t="str">
        <f t="shared" si="36"/>
        <v>EC</v>
      </c>
      <c r="AH119" s="86" t="str">
        <f t="shared" si="38"/>
        <v>"%USERPROFILE%\Documents\GitHub\eaglep3\Utilities\RefineRTDCRunTimes.py" --tripid 206-03 --locoid 4052 --swversion DE.1.0.9.0 --startMP 204:232952 --initTime 2017-03-03T17:33:51 --startdatetime 2017-03-03T17:41:15 --delay 1 --endMP 204:160 --enddatetime 2017-03-03T18:26:21 --enforcementcount 0 &gt;&gt;C:\Users\stu\Documents\GitHub\eaglep3-reporting\EC\2017-03-03-refined-times.txt</v>
      </c>
      <c r="AI119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{"issue":{"subject":"","project_id":79,"tracker_id":40,"status_id":1,"priority_id":2,"assigned_to_id":23,"start_date":"2017-03-03","description":"","custom_fields":[{"id":1,"name":"Subdivision","value":"EC"},{"id":4,"name":"Milepost","value":"0.016"},{"id":17,"name":"Train ID","value":"206-03"},{"id":16,"name":"Locomotive ID","value":"4052"},{"id":130,"name":"Impact","value":""},{"id":150,"name":"Time of Event (Mountain Time)","value":"18:26:21"},{"id":151,"name":"Denver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0"/>
        <v>start /low /b %USERPROFILE%\Documents\GitHub\eaglep3\Utilities\DownloadLogsFromS3.py --loco 4052 --day 2017-03-03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"%USERPROFILE%\AppData\Local\Temp\OnboardLogs"\RTDC4052\*4052*20170304* | grep -SE "(Enforcement Action)|(\[TIMEOUT)|(CHR.+\|PRM\|1\|D.+(SWITCH|SIGNAL).+UNKNOWN)" - &gt;&gt; 2017-03-03-UncaughtWiMAX.txt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745</v>
      </c>
      <c r="B120" s="7">
        <v>4046</v>
      </c>
      <c r="C120" s="21" t="s">
        <v>251</v>
      </c>
      <c r="D120" s="21" t="s">
        <v>854</v>
      </c>
      <c r="E120" s="13">
        <v>42797.704270833332</v>
      </c>
      <c r="F120" s="13">
        <v>42797.708506944444</v>
      </c>
      <c r="G120" s="7">
        <v>1</v>
      </c>
      <c r="H120" s="21" t="s">
        <v>273</v>
      </c>
      <c r="I120" s="13">
        <v>42797.734039351853</v>
      </c>
      <c r="J120" s="7">
        <v>0</v>
      </c>
      <c r="K120" s="98" t="str">
        <f t="shared" si="25"/>
        <v>4045/4046</v>
      </c>
      <c r="L120" s="21" t="str">
        <f>VLOOKUP(A120,'Trips&amp;Operators'!$C$1:$G$99999,5,FALSE)</f>
        <v>BRUDER RICHARD</v>
      </c>
      <c r="M120" s="6">
        <f t="shared" si="26"/>
        <v>2.5532407409627922E-2</v>
      </c>
      <c r="N120" s="7">
        <f t="shared" si="50"/>
        <v>36.766666669864208</v>
      </c>
      <c r="O120" s="7"/>
      <c r="P120" s="7"/>
      <c r="Q120" s="22"/>
      <c r="R120" s="22"/>
      <c r="S120" s="31">
        <f t="shared" si="37"/>
        <v>1</v>
      </c>
      <c r="T120" s="46" t="str">
        <f t="shared" si="27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8"/>
        <v>https://d0f6bd738d7f1b3e5a7ca70fe4ff75f0.us-east-1.aws.found.io/app/kibana#/discover/Steve-Slow-Train-Analysis-(2080s-and-2083s)?_g=(refreshInterval:(display:Off,pause:!f,section:0,value:0),time:(from:'2017-03-03T15:54:09-0700',mode:absolute,to:'2017-03-03T18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0" s="197" t="str">
        <f t="shared" si="29"/>
        <v>N</v>
      </c>
      <c r="X120" s="197">
        <f t="shared" ref="X120:X151" si="51">VALUE(LEFT(AD120,4))-VALUE(LEFT(AD119,4))</f>
        <v>1</v>
      </c>
      <c r="Y120" s="62">
        <f t="shared" si="42"/>
        <v>4.7100000000000003E-2</v>
      </c>
      <c r="Z120" s="62">
        <f t="shared" si="31"/>
        <v>23.331199999999999</v>
      </c>
      <c r="AA120" s="62">
        <f t="shared" si="32"/>
        <v>23.284099999999999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3"/>
        <v>0207-03</v>
      </c>
      <c r="AE120" s="85" t="str">
        <f t="shared" si="34"/>
        <v>aws s3 cp s3://rtdc.mdm.uploadarchive.raw/RTDC4046/ "%USERPROFILE%\AppData\Local\Temp\OnboardLogs"\RTDC4046\2017-03-03 --exclude "*" --recursive --include "*20170303*" &amp; "%USERPROFILE%\Documents\GitHub\mrs-test-scripts\Headless Mode &amp; Sideloading\WalkAndUnGZ.bat" "%USERPROFILE%\AppData\Local\Temp\OnboardLogs"\RTDC4046\2017-03-03 &amp; aws s3 cp s3://rtdc.mdm.uploadarchive.raw/RTDC4046/ "%USERPROFILE%\AppData\Local\Temp\OnboardLogs"\RTDC4046\2017-03-04 --exclude "*" --recursive --include "*20170304*" &amp; "%USERPROFILE%\Documents\GitHub\mrs-test-scripts\Headless Mode &amp; Sideloading\WalkAndUnGZ.bat" "%USERPROFILE%\AppData\Local\Temp\OnboardLogs"\RTDC4046\2017-03-04</v>
      </c>
      <c r="AF120" s="82" t="str">
        <f t="shared" si="35"/>
        <v>"C:\Program Files (x86)\AstroGrep\AstroGrep.exe" /spath="%USERPROFILE%\AppData\Local\Temp\OnboardLogs" /stypes="app*4046*20170304*" /stext=" 00:.+((SYSTEM_STATE.+slice.+state.+changed )|(ment ac)|(multiple cpu faults)|(system.+state.+changed )|(\[timeout)|(PRM\|1\|D)|(kpr)|(kdp)|(\|lc)|(penalty))" /e /r /s</v>
      </c>
      <c r="AG120" s="1" t="str">
        <f t="shared" si="36"/>
        <v>EC</v>
      </c>
      <c r="AH120" s="86" t="str">
        <f t="shared" si="38"/>
        <v>"%USERPROFILE%\Documents\GitHub\eaglep3\Utilities\RefineRTDCRunTimes.py" --tripid 207-03 --locoid 4046 --swversion DE.1.0.9.0 --startMP 204:471 --initTime 2017-03-03T16:54:09 --startdatetime 2017-03-03T17:00:15 --delay 1 --endMP 204:233312 --enddatetime 2017-03-03T17:37:01 --enforcementcount 0 &gt;&gt;C:\Users\stu\Documents\GitHub\eaglep3-reporting\EC\2017-03-03-refined-times.txt</v>
      </c>
      <c r="AI120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{"issue":{"subject":"","project_id":79,"tracker_id":40,"status_id":1,"priority_id":2,"assigned_to_id":23,"start_date":"2017-03-03","description":"","custom_fields":[{"id":1,"name":"Subdivision","value":"EC"},{"id":4,"name":"Milepost","value":"23.3312"},{"id":17,"name":"Train ID","value":"207-03"},{"id":16,"name":"Locomotive ID","value":"4046"},{"id":130,"name":"Impact","value":""},{"id":150,"name":"Time of Event (Mountain Time)","value":"17:37:01"},{"id":151,"name":"Denver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0"/>
        <v>start /low /b %USERPROFILE%\Documents\GitHub\eaglep3\Utilities\DownloadLogsFromS3.py --loco 4046 --day 2017-03-03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"%USERPROFILE%\AppData\Local\Temp\OnboardLogs"\RTDC4046\*4046*20170304* | grep -SE "(Enforcement Action)|(\[TIMEOUT)|(CHR.+\|PRM\|1\|D.+(SWITCH|SIGNAL).+UNKNOWN)" - &gt;&gt; 2017-03-03-UncaughtWiMAX.txt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756</v>
      </c>
      <c r="B121" s="7">
        <v>4045</v>
      </c>
      <c r="C121" s="21" t="s">
        <v>251</v>
      </c>
      <c r="D121" s="21" t="s">
        <v>278</v>
      </c>
      <c r="E121" s="13">
        <v>42797.739722222221</v>
      </c>
      <c r="F121" s="13">
        <v>42797.747395833336</v>
      </c>
      <c r="G121" s="7">
        <v>1</v>
      </c>
      <c r="H121" s="21" t="s">
        <v>194</v>
      </c>
      <c r="I121" s="13">
        <v>42797.780173611114</v>
      </c>
      <c r="J121" s="7">
        <v>0</v>
      </c>
      <c r="K121" s="98" t="str">
        <f t="shared" si="25"/>
        <v>4045/4046</v>
      </c>
      <c r="L121" s="21" t="str">
        <f>VLOOKUP(A121,'Trips&amp;Operators'!$C$1:$G$99999,5,FALSE)</f>
        <v>BRUDER RICHARD</v>
      </c>
      <c r="M121" s="6">
        <f t="shared" si="26"/>
        <v>3.2777777778392192E-2</v>
      </c>
      <c r="N121" s="7">
        <f t="shared" si="50"/>
        <v>47.200000000884756</v>
      </c>
      <c r="O121" s="7"/>
      <c r="P121" s="7"/>
      <c r="Q121" s="22"/>
      <c r="R121" s="22"/>
      <c r="S121" s="31">
        <f t="shared" si="37"/>
        <v>1</v>
      </c>
      <c r="T121" s="46" t="str">
        <f t="shared" si="27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8"/>
        <v>https://d0f6bd738d7f1b3e5a7ca70fe4ff75f0.us-east-1.aws.found.io/app/kibana#/discover/Steve-Slow-Train-Analysis-(2080s-and-2083s)?_g=(refreshInterval:(display:Off,pause:!f,section:0,value:0),time:(from:'2017-03-03T16:45:12-0700',mode:absolute,to:'2017-03-03T19:43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1" s="197" t="str">
        <f t="shared" si="29"/>
        <v>N</v>
      </c>
      <c r="X121" s="197">
        <f t="shared" si="51"/>
        <v>1</v>
      </c>
      <c r="Y121" s="62">
        <f t="shared" si="42"/>
        <v>23.3</v>
      </c>
      <c r="Z121" s="62">
        <f t="shared" si="31"/>
        <v>1.4999999999999999E-2</v>
      </c>
      <c r="AA121" s="62">
        <f t="shared" si="32"/>
        <v>23.285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3"/>
        <v>0208-03</v>
      </c>
      <c r="AE121" s="85" t="str">
        <f t="shared" si="34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121" s="82" t="str">
        <f t="shared" si="35"/>
        <v>"C:\Program Files (x86)\AstroGrep\AstroGrep.exe" /spath="%USERPROFILE%\AppData\Local\Temp\OnboardLogs" /stypes="app*4045*20170304*" /stext=" 01:.+((SYSTEM_STATE.+slice.+state.+changed )|(ment ac)|(multiple cpu faults)|(system.+state.+changed )|(\[timeout)|(PRM\|1\|D)|(kpr)|(kdp)|(\|lc)|(penalty))" /e /r /s</v>
      </c>
      <c r="AG121" s="1" t="str">
        <f t="shared" si="36"/>
        <v>EC</v>
      </c>
      <c r="AH121" s="86" t="str">
        <f t="shared" si="38"/>
        <v>"%USERPROFILE%\Documents\GitHub\eaglep3\Utilities\RefineRTDCRunTimes.py" --tripid 208-03 --locoid 4045 --swversion DE.1.0.9.0 --startMP 204:233000 --initTime 2017-03-03T17:45:12 --startdatetime 2017-03-03T17:56:15 --delay 1 --endMP 204:150 --enddatetime 2017-03-03T18:43:27 --enforcementcount 0 &gt;&gt;C:\Users\stu\Documents\GitHub\eaglep3-reporting\EC\2017-03-03-refined-times.txt</v>
      </c>
      <c r="AI121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{"issue":{"subject":"","project_id":79,"tracker_id":40,"status_id":1,"priority_id":2,"assigned_to_id":23,"start_date":"2017-03-03","description":"","custom_fields":[{"id":1,"name":"Subdivision","value":"EC"},{"id":4,"name":"Milepost","value":"0.015"},{"id":17,"name":"Train ID","value":"208-03"},{"id":16,"name":"Locomotive ID","value":"4045"},{"id":130,"name":"Impact","value":""},{"id":150,"name":"Time of Event (Mountain Time)","value":"18:43:27"},{"id":151,"name":"Denver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0"/>
        <v>start /low /b %USERPROFILE%\Documents\GitHub\eaglep3\Utilities\DownloadLogsFromS3.py --loco 4045 --day 2017-03-03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"%USERPROFILE%\AppData\Local\Temp\OnboardLogs"\RTDC4045\*4045*20170304* | grep -SE "(Enforcement Action)|(\[TIMEOUT)|(CHR.+\|PRM\|1\|D.+(SWITCH|SIGNAL).+UNKNOWN)" - &gt;&gt; 2017-03-03-UncaughtWiMAX.txt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748</v>
      </c>
      <c r="B122" s="7">
        <v>4027</v>
      </c>
      <c r="C122" s="21" t="s">
        <v>251</v>
      </c>
      <c r="D122" s="21" t="s">
        <v>877</v>
      </c>
      <c r="E122" s="13">
        <v>42797.715960648151</v>
      </c>
      <c r="F122" s="13">
        <v>42797.7190162037</v>
      </c>
      <c r="G122" s="7">
        <v>1</v>
      </c>
      <c r="H122" s="21" t="s">
        <v>534</v>
      </c>
      <c r="I122" s="13">
        <v>42797.745312500003</v>
      </c>
      <c r="J122" s="7">
        <v>0</v>
      </c>
      <c r="K122" s="98" t="str">
        <f t="shared" si="25"/>
        <v>4027/4028</v>
      </c>
      <c r="L122" s="21" t="str">
        <f>VLOOKUP(A122,'Trips&amp;Operators'!$C$1:$G$99999,5,FALSE)</f>
        <v>HELVIE ADAM</v>
      </c>
      <c r="M122" s="6">
        <f t="shared" si="26"/>
        <v>2.6296296302461997E-2</v>
      </c>
      <c r="N122" s="7">
        <f t="shared" si="50"/>
        <v>37.866666675545275</v>
      </c>
      <c r="O122" s="7"/>
      <c r="P122" s="7"/>
      <c r="Q122" s="22"/>
      <c r="R122" s="22"/>
      <c r="S122" s="31">
        <f t="shared" si="37"/>
        <v>1</v>
      </c>
      <c r="T122" s="46" t="str">
        <f t="shared" si="27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8"/>
        <v>https://d0f6bd738d7f1b3e5a7ca70fe4ff75f0.us-east-1.aws.found.io/app/kibana#/discover/Steve-Slow-Train-Analysis-(2080s-and-2083s)?_g=(refreshInterval:(display:Off,pause:!f,section:0,value:0),time:(from:'2017-03-03T16:10:59-0700',mode:absolute,to:'2017-03-03T18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2" s="197" t="str">
        <f t="shared" si="29"/>
        <v>N</v>
      </c>
      <c r="X122" s="197">
        <f t="shared" si="51"/>
        <v>1</v>
      </c>
      <c r="Y122" s="62">
        <f t="shared" si="42"/>
        <v>4.2900000000000001E-2</v>
      </c>
      <c r="Z122" s="62">
        <f t="shared" si="31"/>
        <v>23.330500000000001</v>
      </c>
      <c r="AA122" s="62">
        <f t="shared" si="32"/>
        <v>23.287600000000001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3"/>
        <v>0209-03</v>
      </c>
      <c r="AE122" s="85" t="str">
        <f t="shared" si="34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122" s="82" t="str">
        <f t="shared" si="35"/>
        <v>"C:\Program Files (x86)\AstroGrep\AstroGrep.exe" /spath="%USERPROFILE%\AppData\Local\Temp\OnboardLogs" /stypes="app*4027*20170304*" /stext=" 00:.+((SYSTEM_STATE.+slice.+state.+changed )|(ment ac)|(multiple cpu faults)|(system.+state.+changed )|(\[timeout)|(PRM\|1\|D)|(kpr)|(kdp)|(\|lc)|(penalty))" /e /r /s</v>
      </c>
      <c r="AG122" s="1" t="str">
        <f t="shared" si="36"/>
        <v>EC</v>
      </c>
      <c r="AH122" s="86" t="str">
        <f t="shared" si="38"/>
        <v>"%USERPROFILE%\Documents\GitHub\eaglep3\Utilities\RefineRTDCRunTimes.py" --tripid 209-03 --locoid 4027 --swversion DE.1.0.9.0 --startMP 204:429 --initTime 2017-03-03T17:10:59 --startdatetime 2017-03-03T17:15:23 --delay 1 --endMP 204:233305 --enddatetime 2017-03-03T17:53:15 --enforcementcount 0 &gt;&gt;C:\Users\stu\Documents\GitHub\eaglep3-reporting\EC\2017-03-03-refined-times.txt</v>
      </c>
      <c r="AI122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{"issue":{"subject":"","project_id":79,"tracker_id":40,"status_id":1,"priority_id":2,"assigned_to_id":23,"start_date":"2017-03-03","description":"","custom_fields":[{"id":1,"name":"Subdivision","value":"EC"},{"id":4,"name":"Milepost","value":"23.3305"},{"id":17,"name":"Train ID","value":"209-03"},{"id":16,"name":"Locomotive ID","value":"4027"},{"id":130,"name":"Impact","value":""},{"id":150,"name":"Time of Event (Mountain Time)","value":"17:53:15"},{"id":151,"name":"Denver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0"/>
        <v>start /low /b %USERPROFILE%\Documents\GitHub\eaglep3\Utilities\DownloadLogsFromS3.py --loco 4027 --day 2017-03-03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"%USERPROFILE%\AppData\Local\Temp\OnboardLogs"\RTDC4027\*4027*20170304* | grep -SE "(Enforcement Action)|(\[TIMEOUT)|(CHR.+\|PRM\|1\|D.+(SWITCH|SIGNAL).+UNKNOWN)" - &gt;&gt; 2017-03-03-UncaughtWiMAX.txt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759</v>
      </c>
      <c r="B123" s="7">
        <v>4028</v>
      </c>
      <c r="C123" s="21" t="s">
        <v>251</v>
      </c>
      <c r="D123" s="21" t="s">
        <v>274</v>
      </c>
      <c r="E123" s="13">
        <v>42797.756076388891</v>
      </c>
      <c r="F123" s="13">
        <v>42797.758368055554</v>
      </c>
      <c r="G123" s="7">
        <v>1</v>
      </c>
      <c r="H123" s="21" t="s">
        <v>194</v>
      </c>
      <c r="I123" s="13">
        <v>42797.792847222219</v>
      </c>
      <c r="J123" s="7">
        <v>0</v>
      </c>
      <c r="K123" s="98" t="str">
        <f t="shared" si="25"/>
        <v>4027/4028</v>
      </c>
      <c r="L123" s="21" t="str">
        <f>VLOOKUP(A123,'Trips&amp;Operators'!$C$1:$G$99999,5,FALSE)</f>
        <v>HELVIE ADAM</v>
      </c>
      <c r="M123" s="6">
        <f t="shared" si="26"/>
        <v>3.4479166664823424E-2</v>
      </c>
      <c r="N123" s="7">
        <f t="shared" si="50"/>
        <v>49.649999997345731</v>
      </c>
      <c r="O123" s="7"/>
      <c r="P123" s="7"/>
      <c r="Q123" s="22"/>
      <c r="R123" s="22"/>
      <c r="S123" s="31">
        <f t="shared" si="37"/>
        <v>1</v>
      </c>
      <c r="T123" s="46" t="str">
        <f t="shared" si="27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8"/>
        <v>https://d0f6bd738d7f1b3e5a7ca70fe4ff75f0.us-east-1.aws.found.io/app/kibana#/discover/Steve-Slow-Train-Analysis-(2080s-and-2083s)?_g=(refreshInterval:(display:Off,pause:!f,section:0,value:0),time:(from:'2017-03-03T17:08:45-0700',mode:absolute,to:'2017-03-03T20:01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97" t="str">
        <f t="shared" si="29"/>
        <v>N</v>
      </c>
      <c r="X123" s="197">
        <f t="shared" si="51"/>
        <v>1</v>
      </c>
      <c r="Y123" s="62">
        <f t="shared" si="42"/>
        <v>23.297699999999999</v>
      </c>
      <c r="Z123" s="62">
        <f t="shared" si="31"/>
        <v>1.4999999999999999E-2</v>
      </c>
      <c r="AA123" s="62">
        <f t="shared" si="32"/>
        <v>23.282699999999998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3"/>
        <v>0210-03</v>
      </c>
      <c r="AE123" s="85" t="str">
        <f t="shared" si="34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123" s="82" t="str">
        <f t="shared" si="35"/>
        <v>"C:\Program Files (x86)\AstroGrep\AstroGrep.exe" /spath="%USERPROFILE%\AppData\Local\Temp\OnboardLogs" /stypes="app*4028*20170304*" /stext=" 02:.+((SYSTEM_STATE.+slice.+state.+changed )|(ment ac)|(multiple cpu faults)|(system.+state.+changed )|(\[timeout)|(PRM\|1\|D)|(kpr)|(kdp)|(\|lc)|(penalty))" /e /r /s</v>
      </c>
      <c r="AG123" s="1" t="str">
        <f t="shared" si="36"/>
        <v>EC</v>
      </c>
      <c r="AH123" s="86" t="str">
        <f t="shared" si="38"/>
        <v>"%USERPROFILE%\Documents\GitHub\eaglep3\Utilities\RefineRTDCRunTimes.py" --tripid 210-03 --locoid 4028 --swversion DE.1.0.9.0 --startMP 204:232977 --initTime 2017-03-03T18:08:45 --startdatetime 2017-03-03T18:12:03 --delay 1 --endMP 204:150 --enddatetime 2017-03-03T19:01:42 --enforcementcount 0 &gt;&gt;C:\Users\stu\Documents\GitHub\eaglep3-reporting\EC\2017-03-03-refined-times.txt</v>
      </c>
      <c r="AI123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{"issue":{"subject":"","project_id":79,"tracker_id":40,"status_id":1,"priority_id":2,"assigned_to_id":23,"start_date":"2017-03-03","description":"","custom_fields":[{"id":1,"name":"Subdivision","value":"EC"},{"id":4,"name":"Milepost","value":"0.015"},{"id":17,"name":"Train ID","value":"210-03"},{"id":16,"name":"Locomotive ID","value":"4028"},{"id":130,"name":"Impact","value":""},{"id":150,"name":"Time of Event (Mountain Time)","value":"19:01:42"},{"id":151,"name":"Denver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0"/>
        <v>start /low /b %USERPROFILE%\Documents\GitHub\eaglep3\Utilities\DownloadLogsFromS3.py --loco 4028 --day 2017-03-03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"%USERPROFILE%\AppData\Local\Temp\OnboardLogs"\RTDC4028\*4028*20170304* | grep -SE "(Enforcement Action)|(\[TIMEOUT)|(CHR.+\|PRM\|1\|D.+(SWITCH|SIGNAL).+UNKNOWN)" - &gt;&gt; 2017-03-03-UncaughtWiMAX.txt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596</v>
      </c>
      <c r="B124" s="7">
        <v>4053</v>
      </c>
      <c r="C124" s="21" t="s">
        <v>251</v>
      </c>
      <c r="D124" s="21" t="s">
        <v>252</v>
      </c>
      <c r="E124" s="13">
        <v>42797.727858796294</v>
      </c>
      <c r="F124" s="13">
        <v>42797.73028935185</v>
      </c>
      <c r="G124" s="7">
        <v>1</v>
      </c>
      <c r="H124" s="21" t="s">
        <v>529</v>
      </c>
      <c r="I124" s="13">
        <v>42797.758900462963</v>
      </c>
      <c r="J124" s="7">
        <v>0</v>
      </c>
      <c r="K124" s="98" t="str">
        <f t="shared" si="25"/>
        <v>4053/4054</v>
      </c>
      <c r="L124" s="21" t="str">
        <f>VLOOKUP(A124,'Trips&amp;Operators'!$C$1:$G$99999,5,FALSE)</f>
        <v>KILLION DAVID</v>
      </c>
      <c r="M124" s="6">
        <f t="shared" si="26"/>
        <v>2.8611111112695653E-2</v>
      </c>
      <c r="N124" s="7">
        <f t="shared" si="50"/>
        <v>41.20000000228174</v>
      </c>
      <c r="O124" s="7"/>
      <c r="P124" s="7"/>
      <c r="Q124" s="22"/>
      <c r="R124" s="22"/>
      <c r="S124" s="31">
        <f t="shared" si="37"/>
        <v>1</v>
      </c>
      <c r="T124" s="46" t="str">
        <f t="shared" si="27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8"/>
        <v>https://d0f6bd738d7f1b3e5a7ca70fe4ff75f0.us-east-1.aws.found.io/app/kibana#/discover/Steve-Slow-Train-Analysis-(2080s-and-2083s)?_g=(refreshInterval:(display:Off,pause:!f,section:0,value:0),time:(from:'2017-03-03T16:28:07-0700',mode:absolute,to:'2017-03-03T19:12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97" t="str">
        <f t="shared" si="29"/>
        <v>N</v>
      </c>
      <c r="X124" s="197">
        <f t="shared" si="51"/>
        <v>1</v>
      </c>
      <c r="Y124" s="62">
        <f t="shared" si="42"/>
        <v>4.58E-2</v>
      </c>
      <c r="Z124" s="62">
        <f t="shared" si="31"/>
        <v>23.330200000000001</v>
      </c>
      <c r="AA124" s="62">
        <f t="shared" si="32"/>
        <v>23.284400000000002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3"/>
        <v>0211-03</v>
      </c>
      <c r="AE124" s="85" t="str">
        <f t="shared" si="34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124" s="82" t="str">
        <f t="shared" si="35"/>
        <v>"C:\Program Files (x86)\AstroGrep\AstroGrep.exe" /spath="%USERPROFILE%\AppData\Local\Temp\OnboardLogs" /stypes="app*4053*20170304*" /stext=" 01:.+((SYSTEM_STATE.+slice.+state.+changed )|(ment ac)|(multiple cpu faults)|(system.+state.+changed )|(\[timeout)|(PRM\|1\|D)|(kpr)|(kdp)|(\|lc)|(penalty))" /e /r /s</v>
      </c>
      <c r="AG124" s="1" t="str">
        <f t="shared" si="36"/>
        <v>EC</v>
      </c>
      <c r="AH124" s="86" t="str">
        <f t="shared" si="38"/>
        <v>"%USERPROFILE%\Documents\GitHub\eaglep3\Utilities\RefineRTDCRunTimes.py" --tripid 211-03 --locoid 4053 --swversion DE.1.0.9.0 --startMP 204:458 --initTime 2017-03-03T17:28:07 --startdatetime 2017-03-03T17:31:37 --delay 1 --endMP 204:233302 --enddatetime 2017-03-03T18:12:49 --enforcementcount 0 &gt;&gt;C:\Users\stu\Documents\GitHub\eaglep3-reporting\EC\2017-03-03-refined-times.txt</v>
      </c>
      <c r="AI124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{"issue":{"subject":"","project_id":79,"tracker_id":40,"status_id":1,"priority_id":2,"assigned_to_id":23,"start_date":"2017-03-03","description":"","custom_fields":[{"id":1,"name":"Subdivision","value":"EC"},{"id":4,"name":"Milepost","value":"23.3302"},{"id":17,"name":"Train ID","value":"211-03"},{"id":16,"name":"Locomotive ID","value":"4053"},{"id":130,"name":"Impact","value":""},{"id":150,"name":"Time of Event (Mountain Time)","value":"18:12:49"},{"id":151,"name":"Denver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0"/>
        <v>start /low /b %USERPROFILE%\Documents\GitHub\eaglep3\Utilities\DownloadLogsFromS3.py --loco 4053 --day 2017-03-03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2017-03-03-UncaughtWiMAX.txt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763</v>
      </c>
      <c r="B125" s="7">
        <v>4054</v>
      </c>
      <c r="C125" s="21" t="s">
        <v>251</v>
      </c>
      <c r="D125" s="21" t="s">
        <v>847</v>
      </c>
      <c r="E125" s="13">
        <v>42797.765532407408</v>
      </c>
      <c r="F125" s="13">
        <v>42797.768437500003</v>
      </c>
      <c r="G125" s="7">
        <v>1</v>
      </c>
      <c r="H125" s="21" t="s">
        <v>300</v>
      </c>
      <c r="I125" s="13">
        <v>42797.799108796295</v>
      </c>
      <c r="J125" s="7">
        <v>0</v>
      </c>
      <c r="K125" s="98" t="str">
        <f t="shared" si="25"/>
        <v>4053/4054</v>
      </c>
      <c r="L125" s="21" t="str">
        <f>VLOOKUP(A125,'Trips&amp;Operators'!$C$1:$G$99999,5,FALSE)</f>
        <v>KILLION DAVID</v>
      </c>
      <c r="M125" s="6">
        <f t="shared" si="26"/>
        <v>3.0671296291984618E-2</v>
      </c>
      <c r="N125" s="7">
        <f t="shared" si="50"/>
        <v>44.16666666045785</v>
      </c>
      <c r="O125" s="7"/>
      <c r="P125" s="7"/>
      <c r="Q125" s="22"/>
      <c r="R125" s="22"/>
      <c r="S125" s="31">
        <f t="shared" si="37"/>
        <v>1</v>
      </c>
      <c r="T125" s="46" t="str">
        <f t="shared" si="27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8"/>
        <v>https://d0f6bd738d7f1b3e5a7ca70fe4ff75f0.us-east-1.aws.found.io/app/kibana#/discover/Steve-Slow-Train-Analysis-(2080s-and-2083s)?_g=(refreshInterval:(display:Off,pause:!f,section:0,value:0),time:(from:'2017-03-03T17:22:22-0700',mode:absolute,to:'2017-03-03T20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197" t="str">
        <f t="shared" si="29"/>
        <v>N</v>
      </c>
      <c r="X125" s="197">
        <f t="shared" si="51"/>
        <v>1</v>
      </c>
      <c r="Y125" s="62">
        <f t="shared" si="42"/>
        <v>23.2989</v>
      </c>
      <c r="Z125" s="62">
        <f t="shared" si="31"/>
        <v>1.61E-2</v>
      </c>
      <c r="AA125" s="62">
        <f t="shared" si="32"/>
        <v>23.282799999999998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3"/>
        <v>0212-03</v>
      </c>
      <c r="AE125" s="85" t="str">
        <f t="shared" si="34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125" s="82" t="str">
        <f t="shared" si="35"/>
        <v>"C:\Program Files (x86)\AstroGrep\AstroGrep.exe" /spath="%USERPROFILE%\AppData\Local\Temp\OnboardLogs" /stypes="app*4054*20170304*" /stext=" 02:.+((SYSTEM_STATE.+slice.+state.+changed )|(ment ac)|(multiple cpu faults)|(system.+state.+changed )|(\[timeout)|(PRM\|1\|D)|(kpr)|(kdp)|(\|lc)|(penalty))" /e /r /s</v>
      </c>
      <c r="AG125" s="1" t="str">
        <f t="shared" si="36"/>
        <v>EC</v>
      </c>
      <c r="AH125" s="86" t="str">
        <f t="shared" si="38"/>
        <v>"%USERPROFILE%\Documents\GitHub\eaglep3\Utilities\RefineRTDCRunTimes.py" --tripid 212-03 --locoid 4054 --swversion DE.1.0.9.0 --startMP 204:232989 --initTime 2017-03-03T18:22:22 --startdatetime 2017-03-03T18:26:33 --delay 1 --endMP 204:161 --enddatetime 2017-03-03T19:10:43 --enforcementcount 0 &gt;&gt;C:\Users\stu\Documents\GitHub\eaglep3-reporting\EC\2017-03-03-refined-times.txt</v>
      </c>
      <c r="AI125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{"issue":{"subject":"","project_id":79,"tracker_id":40,"status_id":1,"priority_id":2,"assigned_to_id":23,"start_date":"2017-03-03","description":"","custom_fields":[{"id":1,"name":"Subdivision","value":"EC"},{"id":4,"name":"Milepost","value":"0.0161"},{"id":17,"name":"Train ID","value":"212-03"},{"id":16,"name":"Locomotive ID","value":"4054"},{"id":130,"name":"Impact","value":""},{"id":150,"name":"Time of Event (Mountain Time)","value":"19:10:43"},{"id":151,"name":"Denver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0"/>
        <v>start /low /b %USERPROFILE%\Documents\GitHub\eaglep3\Utilities\DownloadLogsFromS3.py --loco 4054 --day 2017-03-03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"%USERPROFILE%\AppData\Local\Temp\OnboardLogs"\RTDC4054\*4054*20170304* | grep -SE "(Enforcement Action)|(\[TIMEOUT)|(CHR.+\|PRM\|1\|D.+(SWITCH|SIGNAL).+UNKNOWN)" - &gt;&gt; 2017-03-03-UncaughtWiMAX.txt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597</v>
      </c>
      <c r="B126" s="7">
        <v>4029</v>
      </c>
      <c r="C126" s="21" t="s">
        <v>251</v>
      </c>
      <c r="D126" s="21" t="s">
        <v>230</v>
      </c>
      <c r="E126" s="13">
        <v>42797.740543981483</v>
      </c>
      <c r="F126" s="13">
        <v>42797.7424537037</v>
      </c>
      <c r="G126" s="7">
        <v>1</v>
      </c>
      <c r="H126" s="21" t="s">
        <v>878</v>
      </c>
      <c r="I126" s="13">
        <v>42797.770185185182</v>
      </c>
      <c r="J126" s="7">
        <v>0</v>
      </c>
      <c r="K126" s="98" t="str">
        <f t="shared" si="25"/>
        <v>4029/4030</v>
      </c>
      <c r="L126" s="21" t="str">
        <f>VLOOKUP(A126,'Trips&amp;Operators'!$C$1:$G$99999,5,FALSE)</f>
        <v>STORY SAMANTHA</v>
      </c>
      <c r="M126" s="6">
        <f t="shared" si="26"/>
        <v>2.7731481481168885E-2</v>
      </c>
      <c r="N126" s="7">
        <f t="shared" si="50"/>
        <v>39.933333332883194</v>
      </c>
      <c r="O126" s="7"/>
      <c r="P126" s="7"/>
      <c r="Q126" s="22"/>
      <c r="R126" s="22"/>
      <c r="S126" s="31">
        <f t="shared" si="37"/>
        <v>1</v>
      </c>
      <c r="T126" s="46" t="str">
        <f t="shared" si="27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8"/>
        <v>https://d0f6bd738d7f1b3e5a7ca70fe4ff75f0.us-east-1.aws.found.io/app/kibana#/discover/Steve-Slow-Train-Analysis-(2080s-and-2083s)?_g=(refreshInterval:(display:Off,pause:!f,section:0,value:0),time:(from:'2017-03-03T16:46:23-0700',mode:absolute,to:'2017-03-03T19:29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97" t="str">
        <f t="shared" si="29"/>
        <v>N</v>
      </c>
      <c r="X126" s="197">
        <f t="shared" si="51"/>
        <v>1</v>
      </c>
      <c r="Y126" s="62">
        <f t="shared" si="42"/>
        <v>4.53E-2</v>
      </c>
      <c r="Z126" s="62">
        <f t="shared" si="31"/>
        <v>23.331600000000002</v>
      </c>
      <c r="AA126" s="62">
        <f t="shared" si="32"/>
        <v>23.286300000000001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3"/>
        <v>0213-03</v>
      </c>
      <c r="AE126" s="85" t="str">
        <f t="shared" si="34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126" s="82" t="str">
        <f t="shared" si="35"/>
        <v>"C:\Program Files (x86)\AstroGrep\AstroGrep.exe" /spath="%USERPROFILE%\AppData\Local\Temp\OnboardLogs" /stypes="app*4029*20170304*" /stext=" 01:.+((SYSTEM_STATE.+slice.+state.+changed )|(ment ac)|(multiple cpu faults)|(system.+state.+changed )|(\[timeout)|(PRM\|1\|D)|(kpr)|(kdp)|(\|lc)|(penalty))" /e /r /s</v>
      </c>
      <c r="AG126" s="1" t="str">
        <f t="shared" si="36"/>
        <v>EC</v>
      </c>
      <c r="AH126" s="86" t="str">
        <f t="shared" si="38"/>
        <v>"%USERPROFILE%\Documents\GitHub\eaglep3\Utilities\RefineRTDCRunTimes.py" --tripid 213-03 --locoid 4029 --swversion DE.1.0.9.0 --startMP 204:453 --initTime 2017-03-03T17:46:23 --startdatetime 2017-03-03T17:49:08 --delay 1 --endMP 204:233316 --enddatetime 2017-03-03T18:29:04 --enforcementcount 0 &gt;&gt;C:\Users\stu\Documents\GitHub\eaglep3-reporting\EC\2017-03-03-refined-times.txt</v>
      </c>
      <c r="AI126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{"issue":{"subject":"","project_id":79,"tracker_id":40,"status_id":1,"priority_id":2,"assigned_to_id":23,"start_date":"2017-03-03","description":"","custom_fields":[{"id":1,"name":"Subdivision","value":"EC"},{"id":4,"name":"Milepost","value":"23.3316"},{"id":17,"name":"Train ID","value":"213-03"},{"id":16,"name":"Locomotive ID","value":"4029"},{"id":130,"name":"Impact","value":""},{"id":150,"name":"Time of Event (Mountain Time)","value":"18:29:04"},{"id":151,"name":"Denver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0"/>
        <v>start /low /b %USERPROFILE%\Documents\GitHub\eaglep3\Utilities\DownloadLogsFromS3.py --loco 4029 --day 2017-03-03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"%USERPROFILE%\AppData\Local\Temp\OnboardLogs"\RTDC4029\*4029*20170304* | grep -SE "(Enforcement Action)|(\[TIMEOUT)|(CHR.+\|PRM\|1\|D.+(SWITCH|SIGNAL).+UNKNOWN)" - &gt;&gt; 2017-03-03-UncaughtWiMAX.txt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599</v>
      </c>
      <c r="B127" s="7">
        <v>4030</v>
      </c>
      <c r="C127" s="21" t="s">
        <v>251</v>
      </c>
      <c r="D127" s="21" t="s">
        <v>879</v>
      </c>
      <c r="E127" s="13">
        <v>42797.774942129632</v>
      </c>
      <c r="F127" s="13">
        <v>42797.779236111113</v>
      </c>
      <c r="G127" s="7">
        <v>2</v>
      </c>
      <c r="H127" s="21" t="s">
        <v>880</v>
      </c>
      <c r="I127" s="13">
        <v>42797.812106481484</v>
      </c>
      <c r="J127" s="7">
        <v>0</v>
      </c>
      <c r="K127" s="98" t="str">
        <f t="shared" si="25"/>
        <v>4029/4030</v>
      </c>
      <c r="L127" s="21" t="str">
        <f>VLOOKUP(A127,'Trips&amp;Operators'!$C$1:$G$99999,5,FALSE)</f>
        <v>STORY SAMANTHA</v>
      </c>
      <c r="M127" s="6">
        <f t="shared" si="26"/>
        <v>3.2870370370801538E-2</v>
      </c>
      <c r="N127" s="7">
        <f t="shared" si="50"/>
        <v>47.333333333954215</v>
      </c>
      <c r="O127" s="7"/>
      <c r="P127" s="7"/>
      <c r="Q127" s="22"/>
      <c r="R127" s="22"/>
      <c r="S127" s="31">
        <f t="shared" si="37"/>
        <v>1</v>
      </c>
      <c r="T127" s="46" t="str">
        <f t="shared" si="27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8"/>
        <v>https://d0f6bd738d7f1b3e5a7ca70fe4ff75f0.us-east-1.aws.found.io/app/kibana#/discover/Steve-Slow-Train-Analysis-(2080s-and-2083s)?_g=(refreshInterval:(display:Off,pause:!f,section:0,value:0),time:(from:'2017-03-03T17:35:55-0700',mode:absolute,to:'2017-03-03T20:29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97" t="str">
        <f t="shared" si="29"/>
        <v>N</v>
      </c>
      <c r="X127" s="197">
        <f t="shared" si="51"/>
        <v>1</v>
      </c>
      <c r="Y127" s="62">
        <f t="shared" si="42"/>
        <v>23.300699999999999</v>
      </c>
      <c r="Z127" s="62">
        <f t="shared" si="31"/>
        <v>1.72E-2</v>
      </c>
      <c r="AA127" s="62">
        <f t="shared" si="32"/>
        <v>23.2835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3"/>
        <v>0214-03</v>
      </c>
      <c r="AE127" s="85" t="str">
        <f t="shared" si="34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127" s="82" t="str">
        <f t="shared" si="35"/>
        <v>"C:\Program Files (x86)\AstroGrep\AstroGrep.exe" /spath="%USERPROFILE%\AppData\Local\Temp\OnboardLogs" /stypes="app*4030*20170304*" /stext=" 02:.+((SYSTEM_STATE.+slice.+state.+changed )|(ment ac)|(multiple cpu faults)|(system.+state.+changed )|(\[timeout)|(PRM\|1\|D)|(kpr)|(kdp)|(\|lc)|(penalty))" /e /r /s</v>
      </c>
      <c r="AG127" s="1" t="str">
        <f t="shared" si="36"/>
        <v>EC</v>
      </c>
      <c r="AH127" s="86" t="str">
        <f t="shared" si="38"/>
        <v>"%USERPROFILE%\Documents\GitHub\eaglep3\Utilities\RefineRTDCRunTimes.py" --tripid 214-03 --locoid 4030 --swversion DE.1.0.9.0 --startMP 204:233007 --initTime 2017-03-03T18:35:55 --startdatetime 2017-03-03T18:42:06 --delay 2 --endMP 204:172 --enddatetime 2017-03-03T19:29:26 --enforcementcount 0 &gt;&gt;C:\Users\stu\Documents\GitHub\eaglep3-reporting\EC\2017-03-03-refined-times.txt</v>
      </c>
      <c r="AI127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{"issue":{"subject":"","project_id":79,"tracker_id":40,"status_id":1,"priority_id":2,"assigned_to_id":23,"start_date":"2017-03-03","description":"","custom_fields":[{"id":1,"name":"Subdivision","value":"EC"},{"id":4,"name":"Milepost","value":"0.0172"},{"id":17,"name":"Train ID","value":"214-03"},{"id":16,"name":"Locomotive ID","value":"4030"},{"id":130,"name":"Impact","value":""},{"id":150,"name":"Time of Event (Mountain Time)","value":"19:29:26"},{"id":151,"name":"Denver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0"/>
        <v>start /low /b %USERPROFILE%\Documents\GitHub\eaglep3\Utilities\DownloadLogsFromS3.py --loco 4030 --day 2017-03-03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"%USERPROFILE%\AppData\Local\Temp\OnboardLogs"\RTDC4030\*4030*20170304* | grep -SE "(Enforcement Action)|(\[TIMEOUT)|(CHR.+\|PRM\|1\|D.+(SWITCH|SIGNAL).+UNKNOWN)" - &gt;&gt; 2017-03-03-UncaughtWiMAX.txt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757</v>
      </c>
      <c r="B128" s="7">
        <v>4031</v>
      </c>
      <c r="C128" s="21" t="s">
        <v>251</v>
      </c>
      <c r="D128" s="21" t="s">
        <v>232</v>
      </c>
      <c r="E128" s="13">
        <v>42797.749166666668</v>
      </c>
      <c r="F128" s="13">
        <v>42797.751284722224</v>
      </c>
      <c r="G128" s="7">
        <v>1</v>
      </c>
      <c r="H128" s="21" t="s">
        <v>540</v>
      </c>
      <c r="I128" s="13">
        <v>42797.778969907406</v>
      </c>
      <c r="J128" s="7">
        <v>0</v>
      </c>
      <c r="K128" s="98" t="str">
        <f t="shared" si="25"/>
        <v>4031/4032</v>
      </c>
      <c r="L128" s="21" t="str">
        <f>VLOOKUP(A128,'Trips&amp;Operators'!$C$1:$G$99999,5,FALSE)</f>
        <v>WHITED DUSTIN</v>
      </c>
      <c r="M128" s="6">
        <f t="shared" si="26"/>
        <v>2.7685185181326233E-2</v>
      </c>
      <c r="N128" s="7">
        <f t="shared" si="50"/>
        <v>39.866666661109775</v>
      </c>
      <c r="O128" s="7"/>
      <c r="P128" s="7"/>
      <c r="Q128" s="22"/>
      <c r="R128" s="22"/>
      <c r="S128" s="31">
        <f t="shared" si="37"/>
        <v>1</v>
      </c>
      <c r="T128" s="46" t="str">
        <f t="shared" si="27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8"/>
        <v>https://d0f6bd738d7f1b3e5a7ca70fe4ff75f0.us-east-1.aws.found.io/app/kibana#/discover/Steve-Slow-Train-Analysis-(2080s-and-2083s)?_g=(refreshInterval:(display:Off,pause:!f,section:0,value:0),time:(from:'2017-03-03T16:58:48-0700',mode:absolute,to:'2017-03-03T19:41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8" s="197" t="str">
        <f t="shared" si="29"/>
        <v>N</v>
      </c>
      <c r="X128" s="197">
        <f t="shared" si="51"/>
        <v>1</v>
      </c>
      <c r="Y128" s="62">
        <f t="shared" si="42"/>
        <v>4.5499999999999999E-2</v>
      </c>
      <c r="Z128" s="62">
        <f t="shared" si="31"/>
        <v>23.332100000000001</v>
      </c>
      <c r="AA128" s="62">
        <f t="shared" si="32"/>
        <v>23.2866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3"/>
        <v>0215-03</v>
      </c>
      <c r="AE128" s="85" t="str">
        <f t="shared" si="34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128" s="82" t="str">
        <f t="shared" si="35"/>
        <v>"C:\Program Files (x86)\AstroGrep\AstroGrep.exe" /spath="%USERPROFILE%\AppData\Local\Temp\OnboardLogs" /stypes="app*4031*20170304*" /stext=" 01:.+((SYSTEM_STATE.+slice.+state.+changed )|(ment ac)|(multiple cpu faults)|(system.+state.+changed )|(\[timeout)|(PRM\|1\|D)|(kpr)|(kdp)|(\|lc)|(penalty))" /e /r /s</v>
      </c>
      <c r="AG128" s="1" t="str">
        <f t="shared" si="36"/>
        <v>EC</v>
      </c>
      <c r="AH128" s="86" t="str">
        <f t="shared" si="38"/>
        <v>"%USERPROFILE%\Documents\GitHub\eaglep3\Utilities\RefineRTDCRunTimes.py" --tripid 215-03 --locoid 4031 --swversion DE.1.0.9.0 --startMP 204:455 --initTime 2017-03-03T17:58:48 --startdatetime 2017-03-03T18:01:51 --delay 1 --endMP 204:233321 --enddatetime 2017-03-03T18:41:43 --enforcementcount 0 &gt;&gt;C:\Users\stu\Documents\GitHub\eaglep3-reporting\EC\2017-03-03-refined-times.txt</v>
      </c>
      <c r="AI128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{"issue":{"subject":"","project_id":79,"tracker_id":40,"status_id":1,"priority_id":2,"assigned_to_id":23,"start_date":"2017-03-03","description":"","custom_fields":[{"id":1,"name":"Subdivision","value":"EC"},{"id":4,"name":"Milepost","value":"23.3321"},{"id":17,"name":"Train ID","value":"215-03"},{"id":16,"name":"Locomotive ID","value":"4031"},{"id":130,"name":"Impact","value":""},{"id":150,"name":"Time of Event (Mountain Time)","value":"18:41:43"},{"id":151,"name":"Denver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0"/>
        <v>start /low /b %USERPROFILE%\Documents\GitHub\eaglep3\Utilities\DownloadLogsFromS3.py --loco 4031 --day 2017-03-03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"%USERPROFILE%\AppData\Local\Temp\OnboardLogs"\RTDC4031\*4031*20170304* | grep -SE "(Enforcement Action)|(\[TIMEOUT)|(CHR.+\|PRM\|1\|D.+(SWITCH|SIGNAL).+UNKNOWN)" - &gt;&gt; 2017-03-03-UncaughtWiMAX.txt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770</v>
      </c>
      <c r="B129" s="7">
        <v>4032</v>
      </c>
      <c r="C129" s="21" t="s">
        <v>251</v>
      </c>
      <c r="D129" s="21" t="s">
        <v>857</v>
      </c>
      <c r="E129" s="13">
        <v>42797.784548611111</v>
      </c>
      <c r="F129" s="13">
        <v>42797.789085648146</v>
      </c>
      <c r="G129" s="7">
        <v>1</v>
      </c>
      <c r="H129" s="21" t="s">
        <v>881</v>
      </c>
      <c r="I129" s="13">
        <v>42797.823391203703</v>
      </c>
      <c r="J129" s="7">
        <v>0</v>
      </c>
      <c r="K129" s="98" t="str">
        <f t="shared" si="25"/>
        <v>4031/4032</v>
      </c>
      <c r="L129" s="21" t="str">
        <f>VLOOKUP(A129,'Trips&amp;Operators'!$C$1:$G$99999,5,FALSE)</f>
        <v>WHITED DUSTIN</v>
      </c>
      <c r="M129" s="6">
        <f t="shared" si="26"/>
        <v>3.4305555556784384E-2</v>
      </c>
      <c r="N129" s="7">
        <f t="shared" si="50"/>
        <v>49.400000001769513</v>
      </c>
      <c r="O129" s="7"/>
      <c r="P129" s="7"/>
      <c r="Q129" s="22"/>
      <c r="R129" s="22"/>
      <c r="S129" s="31">
        <f t="shared" si="37"/>
        <v>1</v>
      </c>
      <c r="T129" s="46" t="str">
        <f t="shared" si="27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8"/>
        <v>https://d0f6bd738d7f1b3e5a7ca70fe4ff75f0.us-east-1.aws.found.io/app/kibana#/discover/Steve-Slow-Train-Analysis-(2080s-and-2083s)?_g=(refreshInterval:(display:Off,pause:!f,section:0,value:0),time:(from:'2017-03-03T17:49:45-0700',mode:absolute,to:'2017-03-03T20:45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197" t="str">
        <f t="shared" si="29"/>
        <v>N</v>
      </c>
      <c r="X129" s="197">
        <f t="shared" si="51"/>
        <v>1</v>
      </c>
      <c r="Y129" s="62">
        <f t="shared" si="42"/>
        <v>23.301300000000001</v>
      </c>
      <c r="Z129" s="62">
        <f t="shared" si="31"/>
        <v>1.2200000000000001E-2</v>
      </c>
      <c r="AA129" s="62">
        <f t="shared" si="32"/>
        <v>23.289100000000001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3"/>
        <v>0216-03</v>
      </c>
      <c r="AE129" s="85" t="str">
        <f t="shared" si="34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129" s="82" t="str">
        <f t="shared" si="35"/>
        <v>"C:\Program Files (x86)\AstroGrep\AstroGrep.exe" /spath="%USERPROFILE%\AppData\Local\Temp\OnboardLogs" /stypes="app*4032*20170304*" /stext=" 02:.+((SYSTEM_STATE.+slice.+state.+changed )|(ment ac)|(multiple cpu faults)|(system.+state.+changed )|(\[timeout)|(PRM\|1\|D)|(kpr)|(kdp)|(\|lc)|(penalty))" /e /r /s</v>
      </c>
      <c r="AG129" s="1" t="str">
        <f t="shared" si="36"/>
        <v>EC</v>
      </c>
      <c r="AH129" s="86" t="str">
        <f t="shared" si="38"/>
        <v>"%USERPROFILE%\Documents\GitHub\eaglep3\Utilities\RefineRTDCRunTimes.py" --tripid 216-03 --locoid 4032 --swversion DE.1.0.9.0 --startMP 204:233013 --initTime 2017-03-03T18:49:45 --startdatetime 2017-03-03T18:56:17 --delay 1 --endMP 204:122 --enddatetime 2017-03-03T19:45:41 --enforcementcount 0 &gt;&gt;C:\Users\stu\Documents\GitHub\eaglep3-reporting\EC\2017-03-03-refined-times.txt</v>
      </c>
      <c r="AI129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{"issue":{"subject":"","project_id":79,"tracker_id":40,"status_id":1,"priority_id":2,"assigned_to_id":23,"start_date":"2017-03-03","description":"","custom_fields":[{"id":1,"name":"Subdivision","value":"EC"},{"id":4,"name":"Milepost","value":"0.0122"},{"id":17,"name":"Train ID","value":"216-03"},{"id":16,"name":"Locomotive ID","value":"4032"},{"id":130,"name":"Impact","value":""},{"id":150,"name":"Time of Event (Mountain Time)","value":"19:45:41"},{"id":151,"name":"Denver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0"/>
        <v>start /low /b %USERPROFILE%\Documents\GitHub\eaglep3\Utilities\DownloadLogsFromS3.py --loco 4032 --day 2017-03-03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"%USERPROFILE%\AppData\Local\Temp\OnboardLogs"\RTDC4032\*4032*20170304* | grep -SE "(Enforcement Action)|(\[TIMEOUT)|(CHR.+\|PRM\|1\|D.+(SWITCH|SIGNAL).+UNKNOWN)" - &gt;&gt; 2017-03-03-UncaughtWiMAX.txt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760</v>
      </c>
      <c r="B130" s="7">
        <v>4011</v>
      </c>
      <c r="C130" s="21" t="s">
        <v>251</v>
      </c>
      <c r="D130" s="21" t="s">
        <v>223</v>
      </c>
      <c r="E130" s="13">
        <v>42797.759212962963</v>
      </c>
      <c r="F130" s="13">
        <v>42797.761134259257</v>
      </c>
      <c r="G130" s="7">
        <v>1</v>
      </c>
      <c r="H130" s="21" t="s">
        <v>539</v>
      </c>
      <c r="I130" s="13">
        <v>42797.788576388892</v>
      </c>
      <c r="J130" s="7">
        <v>0</v>
      </c>
      <c r="K130" s="98" t="str">
        <f t="shared" si="25"/>
        <v>4011/4012</v>
      </c>
      <c r="L130" s="21" t="str">
        <f>VLOOKUP(A130,'Trips&amp;Operators'!$C$1:$G$99999,5,FALSE)</f>
        <v>STAMBAUGH JAMES</v>
      </c>
      <c r="M130" s="6">
        <f t="shared" si="26"/>
        <v>2.7442129634437151E-2</v>
      </c>
      <c r="N130" s="7">
        <f t="shared" si="50"/>
        <v>39.516666673589498</v>
      </c>
      <c r="O130" s="7"/>
      <c r="P130" s="7"/>
      <c r="Q130" s="22"/>
      <c r="R130" s="22"/>
      <c r="S130" s="31">
        <f t="shared" si="37"/>
        <v>1</v>
      </c>
      <c r="T130" s="46" t="str">
        <f t="shared" si="27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8"/>
        <v>https://d0f6bd738d7f1b3e5a7ca70fe4ff75f0.us-east-1.aws.found.io/app/kibana#/discover/Steve-Slow-Train-Analysis-(2080s-and-2083s)?_g=(refreshInterval:(display:Off,pause:!f,section:0,value:0),time:(from:'2017-03-03T17:13:16-0700',mode:absolute,to:'2017-03-03T19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197" t="str">
        <f t="shared" si="29"/>
        <v>N</v>
      </c>
      <c r="X130" s="197">
        <f t="shared" si="51"/>
        <v>1</v>
      </c>
      <c r="Y130" s="62">
        <f t="shared" si="42"/>
        <v>4.5999999999999999E-2</v>
      </c>
      <c r="Z130" s="62">
        <f t="shared" si="31"/>
        <v>23.335699999999999</v>
      </c>
      <c r="AA130" s="62">
        <f t="shared" si="32"/>
        <v>23.2897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3"/>
        <v>0217-03</v>
      </c>
      <c r="AE130" s="85" t="str">
        <f t="shared" si="34"/>
        <v>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 &amp; aws s3 cp s3://rtdc.mdm.uploadarchive.raw/RTDC4011/ "%USERPROFILE%\AppData\Local\Temp\OnboardLogs"\RTDC4011\2017-03-04 --exclude "*" --recursive --include "*20170304*" &amp; "%USERPROFILE%\Documents\GitHub\mrs-test-scripts\Headless Mode &amp; Sideloading\WalkAndUnGZ.bat" "%USERPROFILE%\AppData\Local\Temp\OnboardLogs"\RTDC4011\2017-03-04</v>
      </c>
      <c r="AF130" s="82" t="str">
        <f t="shared" si="35"/>
        <v>"C:\Program Files (x86)\AstroGrep\AstroGrep.exe" /spath="%USERPROFILE%\AppData\Local\Temp\OnboardLogs" /stypes="app*4011*20170304*" /stext=" 01:.+((SYSTEM_STATE.+slice.+state.+changed )|(ment ac)|(multiple cpu faults)|(system.+state.+changed )|(\[timeout)|(PRM\|1\|D)|(kpr)|(kdp)|(\|lc)|(penalty))" /e /r /s</v>
      </c>
      <c r="AG130" s="1" t="str">
        <f t="shared" si="36"/>
        <v>EC</v>
      </c>
      <c r="AH130" s="86" t="str">
        <f t="shared" si="38"/>
        <v>"%USERPROFILE%\Documents\GitHub\eaglep3\Utilities\RefineRTDCRunTimes.py" --tripid 217-03 --locoid 4011 --swversion DE.1.0.9.0 --startMP 204:460 --initTime 2017-03-03T18:13:16 --startdatetime 2017-03-03T18:16:02 --delay 1 --endMP 204:233357 --enddatetime 2017-03-03T18:55:33 --enforcementcount 0 &gt;&gt;C:\Users\stu\Documents\GitHub\eaglep3-reporting\EC\2017-03-03-refined-times.txt</v>
      </c>
      <c r="AI130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{"issue":{"subject":"","project_id":79,"tracker_id":40,"status_id":1,"priority_id":2,"assigned_to_id":23,"start_date":"2017-03-03","description":"","custom_fields":[{"id":1,"name":"Subdivision","value":"EC"},{"id":4,"name":"Milepost","value":"23.3357"},{"id":17,"name":"Train ID","value":"217-03"},{"id":16,"name":"Locomotive ID","value":"4011"},{"id":130,"name":"Impact","value":""},{"id":150,"name":"Time of Event (Mountain Time)","value":"18:55:33"},{"id":151,"name":"Denver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0"/>
        <v>start /low /b %USERPROFILE%\Documents\GitHub\eaglep3\Utilities\DownloadLogsFromS3.py --loco 4011 --day 2017-03-03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"%USERPROFILE%\AppData\Local\Temp\OnboardLogs"\RTDC4011\*4011*20170304* | grep -SE "(Enforcement Action)|(\[TIMEOUT)|(CHR.+\|PRM\|1\|D.+(SWITCH|SIGNAL).+UNKNOWN)" - &gt;&gt; 2017-03-03-UncaughtWiMAX.txt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771</v>
      </c>
      <c r="B131" s="7">
        <v>4012</v>
      </c>
      <c r="C131" s="21" t="s">
        <v>251</v>
      </c>
      <c r="D131" s="21" t="s">
        <v>882</v>
      </c>
      <c r="E131" s="13">
        <v>42797.791030092594</v>
      </c>
      <c r="F131" s="13">
        <v>42797.799837962964</v>
      </c>
      <c r="G131" s="7">
        <v>3</v>
      </c>
      <c r="H131" s="21" t="s">
        <v>883</v>
      </c>
      <c r="I131" s="13">
        <v>42797.827025462961</v>
      </c>
      <c r="J131" s="7">
        <v>0</v>
      </c>
      <c r="K131" s="98" t="str">
        <f t="shared" si="25"/>
        <v>4011/4012</v>
      </c>
      <c r="L131" s="21" t="str">
        <f>VLOOKUP(A131,'Trips&amp;Operators'!$C$1:$G$99999,5,FALSE)</f>
        <v>STAMBAUGH JAMES</v>
      </c>
      <c r="M131" s="6">
        <f t="shared" si="26"/>
        <v>2.7187499996216502E-2</v>
      </c>
      <c r="N131" s="7">
        <f t="shared" si="50"/>
        <v>39.149999994551763</v>
      </c>
      <c r="O131" s="7"/>
      <c r="P131" s="7"/>
      <c r="Q131" s="22"/>
      <c r="R131" s="22"/>
      <c r="S131" s="31">
        <f t="shared" si="37"/>
        <v>1</v>
      </c>
      <c r="T131" s="46" t="str">
        <f t="shared" si="27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8"/>
        <v>https://d0f6bd738d7f1b3e5a7ca70fe4ff75f0.us-east-1.aws.found.io/app/kibana#/discover/Steve-Slow-Train-Analysis-(2080s-and-2083s)?_g=(refreshInterval:(display:Off,pause:!f,section:0,value:0),time:(from:'2017-03-03T17:59:05-0700',mode:absolute,to:'2017-03-03T20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197" t="str">
        <f t="shared" si="29"/>
        <v>N</v>
      </c>
      <c r="X131" s="197">
        <f t="shared" si="51"/>
        <v>1</v>
      </c>
      <c r="Y131" s="62">
        <f t="shared" si="42"/>
        <v>23.303999999999998</v>
      </c>
      <c r="Z131" s="62">
        <f t="shared" si="31"/>
        <v>1.2500000000000001E-2</v>
      </c>
      <c r="AA131" s="62">
        <f t="shared" si="32"/>
        <v>23.291499999999999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3"/>
        <v>0218-03</v>
      </c>
      <c r="AE131" s="85" t="str">
        <f t="shared" si="34"/>
        <v>aws s3 cp s3://rtdc.mdm.uploadarchive.raw/RTDC4012/ "%USERPROFILE%\AppData\Local\Temp\OnboardLogs"\RTDC4012\2017-03-03 --exclude "*" --recursive --include "*20170303*" &amp; "%USERPROFILE%\Documents\GitHub\mrs-test-scripts\Headless Mode &amp; Sideloading\WalkAndUnGZ.bat" "%USERPROFILE%\AppData\Local\Temp\OnboardLogs"\RTDC4012\2017-03-03 &amp; 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</v>
      </c>
      <c r="AF131" s="82" t="str">
        <f t="shared" si="35"/>
        <v>"C:\Program Files (x86)\AstroGrep\AstroGrep.exe" /spath="%USERPROFILE%\AppData\Local\Temp\OnboardLogs" /stypes="app*4012*20170304*" /stext=" 02:.+((SYSTEM_STATE.+slice.+state.+changed )|(ment ac)|(multiple cpu faults)|(system.+state.+changed )|(\[timeout)|(PRM\|1\|D)|(kpr)|(kdp)|(\|lc)|(penalty))" /e /r /s</v>
      </c>
      <c r="AG131" s="1" t="str">
        <f t="shared" si="36"/>
        <v>EC</v>
      </c>
      <c r="AH131" s="86" t="str">
        <f t="shared" si="38"/>
        <v>"%USERPROFILE%\Documents\GitHub\eaglep3\Utilities\RefineRTDCRunTimes.py" --tripid 218-03 --locoid 4012 --swversion DE.1.0.9.0 --startMP 204:233040 --initTime 2017-03-03T18:59:05 --startdatetime 2017-03-03T19:11:46 --delay 3 --endMP 204:125 --enddatetime 2017-03-03T19:50:55 --enforcementcount 0 &gt;&gt;C:\Users\stu\Documents\GitHub\eaglep3-reporting\EC\2017-03-03-refined-times.txt</v>
      </c>
      <c r="AI131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{"issue":{"subject":"","project_id":79,"tracker_id":40,"status_id":1,"priority_id":2,"assigned_to_id":23,"start_date":"2017-03-03","description":"","custom_fields":[{"id":1,"name":"Subdivision","value":"EC"},{"id":4,"name":"Milepost","value":"0.0125"},{"id":17,"name":"Train ID","value":"218-03"},{"id":16,"name":"Locomotive ID","value":"4012"},{"id":130,"name":"Impact","value":""},{"id":150,"name":"Time of Event (Mountain Time)","value":"19:50:55"},{"id":151,"name":"Denver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0"/>
        <v>start /low /b %USERPROFILE%\Documents\GitHub\eaglep3\Utilities\DownloadLogsFromS3.py --loco 4012 --day 2017-03-03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"%USERPROFILE%\AppData\Local\Temp\OnboardLogs"\RTDC4012\*4012*20170304* | grep -SE "(Enforcement Action)|(\[TIMEOUT)|(CHR.+\|PRM\|1\|D.+(SWITCH|SIGNAL).+UNKNOWN)" - &gt;&gt; 2017-03-03-UncaughtWiMAX.txt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765</v>
      </c>
      <c r="B132" s="7">
        <v>4051</v>
      </c>
      <c r="C132" s="21" t="s">
        <v>251</v>
      </c>
      <c r="D132" s="21" t="s">
        <v>276</v>
      </c>
      <c r="E132" s="13">
        <v>42797.770937499998</v>
      </c>
      <c r="F132" s="13">
        <v>42797.773657407408</v>
      </c>
      <c r="G132" s="7">
        <v>2</v>
      </c>
      <c r="H132" s="21" t="s">
        <v>262</v>
      </c>
      <c r="I132" s="13">
        <v>42797.803414351853</v>
      </c>
      <c r="J132" s="7">
        <v>0</v>
      </c>
      <c r="K132" s="98" t="str">
        <f t="shared" si="25"/>
        <v>4051/4052</v>
      </c>
      <c r="L132" s="21" t="str">
        <f>VLOOKUP(A132,'Trips&amp;Operators'!$C$1:$G$99999,5,FALSE)</f>
        <v>SAFIEF AEIMEN</v>
      </c>
      <c r="M132" s="6">
        <f t="shared" si="26"/>
        <v>2.9756944444670808E-2</v>
      </c>
      <c r="N132" s="7">
        <f t="shared" si="50"/>
        <v>42.850000000325963</v>
      </c>
      <c r="O132" s="7"/>
      <c r="P132" s="7"/>
      <c r="Q132" s="22"/>
      <c r="R132" s="22"/>
      <c r="S132" s="31">
        <f t="shared" si="37"/>
        <v>1</v>
      </c>
      <c r="T132" s="46" t="str">
        <f t="shared" si="27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8"/>
        <v>https://d0f6bd738d7f1b3e5a7ca70fe4ff75f0.us-east-1.aws.found.io/app/kibana#/discover/Steve-Slow-Train-Analysis-(2080s-and-2083s)?_g=(refreshInterval:(display:Off,pause:!f,section:0,value:0),time:(from:'2017-03-03T17:30:09-0700',mode:absolute,to:'2017-03-03T20:16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2" s="197" t="str">
        <f t="shared" si="29"/>
        <v>N</v>
      </c>
      <c r="X132" s="197">
        <f t="shared" si="51"/>
        <v>1</v>
      </c>
      <c r="Y132" s="62">
        <f t="shared" si="42"/>
        <v>4.6699999999999998E-2</v>
      </c>
      <c r="Z132" s="62">
        <f t="shared" si="31"/>
        <v>23.329899999999999</v>
      </c>
      <c r="AA132" s="62">
        <f t="shared" si="32"/>
        <v>23.283199999999997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3"/>
        <v>0219-03</v>
      </c>
      <c r="AE132" s="85" t="str">
        <f t="shared" si="34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132" s="82" t="str">
        <f t="shared" si="35"/>
        <v>"C:\Program Files (x86)\AstroGrep\AstroGrep.exe" /spath="%USERPROFILE%\AppData\Local\Temp\OnboardLogs" /stypes="app*4051*20170304*" /stext=" 02:.+((SYSTEM_STATE.+slice.+state.+changed )|(ment ac)|(multiple cpu faults)|(system.+state.+changed )|(\[timeout)|(PRM\|1\|D)|(kpr)|(kdp)|(\|lc)|(penalty))" /e /r /s</v>
      </c>
      <c r="AG132" s="1" t="str">
        <f t="shared" si="36"/>
        <v>EC</v>
      </c>
      <c r="AH132" s="86" t="str">
        <f t="shared" si="38"/>
        <v>"%USERPROFILE%\Documents\GitHub\eaglep3\Utilities\RefineRTDCRunTimes.py" --tripid 219-03 --locoid 4051 --swversion DE.1.0.9.0 --startMP 204:467 --initTime 2017-03-03T18:30:09 --startdatetime 2017-03-03T18:34:04 --delay 2 --endMP 204:233299 --enddatetime 2017-03-03T19:16:55 --enforcementcount 0 &gt;&gt;C:\Users\stu\Documents\GitHub\eaglep3-reporting\EC\2017-03-03-refined-times.txt</v>
      </c>
      <c r="AI132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{"issue":{"subject":"","project_id":79,"tracker_id":40,"status_id":1,"priority_id":2,"assigned_to_id":23,"start_date":"2017-03-03","description":"","custom_fields":[{"id":1,"name":"Subdivision","value":"EC"},{"id":4,"name":"Milepost","value":"23.3299"},{"id":17,"name":"Train ID","value":"219-03"},{"id":16,"name":"Locomotive ID","value":"4051"},{"id":130,"name":"Impact","value":""},{"id":150,"name":"Time of Event (Mountain Time)","value":"19:16:55"},{"id":151,"name":"Denver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0"/>
        <v>start /low /b %USERPROFILE%\Documents\GitHub\eaglep3\Utilities\DownloadLogsFromS3.py --loco 4051 --day 2017-03-03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"%USERPROFILE%\AppData\Local\Temp\OnboardLogs"\RTDC4051\*4051*20170304* | grep -SE "(Enforcement Action)|(\[TIMEOUT)|(CHR.+\|PRM\|1\|D.+(SWITCH|SIGNAL).+UNKNOWN)" - &gt;&gt; 2017-03-03-UncaughtWiMAX.txt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779</v>
      </c>
      <c r="B133" s="7">
        <v>4052</v>
      </c>
      <c r="C133" s="21" t="s">
        <v>251</v>
      </c>
      <c r="D133" s="21" t="s">
        <v>274</v>
      </c>
      <c r="E133" s="13">
        <v>42797.806666666664</v>
      </c>
      <c r="F133" s="13">
        <v>42797.810381944444</v>
      </c>
      <c r="G133" s="7">
        <v>2</v>
      </c>
      <c r="H133" s="21" t="s">
        <v>196</v>
      </c>
      <c r="I133" s="13">
        <v>42797.839212962965</v>
      </c>
      <c r="J133" s="7">
        <v>0</v>
      </c>
      <c r="K133" s="98" t="str">
        <f t="shared" si="25"/>
        <v>4051/4052</v>
      </c>
      <c r="L133" s="21" t="str">
        <f>VLOOKUP(A133,'Trips&amp;Operators'!$C$1:$G$99999,5,FALSE)</f>
        <v>SAFIEF AEIMEN</v>
      </c>
      <c r="M133" s="6">
        <f t="shared" si="26"/>
        <v>2.8831018520577345E-2</v>
      </c>
      <c r="N133" s="7">
        <f t="shared" si="50"/>
        <v>41.516666669631377</v>
      </c>
      <c r="O133" s="7"/>
      <c r="P133" s="7"/>
      <c r="Q133" s="22"/>
      <c r="R133" s="22"/>
      <c r="S133" s="31">
        <f t="shared" si="37"/>
        <v>1</v>
      </c>
      <c r="T133" s="46" t="str">
        <f t="shared" si="27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8"/>
        <v>https://d0f6bd738d7f1b3e5a7ca70fe4ff75f0.us-east-1.aws.found.io/app/kibana#/discover/Steve-Slow-Train-Analysis-(2080s-and-2083s)?_g=(refreshInterval:(display:Off,pause:!f,section:0,value:0),time:(from:'2017-03-03T18:21:36-0700',mode:absolute,to:'2017-03-03T21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197" t="str">
        <f t="shared" si="29"/>
        <v>N</v>
      </c>
      <c r="X133" s="197">
        <f t="shared" si="51"/>
        <v>1</v>
      </c>
      <c r="Y133" s="62">
        <f t="shared" si="42"/>
        <v>23.297699999999999</v>
      </c>
      <c r="Z133" s="62">
        <f t="shared" si="31"/>
        <v>1.4500000000000001E-2</v>
      </c>
      <c r="AA133" s="62">
        <f t="shared" si="32"/>
        <v>23.283199999999997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3"/>
        <v>0220-03</v>
      </c>
      <c r="AE133" s="85" t="str">
        <f t="shared" si="34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133" s="82" t="str">
        <f t="shared" si="35"/>
        <v>"C:\Program Files (x86)\AstroGrep\AstroGrep.exe" /spath="%USERPROFILE%\AppData\Local\Temp\OnboardLogs" /stypes="app*4052*20170304*" /stext=" 03:.+((SYSTEM_STATE.+slice.+state.+changed )|(ment ac)|(multiple cpu faults)|(system.+state.+changed )|(\[timeout)|(PRM\|1\|D)|(kpr)|(kdp)|(\|lc)|(penalty))" /e /r /s</v>
      </c>
      <c r="AG133" s="1" t="str">
        <f t="shared" si="36"/>
        <v>EC</v>
      </c>
      <c r="AH133" s="86" t="str">
        <f t="shared" si="38"/>
        <v>"%USERPROFILE%\Documents\GitHub\eaglep3\Utilities\RefineRTDCRunTimes.py" --tripid 220-03 --locoid 4052 --swversion DE.1.0.9.0 --startMP 204:232977 --initTime 2017-03-03T19:21:36 --startdatetime 2017-03-03T19:26:57 --delay 2 --endMP 204:145 --enddatetime 2017-03-03T20:08:28 --enforcementcount 0 &gt;&gt;C:\Users\stu\Documents\GitHub\eaglep3-reporting\EC\2017-03-03-refined-times.txt</v>
      </c>
      <c r="AI133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ID","value":"220-03"},{"id":16,"name":"Locomotive ID","value":"4052"},{"id":130,"name":"Impact","value":""},{"id":150,"name":"Time of Event (Mountain Time)","value":"20:08:28"},{"id":151,"name":"Denver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0"/>
        <v>start /low /b %USERPROFILE%\Documents\GitHub\eaglep3\Utilities\DownloadLogsFromS3.py --loco 4052 --day 2017-03-03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"%USERPROFILE%\AppData\Local\Temp\OnboardLogs"\RTDC4052\*4052*20170304* | grep -SE "(Enforcement Action)|(\[TIMEOUT)|(CHR.+\|PRM\|1\|D.+(SWITCH|SIGNAL).+UNKNOWN)" - &gt;&gt; 2017-03-03-UncaughtWiMAX.txt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772</v>
      </c>
      <c r="B134" s="7">
        <v>4027</v>
      </c>
      <c r="C134" s="21" t="s">
        <v>251</v>
      </c>
      <c r="D134" s="21" t="s">
        <v>245</v>
      </c>
      <c r="E134" s="13">
        <v>42797.794965277775</v>
      </c>
      <c r="F134" s="13">
        <v>42797.797222222223</v>
      </c>
      <c r="G134" s="7">
        <v>2</v>
      </c>
      <c r="H134" s="21" t="s">
        <v>831</v>
      </c>
      <c r="I134" s="13">
        <v>42797.825243055559</v>
      </c>
      <c r="J134" s="7">
        <v>0</v>
      </c>
      <c r="K134" s="98" t="str">
        <f t="shared" si="25"/>
        <v>4027/4028</v>
      </c>
      <c r="L134" s="21" t="str">
        <f>VLOOKUP(A134,'Trips&amp;Operators'!$C$1:$G$99999,5,FALSE)</f>
        <v>BROWN JACOB</v>
      </c>
      <c r="M134" s="6">
        <f t="shared" si="26"/>
        <v>2.8020833335176576E-2</v>
      </c>
      <c r="N134" s="7">
        <f t="shared" si="50"/>
        <v>40.350000002654269</v>
      </c>
      <c r="O134" s="7"/>
      <c r="P134" s="7"/>
      <c r="Q134" s="22"/>
      <c r="R134" s="22"/>
      <c r="S134" s="31">
        <f t="shared" si="37"/>
        <v>1</v>
      </c>
      <c r="T134" s="46" t="str">
        <f t="shared" si="27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8"/>
        <v>https://d0f6bd738d7f1b3e5a7ca70fe4ff75f0.us-east-1.aws.found.io/app/kibana#/discover/Steve-Slow-Train-Analysis-(2080s-and-2083s)?_g=(refreshInterval:(display:Off,pause:!f,section:0,value:0),time:(from:'2017-03-03T18:04:45-0700',mode:absolute,to:'2017-03-03T20:48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4" s="197" t="str">
        <f t="shared" si="29"/>
        <v>N</v>
      </c>
      <c r="X134" s="197">
        <f t="shared" si="51"/>
        <v>1</v>
      </c>
      <c r="Y134" s="62">
        <f t="shared" si="42"/>
        <v>4.4699999999999997E-2</v>
      </c>
      <c r="Z134" s="62">
        <f t="shared" si="31"/>
        <v>23.331800000000001</v>
      </c>
      <c r="AA134" s="62">
        <f t="shared" si="32"/>
        <v>23.287100000000002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3"/>
        <v>0221-03</v>
      </c>
      <c r="AE134" s="85" t="str">
        <f t="shared" si="34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134" s="82" t="str">
        <f t="shared" si="35"/>
        <v>"C:\Program Files (x86)\AstroGrep\AstroGrep.exe" /spath="%USERPROFILE%\AppData\Local\Temp\OnboardLogs" /stypes="app*4027*20170304*" /stext=" 02:.+((SYSTEM_STATE.+slice.+state.+changed )|(ment ac)|(multiple cpu faults)|(system.+state.+changed )|(\[timeout)|(PRM\|1\|D)|(kpr)|(kdp)|(\|lc)|(penalty))" /e /r /s</v>
      </c>
      <c r="AG134" s="1" t="str">
        <f t="shared" si="36"/>
        <v>EC</v>
      </c>
      <c r="AH134" s="86" t="str">
        <f t="shared" si="38"/>
        <v>"%USERPROFILE%\Documents\GitHub\eaglep3\Utilities\RefineRTDCRunTimes.py" --tripid 221-03 --locoid 4027 --swversion DE.1.0.9.0 --startMP 204:447 --initTime 2017-03-03T19:04:45 --startdatetime 2017-03-03T19:08:00 --delay 2 --endMP 204:233318 --enddatetime 2017-03-03T19:48:21 --enforcementcount 0 &gt;&gt;C:\Users\stu\Documents\GitHub\eaglep3-reporting\EC\2017-03-03-refined-times.txt</v>
      </c>
      <c r="AI134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{"issue":{"subject":"","project_id":79,"tracker_id":40,"status_id":1,"priority_id":2,"assigned_to_id":23,"start_date":"2017-03-03","description":"","custom_fields":[{"id":1,"name":"Subdivision","value":"EC"},{"id":4,"name":"Milepost","value":"23.3318"},{"id":17,"name":"Train ID","value":"221-03"},{"id":16,"name":"Locomotive ID","value":"4027"},{"id":130,"name":"Impact","value":""},{"id":150,"name":"Time of Event (Mountain Time)","value":"19:48:21"},{"id":151,"name":"Denver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0"/>
        <v>start /low /b %USERPROFILE%\Documents\GitHub\eaglep3\Utilities\DownloadLogsFromS3.py --loco 4027 --day 2017-03-03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"%USERPROFILE%\AppData\Local\Temp\OnboardLogs"\RTDC4027\*4027*20170304* | grep -SE "(Enforcement Action)|(\[TIMEOUT)|(CHR.+\|PRM\|1\|D.+(SWITCH|SIGNAL).+UNKNOWN)" - &gt;&gt; 2017-03-03-UncaughtWiMAX.txt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3" t="s">
        <v>783</v>
      </c>
      <c r="B135" s="7">
        <v>4028</v>
      </c>
      <c r="C135" s="21" t="s">
        <v>251</v>
      </c>
      <c r="D135" s="21" t="s">
        <v>343</v>
      </c>
      <c r="E135" s="13">
        <v>42797.828310185185</v>
      </c>
      <c r="F135" s="13">
        <v>42797.831712962965</v>
      </c>
      <c r="G135" s="7">
        <v>1</v>
      </c>
      <c r="H135" s="21" t="s">
        <v>210</v>
      </c>
      <c r="I135" s="13">
        <v>42797.861678240741</v>
      </c>
      <c r="J135" s="7">
        <v>0</v>
      </c>
      <c r="K135" s="98" t="str">
        <f t="shared" si="25"/>
        <v>4027/4028</v>
      </c>
      <c r="L135" s="21" t="str">
        <f>VLOOKUP(A135,'Trips&amp;Operators'!$C$1:$G$99999,5,FALSE)</f>
        <v>BROWN JACOB</v>
      </c>
      <c r="M135" s="6">
        <f t="shared" si="26"/>
        <v>2.9965277775772847E-2</v>
      </c>
      <c r="N135" s="7">
        <f t="shared" si="50"/>
        <v>43.1499999971129</v>
      </c>
      <c r="O135" s="7"/>
      <c r="P135" s="7"/>
      <c r="Q135" s="22"/>
      <c r="R135" s="22"/>
      <c r="S135" s="31">
        <f t="shared" si="37"/>
        <v>1</v>
      </c>
      <c r="T135" s="46" t="str">
        <f t="shared" si="27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8"/>
        <v>https://d0f6bd738d7f1b3e5a7ca70fe4ff75f0.us-east-1.aws.found.io/app/kibana#/discover/Steve-Slow-Train-Analysis-(2080s-and-2083s)?_g=(refreshInterval:(display:Off,pause:!f,section:0,value:0),time:(from:'2017-03-03T18:52:46-0700',mode:absolute,to:'2017-03-03T21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7" t="str">
        <f t="shared" si="29"/>
        <v>N</v>
      </c>
      <c r="X135" s="197">
        <f t="shared" si="51"/>
        <v>1</v>
      </c>
      <c r="Y135" s="62">
        <f t="shared" si="42"/>
        <v>23.297799999999999</v>
      </c>
      <c r="Z135" s="62">
        <f t="shared" si="31"/>
        <v>1.54E-2</v>
      </c>
      <c r="AA135" s="62">
        <f t="shared" si="32"/>
        <v>23.282399999999999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3"/>
        <v>0222-03</v>
      </c>
      <c r="AE135" s="85" t="str">
        <f t="shared" si="34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135" s="82" t="str">
        <f t="shared" si="35"/>
        <v>"C:\Program Files (x86)\AstroGrep\AstroGrep.exe" /spath="%USERPROFILE%\AppData\Local\Temp\OnboardLogs" /stypes="app*4028*20170304*" /stext=" 03:.+((SYSTEM_STATE.+slice.+state.+changed )|(ment ac)|(multiple cpu faults)|(system.+state.+changed )|(\[timeout)|(PRM\|1\|D)|(kpr)|(kdp)|(\|lc)|(penalty))" /e /r /s</v>
      </c>
      <c r="AG135" s="1" t="str">
        <f t="shared" si="36"/>
        <v>EC</v>
      </c>
      <c r="AH135" s="86" t="str">
        <f t="shared" si="38"/>
        <v>"%USERPROFILE%\Documents\GitHub\eaglep3\Utilities\RefineRTDCRunTimes.py" --tripid 222-03 --locoid 4028 --swversion DE.1.0.9.0 --startMP 204:232978 --initTime 2017-03-03T19:52:46 --startdatetime 2017-03-03T19:57:40 --delay 1 --endMP 204:154 --enddatetime 2017-03-03T20:40:49 --enforcementcount 0 &gt;&gt;C:\Users\stu\Documents\GitHub\eaglep3-reporting\EC\2017-03-03-refined-times.txt</v>
      </c>
      <c r="AI135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{"issue":{"subject":"","project_id":79,"tracker_id":40,"status_id":1,"priority_id":2,"assigned_to_id":23,"start_date":"2017-03-03","description":"","custom_fields":[{"id":1,"name":"Subdivision","value":"EC"},{"id":4,"name":"Milepost","value":"0.0154"},{"id":17,"name":"Train ID","value":"222-03"},{"id":16,"name":"Locomotive ID","value":"4028"},{"id":130,"name":"Impact","value":""},{"id":150,"name":"Time of Event (Mountain Time)","value":"20:40:49"},{"id":151,"name":"Denver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0"/>
        <v>start /low /b %USERPROFILE%\Documents\GitHub\eaglep3\Utilities\DownloadLogsFromS3.py --loco 4028 --day 2017-03-03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"%USERPROFILE%\AppData\Local\Temp\OnboardLogs"\RTDC4028\*4028*20170304* | grep -SE "(Enforcement Action)|(\[TIMEOUT)|(CHR.+\|PRM\|1\|D.+(SWITCH|SIGNAL).+UNKNOWN)" - &gt;&gt; 2017-03-03-UncaughtWiMAX.txt</v>
      </c>
    </row>
    <row r="136" spans="1:91" s="20" customFormat="1" x14ac:dyDescent="0.25">
      <c r="A136" s="33" t="s">
        <v>780</v>
      </c>
      <c r="B136" s="7">
        <v>4029</v>
      </c>
      <c r="C136" s="21" t="s">
        <v>251</v>
      </c>
      <c r="D136" s="21" t="s">
        <v>277</v>
      </c>
      <c r="E136" s="13">
        <v>42797.813368055555</v>
      </c>
      <c r="F136" s="13">
        <v>42797.814641203702</v>
      </c>
      <c r="G136" s="7">
        <v>1</v>
      </c>
      <c r="H136" s="21" t="s">
        <v>884</v>
      </c>
      <c r="I136" s="13">
        <v>42797.840868055559</v>
      </c>
      <c r="J136" s="7">
        <v>0</v>
      </c>
      <c r="K136" s="98" t="str">
        <f t="shared" si="25"/>
        <v>4029/4030</v>
      </c>
      <c r="L136" s="21" t="str">
        <f>VLOOKUP(A136,'Trips&amp;Operators'!$C$1:$G$99999,5,FALSE)</f>
        <v>STORY SAMANTHA</v>
      </c>
      <c r="M136" s="6">
        <f t="shared" si="26"/>
        <v>2.6226851856335998E-2</v>
      </c>
      <c r="N136" s="7">
        <f t="shared" si="50"/>
        <v>37.766666673123837</v>
      </c>
      <c r="O136" s="7"/>
      <c r="P136" s="7"/>
      <c r="Q136" s="22"/>
      <c r="R136" s="22"/>
      <c r="S136" s="31">
        <f t="shared" si="37"/>
        <v>1</v>
      </c>
      <c r="T136" s="46" t="str">
        <f t="shared" si="27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8"/>
        <v>https://d0f6bd738d7f1b3e5a7ca70fe4ff75f0.us-east-1.aws.found.io/app/kibana#/discover/Steve-Slow-Train-Analysis-(2080s-and-2083s)?_g=(refreshInterval:(display:Off,pause:!f,section:0,value:0),time:(from:'2017-03-03T18:31:15-0700',mode:absolute,to:'2017-03-03T21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97" t="str">
        <f t="shared" si="29"/>
        <v>N</v>
      </c>
      <c r="X136" s="197">
        <f t="shared" si="51"/>
        <v>1</v>
      </c>
      <c r="Y136" s="62">
        <f t="shared" si="42"/>
        <v>4.7300000000000002E-2</v>
      </c>
      <c r="Z136" s="62">
        <f t="shared" si="31"/>
        <v>23.328499999999998</v>
      </c>
      <c r="AA136" s="62">
        <f t="shared" si="32"/>
        <v>23.281199999999998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3"/>
        <v>0223-03</v>
      </c>
      <c r="AE136" s="85" t="str">
        <f t="shared" si="34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136" s="82" t="str">
        <f t="shared" si="35"/>
        <v>"C:\Program Files (x86)\AstroGrep\AstroGrep.exe" /spath="%USERPROFILE%\AppData\Local\Temp\OnboardLogs" /stypes="app*4029*20170304*" /stext=" 03:.+((SYSTEM_STATE.+slice.+state.+changed )|(ment ac)|(multiple cpu faults)|(system.+state.+changed )|(\[timeout)|(PRM\|1\|D)|(kpr)|(kdp)|(\|lc)|(penalty))" /e /r /s</v>
      </c>
      <c r="AG136" s="1" t="str">
        <f t="shared" si="36"/>
        <v>EC</v>
      </c>
      <c r="AH136" s="86" t="str">
        <f t="shared" si="38"/>
        <v>"%USERPROFILE%\Documents\GitHub\eaglep3\Utilities\RefineRTDCRunTimes.py" --tripid 223-03 --locoid 4029 --swversion DE.1.0.9.0 --startMP 204:473 --initTime 2017-03-03T19:31:15 --startdatetime 2017-03-03T19:33:05 --delay 1 --endMP 204:233285 --enddatetime 2017-03-03T20:10:51 --enforcementcount 0 &gt;&gt;C:\Users\stu\Documents\GitHub\eaglep3-reporting\EC\2017-03-03-refined-times.txt</v>
      </c>
      <c r="AI136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{"issue":{"subject":"","project_id":79,"tracker_id":40,"status_id":1,"priority_id":2,"assigned_to_id":23,"start_date":"2017-03-03","description":"","custom_fields":[{"id":1,"name":"Subdivision","value":"EC"},{"id":4,"name":"Milepost","value":"23.3285"},{"id":17,"name":"Train ID","value":"223-03"},{"id":16,"name":"Locomotive ID","value":"4029"},{"id":130,"name":"Impact","value":""},{"id":150,"name":"Time of Event (Mountain Time)","value":"20:10:51"},{"id":151,"name":"Denver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0"/>
        <v>start /low /b %USERPROFILE%\Documents\GitHub\eaglep3\Utilities\DownloadLogsFromS3.py --loco 4029 --day 2017-03-03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"%USERPROFILE%\AppData\Local\Temp\OnboardLogs"\RTDC4029\*4029*20170304* | grep -SE "(Enforcement Action)|(\[TIMEOUT)|(CHR.+\|PRM\|1\|D.+(SWITCH|SIGNAL).+UNKNOWN)" - &gt;&gt; 2017-03-03-UncaughtWiMAX.txt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786</v>
      </c>
      <c r="B137" s="7">
        <v>4030</v>
      </c>
      <c r="C137" s="21" t="s">
        <v>251</v>
      </c>
      <c r="D137" s="21" t="s">
        <v>885</v>
      </c>
      <c r="E137" s="13">
        <v>42797.848819444444</v>
      </c>
      <c r="F137" s="13">
        <v>42797.851678240739</v>
      </c>
      <c r="G137" s="7">
        <v>1</v>
      </c>
      <c r="H137" s="21" t="s">
        <v>295</v>
      </c>
      <c r="I137" s="13">
        <v>42797.880173611113</v>
      </c>
      <c r="J137" s="7">
        <v>0</v>
      </c>
      <c r="K137" s="98" t="str">
        <f t="shared" si="25"/>
        <v>4029/4030</v>
      </c>
      <c r="L137" s="21" t="str">
        <f>VLOOKUP(A137,'Trips&amp;Operators'!$C$1:$G$99999,5,FALSE)</f>
        <v>STORY SAMANTHA</v>
      </c>
      <c r="M137" s="6">
        <f t="shared" si="26"/>
        <v>2.849537037400296E-2</v>
      </c>
      <c r="N137" s="7">
        <f t="shared" si="50"/>
        <v>41.033333338564262</v>
      </c>
      <c r="O137" s="7"/>
      <c r="P137" s="7"/>
      <c r="Q137" s="22"/>
      <c r="R137" s="22"/>
      <c r="S137" s="31">
        <f t="shared" si="37"/>
        <v>1</v>
      </c>
      <c r="T137" s="46" t="str">
        <f t="shared" si="27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8"/>
        <v>https://d0f6bd738d7f1b3e5a7ca70fe4ff75f0.us-east-1.aws.found.io/app/kibana#/discover/Steve-Slow-Train-Analysis-(2080s-and-2083s)?_g=(refreshInterval:(display:Off,pause:!f,section:0,value:0),time:(from:'2017-03-03T19:22:18-0700',mode:absolute,to:'2017-03-03T22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97" t="str">
        <f t="shared" si="29"/>
        <v>N</v>
      </c>
      <c r="X137" s="197">
        <f t="shared" si="51"/>
        <v>1</v>
      </c>
      <c r="Y137" s="62">
        <f t="shared" si="42"/>
        <v>23.296399999999998</v>
      </c>
      <c r="Z137" s="62">
        <f t="shared" si="31"/>
        <v>1.34E-2</v>
      </c>
      <c r="AA137" s="62">
        <f t="shared" si="32"/>
        <v>23.282999999999998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3"/>
        <v>0224-03</v>
      </c>
      <c r="AE137" s="85" t="str">
        <f t="shared" si="34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137" s="82" t="str">
        <f t="shared" si="35"/>
        <v>"C:\Program Files (x86)\AstroGrep\AstroGrep.exe" /spath="%USERPROFILE%\AppData\Local\Temp\OnboardLogs" /stypes="app*4030*20170304*" /stext=" 04:.+((SYSTEM_STATE.+slice.+state.+changed )|(ment ac)|(multiple cpu faults)|(system.+state.+changed )|(\[timeout)|(PRM\|1\|D)|(kpr)|(kdp)|(\|lc)|(penalty))" /e /r /s</v>
      </c>
      <c r="AG137" s="1" t="str">
        <f t="shared" si="36"/>
        <v>EC</v>
      </c>
      <c r="AH137" s="86" t="str">
        <f t="shared" si="38"/>
        <v>"%USERPROFILE%\Documents\GitHub\eaglep3\Utilities\RefineRTDCRunTimes.py" --tripid 224-03 --locoid 4030 --swversion DE.1.0.9.0 --startMP 204:232964 --initTime 2017-03-03T20:22:18 --startdatetime 2017-03-03T20:26:25 --delay 1 --endMP 204:134 --enddatetime 2017-03-03T21:07:27 --enforcementcount 0 &gt;&gt;C:\Users\stu\Documents\GitHub\eaglep3-reporting\EC\2017-03-03-refined-times.txt</v>
      </c>
      <c r="AI137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{"issue":{"subject":"","project_id":79,"tracker_id":40,"status_id":1,"priority_id":2,"assigned_to_id":23,"start_date":"2017-03-03","description":"","custom_fields":[{"id":1,"name":"Subdivision","value":"EC"},{"id":4,"name":"Milepost","value":"0.0134"},{"id":17,"name":"Train ID","value":"224-03"},{"id":16,"name":"Locomotive ID","value":"4030"},{"id":130,"name":"Impact","value":""},{"id":150,"name":"Time of Event (Mountain Time)","value":"21:07:27"},{"id":151,"name":"Denver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0"/>
        <v>start /low /b %USERPROFILE%\Documents\GitHub\eaglep3\Utilities\DownloadLogsFromS3.py --loco 4030 --day 2017-03-03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"%USERPROFILE%\AppData\Local\Temp\OnboardLogs"\RTDC4030\*4030*20170304* | grep -SE "(Enforcement Action)|(\[TIMEOUT)|(CHR.+\|PRM\|1\|D.+(SWITCH|SIGNAL).+UNKNOWN)" - &gt;&gt; 2017-03-03-UncaughtWiMAX.txt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784</v>
      </c>
      <c r="B138" s="7">
        <v>4011</v>
      </c>
      <c r="C138" s="21" t="s">
        <v>251</v>
      </c>
      <c r="D138" s="21" t="s">
        <v>235</v>
      </c>
      <c r="E138" s="13">
        <v>42797.830046296294</v>
      </c>
      <c r="F138" s="13">
        <v>42797.833796296298</v>
      </c>
      <c r="G138" s="7">
        <v>1</v>
      </c>
      <c r="H138" s="21" t="s">
        <v>886</v>
      </c>
      <c r="I138" s="13">
        <v>42797.858657407407</v>
      </c>
      <c r="J138" s="7">
        <v>0</v>
      </c>
      <c r="K138" s="98" t="str">
        <f t="shared" si="25"/>
        <v>4011/4012</v>
      </c>
      <c r="L138" s="21" t="str">
        <f>VLOOKUP(A138,'Trips&amp;Operators'!$C$1:$G$99999,5,FALSE)</f>
        <v>STAMBAUGH JAMES</v>
      </c>
      <c r="M138" s="6">
        <f t="shared" si="26"/>
        <v>2.4861111109203193E-2</v>
      </c>
      <c r="N138" s="7">
        <f t="shared" si="50"/>
        <v>35.799999997252598</v>
      </c>
      <c r="O138" s="7"/>
      <c r="P138" s="7"/>
      <c r="Q138" s="22"/>
      <c r="R138" s="22"/>
      <c r="S138" s="31">
        <f t="shared" si="37"/>
        <v>1</v>
      </c>
      <c r="T138" s="46" t="str">
        <f t="shared" si="27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8"/>
        <v>https://d0f6bd738d7f1b3e5a7ca70fe4ff75f0.us-east-1.aws.found.io/app/kibana#/discover/Steve-Slow-Train-Analysis-(2080s-and-2083s)?_g=(refreshInterval:(display:Off,pause:!f,section:0,value:0),time:(from:'2017-03-03T18:55:16-0700',mode:absolute,to:'2017-03-03T21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197" t="str">
        <f t="shared" si="29"/>
        <v>N</v>
      </c>
      <c r="X138" s="197">
        <f t="shared" si="51"/>
        <v>1</v>
      </c>
      <c r="Y138" s="62">
        <f t="shared" si="42"/>
        <v>4.6399999999999997E-2</v>
      </c>
      <c r="Z138" s="62">
        <f t="shared" si="31"/>
        <v>23.332599999999999</v>
      </c>
      <c r="AA138" s="62">
        <f t="shared" si="32"/>
        <v>23.286200000000001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3"/>
        <v>0225-03</v>
      </c>
      <c r="AE138" s="85" t="str">
        <f t="shared" si="34"/>
        <v>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 &amp; aws s3 cp s3://rtdc.mdm.uploadarchive.raw/RTDC4011/ "%USERPROFILE%\AppData\Local\Temp\OnboardLogs"\RTDC4011\2017-03-04 --exclude "*" --recursive --include "*20170304*" &amp; "%USERPROFILE%\Documents\GitHub\mrs-test-scripts\Headless Mode &amp; Sideloading\WalkAndUnGZ.bat" "%USERPROFILE%\AppData\Local\Temp\OnboardLogs"\RTDC4011\2017-03-04</v>
      </c>
      <c r="AF138" s="82" t="str">
        <f t="shared" si="35"/>
        <v>"C:\Program Files (x86)\AstroGrep\AstroGrep.exe" /spath="%USERPROFILE%\AppData\Local\Temp\OnboardLogs" /stypes="app*4011*20170304*" /stext=" 03:.+((SYSTEM_STATE.+slice.+state.+changed )|(ment ac)|(multiple cpu faults)|(system.+state.+changed )|(\[timeout)|(PRM\|1\|D)|(kpr)|(kdp)|(\|lc)|(penalty))" /e /r /s</v>
      </c>
      <c r="AG138" s="1" t="str">
        <f t="shared" si="36"/>
        <v>EC</v>
      </c>
      <c r="AH138" s="86" t="str">
        <f t="shared" si="38"/>
        <v>"%USERPROFILE%\Documents\GitHub\eaglep3\Utilities\RefineRTDCRunTimes.py" --tripid 225-03 --locoid 4011 --swversion DE.1.0.9.0 --startMP 204:464 --initTime 2017-03-03T19:55:16 --startdatetime 2017-03-03T20:00:40 --delay 1 --endMP 204:233326 --enddatetime 2017-03-03T20:36:28 --enforcementcount 0 &gt;&gt;C:\Users\stu\Documents\GitHub\eaglep3-reporting\EC\2017-03-03-refined-times.txt</v>
      </c>
      <c r="AI138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{"issue":{"subject":"","project_id":79,"tracker_id":40,"status_id":1,"priority_id":2,"assigned_to_id":23,"start_date":"2017-03-03","description":"","custom_fields":[{"id":1,"name":"Subdivision","value":"EC"},{"id":4,"name":"Milepost","value":"23.3326"},{"id":17,"name":"Train ID","value":"225-03"},{"id":16,"name":"Locomotive ID","value":"4011"},{"id":130,"name":"Impact","value":""},{"id":150,"name":"Time of Event (Mountain Time)","value":"20:36:28"},{"id":151,"name":"Denver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0"/>
        <v>start /low /b %USERPROFILE%\Documents\GitHub\eaglep3\Utilities\DownloadLogsFromS3.py --loco 4011 --day 2017-03-03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"%USERPROFILE%\AppData\Local\Temp\OnboardLogs"\RTDC4011\*4011*20170304* | grep -SE "(Enforcement Action)|(\[TIMEOUT)|(CHR.+\|PRM\|1\|D.+(SWITCH|SIGNAL).+UNKNOWN)" - &gt;&gt; 2017-03-03-UncaughtWiMAX.txt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788</v>
      </c>
      <c r="B139" s="7">
        <v>4012</v>
      </c>
      <c r="C139" s="21" t="s">
        <v>251</v>
      </c>
      <c r="D139" s="21" t="s">
        <v>879</v>
      </c>
      <c r="E139" s="13">
        <v>42797.871516203704</v>
      </c>
      <c r="F139" s="13">
        <v>42797.87263888889</v>
      </c>
      <c r="G139" s="7">
        <v>0</v>
      </c>
      <c r="H139" s="21" t="s">
        <v>848</v>
      </c>
      <c r="I139" s="13">
        <v>42797.900914351849</v>
      </c>
      <c r="J139" s="7">
        <v>0</v>
      </c>
      <c r="K139" s="98" t="str">
        <f t="shared" si="25"/>
        <v>4011/4012</v>
      </c>
      <c r="L139" s="21" t="str">
        <f>VLOOKUP(A139,'Trips&amp;Operators'!$C$1:$G$99999,5,FALSE)</f>
        <v>STAMBAUGH JAMES</v>
      </c>
      <c r="M139" s="6">
        <f t="shared" si="26"/>
        <v>2.827546295884531E-2</v>
      </c>
      <c r="N139" s="7">
        <f t="shared" si="50"/>
        <v>40.716666660737246</v>
      </c>
      <c r="O139" s="7"/>
      <c r="P139" s="7"/>
      <c r="Q139" s="22"/>
      <c r="R139" s="22"/>
      <c r="S139" s="31">
        <f t="shared" si="37"/>
        <v>1</v>
      </c>
      <c r="T139" s="46" t="str">
        <f t="shared" si="27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8"/>
        <v>https://d0f6bd738d7f1b3e5a7ca70fe4ff75f0.us-east-1.aws.found.io/app/kibana#/discover/Steve-Slow-Train-Analysis-(2080s-and-2083s)?_g=(refreshInterval:(display:Off,pause:!f,section:0,value:0),time:(from:'2017-03-03T19:54:59-0700',mode:absolute,to:'2017-03-03T22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9" s="197" t="str">
        <f t="shared" si="29"/>
        <v>N</v>
      </c>
      <c r="X139" s="197">
        <f t="shared" si="51"/>
        <v>1</v>
      </c>
      <c r="Y139" s="62">
        <f t="shared" si="42"/>
        <v>23.300699999999999</v>
      </c>
      <c r="Z139" s="62">
        <f t="shared" si="31"/>
        <v>1.3599999999999999E-2</v>
      </c>
      <c r="AA139" s="62">
        <f t="shared" si="32"/>
        <v>23.287099999999999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3"/>
        <v>0226-03</v>
      </c>
      <c r="AE139" s="85" t="str">
        <f t="shared" si="34"/>
        <v>aws s3 cp s3://rtdc.mdm.uploadarchive.raw/RTDC4012/ "%USERPROFILE%\AppData\Local\Temp\OnboardLogs"\RTDC4012\2017-03-03 --exclude "*" --recursive --include "*20170303*" &amp; "%USERPROFILE%\Documents\GitHub\mrs-test-scripts\Headless Mode &amp; Sideloading\WalkAndUnGZ.bat" "%USERPROFILE%\AppData\Local\Temp\OnboardLogs"\RTDC4012\2017-03-03 &amp; 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</v>
      </c>
      <c r="AF139" s="82" t="str">
        <f t="shared" si="35"/>
        <v>"C:\Program Files (x86)\AstroGrep\AstroGrep.exe" /spath="%USERPROFILE%\AppData\Local\Temp\OnboardLogs" /stypes="app*4012*20170304*" /stext=" 04:.+((SYSTEM_STATE.+slice.+state.+changed )|(ment ac)|(multiple cpu faults)|(system.+state.+changed )|(\[timeout)|(PRM\|1\|D)|(kpr)|(kdp)|(\|lc)|(penalty))" /e /r /s</v>
      </c>
      <c r="AG139" s="1" t="str">
        <f t="shared" si="36"/>
        <v>EC</v>
      </c>
      <c r="AH139" s="86" t="str">
        <f t="shared" si="38"/>
        <v>"%USERPROFILE%\Documents\GitHub\eaglep3\Utilities\RefineRTDCRunTimes.py" --tripid 226-03 --locoid 4012 --swversion DE.1.0.9.0 --startMP 204:233007 --initTime 2017-03-03T20:54:59 --startdatetime 2017-03-03T20:56:36 --delay 0 --endMP 204:136 --enddatetime 2017-03-03T21:37:19 --enforcementcount 0 &gt;&gt;C:\Users\stu\Documents\GitHub\eaglep3-reporting\EC\2017-03-03-refined-times.txt</v>
      </c>
      <c r="AI139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{"issue":{"subject":"","project_id":79,"tracker_id":40,"status_id":1,"priority_id":2,"assigned_to_id":23,"start_date":"2017-03-03","description":"","custom_fields":[{"id":1,"name":"Subdivision","value":"EC"},{"id":4,"name":"Milepost","value":"0.0136"},{"id":17,"name":"Train ID","value":"226-03"},{"id":16,"name":"Locomotive ID","value":"4012"},{"id":130,"name":"Impact","value":""},{"id":150,"name":"Time of Event (Mountain Time)","value":"21:37:19"},{"id":151,"name":"Denver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0"/>
        <v>start /low /b %USERPROFILE%\Documents\GitHub\eaglep3\Utilities\DownloadLogsFromS3.py --loco 4012 --day 2017-03-03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"%USERPROFILE%\AppData\Local\Temp\OnboardLogs"\RTDC4012\*4012*20170304* | grep -SE "(Enforcement Action)|(\[TIMEOUT)|(CHR.+\|PRM\|1\|D.+(SWITCH|SIGNAL).+UNKNOWN)" - &gt;&gt; 2017-03-03-UncaughtWiMAX.txt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785</v>
      </c>
      <c r="B140" s="7">
        <v>4051</v>
      </c>
      <c r="C140" s="21" t="s">
        <v>251</v>
      </c>
      <c r="D140" s="21" t="s">
        <v>298</v>
      </c>
      <c r="E140" s="13">
        <v>42797.84202546296</v>
      </c>
      <c r="F140" s="13">
        <v>42797.854386574072</v>
      </c>
      <c r="G140" s="7">
        <v>1</v>
      </c>
      <c r="H140" s="21" t="s">
        <v>349</v>
      </c>
      <c r="I140" s="13">
        <v>42797.881689814814</v>
      </c>
      <c r="J140" s="7">
        <v>0</v>
      </c>
      <c r="K140" s="98" t="str">
        <f t="shared" si="25"/>
        <v>4051/4052</v>
      </c>
      <c r="L140" s="21" t="str">
        <f>VLOOKUP(A140,'Trips&amp;Operators'!$C$1:$G$99999,5,FALSE)</f>
        <v>SAFIEF AEIMEN</v>
      </c>
      <c r="M140" s="6">
        <f t="shared" si="26"/>
        <v>2.7303240742185153E-2</v>
      </c>
      <c r="N140" s="7">
        <f t="shared" si="50"/>
        <v>39.31666666874662</v>
      </c>
      <c r="O140" s="7"/>
      <c r="P140" s="7"/>
      <c r="Q140" s="22"/>
      <c r="R140" s="22"/>
      <c r="S140" s="31">
        <f t="shared" si="37"/>
        <v>1</v>
      </c>
      <c r="T140" s="46" t="str">
        <f t="shared" si="27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8"/>
        <v>https://d0f6bd738d7f1b3e5a7ca70fe4ff75f0.us-east-1.aws.found.io/app/kibana#/discover/Steve-Slow-Train-Analysis-(2080s-and-2083s)?_g=(refreshInterval:(display:Off,pause:!f,section:0,value:0),time:(from:'2017-03-03T19:12:31-0700',mode:absolute,to:'2017-03-03T22:09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0" s="197" t="str">
        <f t="shared" si="29"/>
        <v>N</v>
      </c>
      <c r="X140" s="197">
        <f t="shared" si="51"/>
        <v>1</v>
      </c>
      <c r="Y140" s="62">
        <f t="shared" si="42"/>
        <v>4.4200000000000003E-2</v>
      </c>
      <c r="Z140" s="62">
        <f t="shared" si="31"/>
        <v>23.3291</v>
      </c>
      <c r="AA140" s="62">
        <f t="shared" si="32"/>
        <v>23.2849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3"/>
        <v>0227-03</v>
      </c>
      <c r="AE140" s="85" t="str">
        <f t="shared" si="34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140" s="82" t="str">
        <f t="shared" si="35"/>
        <v>"C:\Program Files (x86)\AstroGrep\AstroGrep.exe" /spath="%USERPROFILE%\AppData\Local\Temp\OnboardLogs" /stypes="app*4051*20170304*" /stext=" 04:.+((SYSTEM_STATE.+slice.+state.+changed )|(ment ac)|(multiple cpu faults)|(system.+state.+changed )|(\[timeout)|(PRM\|1\|D)|(kpr)|(kdp)|(\|lc)|(penalty))" /e /r /s</v>
      </c>
      <c r="AG140" s="1" t="str">
        <f t="shared" si="36"/>
        <v>EC</v>
      </c>
      <c r="AH140" s="86" t="str">
        <f t="shared" si="38"/>
        <v>"%USERPROFILE%\Documents\GitHub\eaglep3\Utilities\RefineRTDCRunTimes.py" --tripid 227-03 --locoid 4051 --swversion DE.1.0.9.0 --startMP 204:442 --initTime 2017-03-03T20:12:31 --startdatetime 2017-03-03T20:30:19 --delay 1 --endMP 204:233291 --enddatetime 2017-03-03T21:09:38 --enforcementcount 0 &gt;&gt;C:\Users\stu\Documents\GitHub\eaglep3-reporting\EC\2017-03-03-refined-times.txt</v>
      </c>
      <c r="AI140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{"issue":{"subject":"","project_id":79,"tracker_id":40,"status_id":1,"priority_id":2,"assigned_to_id":23,"start_date":"2017-03-03","description":"","custom_fields":[{"id":1,"name":"Subdivision","value":"EC"},{"id":4,"name":"Milepost","value":"23.3291"},{"id":17,"name":"Train ID","value":"227-03"},{"id":16,"name":"Locomotive ID","value":"4051"},{"id":130,"name":"Impact","value":""},{"id":150,"name":"Time of Event (Mountain Time)","value":"21:09:38"},{"id":151,"name":"Denver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0"/>
        <v>start /low /b %USERPROFILE%\Documents\GitHub\eaglep3\Utilities\DownloadLogsFromS3.py --loco 4051 --day 2017-03-03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"%USERPROFILE%\AppData\Local\Temp\OnboardLogs"\RTDC4051\*4051*20170304* | grep -SE "(Enforcement Action)|(\[TIMEOUT)|(CHR.+\|PRM\|1\|D.+(SWITCH|SIGNAL).+UNKNOWN)" - &gt;&gt; 2017-03-03-UncaughtWiMAX.txt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3" t="s">
        <v>790</v>
      </c>
      <c r="B141" s="7">
        <v>4052</v>
      </c>
      <c r="C141" s="21" t="s">
        <v>251</v>
      </c>
      <c r="D141" s="21" t="s">
        <v>352</v>
      </c>
      <c r="E141" s="13">
        <v>42797.884976851848</v>
      </c>
      <c r="F141" s="13">
        <v>42797.893750000003</v>
      </c>
      <c r="G141" s="7">
        <v>2</v>
      </c>
      <c r="H141" s="21" t="s">
        <v>194</v>
      </c>
      <c r="I141" s="13">
        <v>42797.924363425926</v>
      </c>
      <c r="J141" s="7">
        <v>0</v>
      </c>
      <c r="K141" s="98" t="str">
        <f t="shared" ref="K141:K204" si="52">IF(ISEVEN(B141),(B141-1)&amp;"/"&amp;B141,B141&amp;"/"&amp;(B141+1))</f>
        <v>4051/4052</v>
      </c>
      <c r="L141" s="21" t="str">
        <f>VLOOKUP(A141,'Trips&amp;Operators'!$C$1:$G$99999,5,FALSE)</f>
        <v>SAFIEF AEIMEN</v>
      </c>
      <c r="M141" s="6">
        <f t="shared" ref="M141:M204" si="53">I141-F141</f>
        <v>3.0613425922638271E-2</v>
      </c>
      <c r="N141" s="7">
        <f t="shared" si="50"/>
        <v>44.08333332859911</v>
      </c>
      <c r="O141" s="7"/>
      <c r="P141" s="7"/>
      <c r="Q141" s="22"/>
      <c r="R141" s="22"/>
      <c r="S141" s="31">
        <f t="shared" si="37"/>
        <v>1</v>
      </c>
      <c r="T141" s="46" t="str">
        <f t="shared" ref="T141:T204" si="54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-03T20:14:22-0700',mode:absolute,to:'2017-03-03T23:11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197" t="str">
        <f t="shared" ref="W141:W204" si="56">IF(AA141&lt;IF(AG141="EC",23,5.65),"Y","N")</f>
        <v>N</v>
      </c>
      <c r="X141" s="197">
        <f t="shared" si="51"/>
        <v>1</v>
      </c>
      <c r="Y141" s="62">
        <f t="shared" si="42"/>
        <v>23.300599999999999</v>
      </c>
      <c r="Z141" s="62">
        <f t="shared" ref="Z141:Z204" si="57">RIGHT(H141,LEN(H141)-4)/10000</f>
        <v>1.4999999999999999E-2</v>
      </c>
      <c r="AA141" s="62">
        <f t="shared" ref="AA141:AA204" si="58">ABS(Z141-Y141)</f>
        <v>23.285599999999999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9">IF(LEN(A141)=6,"0"&amp;A141,A141)</f>
        <v>0228-03</v>
      </c>
      <c r="AE141" s="85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141" s="82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/stypes="app*4052*20170304*" /stext=" 05:.+((SYSTEM_STATE.+slice.+state.+changed )|(ment ac)|(multiple cpu faults)|(system.+state.+changed )|(\[timeout)|(PRM\|1\|D)|(kpr)|(kdp)|(\|lc)|(penalty))"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86" t="str">
        <f t="shared" si="38"/>
        <v>"%USERPROFILE%\Documents\GitHub\eaglep3\Utilities\RefineRTDCRunTimes.py" --tripid 228-03 --locoid 4052 --swversion DE.1.0.9.0 --startMP 204:233006 --initTime 2017-03-03T21:14:22 --startdatetime 2017-03-03T21:27:00 --delay 2 --endMP 204:150 --enddatetime 2017-03-03T22:11:05 --enforcementcount 0 &gt;&gt;C:\Users\stu\Documents\GitHub\eaglep3-reporting\EC\2017-03-03-refined-times.txt</v>
      </c>
      <c r="AI141" s="108" t="str">
        <f t="shared" si="39"/>
        <v>echo {"issue":{"subject":"","project_id":79,"tracker_id":40,"status_id":1,"priority_id":2,"assigned_to_id":23,"start_date":"2017-03-03","description":"","custom_fields":[{"id":1,"name":"Subdivision","value":"EC"},{"id":4,"name":"Milepost","value":"0.015"},{"id":17,"name":"Train ID","value":"228-03"},{"id":16,"name":"Locomotive ID","value":"4052"},{"id":130,"name":"Impact","value":""},{"id":150,"name":"Time of Event (Mountain Time)","value":"22:11:05"},{"id":151,"name":"Denver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0"/>
        <v>start /low /b %USERPROFILE%\Documents\GitHub\eaglep3\Utilities\DownloadLogsFromS3.py --loco 4052 --day 2017-03-03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"%USERPROFILE%\AppData\Local\Temp\OnboardLogs"\RTDC4052\*4052*20170304* | grep -SE "(Enforcement Action)|(\[TIMEOUT)|(CHR.+\|PRM\|1\|D.+(SWITCH|SIGNAL).+UNKNOWN)" - &gt;&gt; 2017-03-03-UncaughtWiMAX.txt</v>
      </c>
    </row>
    <row r="142" spans="1:91" s="20" customFormat="1" x14ac:dyDescent="0.25">
      <c r="A142" s="33" t="s">
        <v>603</v>
      </c>
      <c r="B142" s="7">
        <v>4027</v>
      </c>
      <c r="C142" s="21" t="s">
        <v>251</v>
      </c>
      <c r="D142" s="21" t="s">
        <v>887</v>
      </c>
      <c r="E142" s="13">
        <v>42797.871701388889</v>
      </c>
      <c r="F142" s="13">
        <v>42797.875196759262</v>
      </c>
      <c r="G142" s="7">
        <v>1</v>
      </c>
      <c r="H142" s="21" t="s">
        <v>258</v>
      </c>
      <c r="I142" s="13">
        <v>42797.903321759259</v>
      </c>
      <c r="J142" s="7">
        <v>0</v>
      </c>
      <c r="K142" s="98" t="str">
        <f t="shared" si="52"/>
        <v>4027/4028</v>
      </c>
      <c r="L142" s="21" t="str">
        <f>VLOOKUP(A142,'Trips&amp;Operators'!$C$1:$G$99999,5,FALSE)</f>
        <v>PERKINS DARREN</v>
      </c>
      <c r="M142" s="6">
        <f t="shared" si="53"/>
        <v>2.8124999997089617E-2</v>
      </c>
      <c r="N142" s="7">
        <f t="shared" si="50"/>
        <v>40.499999995809048</v>
      </c>
      <c r="O142" s="7"/>
      <c r="P142" s="7"/>
      <c r="Q142" s="22"/>
      <c r="R142" s="22"/>
      <c r="S142" s="31">
        <f t="shared" ref="S142:S205" si="63">SUM(U142:U142)/IF(AG142="EC",12,1)</f>
        <v>1</v>
      </c>
      <c r="T142" s="46" t="str">
        <f t="shared" si="54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5"/>
        <v>https://d0f6bd738d7f1b3e5a7ca70fe4ff75f0.us-east-1.aws.found.io/app/kibana#/discover/Steve-Slow-Train-Analysis-(2080s-and-2083s)?_g=(refreshInterval:(display:Off,pause:!f,section:0,value:0),time:(from:'2017-03-03T19:55:15-0700',mode:absolute,to:'2017-03-03T22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2" s="197" t="str">
        <f t="shared" si="56"/>
        <v>N</v>
      </c>
      <c r="X142" s="197">
        <f t="shared" si="51"/>
        <v>1</v>
      </c>
      <c r="Y142" s="62">
        <f t="shared" si="42"/>
        <v>4.3700000000000003E-2</v>
      </c>
      <c r="Z142" s="62">
        <f t="shared" si="57"/>
        <v>23.331399999999999</v>
      </c>
      <c r="AA142" s="62">
        <f t="shared" si="58"/>
        <v>23.287699999999997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9"/>
        <v>0229-03</v>
      </c>
      <c r="AE142" s="85" t="str">
        <f t="shared" si="60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142" s="82" t="str">
        <f t="shared" si="61"/>
        <v>"C:\Program Files (x86)\AstroGrep\AstroGrep.exe" /spath="%USERPROFILE%\AppData\Local\Temp\OnboardLogs" /stypes="app*4027*20170304*" /stext=" 04:.+((SYSTEM_STATE.+slice.+state.+changed )|(ment ac)|(multiple cpu faults)|(system.+state.+changed )|(\[timeout)|(PRM\|1\|D)|(kpr)|(kdp)|(\|lc)|(penalty))" /e /r /s</v>
      </c>
      <c r="AG142" s="1" t="str">
        <f t="shared" si="62"/>
        <v>EC</v>
      </c>
      <c r="AH142" s="86" t="str">
        <f t="shared" ref="AH142:AH205" si="6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229-03 --locoid 4027 --swversion DE.1.0.9.0 --startMP 204:437 --initTime 2017-03-03T20:55:15 --startdatetime 2017-03-03T21:00:17 --delay 1 --endMP 204:233314 --enddatetime 2017-03-03T21:40:47 --enforcementcount 0 &gt;&gt;C:\Users\stu\Documents\GitHub\eaglep3-reporting\EC\2017-03-03-refined-times.txt</v>
      </c>
      <c r="AI142" s="108" t="str">
        <f t="shared" ref="AI142:AI205" si="6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{"issue":{"subject":"","project_id":79,"tracker_id":40,"status_id":1,"priority_id":2,"assigned_to_id":23,"start_date":"2017-03-03","description":"","custom_fields":[{"id":1,"name":"Subdivision","value":"EC"},{"id":4,"name":"Milepost","value":"23.3314"},{"id":17,"name":"Train ID","value":"229-03"},{"id":16,"name":"Locomotive ID","value":"4027"},{"id":130,"name":"Impact","value":""},{"id":150,"name":"Time of Event (Mountain Time)","value":"21:40:47"},{"id":151,"name":"Denver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66">"start /low /b "&amp;dls3logs&amp;" --loco "&amp;B142&amp;" --day "&amp;TEXT(F142,"YYYY-MM-DD")</f>
        <v>start /low /b %USERPROFILE%\Documents\GitHub\eaglep3\Utilities\DownloadLogsFromS3.py --loco 4027 --day 2017-03-03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"%USERPROFILE%\AppData\Local\Temp\OnboardLogs"\RTDC4027\*4027*20170304* | grep -SE "(Enforcement Action)|(\[TIMEOUT)|(CHR.+\|PRM\|1\|D.+(SWITCH|SIGNAL).+UNKNOWN)" - &gt;&gt; 2017-03-03-UncaughtWiMAX.txt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605</v>
      </c>
      <c r="B143" s="7">
        <v>4028</v>
      </c>
      <c r="C143" s="21" t="s">
        <v>251</v>
      </c>
      <c r="D143" s="21" t="s">
        <v>302</v>
      </c>
      <c r="E143" s="13">
        <v>42797.908460648148</v>
      </c>
      <c r="F143" s="13">
        <v>42797.9140625</v>
      </c>
      <c r="G143" s="7">
        <v>1</v>
      </c>
      <c r="H143" s="21" t="s">
        <v>196</v>
      </c>
      <c r="I143" s="13">
        <v>42797.945451388892</v>
      </c>
      <c r="J143" s="7">
        <v>0</v>
      </c>
      <c r="K143" s="98" t="str">
        <f t="shared" si="52"/>
        <v>4027/4028</v>
      </c>
      <c r="L143" s="21" t="str">
        <f>VLOOKUP(A143,'Trips&amp;Operators'!$C$1:$G$99999,5,FALSE)</f>
        <v>PERKINS DARREN</v>
      </c>
      <c r="M143" s="6">
        <f t="shared" si="53"/>
        <v>3.1388888892251998E-2</v>
      </c>
      <c r="N143" s="7">
        <f t="shared" si="50"/>
        <v>45.200000004842877</v>
      </c>
      <c r="O143" s="7"/>
      <c r="P143" s="7"/>
      <c r="Q143" s="22"/>
      <c r="R143" s="22"/>
      <c r="S143" s="31">
        <f t="shared" si="63"/>
        <v>1</v>
      </c>
      <c r="T143" s="46" t="str">
        <f t="shared" si="54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5"/>
        <v>https://d0f6bd738d7f1b3e5a7ca70fe4ff75f0.us-east-1.aws.found.io/app/kibana#/discover/Steve-Slow-Train-Analysis-(2080s-and-2083s)?_g=(refreshInterval:(display:Off,pause:!f,section:0,value:0),time:(from:'2017-03-03T20:48:11-0700',mode:absolute,to:'2017-03-03T23:41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7" t="str">
        <f t="shared" si="56"/>
        <v>N</v>
      </c>
      <c r="X143" s="197">
        <f t="shared" si="51"/>
        <v>1</v>
      </c>
      <c r="Y143" s="62">
        <f t="shared" si="42"/>
        <v>23.298999999999999</v>
      </c>
      <c r="Z143" s="62">
        <f t="shared" si="57"/>
        <v>1.4500000000000001E-2</v>
      </c>
      <c r="AA143" s="62">
        <f t="shared" si="58"/>
        <v>23.284499999999998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9"/>
        <v>0230-03</v>
      </c>
      <c r="AE143" s="85" t="str">
        <f t="shared" si="60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143" s="82" t="str">
        <f t="shared" si="61"/>
        <v>"C:\Program Files (x86)\AstroGrep\AstroGrep.exe" /spath="%USERPROFILE%\AppData\Local\Temp\OnboardLogs" /stypes="app*4028*20170304*" /stext=" 05:.+((SYSTEM_STATE.+slice.+state.+changed )|(ment ac)|(multiple cpu faults)|(system.+state.+changed )|(\[timeout)|(PRM\|1\|D)|(kpr)|(kdp)|(\|lc)|(penalty))" /e /r /s</v>
      </c>
      <c r="AG143" s="1" t="str">
        <f t="shared" si="62"/>
        <v>EC</v>
      </c>
      <c r="AH143" s="86" t="str">
        <f t="shared" si="64"/>
        <v>"%USERPROFILE%\Documents\GitHub\eaglep3\Utilities\RefineRTDCRunTimes.py" --tripid 230-03 --locoid 4028 --swversion DE.1.0.9.0 --startMP 204:232990 --initTime 2017-03-03T21:48:11 --startdatetime 2017-03-03T21:56:15 --delay 1 --endMP 204:145 --enddatetime 2017-03-03T22:41:27 --enforcementcount 0 &gt;&gt;C:\Users\stu\Documents\GitHub\eaglep3-reporting\EC\2017-03-03-refined-times.txt</v>
      </c>
      <c r="AI143" s="108" t="str">
        <f t="shared" si="65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ID","value":"230-03"},{"id":16,"name":"Locomotive ID","value":"4028"},{"id":130,"name":"Impact","value":""},{"id":150,"name":"Time of Event (Mountain Time)","value":"22:41:27"},{"id":151,"name":"Denver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6"/>
        <v>start /low /b %USERPROFILE%\Documents\GitHub\eaglep3\Utilities\DownloadLogsFromS3.py --loco 4028 --day 2017-03-03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"%USERPROFILE%\AppData\Local\Temp\OnboardLogs"\RTDC4028\*4028*20170304* | grep -SE "(Enforcement Action)|(\[TIMEOUT)|(CHR.+\|PRM\|1\|D.+(SWITCH|SIGNAL).+UNKNOWN)" - &gt;&gt; 2017-03-03-UncaughtWiMAX.txt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604</v>
      </c>
      <c r="B144" s="7">
        <v>4029</v>
      </c>
      <c r="C144" s="21" t="s">
        <v>251</v>
      </c>
      <c r="D144" s="21" t="s">
        <v>230</v>
      </c>
      <c r="E144" s="13">
        <v>42797.885312500002</v>
      </c>
      <c r="F144" s="13">
        <v>42797.896238425928</v>
      </c>
      <c r="G144" s="7">
        <v>1</v>
      </c>
      <c r="H144" s="21" t="s">
        <v>241</v>
      </c>
      <c r="I144" s="13">
        <v>42797.923379629632</v>
      </c>
      <c r="J144" s="7">
        <v>0</v>
      </c>
      <c r="K144" s="98" t="str">
        <f t="shared" si="52"/>
        <v>4029/4030</v>
      </c>
      <c r="L144" s="21" t="str">
        <f>VLOOKUP(A144,'Trips&amp;Operators'!$C$1:$G$99999,5,FALSE)</f>
        <v>MACDONALD THOMAS</v>
      </c>
      <c r="M144" s="6">
        <f t="shared" si="53"/>
        <v>2.7141203703649808E-2</v>
      </c>
      <c r="N144" s="7">
        <f t="shared" si="50"/>
        <v>39.083333333255723</v>
      </c>
      <c r="O144" s="7"/>
      <c r="P144" s="7"/>
      <c r="Q144" s="22"/>
      <c r="R144" s="22"/>
      <c r="S144" s="31">
        <f t="shared" si="63"/>
        <v>1</v>
      </c>
      <c r="T144" s="46" t="str">
        <f t="shared" si="54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5"/>
        <v>https://d0f6bd738d7f1b3e5a7ca70fe4ff75f0.us-east-1.aws.found.io/app/kibana#/discover/Steve-Slow-Train-Analysis-(2080s-and-2083s)?_g=(refreshInterval:(display:Off,pause:!f,section:0,value:0),time:(from:'2017-03-03T20:14:51-0700',mode:absolute,to:'2017-03-03T23:09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97" t="str">
        <f t="shared" si="56"/>
        <v>N</v>
      </c>
      <c r="X144" s="197">
        <f t="shared" si="51"/>
        <v>1</v>
      </c>
      <c r="Y144" s="62">
        <f t="shared" si="42"/>
        <v>4.53E-2</v>
      </c>
      <c r="Z144" s="62">
        <f t="shared" si="57"/>
        <v>23.331</v>
      </c>
      <c r="AA144" s="62">
        <f t="shared" si="58"/>
        <v>23.285699999999999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9"/>
        <v>0231-03</v>
      </c>
      <c r="AE144" s="85" t="str">
        <f t="shared" si="60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144" s="82" t="str">
        <f t="shared" si="61"/>
        <v>"C:\Program Files (x86)\AstroGrep\AstroGrep.exe" /spath="%USERPROFILE%\AppData\Local\Temp\OnboardLogs" /stypes="app*4029*20170304*" /stext=" 05:.+((SYSTEM_STATE.+slice.+state.+changed )|(ment ac)|(multiple cpu faults)|(system.+state.+changed )|(\[timeout)|(PRM\|1\|D)|(kpr)|(kdp)|(\|lc)|(penalty))" /e /r /s</v>
      </c>
      <c r="AG144" s="1" t="str">
        <f t="shared" si="62"/>
        <v>EC</v>
      </c>
      <c r="AH144" s="86" t="str">
        <f t="shared" si="64"/>
        <v>"%USERPROFILE%\Documents\GitHub\eaglep3\Utilities\RefineRTDCRunTimes.py" --tripid 231-03 --locoid 4029 --swversion DE.1.0.9.0 --startMP 204:453 --initTime 2017-03-03T21:14:51 --startdatetime 2017-03-03T21:30:35 --delay 1 --endMP 204:233310 --enddatetime 2017-03-03T22:09:40 --enforcementcount 0 &gt;&gt;C:\Users\stu\Documents\GitHub\eaglep3-reporting\EC\2017-03-03-refined-times.txt</v>
      </c>
      <c r="AI144" s="108" t="str">
        <f t="shared" si="65"/>
        <v>echo {"issue":{"subject":"","project_id":79,"tracker_id":40,"status_id":1,"priority_id":2,"assigned_to_id":23,"start_date":"2017-03-03","description":"","custom_fields":[{"id":1,"name":"Subdivision","value":"EC"},{"id":4,"name":"Milepost","value":"23.331"},{"id":17,"name":"Train ID","value":"231-03"},{"id":16,"name":"Locomotive ID","value":"4029"},{"id":130,"name":"Impact","value":""},{"id":150,"name":"Time of Event (Mountain Time)","value":"22:09:40"},{"id":151,"name":"Denver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6"/>
        <v>start /low /b %USERPROFILE%\Documents\GitHub\eaglep3\Utilities\DownloadLogsFromS3.py --loco 4029 --day 2017-03-03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"%USERPROFILE%\AppData\Local\Temp\OnboardLogs"\RTDC4029\*4029*20170304* | grep -SE "(Enforcement Action)|(\[TIMEOUT)|(CHR.+\|PRM\|1\|D.+(SWITCH|SIGNAL).+UNKNOWN)" - &gt;&gt; 2017-03-03-UncaughtWiMAX.txt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795</v>
      </c>
      <c r="B145" s="7">
        <v>4030</v>
      </c>
      <c r="C145" s="21" t="s">
        <v>251</v>
      </c>
      <c r="D145" s="21" t="s">
        <v>253</v>
      </c>
      <c r="E145" s="13">
        <v>42797.934224537035</v>
      </c>
      <c r="F145" s="13">
        <v>42797.936562499999</v>
      </c>
      <c r="G145" s="7">
        <v>2</v>
      </c>
      <c r="H145" s="21" t="s">
        <v>184</v>
      </c>
      <c r="I145" s="13">
        <v>42797.970011574071</v>
      </c>
      <c r="J145" s="7">
        <v>0</v>
      </c>
      <c r="K145" s="98" t="str">
        <f t="shared" si="52"/>
        <v>4029/4030</v>
      </c>
      <c r="L145" s="21" t="str">
        <f>VLOOKUP(A145,'Trips&amp;Operators'!$C$1:$G$99999,5,FALSE)</f>
        <v>MACDONALD THOMAS</v>
      </c>
      <c r="M145" s="6">
        <f t="shared" si="53"/>
        <v>3.3449074071540963E-2</v>
      </c>
      <c r="N145" s="7">
        <f t="shared" si="50"/>
        <v>48.166666663018987</v>
      </c>
      <c r="O145" s="7"/>
      <c r="P145" s="7"/>
      <c r="Q145" s="22"/>
      <c r="R145" s="22"/>
      <c r="S145" s="31">
        <f t="shared" si="63"/>
        <v>1</v>
      </c>
      <c r="T145" s="46" t="str">
        <f t="shared" si="54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5"/>
        <v>https://d0f6bd738d7f1b3e5a7ca70fe4ff75f0.us-east-1.aws.found.io/app/kibana#/discover/Steve-Slow-Train-Analysis-(2080s-and-2083s)?_g=(refreshInterval:(display:Off,pause:!f,section:0,value:0),time:(from:'2017-03-03T21:25:17-0700',mode:absolute,to:'2017-03-04T00:16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97" t="str">
        <f t="shared" si="56"/>
        <v>N</v>
      </c>
      <c r="X145" s="197">
        <f t="shared" si="51"/>
        <v>1</v>
      </c>
      <c r="Y145" s="62">
        <f t="shared" si="42"/>
        <v>23.299399999999999</v>
      </c>
      <c r="Z145" s="62">
        <f t="shared" si="57"/>
        <v>1.49E-2</v>
      </c>
      <c r="AA145" s="62">
        <f t="shared" si="58"/>
        <v>23.284499999999998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9"/>
        <v>0232-03</v>
      </c>
      <c r="AE145" s="85" t="str">
        <f t="shared" si="60"/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AF145" s="82" t="str">
        <f t="shared" si="61"/>
        <v>"C:\Program Files (x86)\AstroGrep\AstroGrep.exe" /spath="%USERPROFILE%\AppData\Local\Temp\OnboardLogs" /stypes="app*4030*20170304*" /stext=" 06:.+((SYSTEM_STATE.+slice.+state.+changed )|(ment ac)|(multiple cpu faults)|(system.+state.+changed )|(\[timeout)|(PRM\|1\|D)|(kpr)|(kdp)|(\|lc)|(penalty))" /e /r /s</v>
      </c>
      <c r="AG145" s="1" t="str">
        <f t="shared" si="62"/>
        <v>EC</v>
      </c>
      <c r="AH145" s="86" t="str">
        <f t="shared" si="64"/>
        <v>"%USERPROFILE%\Documents\GitHub\eaglep3\Utilities\RefineRTDCRunTimes.py" --tripid 232-03 --locoid 4030 --swversion DE.1.0.9.0 --startMP 204:232994 --initTime 2017-03-03T22:25:17 --startdatetime 2017-03-03T22:28:39 --delay 2 --endMP 204:149 --enddatetime 2017-03-03T23:16:49 --enforcementcount 0 &gt;&gt;C:\Users\stu\Documents\GitHub\eaglep3-reporting\EC\2017-03-03-refined-times.txt</v>
      </c>
      <c r="AI145" s="108" t="str">
        <f t="shared" si="65"/>
        <v>echo {"issue":{"subject":"","project_id":79,"tracker_id":40,"status_id":1,"priority_id":2,"assigned_to_id":23,"start_date":"2017-03-03","description":"","custom_fields":[{"id":1,"name":"Subdivision","value":"EC"},{"id":4,"name":"Milepost","value":"0.0149"},{"id":17,"name":"Train ID","value":"232-03"},{"id":16,"name":"Locomotive ID","value":"4030"},{"id":130,"name":"Impact","value":""},{"id":150,"name":"Time of Event (Mountain Time)","value":"23:16:49"},{"id":151,"name":"Denver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6"/>
        <v>start /low /b %USERPROFILE%\Documents\GitHub\eaglep3\Utilities\DownloadLogsFromS3.py --loco 4030 --day 2017-03-03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"%USERPROFILE%\AppData\Local\Temp\OnboardLogs"\RTDC4030\*4030*20170304* | grep -SE "(Enforcement Action)|(\[TIMEOUT)|(CHR.+\|PRM\|1\|D.+(SWITCH|SIGNAL).+UNKNOWN)" - &gt;&gt; 2017-03-03-UncaughtWiMAX.txt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792</v>
      </c>
      <c r="B146" s="7">
        <v>4011</v>
      </c>
      <c r="C146" s="21" t="s">
        <v>251</v>
      </c>
      <c r="D146" s="21" t="s">
        <v>888</v>
      </c>
      <c r="E146" s="13">
        <v>42797.90284722222</v>
      </c>
      <c r="F146" s="13">
        <v>42797.91710648148</v>
      </c>
      <c r="G146" s="7">
        <v>1</v>
      </c>
      <c r="H146" s="21" t="s">
        <v>280</v>
      </c>
      <c r="I146" s="13">
        <v>42797.942314814813</v>
      </c>
      <c r="J146" s="7">
        <v>0</v>
      </c>
      <c r="K146" s="98" t="str">
        <f t="shared" si="52"/>
        <v>4011/4012</v>
      </c>
      <c r="L146" s="21" t="str">
        <f>VLOOKUP(A146,'Trips&amp;Operators'!$C$1:$G$99999,5,FALSE)</f>
        <v>STAMBAUGH JAMES</v>
      </c>
      <c r="M146" s="6">
        <f t="shared" si="53"/>
        <v>2.5208333332557231E-2</v>
      </c>
      <c r="N146" s="7">
        <f t="shared" si="50"/>
        <v>36.299999998882413</v>
      </c>
      <c r="O146" s="7"/>
      <c r="P146" s="7"/>
      <c r="Q146" s="22"/>
      <c r="R146" s="22"/>
      <c r="S146" s="31">
        <f t="shared" si="63"/>
        <v>1</v>
      </c>
      <c r="T146" s="46" t="str">
        <f t="shared" si="54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5"/>
        <v>https://d0f6bd738d7f1b3e5a7ca70fe4ff75f0.us-east-1.aws.found.io/app/kibana#/discover/Steve-Slow-Train-Analysis-(2080s-and-2083s)?_g=(refreshInterval:(display:Off,pause:!f,section:0,value:0),time:(from:'2017-03-03T20:40:06-0700',mode:absolute,to:'2017-03-03T23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6" s="197" t="str">
        <f t="shared" si="56"/>
        <v>N</v>
      </c>
      <c r="X146" s="197">
        <f t="shared" si="51"/>
        <v>1</v>
      </c>
      <c r="Y146" s="62">
        <f t="shared" si="42"/>
        <v>4.1799999999999997E-2</v>
      </c>
      <c r="Z146" s="62">
        <f t="shared" si="57"/>
        <v>23.331499999999998</v>
      </c>
      <c r="AA146" s="62">
        <f t="shared" si="58"/>
        <v>23.2897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9"/>
        <v>0233-03</v>
      </c>
      <c r="AE146" s="85" t="str">
        <f t="shared" si="60"/>
        <v>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 &amp; aws s3 cp s3://rtdc.mdm.uploadarchive.raw/RTDC4011/ "%USERPROFILE%\AppData\Local\Temp\OnboardLogs"\RTDC4011\2017-03-04 --exclude "*" --recursive --include "*20170304*" &amp; "%USERPROFILE%\Documents\GitHub\mrs-test-scripts\Headless Mode &amp; Sideloading\WalkAndUnGZ.bat" "%USERPROFILE%\AppData\Local\Temp\OnboardLogs"\RTDC4011\2017-03-04</v>
      </c>
      <c r="AF146" s="82" t="str">
        <f t="shared" si="61"/>
        <v>"C:\Program Files (x86)\AstroGrep\AstroGrep.exe" /spath="%USERPROFILE%\AppData\Local\Temp\OnboardLogs" /stypes="app*4011*20170304*" /stext=" 05:.+((SYSTEM_STATE.+slice.+state.+changed )|(ment ac)|(multiple cpu faults)|(system.+state.+changed )|(\[timeout)|(PRM\|1\|D)|(kpr)|(kdp)|(\|lc)|(penalty))" /e /r /s</v>
      </c>
      <c r="AG146" s="1" t="str">
        <f t="shared" si="62"/>
        <v>EC</v>
      </c>
      <c r="AH146" s="86" t="str">
        <f t="shared" si="64"/>
        <v>"%USERPROFILE%\Documents\GitHub\eaglep3\Utilities\RefineRTDCRunTimes.py" --tripid 233-03 --locoid 4011 --swversion DE.1.0.9.0 --startMP 204:418 --initTime 2017-03-03T21:40:06 --startdatetime 2017-03-03T22:00:38 --delay 1 --endMP 204:233315 --enddatetime 2017-03-03T22:36:56 --enforcementcount 0 &gt;&gt;C:\Users\stu\Documents\GitHub\eaglep3-reporting\EC\2017-03-03-refined-times.txt</v>
      </c>
      <c r="AI146" s="108" t="str">
        <f t="shared" si="65"/>
        <v>echo {"issue":{"subject":"","project_id":79,"tracker_id":40,"status_id":1,"priority_id":2,"assigned_to_id":23,"start_date":"2017-03-03","description":"","custom_fields":[{"id":1,"name":"Subdivision","value":"EC"},{"id":4,"name":"Milepost","value":"23.3315"},{"id":17,"name":"Train ID","value":"233-03"},{"id":16,"name":"Locomotive ID","value":"4011"},{"id":130,"name":"Impact","value":""},{"id":150,"name":"Time of Event (Mountain Time)","value":"22:36:56"},{"id":151,"name":"Denver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6"/>
        <v>start /low /b %USERPROFILE%\Documents\GitHub\eaglep3\Utilities\DownloadLogsFromS3.py --loco 4011 --day 2017-03-03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"%USERPROFILE%\AppData\Local\Temp\OnboardLogs"\RTDC4011\*4011*20170304* | grep -SE "(Enforcement Action)|(\[TIMEOUT)|(CHR.+\|PRM\|1\|D.+(SWITCH|SIGNAL).+UNKNOWN)" - &gt;&gt; 2017-03-03-UncaughtWiMAX.txt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606</v>
      </c>
      <c r="B147" s="7">
        <v>4012</v>
      </c>
      <c r="C147" s="21" t="s">
        <v>251</v>
      </c>
      <c r="D147" s="21" t="s">
        <v>253</v>
      </c>
      <c r="E147" s="13">
        <v>42797.944930555554</v>
      </c>
      <c r="F147" s="13">
        <v>42797.956273148149</v>
      </c>
      <c r="G147" s="7">
        <v>4</v>
      </c>
      <c r="H147" s="21" t="s">
        <v>531</v>
      </c>
      <c r="I147" s="13">
        <v>42797.986967592595</v>
      </c>
      <c r="J147" s="7">
        <v>0</v>
      </c>
      <c r="K147" s="98" t="str">
        <f t="shared" si="52"/>
        <v>4011/4012</v>
      </c>
      <c r="L147" s="21" t="str">
        <f>VLOOKUP(A147,'Trips&amp;Operators'!$C$1:$G$99999,5,FALSE)</f>
        <v>STAMBAUGH JAMES</v>
      </c>
      <c r="M147" s="6">
        <f t="shared" si="53"/>
        <v>3.0694444445543922E-2</v>
      </c>
      <c r="N147" s="7">
        <f t="shared" ref="N147:N178" si="67">24*60*SUM($M147:$M147)</f>
        <v>44.200000001583248</v>
      </c>
      <c r="O147" s="7"/>
      <c r="P147" s="7"/>
      <c r="Q147" s="22"/>
      <c r="R147" s="22"/>
      <c r="S147" s="31">
        <f t="shared" si="63"/>
        <v>1</v>
      </c>
      <c r="T147" s="46" t="str">
        <f t="shared" si="54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5"/>
        <v>https://d0f6bd738d7f1b3e5a7ca70fe4ff75f0.us-east-1.aws.found.io/app/kibana#/discover/Steve-Slow-Train-Analysis-(2080s-and-2083s)?_g=(refreshInterval:(display:Off,pause:!f,section:0,value:0),time:(from:'2017-03-03T21:40:42-0700',mode:absolute,to:'2017-03-04T00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7" s="197" t="str">
        <f t="shared" si="56"/>
        <v>N</v>
      </c>
      <c r="X147" s="197">
        <f t="shared" si="51"/>
        <v>1</v>
      </c>
      <c r="Y147" s="62">
        <f t="shared" si="42"/>
        <v>23.299399999999999</v>
      </c>
      <c r="Z147" s="62">
        <f t="shared" si="57"/>
        <v>1.38E-2</v>
      </c>
      <c r="AA147" s="62">
        <f t="shared" si="58"/>
        <v>23.285599999999999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9"/>
        <v>0234-03</v>
      </c>
      <c r="AE147" s="85" t="str">
        <f t="shared" si="60"/>
        <v>aws s3 cp s3://rtdc.mdm.uploadarchive.raw/RTDC4012/ "%USERPROFILE%\AppData\Local\Temp\OnboardLogs"\RTDC4012\2017-03-03 --exclude "*" --recursive --include "*20170303*" &amp; "%USERPROFILE%\Documents\GitHub\mrs-test-scripts\Headless Mode &amp; Sideloading\WalkAndUnGZ.bat" "%USERPROFILE%\AppData\Local\Temp\OnboardLogs"\RTDC4012\2017-03-03 &amp; 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</v>
      </c>
      <c r="AF147" s="82" t="str">
        <f t="shared" si="61"/>
        <v>"C:\Program Files (x86)\AstroGrep\AstroGrep.exe" /spath="%USERPROFILE%\AppData\Local\Temp\OnboardLogs" /stypes="app*4012*20170304*" /stext=" 06:.+((SYSTEM_STATE.+slice.+state.+changed )|(ment ac)|(multiple cpu faults)|(system.+state.+changed )|(\[timeout)|(PRM\|1\|D)|(kpr)|(kdp)|(\|lc)|(penalty))" /e /r /s</v>
      </c>
      <c r="AG147" s="1" t="str">
        <f t="shared" si="62"/>
        <v>EC</v>
      </c>
      <c r="AH147" s="86" t="str">
        <f t="shared" si="64"/>
        <v>"%USERPROFILE%\Documents\GitHub\eaglep3\Utilities\RefineRTDCRunTimes.py" --tripid 234-03 --locoid 4012 --swversion DE.1.0.9.0 --startMP 204:232994 --initTime 2017-03-03T22:40:42 --startdatetime 2017-03-03T22:57:02 --delay 4 --endMP 204:138 --enddatetime 2017-03-03T23:41:14 --enforcementcount 0 &gt;&gt;C:\Users\stu\Documents\GitHub\eaglep3-reporting\EC\2017-03-03-refined-times.txt</v>
      </c>
      <c r="AI147" s="108" t="str">
        <f t="shared" si="65"/>
        <v>echo {"issue":{"subject":"","project_id":79,"tracker_id":40,"status_id":1,"priority_id":2,"assigned_to_id":23,"start_date":"2017-03-03","description":"","custom_fields":[{"id":1,"name":"Subdivision","value":"EC"},{"id":4,"name":"Milepost","value":"0.0138"},{"id":17,"name":"Train ID","value":"234-03"},{"id":16,"name":"Locomotive ID","value":"4012"},{"id":130,"name":"Impact","value":""},{"id":150,"name":"Time of Event (Mountain Time)","value":"23:41:14"},{"id":151,"name":"Denver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6"/>
        <v>start /low /b %USERPROFILE%\Documents\GitHub\eaglep3\Utilities\DownloadLogsFromS3.py --loco 4012 --day 2017-03-03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"%USERPROFILE%\AppData\Local\Temp\OnboardLogs"\RTDC4012\*4012*20170304* | grep -SE "(Enforcement Action)|(\[TIMEOUT)|(CHR.+\|PRM\|1\|D.+(SWITCH|SIGNAL).+UNKNOWN)" - &gt;&gt; 2017-03-03-UncaughtWiMAX.txt</v>
      </c>
    </row>
    <row r="148" spans="1:91" x14ac:dyDescent="0.25">
      <c r="A148" s="33" t="s">
        <v>794</v>
      </c>
      <c r="B148" s="7">
        <v>4051</v>
      </c>
      <c r="C148" s="21" t="s">
        <v>251</v>
      </c>
      <c r="D148" s="21" t="s">
        <v>344</v>
      </c>
      <c r="E148" s="13">
        <v>42797.927939814814</v>
      </c>
      <c r="F148" s="13">
        <v>42797.937743055554</v>
      </c>
      <c r="G148" s="7">
        <v>1</v>
      </c>
      <c r="H148" s="21" t="s">
        <v>825</v>
      </c>
      <c r="I148" s="13">
        <v>42797.964189814818</v>
      </c>
      <c r="J148" s="7">
        <v>0</v>
      </c>
      <c r="K148" s="98" t="str">
        <f t="shared" si="52"/>
        <v>4051/4052</v>
      </c>
      <c r="L148" s="21" t="str">
        <f>VLOOKUP(A148,'Trips&amp;Operators'!$C$1:$G$99999,5,FALSE)</f>
        <v>SAFIEF AEIMEN</v>
      </c>
      <c r="M148" s="6">
        <f t="shared" si="53"/>
        <v>2.644675926421769E-2</v>
      </c>
      <c r="N148" s="7">
        <f t="shared" si="67"/>
        <v>38.083333340473473</v>
      </c>
      <c r="O148" s="7"/>
      <c r="P148" s="7"/>
      <c r="Q148" s="22"/>
      <c r="R148" s="22"/>
      <c r="S148" s="31">
        <f t="shared" si="63"/>
        <v>1</v>
      </c>
      <c r="T148" s="46" t="str">
        <f t="shared" si="54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5"/>
        <v>https://d0f6bd738d7f1b3e5a7ca70fe4ff75f0.us-east-1.aws.found.io/app/kibana#/discover/Steve-Slow-Train-Analysis-(2080s-and-2083s)?_g=(refreshInterval:(display:Off,pause:!f,section:0,value:0),time:(from:'2017-03-03T21:16:14-0700',mode:absolute,to:'2017-03-04T00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197" t="str">
        <f t="shared" si="56"/>
        <v>N</v>
      </c>
      <c r="X148" s="197">
        <f t="shared" si="51"/>
        <v>1</v>
      </c>
      <c r="Y148" s="62">
        <f t="shared" si="42"/>
        <v>4.6899999999999997E-2</v>
      </c>
      <c r="Z148" s="62">
        <f t="shared" si="57"/>
        <v>23.33</v>
      </c>
      <c r="AA148" s="62">
        <f t="shared" si="58"/>
        <v>23.283099999999997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9"/>
        <v>0235-03</v>
      </c>
      <c r="AE148" s="85" t="str">
        <f t="shared" si="60"/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AF148" s="82" t="str">
        <f t="shared" si="61"/>
        <v>"C:\Program Files (x86)\AstroGrep\AstroGrep.exe" /spath="%USERPROFILE%\AppData\Local\Temp\OnboardLogs" /stypes="app*4051*20170304*" /stext=" 06:.+((SYSTEM_STATE.+slice.+state.+changed )|(ment ac)|(multiple cpu faults)|(system.+state.+changed )|(\[timeout)|(PRM\|1\|D)|(kpr)|(kdp)|(\|lc)|(penalty))" /e /r /s</v>
      </c>
      <c r="AG148" s="1" t="str">
        <f t="shared" si="62"/>
        <v>EC</v>
      </c>
      <c r="AH148" s="86" t="str">
        <f t="shared" si="64"/>
        <v>"%USERPROFILE%\Documents\GitHub\eaglep3\Utilities\RefineRTDCRunTimes.py" --tripid 235-03 --locoid 4051 --swversion DE.1.0.9.0 --startMP 204:469 --initTime 2017-03-03T22:16:14 --startdatetime 2017-03-03T22:30:21 --delay 1 --endMP 204:233300 --enddatetime 2017-03-03T23:08:26 --enforcementcount 0 &gt;&gt;C:\Users\stu\Documents\GitHub\eaglep3-reporting\EC\2017-03-03-refined-times.txt</v>
      </c>
      <c r="AI148" s="108" t="str">
        <f t="shared" si="65"/>
        <v>echo {"issue":{"subject":"","project_id":79,"tracker_id":40,"status_id":1,"priority_id":2,"assigned_to_id":23,"start_date":"2017-03-03","description":"","custom_fields":[{"id":1,"name":"Subdivision","value":"EC"},{"id":4,"name":"Milepost","value":"23.33"},{"id":17,"name":"Train ID","value":"235-03"},{"id":16,"name":"Locomotive ID","value":"4051"},{"id":130,"name":"Impact","value":""},{"id":150,"name":"Time of Event (Mountain Time)","value":"23:08:26"},{"id":151,"name":"Denver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6"/>
        <v>start /low /b %USERPROFILE%\Documents\GitHub\eaglep3\Utilities\DownloadLogsFromS3.py --loco 4051 --day 2017-03-03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"%USERPROFILE%\AppData\Local\Temp\OnboardLogs"\RTDC4051\*4051*20170304* | grep -SE "(Enforcement Action)|(\[TIMEOUT)|(CHR.+\|PRM\|1\|D.+(SWITCH|SIGNAL).+UNKNOWN)" - &gt;&gt; 2017-03-03-UncaughtWiMAX.txt</v>
      </c>
    </row>
    <row r="149" spans="1:91" x14ac:dyDescent="0.25">
      <c r="A149" s="33" t="s">
        <v>798</v>
      </c>
      <c r="B149" s="7">
        <v>4052</v>
      </c>
      <c r="C149" s="21" t="s">
        <v>251</v>
      </c>
      <c r="D149" s="21" t="s">
        <v>530</v>
      </c>
      <c r="E149" s="13">
        <v>42797.972800925927</v>
      </c>
      <c r="F149" s="13">
        <v>42797.976643518516</v>
      </c>
      <c r="G149" s="7">
        <v>1</v>
      </c>
      <c r="H149" s="21" t="s">
        <v>184</v>
      </c>
      <c r="I149" s="13">
        <v>42798.006666666668</v>
      </c>
      <c r="J149" s="7">
        <v>0</v>
      </c>
      <c r="K149" s="98" t="str">
        <f t="shared" si="52"/>
        <v>4051/4052</v>
      </c>
      <c r="L149" s="21" t="str">
        <f>VLOOKUP(A149,'Trips&amp;Operators'!$C$1:$G$99999,5,FALSE)</f>
        <v>SAFIEF AEIMEN</v>
      </c>
      <c r="M149" s="6">
        <f t="shared" si="53"/>
        <v>3.0023148152395152E-2</v>
      </c>
      <c r="N149" s="7">
        <f t="shared" si="67"/>
        <v>43.233333339449018</v>
      </c>
      <c r="O149" s="7"/>
      <c r="P149" s="7"/>
      <c r="Q149" s="22"/>
      <c r="R149" s="22"/>
      <c r="S149" s="31">
        <f t="shared" si="63"/>
        <v>1</v>
      </c>
      <c r="T149" s="46" t="str">
        <f t="shared" si="54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5"/>
        <v>https://d0f6bd738d7f1b3e5a7ca70fe4ff75f0.us-east-1.aws.found.io/app/kibana#/discover/Steve-Slow-Train-Analysis-(2080s-and-2083s)?_g=(refreshInterval:(display:Off,pause:!f,section:0,value:0),time:(from:'2017-03-03T22:20:50-0700',mode:absolute,to:'2017-03-04T01:09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97" t="str">
        <f t="shared" si="56"/>
        <v>N</v>
      </c>
      <c r="X149" s="197">
        <f t="shared" si="51"/>
        <v>1</v>
      </c>
      <c r="Y149" s="62">
        <f t="shared" si="42"/>
        <v>23.298300000000001</v>
      </c>
      <c r="Z149" s="62">
        <f t="shared" si="57"/>
        <v>1.49E-2</v>
      </c>
      <c r="AA149" s="62">
        <f t="shared" si="58"/>
        <v>23.2834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9"/>
        <v>0236-03</v>
      </c>
      <c r="AE149" s="85" t="str">
        <f t="shared" si="60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149" s="82" t="str">
        <f t="shared" si="61"/>
        <v>"C:\Program Files (x86)\AstroGrep\AstroGrep.exe" /spath="%USERPROFILE%\AppData\Local\Temp\OnboardLogs" /stypes="app*4052*20170304*" /stext=" 07:.+((SYSTEM_STATE.+slice.+state.+changed )|(ment ac)|(multiple cpu faults)|(system.+state.+changed )|(\[timeout)|(PRM\|1\|D)|(kpr)|(kdp)|(\|lc)|(penalty))" /e /r /s</v>
      </c>
      <c r="AG149" s="1" t="str">
        <f t="shared" si="62"/>
        <v>EC</v>
      </c>
      <c r="AH149" s="86" t="str">
        <f t="shared" si="64"/>
        <v>"%USERPROFILE%\Documents\GitHub\eaglep3\Utilities\RefineRTDCRunTimes.py" --tripid 236-03 --locoid 4052 --swversion DE.1.0.9.0 --startMP 204:232983 --initTime 2017-03-03T23:20:50 --startdatetime 2017-03-03T23:26:22 --delay 1 --endMP 204:149 --enddatetime 2017-03-04T00:09:36 --enforcementcount 0 &gt;&gt;C:\Users\stu\Documents\GitHub\eaglep3-reporting\EC\2017-03-03-refined-times.txt</v>
      </c>
      <c r="AI149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{"issue":{"subject":"","project_id":79,"tracker_id":40,"status_id":1,"priority_id":2,"assigned_to_id":23,"start_date":"2017-03-04","description":"","custom_fields":[{"id":1,"name":"Subdivision","value":"EC"},{"id":4,"name":"Milepost","value":"0.0149"},{"id":17,"name":"Train ID","value":"236-03"},{"id":16,"name":"Locomotive ID","value":"4052"},{"id":130,"name":"Impact","value":""},{"id":150,"name":"Time of Event (Mountain Time)","value":"00:09:36"},{"id":151,"name":"Denver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6"/>
        <v>start /low /b %USERPROFILE%\Documents\GitHub\eaglep3\Utilities\DownloadLogsFromS3.py --loco 4052 --day 2017-03-03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"%USERPROFILE%\AppData\Local\Temp\OnboardLogs"\RTDC4052\*4052*20170304* | grep -SE "(Enforcement Action)|(\[TIMEOUT)|(CHR.+\|PRM\|1\|D.+(SWITCH|SIGNAL).+UNKNOWN)" - &gt;&gt; 2017-03-03-UncaughtWiMAX.txt</v>
      </c>
    </row>
    <row r="150" spans="1:91" x14ac:dyDescent="0.25">
      <c r="A150" s="33" t="s">
        <v>797</v>
      </c>
      <c r="B150" s="7">
        <v>4027</v>
      </c>
      <c r="C150" s="21" t="s">
        <v>251</v>
      </c>
      <c r="D150" s="21" t="s">
        <v>245</v>
      </c>
      <c r="E150" s="13">
        <v>42797.957094907404</v>
      </c>
      <c r="F150" s="13">
        <v>42797.958483796298</v>
      </c>
      <c r="G150" s="7">
        <v>1</v>
      </c>
      <c r="H150" s="21" t="s">
        <v>825</v>
      </c>
      <c r="I150" s="13">
        <v>42797.985497685186</v>
      </c>
      <c r="J150" s="7">
        <v>0</v>
      </c>
      <c r="K150" s="98" t="str">
        <f t="shared" si="52"/>
        <v>4027/4028</v>
      </c>
      <c r="L150" s="21" t="str">
        <f>VLOOKUP(A150,'Trips&amp;Operators'!$C$1:$G$99999,5,FALSE)</f>
        <v>BROWN JACOB</v>
      </c>
      <c r="M150" s="6">
        <f t="shared" si="53"/>
        <v>2.7013888888177462E-2</v>
      </c>
      <c r="N150" s="7">
        <f t="shared" si="67"/>
        <v>38.899999998975545</v>
      </c>
      <c r="O150" s="7"/>
      <c r="P150" s="7"/>
      <c r="Q150" s="22"/>
      <c r="R150" s="22"/>
      <c r="S150" s="31">
        <f t="shared" si="63"/>
        <v>1</v>
      </c>
      <c r="T150" s="46" t="str">
        <f t="shared" si="54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5"/>
        <v>https://d0f6bd738d7f1b3e5a7ca70fe4ff75f0.us-east-1.aws.found.io/app/kibana#/discover/Steve-Slow-Train-Analysis-(2080s-and-2083s)?_g=(refreshInterval:(display:Off,pause:!f,section:0,value:0),time:(from:'2017-03-03T21:58:13-0700',mode:absolute,to:'2017-03-04T00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0" s="197" t="str">
        <f t="shared" si="56"/>
        <v>N</v>
      </c>
      <c r="X150" s="197">
        <f t="shared" si="51"/>
        <v>1</v>
      </c>
      <c r="Y150" s="62">
        <f t="shared" si="42"/>
        <v>4.4699999999999997E-2</v>
      </c>
      <c r="Z150" s="62">
        <f t="shared" si="57"/>
        <v>23.33</v>
      </c>
      <c r="AA150" s="62">
        <f t="shared" si="58"/>
        <v>23.285299999999999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9"/>
        <v>0237-03</v>
      </c>
      <c r="AE150" s="85" t="str">
        <f t="shared" si="60"/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AF150" s="82" t="str">
        <f t="shared" si="61"/>
        <v>"C:\Program Files (x86)\AstroGrep\AstroGrep.exe" /spath="%USERPROFILE%\AppData\Local\Temp\OnboardLogs" /stypes="app*4027*20170304*" /stext=" 06:.+((SYSTEM_STATE.+slice.+state.+changed )|(ment ac)|(multiple cpu faults)|(system.+state.+changed )|(\[timeout)|(PRM\|1\|D)|(kpr)|(kdp)|(\|lc)|(penalty))" /e /r /s</v>
      </c>
      <c r="AG150" s="1" t="str">
        <f t="shared" si="62"/>
        <v>EC</v>
      </c>
      <c r="AH150" s="86" t="str">
        <f t="shared" si="64"/>
        <v>"%USERPROFILE%\Documents\GitHub\eaglep3\Utilities\RefineRTDCRunTimes.py" --tripid 237-03 --locoid 4027 --swversion DE.1.0.9.0 --startMP 204:447 --initTime 2017-03-03T22:58:13 --startdatetime 2017-03-03T23:00:13 --delay 1 --endMP 204:233300 --enddatetime 2017-03-03T23:39:07 --enforcementcount 0 &gt;&gt;C:\Users\stu\Documents\GitHub\eaglep3-reporting\EC\2017-03-03-refined-times.txt</v>
      </c>
      <c r="AI150" s="108" t="str">
        <f t="shared" si="65"/>
        <v>echo {"issue":{"subject":"","project_id":79,"tracker_id":40,"status_id":1,"priority_id":2,"assigned_to_id":23,"start_date":"2017-03-03","description":"","custom_fields":[{"id":1,"name":"Subdivision","value":"EC"},{"id":4,"name":"Milepost","value":"23.33"},{"id":17,"name":"Train ID","value":"237-03"},{"id":16,"name":"Locomotive ID","value":"4027"},{"id":130,"name":"Impact","value":""},{"id":150,"name":"Time of Event (Mountain Time)","value":"23:39:07"},{"id":151,"name":"Denver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6"/>
        <v>start /low /b %USERPROFILE%\Documents\GitHub\eaglep3\Utilities\DownloadLogsFromS3.py --loco 4027 --day 2017-03-03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"%USERPROFILE%\AppData\Local\Temp\OnboardLogs"\RTDC4027\*4027*20170304* | grep -SE "(Enforcement Action)|(\[TIMEOUT)|(CHR.+\|PRM\|1\|D.+(SWITCH|SIGNAL).+UNKNOWN)" - &gt;&gt; 2017-03-03-UncaughtWiMAX.txt</v>
      </c>
    </row>
    <row r="151" spans="1:91" x14ac:dyDescent="0.25">
      <c r="A151" s="33" t="s">
        <v>801</v>
      </c>
      <c r="B151" s="7">
        <v>4028</v>
      </c>
      <c r="C151" s="21" t="s">
        <v>251</v>
      </c>
      <c r="D151" s="21" t="s">
        <v>253</v>
      </c>
      <c r="E151" s="13">
        <v>42797.994340277779</v>
      </c>
      <c r="F151" s="13">
        <v>42797.997731481482</v>
      </c>
      <c r="G151" s="7">
        <v>1</v>
      </c>
      <c r="H151" s="21" t="s">
        <v>194</v>
      </c>
      <c r="I151" s="13">
        <v>42798.027187500003</v>
      </c>
      <c r="J151" s="7">
        <v>0</v>
      </c>
      <c r="K151" s="98" t="str">
        <f t="shared" si="52"/>
        <v>4027/4028</v>
      </c>
      <c r="L151" s="21" t="str">
        <f>VLOOKUP(A151,'Trips&amp;Operators'!$C$1:$G$99999,5,FALSE)</f>
        <v>BROWN JACOB</v>
      </c>
      <c r="M151" s="6">
        <f t="shared" si="53"/>
        <v>2.9456018521159422E-2</v>
      </c>
      <c r="N151" s="7">
        <f t="shared" si="67"/>
        <v>42.416666670469567</v>
      </c>
      <c r="O151" s="7"/>
      <c r="P151" s="7"/>
      <c r="Q151" s="22"/>
      <c r="R151" s="22" t="s">
        <v>1012</v>
      </c>
      <c r="S151" s="31">
        <f t="shared" si="63"/>
        <v>1</v>
      </c>
      <c r="T151" s="46" t="str">
        <f t="shared" si="5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5"/>
        <v>https://d0f6bd738d7f1b3e5a7ca70fe4ff75f0.us-east-1.aws.found.io/app/kibana#/discover/Steve-Slow-Train-Analysis-(2080s-and-2083s)?_g=(refreshInterval:(display:Off,pause:!f,section:0,value:0),time:(from:'2017-03-03T22:51:51-0700',mode:absolute,to:'2017-03-04T01:39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7" t="str">
        <f t="shared" si="56"/>
        <v>N</v>
      </c>
      <c r="X151" s="197">
        <f t="shared" si="51"/>
        <v>1</v>
      </c>
      <c r="Y151" s="62">
        <f t="shared" si="42"/>
        <v>23.299399999999999</v>
      </c>
      <c r="Z151" s="62">
        <f t="shared" si="57"/>
        <v>1.4999999999999999E-2</v>
      </c>
      <c r="AA151" s="62">
        <f t="shared" si="58"/>
        <v>23.284399999999998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9"/>
        <v>0238-03</v>
      </c>
      <c r="AE151" s="85" t="str">
        <f t="shared" si="60"/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AF151" s="82" t="str">
        <f t="shared" si="61"/>
        <v>"C:\Program Files (x86)\AstroGrep\AstroGrep.exe" /spath="%USERPROFILE%\AppData\Local\Temp\OnboardLogs" /stypes="app*4028*20170304*" /stext=" 07:.+((SYSTEM_STATE.+slice.+state.+changed )|(ment ac)|(multiple cpu faults)|(system.+state.+changed )|(\[timeout)|(PRM\|1\|D)|(kpr)|(kdp)|(\|lc)|(penalty))" /e /r /s</v>
      </c>
      <c r="AG151" s="1" t="str">
        <f t="shared" si="62"/>
        <v>EC</v>
      </c>
      <c r="AH151" s="86" t="str">
        <f t="shared" si="64"/>
        <v>"%USERPROFILE%\Documents\GitHub\eaglep3\Utilities\RefineRTDCRunTimes.py" --tripid 238-03 --locoid 4028 --swversion DE.1.0.9.0 --startMP 204:232994 --initTime 2017-03-03T23:51:51 --startdatetime 2017-03-03T23:56:44 --delay 1 --endMP 204:150 --enddatetime 2017-03-04T00:39:09 --enforcementcount 0 &gt;&gt;C:\Users\stu\Documents\GitHub\eaglep3-reporting\EC\2017-03-03-refined-times.txt</v>
      </c>
      <c r="AI151" s="108" t="str">
        <f t="shared" si="65"/>
        <v>echo {"issue":{"subject":"BPP dropped to 0 at 00:34. No evidence of PTC penalties found.","project_id":79,"tracker_id":40,"status_id":1,"priority_id":2,"assigned_to_id":23,"start_date":"2017-03-04","description":"","custom_fields":[{"id":1,"name":"Subdivision","value":"EC"},{"id":4,"name":"Milepost","value":"0.015"},{"id":17,"name":"Train ID","value":"238-03"},{"id":16,"name":"Locomotive ID","value":"4028"},{"id":130,"name":"Impact","value":""},{"id":150,"name":"Time of Event (Mountain Time)","value":"00:39:09"},{"id":151,"name":"Denver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6"/>
        <v>start /low /b %USERPROFILE%\Documents\GitHub\eaglep3\Utilities\DownloadLogsFromS3.py --loco 4028 --day 2017-03-03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"%USERPROFILE%\AppData\Local\Temp\OnboardLogs"\RTDC4028\*4028*20170304* | grep -SE "(Enforcement Action)|(\[TIMEOUT)|(CHR.+\|PRM\|1\|D.+(SWITCH|SIGNAL).+UNKNOWN)" - &gt;&gt; 2017-03-03-UncaughtWiMAX.txt</v>
      </c>
    </row>
    <row r="152" spans="1:91" x14ac:dyDescent="0.25">
      <c r="A152" s="33" t="s">
        <v>799</v>
      </c>
      <c r="B152" s="7">
        <v>4029</v>
      </c>
      <c r="C152" s="21" t="s">
        <v>251</v>
      </c>
      <c r="D152" s="21" t="s">
        <v>536</v>
      </c>
      <c r="E152" s="13">
        <v>42797.975347222222</v>
      </c>
      <c r="F152" s="13">
        <v>42797.979548611111</v>
      </c>
      <c r="G152" s="7">
        <v>2</v>
      </c>
      <c r="H152" s="21" t="s">
        <v>889</v>
      </c>
      <c r="I152" s="13">
        <v>42798.00440972222</v>
      </c>
      <c r="J152" s="7">
        <v>0</v>
      </c>
      <c r="K152" s="98" t="str">
        <f t="shared" si="52"/>
        <v>4029/4030</v>
      </c>
      <c r="L152" s="21" t="str">
        <f>VLOOKUP(A152,'Trips&amp;Operators'!$C$1:$G$99999,5,FALSE)</f>
        <v>STORY SAMANTHA</v>
      </c>
      <c r="M152" s="6">
        <f t="shared" si="53"/>
        <v>2.4861111109203193E-2</v>
      </c>
      <c r="N152" s="7">
        <f t="shared" si="67"/>
        <v>35.799999997252598</v>
      </c>
      <c r="O152" s="7"/>
      <c r="P152" s="7"/>
      <c r="Q152" s="22"/>
      <c r="R152" s="22"/>
      <c r="S152" s="31">
        <f t="shared" si="63"/>
        <v>1</v>
      </c>
      <c r="T152" s="46" t="str">
        <f t="shared" si="5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5"/>
        <v>https://d0f6bd738d7f1b3e5a7ca70fe4ff75f0.us-east-1.aws.found.io/app/kibana#/discover/Steve-Slow-Train-Analysis-(2080s-and-2083s)?_g=(refreshInterval:(display:Off,pause:!f,section:0,value:0),time:(from:'2017-03-03T22:24:30-0700',mode:absolute,to:'2017-03-04T01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97" t="str">
        <f t="shared" si="56"/>
        <v>N</v>
      </c>
      <c r="X152" s="197">
        <f t="shared" ref="X152:X183" si="68">VALUE(LEFT(AD152,4))-VALUE(LEFT(AD151,4))</f>
        <v>1</v>
      </c>
      <c r="Y152" s="62">
        <f t="shared" si="42"/>
        <v>4.8399999999999999E-2</v>
      </c>
      <c r="Z152" s="62">
        <f t="shared" si="57"/>
        <v>23.334900000000001</v>
      </c>
      <c r="AA152" s="62">
        <f t="shared" si="58"/>
        <v>23.2865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9"/>
        <v>0239-03</v>
      </c>
      <c r="AE152" s="85" t="str">
        <f t="shared" si="60"/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AF152" s="82" t="str">
        <f t="shared" si="61"/>
        <v>"C:\Program Files (x86)\AstroGrep\AstroGrep.exe" /spath="%USERPROFILE%\AppData\Local\Temp\OnboardLogs" /stypes="app*4029*20170304*" /stext=" 07:.+((SYSTEM_STATE.+slice.+state.+changed )|(ment ac)|(multiple cpu faults)|(system.+state.+changed )|(\[timeout)|(PRM\|1\|D)|(kpr)|(kdp)|(\|lc)|(penalty))" /e /r /s</v>
      </c>
      <c r="AG152" s="1" t="str">
        <f t="shared" si="62"/>
        <v>EC</v>
      </c>
      <c r="AH152" s="86" t="str">
        <f t="shared" si="64"/>
        <v>"%USERPROFILE%\Documents\GitHub\eaglep3\Utilities\RefineRTDCRunTimes.py" --tripid 239-03 --locoid 4029 --swversion DE.1.0.9.0 --startMP 204:484 --initTime 2017-03-03T23:24:30 --startdatetime 2017-03-03T23:30:33 --delay 2 --endMP 204:233349 --enddatetime 2017-03-04T00:06:21 --enforcementcount 0 &gt;&gt;C:\Users\stu\Documents\GitHub\eaglep3-reporting\EC\2017-03-03-refined-times.txt</v>
      </c>
      <c r="AI152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{"issue":{"subject":"","project_id":79,"tracker_id":40,"status_id":1,"priority_id":2,"assigned_to_id":23,"start_date":"2017-03-04","description":"","custom_fields":[{"id":1,"name":"Subdivision","value":"EC"},{"id":4,"name":"Milepost","value":"23.3349"},{"id":17,"name":"Train ID","value":"239-03"},{"id":16,"name":"Locomotive ID","value":"4029"},{"id":130,"name":"Impact","value":""},{"id":150,"name":"Time of Event (Mountain Time)","value":"00:06:21"},{"id":151,"name":"Denver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6"/>
        <v>start /low /b %USERPROFILE%\Documents\GitHub\eaglep3\Utilities\DownloadLogsFromS3.py --loco 4029 --day 2017-03-03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"%USERPROFILE%\AppData\Local\Temp\OnboardLogs"\RTDC4029\*4029*20170304* | grep -SE "(Enforcement Action)|(\[TIMEOUT)|(CHR.+\|PRM\|1\|D.+(SWITCH|SIGNAL).+UNKNOWN)" - &gt;&gt; 2017-03-03-UncaughtWiMAX.txt</v>
      </c>
    </row>
    <row r="153" spans="1:91" x14ac:dyDescent="0.25">
      <c r="A153" s="33" t="s">
        <v>607</v>
      </c>
      <c r="B153" s="7">
        <v>4030</v>
      </c>
      <c r="C153" s="21" t="s">
        <v>251</v>
      </c>
      <c r="D153" s="21" t="s">
        <v>890</v>
      </c>
      <c r="E153" s="13">
        <v>42798.008090277777</v>
      </c>
      <c r="F153" s="13">
        <v>42798.018530092595</v>
      </c>
      <c r="G153" s="7">
        <v>2</v>
      </c>
      <c r="H153" s="21" t="s">
        <v>846</v>
      </c>
      <c r="I153" s="13">
        <v>42798.04787037037</v>
      </c>
      <c r="J153" s="7">
        <v>0</v>
      </c>
      <c r="K153" s="98" t="str">
        <f t="shared" si="52"/>
        <v>4029/4030</v>
      </c>
      <c r="L153" s="21" t="str">
        <f>VLOOKUP(A153,'Trips&amp;Operators'!$C$1:$G$99999,5,FALSE)</f>
        <v>STORY SAMANTHA</v>
      </c>
      <c r="M153" s="6">
        <f t="shared" si="53"/>
        <v>2.9340277775190771E-2</v>
      </c>
      <c r="N153" s="7">
        <f t="shared" si="67"/>
        <v>42.24999999627471</v>
      </c>
      <c r="O153" s="7"/>
      <c r="P153" s="7"/>
      <c r="Q153" s="22"/>
      <c r="R153" s="22"/>
      <c r="S153" s="31">
        <f t="shared" si="63"/>
        <v>1</v>
      </c>
      <c r="T153" s="46" t="str">
        <f t="shared" si="54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5"/>
        <v>https://d0f6bd738d7f1b3e5a7ca70fe4ff75f0.us-east-1.aws.found.io/app/kibana#/discover/Steve-Slow-Train-Analysis-(2080s-and-2083s)?_g=(refreshInterval:(display:Off,pause:!f,section:0,value:0),time:(from:'2017-03-03T23:11:39-0700',mode:absolute,to:'2017-03-04T02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97" t="str">
        <f t="shared" si="56"/>
        <v>N</v>
      </c>
      <c r="X153" s="197">
        <f t="shared" si="68"/>
        <v>1</v>
      </c>
      <c r="Y153" s="62">
        <f t="shared" si="42"/>
        <v>23.304200000000002</v>
      </c>
      <c r="Z153" s="62">
        <f t="shared" si="57"/>
        <v>1.6E-2</v>
      </c>
      <c r="AA153" s="62">
        <f t="shared" si="58"/>
        <v>23.288200000000003</v>
      </c>
      <c r="AB153" s="59" t="str">
        <f>VLOOKUP(A153,Enforcements!$C$7:$K$13,8,0)</f>
        <v>Bulletin (2)</v>
      </c>
      <c r="AC153" s="55" t="str">
        <f>VLOOKUP(A153,Enforcements!$C$7:$E$13,3,0)</f>
        <v>GRADE CROSSING</v>
      </c>
      <c r="AD153" s="56" t="str">
        <f t="shared" si="59"/>
        <v>0240-03</v>
      </c>
      <c r="AE153" s="85" t="str">
        <f t="shared" si="60"/>
        <v>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 &amp; 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</v>
      </c>
      <c r="AF153" s="82" t="str">
        <f t="shared" si="61"/>
        <v>"C:\Program Files (x86)\AstroGrep\AstroGrep.exe" /spath="%USERPROFILE%\AppData\Local\Temp\OnboardLogs" /stypes="app*4030*20170304*" /stext=" 08:.+((SYSTEM_STATE.+slice.+state.+changed )|(ment ac)|(multiple cpu faults)|(system.+state.+changed )|(\[timeout)|(PRM\|1\|D)|(kpr)|(kdp)|(\|lc)|(penalty))" /e /r /s</v>
      </c>
      <c r="AG153" s="1" t="str">
        <f t="shared" si="62"/>
        <v>EC</v>
      </c>
      <c r="AH153" s="86" t="str">
        <f t="shared" si="64"/>
        <v>"%USERPROFILE%\Documents\GitHub\eaglep3\Utilities\RefineRTDCRunTimes.py" --tripid 240-03 --locoid 4030 --swversion DE.1.0.9.0 --startMP 204:233042 --initTime 2017-03-04T00:11:39 --startdatetime 2017-03-04T00:26:41 --delay 2 --endMP 204:160 --enddatetime 2017-03-04T01:08:56 --enforcementcount 0 &gt;&gt;C:\Users\stu\Documents\GitHub\eaglep3-reporting\EC\2017-03-03-refined-times.txt</v>
      </c>
      <c r="AI153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{"issue":{"subject":"","project_id":79,"tracker_id":40,"status_id":1,"priority_id":2,"assigned_to_id":23,"start_date":"2017-03-04","description":"","custom_fields":[{"id":1,"name":"Subdivision","value":"EC"},{"id":4,"name":"Milepost","value":"0.016"},{"id":17,"name":"Train ID","value":"240-03"},{"id":16,"name":"Locomotive ID","value":"4030"},{"id":130,"name":"Impact","value":""},{"id":150,"name":"Time of Event (Mountain Time)","value":"01:08:56"},{"id":151,"name":"Denver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6"/>
        <v>start /low /b %USERPROFILE%\Documents\GitHub\eaglep3\Utilities\DownloadLogsFromS3.py --loco 4030 --day 2017-03-04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"%USERPROFILE%\AppData\Local\Temp\OnboardLogs"\RTDC4030\*4030*20170304* | grep -SE "(Enforcement Action)|(\[TIMEOUT)|(CHR.+\|PRM\|1\|D.+(SWITCH|SIGNAL).+UNKNOWN)" - &gt;&gt; 2017-03-03-UncaughtWiMAX.txt</v>
      </c>
    </row>
    <row r="154" spans="1:91" x14ac:dyDescent="0.25">
      <c r="A154" s="33" t="s">
        <v>800</v>
      </c>
      <c r="B154" s="7">
        <v>4011</v>
      </c>
      <c r="C154" s="21" t="s">
        <v>251</v>
      </c>
      <c r="D154" s="21" t="s">
        <v>526</v>
      </c>
      <c r="E154" s="13">
        <v>42797.98883101852</v>
      </c>
      <c r="F154" s="13">
        <v>42798.000358796293</v>
      </c>
      <c r="G154" s="7">
        <v>1</v>
      </c>
      <c r="H154" s="21" t="s">
        <v>353</v>
      </c>
      <c r="I154" s="13">
        <v>42798.025613425925</v>
      </c>
      <c r="J154" s="7">
        <v>0</v>
      </c>
      <c r="K154" s="98" t="str">
        <f t="shared" si="52"/>
        <v>4011/4012</v>
      </c>
      <c r="L154" s="21" t="str">
        <f>VLOOKUP(A154,'Trips&amp;Operators'!$C$1:$G$99999,5,FALSE)</f>
        <v>STAMBAUGH JAMES</v>
      </c>
      <c r="M154" s="6">
        <f t="shared" si="53"/>
        <v>2.5254629632399883E-2</v>
      </c>
      <c r="N154" s="7">
        <f t="shared" si="67"/>
        <v>36.366666670655832</v>
      </c>
      <c r="O154" s="7"/>
      <c r="P154" s="7"/>
      <c r="Q154" s="22"/>
      <c r="R154" s="22"/>
      <c r="S154" s="31">
        <f t="shared" si="63"/>
        <v>1</v>
      </c>
      <c r="T154" s="46" t="str">
        <f t="shared" si="54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5"/>
        <v>https://d0f6bd738d7f1b3e5a7ca70fe4ff75f0.us-east-1.aws.found.io/app/kibana#/discover/Steve-Slow-Train-Analysis-(2080s-and-2083s)?_g=(refreshInterval:(display:Off,pause:!f,section:0,value:0),time:(from:'2017-03-03T22:43:55-0700',mode:absolute,to:'2017-03-04T01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197" t="str">
        <f t="shared" si="56"/>
        <v>N</v>
      </c>
      <c r="X154" s="197">
        <f t="shared" si="68"/>
        <v>1</v>
      </c>
      <c r="Y154" s="62">
        <f t="shared" si="42"/>
        <v>4.3099999999999999E-2</v>
      </c>
      <c r="Z154" s="62">
        <f t="shared" si="57"/>
        <v>23.332899999999999</v>
      </c>
      <c r="AA154" s="62">
        <f t="shared" si="58"/>
        <v>23.2898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9"/>
        <v>0241-03</v>
      </c>
      <c r="AE154" s="85" t="str">
        <f t="shared" si="60"/>
        <v>aws s3 cp s3://rtdc.mdm.uploadarchive.raw/RTDC4011/ "%USERPROFILE%\AppData\Local\Temp\OnboardLogs"\RTDC4011\2017-03-04 --exclude "*" --recursive --include "*20170304*" &amp; "%USERPROFILE%\Documents\GitHub\mrs-test-scripts\Headless Mode &amp; Sideloading\WalkAndUnGZ.bat" "%USERPROFILE%\AppData\Local\Temp\OnboardLogs"\RTDC4011\2017-03-04 &amp; aws s3 cp s3://rtdc.mdm.uploadarchive.raw/RTDC4011/ "%USERPROFILE%\AppData\Local\Temp\OnboardLogs"\RTDC4011\2017-03-05 --exclude "*" --recursive --include "*20170305*" &amp; "%USERPROFILE%\Documents\GitHub\mrs-test-scripts\Headless Mode &amp; Sideloading\WalkAndUnGZ.bat" "%USERPROFILE%\AppData\Local\Temp\OnboardLogs"\RTDC4011\2017-03-05</v>
      </c>
      <c r="AF154" s="82" t="str">
        <f t="shared" si="61"/>
        <v>"C:\Program Files (x86)\AstroGrep\AstroGrep.exe" /spath="%USERPROFILE%\AppData\Local\Temp\OnboardLogs" /stypes="app*4011*20170304*" /stext=" 07:.+((SYSTEM_STATE.+slice.+state.+changed )|(ment ac)|(multiple cpu faults)|(system.+state.+changed )|(\[timeout)|(PRM\|1\|D)|(kpr)|(kdp)|(\|lc)|(penalty))" /e /r /s</v>
      </c>
      <c r="AG154" s="1" t="str">
        <f t="shared" si="62"/>
        <v>EC</v>
      </c>
      <c r="AH154" s="86" t="str">
        <f t="shared" si="64"/>
        <v>"%USERPROFILE%\Documents\GitHub\eaglep3\Utilities\RefineRTDCRunTimes.py" --tripid 241-03 --locoid 4011 --swversion DE.1.0.9.0 --startMP 204:431 --initTime 2017-03-03T23:43:55 --startdatetime 2017-03-04T00:00:31 --delay 1 --endMP 204:233329 --enddatetime 2017-03-04T00:36:53 --enforcementcount 0 &gt;&gt;C:\Users\stu\Documents\GitHub\eaglep3-reporting\EC\2017-03-03-refined-times.txt</v>
      </c>
      <c r="AI154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{"issue":{"subject":"","project_id":79,"tracker_id":40,"status_id":1,"priority_id":2,"assigned_to_id":23,"start_date":"2017-03-04","description":"","custom_fields":[{"id":1,"name":"Subdivision","value":"EC"},{"id":4,"name":"Milepost","value":"23.3329"},{"id":17,"name":"Train ID","value":"241-03"},{"id":16,"name":"Locomotive ID","value":"4011"},{"id":130,"name":"Impact","value":""},{"id":150,"name":"Time of Event (Mountain Time)","value":"00:36:53"},{"id":151,"name":"Denver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6"/>
        <v>start /low /b %USERPROFILE%\Documents\GitHub\eaglep3\Utilities\DownloadLogsFromS3.py --loco 4011 --day 2017-03-04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"%USERPROFILE%\AppData\Local\Temp\OnboardLogs"\RTDC4011\*4011*20170304* | grep -SE "(Enforcement Action)|(\[TIMEOUT)|(CHR.+\|PRM\|1\|D.+(SWITCH|SIGNAL).+UNKNOWN)" - &gt;&gt; 2017-03-03-UncaughtWiMAX.txt</v>
      </c>
    </row>
    <row r="155" spans="1:91" s="20" customFormat="1" x14ac:dyDescent="0.25">
      <c r="A155" s="33" t="s">
        <v>608</v>
      </c>
      <c r="B155" s="7">
        <v>4012</v>
      </c>
      <c r="C155" s="21" t="s">
        <v>251</v>
      </c>
      <c r="D155" s="21" t="s">
        <v>891</v>
      </c>
      <c r="E155" s="13">
        <v>42798.027187500003</v>
      </c>
      <c r="F155" s="13">
        <v>42798.039074074077</v>
      </c>
      <c r="G155" s="7">
        <v>2</v>
      </c>
      <c r="H155" s="21" t="s">
        <v>892</v>
      </c>
      <c r="I155" s="13">
        <v>42798.066342592596</v>
      </c>
      <c r="J155" s="7">
        <v>0</v>
      </c>
      <c r="K155" s="98" t="str">
        <f t="shared" si="52"/>
        <v>4011/4012</v>
      </c>
      <c r="L155" s="21" t="str">
        <f>VLOOKUP(A155,'Trips&amp;Operators'!$C$1:$G$99999,5,FALSE)</f>
        <v>STAMBAUGH JAMES</v>
      </c>
      <c r="M155" s="6">
        <f t="shared" si="53"/>
        <v>2.7268518519122154E-2</v>
      </c>
      <c r="N155" s="7">
        <f t="shared" si="67"/>
        <v>39.266666667535901</v>
      </c>
      <c r="O155" s="7"/>
      <c r="P155" s="7"/>
      <c r="Q155" s="22"/>
      <c r="R155" s="22"/>
      <c r="S155" s="31">
        <f t="shared" si="63"/>
        <v>1</v>
      </c>
      <c r="T155" s="46" t="str">
        <f t="shared" si="54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5"/>
        <v>https://d0f6bd738d7f1b3e5a7ca70fe4ff75f0.us-east-1.aws.found.io/app/kibana#/discover/Steve-Slow-Train-Analysis-(2080s-and-2083s)?_g=(refreshInterval:(display:Off,pause:!f,section:0,value:0),time:(from:'2017-03-03T23:39:09-0700',mode:absolute,to:'2017-03-04T02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5" s="197" t="str">
        <f t="shared" si="56"/>
        <v>N</v>
      </c>
      <c r="X155" s="197">
        <f t="shared" si="68"/>
        <v>1</v>
      </c>
      <c r="Y155" s="62">
        <f t="shared" si="42"/>
        <v>23.3019</v>
      </c>
      <c r="Z155" s="62">
        <f t="shared" si="57"/>
        <v>3.78E-2</v>
      </c>
      <c r="AA155" s="62">
        <f t="shared" si="58"/>
        <v>23.264099999999999</v>
      </c>
      <c r="AB155" s="59" t="str">
        <f>VLOOKUP(A155,Enforcements!$C$7:$K$13,8,0)</f>
        <v>Bulletin (2)</v>
      </c>
      <c r="AC155" s="55" t="str">
        <f>VLOOKUP(A155,Enforcements!$C$7:$E$13,3,0)</f>
        <v>GRADE CROSSING</v>
      </c>
      <c r="AD155" s="56" t="str">
        <f t="shared" si="59"/>
        <v>0242-03</v>
      </c>
      <c r="AE155" s="85" t="str">
        <f t="shared" si="60"/>
        <v>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 &amp; aws s3 cp s3://rtdc.mdm.uploadarchive.raw/RTDC4012/ "%USERPROFILE%\AppData\Local\Temp\OnboardLogs"\RTDC4012\2017-03-05 --exclude "*" --recursive --include "*20170305*" &amp; "%USERPROFILE%\Documents\GitHub\mrs-test-scripts\Headless Mode &amp; Sideloading\WalkAndUnGZ.bat" "%USERPROFILE%\AppData\Local\Temp\OnboardLogs"\RTDC4012\2017-03-05</v>
      </c>
      <c r="AF155" s="82" t="str">
        <f t="shared" si="61"/>
        <v>"C:\Program Files (x86)\AstroGrep\AstroGrep.exe" /spath="%USERPROFILE%\AppData\Local\Temp\OnboardLogs" /stypes="app*4012*20170304*" /stext=" 08:.+((SYSTEM_STATE.+slice.+state.+changed )|(ment ac)|(multiple cpu faults)|(system.+state.+changed )|(\[timeout)|(PRM\|1\|D)|(kpr)|(kdp)|(\|lc)|(penalty))" /e /r /s</v>
      </c>
      <c r="AG155" s="1" t="str">
        <f t="shared" si="62"/>
        <v>EC</v>
      </c>
      <c r="AH155" s="86" t="str">
        <f t="shared" si="64"/>
        <v>"%USERPROFILE%\Documents\GitHub\eaglep3\Utilities\RefineRTDCRunTimes.py" --tripid 242-03 --locoid 4012 --swversion DE.1.0.9.0 --startMP 204:233019 --initTime 2017-03-04T00:39:09 --startdatetime 2017-03-04T00:56:16 --delay 2 --endMP 204:378 --enddatetime 2017-03-04T01:35:32 --enforcementcount 0 &gt;&gt;C:\Users\stu\Documents\GitHub\eaglep3-reporting\EC\2017-03-03-refined-times.txt</v>
      </c>
      <c r="AI155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{"issue":{"subject":"","project_id":79,"tracker_id":40,"status_id":1,"priority_id":2,"assigned_to_id":23,"start_date":"2017-03-04","description":"","custom_fields":[{"id":1,"name":"Subdivision","value":"EC"},{"id":4,"name":"Milepost","value":"0.0378"},{"id":17,"name":"Train ID","value":"242-03"},{"id":16,"name":"Locomotive ID","value":"4012"},{"id":130,"name":"Impact","value":""},{"id":150,"name":"Time of Event (Mountain Time)","value":"01:35:32"},{"id":151,"name":"Denver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6"/>
        <v>start /low /b %USERPROFILE%\Documents\GitHub\eaglep3\Utilities\DownloadLogsFromS3.py --loco 4012 --day 2017-03-04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"%USERPROFILE%\AppData\Local\Temp\OnboardLogs"\RTDC4012\*4012*20170304* | grep -SE "(Enforcement Action)|(\[TIMEOUT)|(CHR.+\|PRM\|1\|D.+(SWITCH|SIGNAL).+UNKNOWN)" - &gt;&gt; 2017-03-03-UncaughtWiMAX.txt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802</v>
      </c>
      <c r="B156" s="7">
        <v>4051</v>
      </c>
      <c r="C156" s="21" t="s">
        <v>251</v>
      </c>
      <c r="D156" s="21" t="s">
        <v>323</v>
      </c>
      <c r="E156" s="13">
        <v>42798.013819444444</v>
      </c>
      <c r="F156" s="13">
        <v>42798.02103009259</v>
      </c>
      <c r="G156" s="7">
        <v>1</v>
      </c>
      <c r="H156" s="21" t="s">
        <v>346</v>
      </c>
      <c r="I156" s="13">
        <v>42798.046481481484</v>
      </c>
      <c r="J156" s="7">
        <v>0</v>
      </c>
      <c r="K156" s="98" t="str">
        <f t="shared" si="52"/>
        <v>4051/4052</v>
      </c>
      <c r="L156" s="21" t="str">
        <f>VLOOKUP(A156,'Trips&amp;Operators'!$C$1:$G$99999,5,FALSE)</f>
        <v>SAFIEF AEIMEN</v>
      </c>
      <c r="M156" s="6">
        <f t="shared" si="53"/>
        <v>2.5451388893998228E-2</v>
      </c>
      <c r="N156" s="7">
        <f t="shared" si="67"/>
        <v>36.650000007357448</v>
      </c>
      <c r="O156" s="7"/>
      <c r="P156" s="7"/>
      <c r="Q156" s="22"/>
      <c r="R156" s="22"/>
      <c r="S156" s="31">
        <f t="shared" si="63"/>
        <v>1</v>
      </c>
      <c r="T156" s="46" t="str">
        <f t="shared" si="54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5"/>
        <v>https://d0f6bd738d7f1b3e5a7ca70fe4ff75f0.us-east-1.aws.found.io/app/kibana#/discover/Steve-Slow-Train-Analysis-(2080s-and-2083s)?_g=(refreshInterval:(display:Off,pause:!f,section:0,value:0),time:(from:'2017-03-03T23:19:54-0700',mode:absolute,to:'2017-03-04T02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197" t="str">
        <f t="shared" si="56"/>
        <v>N</v>
      </c>
      <c r="X156" s="197">
        <f t="shared" si="68"/>
        <v>1</v>
      </c>
      <c r="Y156" s="62">
        <f t="shared" si="42"/>
        <v>4.7699999999999999E-2</v>
      </c>
      <c r="Z156" s="62">
        <f t="shared" si="57"/>
        <v>23.329799999999999</v>
      </c>
      <c r="AA156" s="62">
        <f t="shared" si="58"/>
        <v>23.2821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9"/>
        <v>0243-03</v>
      </c>
      <c r="AE156" s="85" t="str">
        <f t="shared" si="60"/>
        <v>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 &amp; aws s3 cp s3://rtdc.mdm.uploadarchive.raw/RTDC4051/ "%USERPROFILE%\AppData\Local\Temp\OnboardLogs"\RTDC4051\2017-03-05 --exclude "*" --recursive --include "*20170305*" &amp; "%USERPROFILE%\Documents\GitHub\mrs-test-scripts\Headless Mode &amp; Sideloading\WalkAndUnGZ.bat" "%USERPROFILE%\AppData\Local\Temp\OnboardLogs"\RTDC4051\2017-03-05</v>
      </c>
      <c r="AF156" s="82" t="str">
        <f t="shared" si="61"/>
        <v>"C:\Program Files (x86)\AstroGrep\AstroGrep.exe" /spath="%USERPROFILE%\AppData\Local\Temp\OnboardLogs" /stypes="app*4051*20170304*" /stext=" 08:.+((SYSTEM_STATE.+slice.+state.+changed )|(ment ac)|(multiple cpu faults)|(system.+state.+changed )|(\[timeout)|(PRM\|1\|D)|(kpr)|(kdp)|(\|lc)|(penalty))" /e /r /s</v>
      </c>
      <c r="AG156" s="1" t="str">
        <f t="shared" si="62"/>
        <v>EC</v>
      </c>
      <c r="AH156" s="86" t="str">
        <f t="shared" si="64"/>
        <v>"%USERPROFILE%\Documents\GitHub\eaglep3\Utilities\RefineRTDCRunTimes.py" --tripid 243-03 --locoid 4051 --swversion DE.1.0.9.0 --startMP 204:477 --initTime 2017-03-04T00:19:54 --startdatetime 2017-03-04T00:30:17 --delay 1 --endMP 204:233298 --enddatetime 2017-03-04T01:06:56 --enforcementcount 0 &gt;&gt;C:\Users\stu\Documents\GitHub\eaglep3-reporting\EC\2017-03-03-refined-times.txt</v>
      </c>
      <c r="AI156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{"issue":{"subject":"","project_id":79,"tracker_id":40,"status_id":1,"priority_id":2,"assigned_to_id":23,"start_date":"2017-03-04","description":"","custom_fields":[{"id":1,"name":"Subdivision","value":"EC"},{"id":4,"name":"Milepost","value":"23.3298"},{"id":17,"name":"Train ID","value":"243-03"},{"id":16,"name":"Locomotive ID","value":"4051"},{"id":130,"name":"Impact","value":""},{"id":150,"name":"Time of Event (Mountain Time)","value":"01:06:56"},{"id":151,"name":"Denver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6"/>
        <v>start /low /b %USERPROFILE%\Documents\GitHub\eaglep3\Utilities\DownloadLogsFromS3.py --loco 4051 --day 2017-03-04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"%USERPROFILE%\AppData\Local\Temp\OnboardLogs"\RTDC4051\*4051*20170304* | grep -SE "(Enforcement Action)|(\[TIMEOUT)|(CHR.+\|PRM\|1\|D.+(SWITCH|SIGNAL).+UNKNOWN)" - &gt;&gt; 2017-03-03-UncaughtWiMAX.txt</v>
      </c>
    </row>
    <row r="157" spans="1:91" x14ac:dyDescent="0.25">
      <c r="A157" s="33" t="s">
        <v>805</v>
      </c>
      <c r="B157" s="7">
        <v>4052</v>
      </c>
      <c r="C157" s="21" t="s">
        <v>251</v>
      </c>
      <c r="D157" s="21" t="s">
        <v>350</v>
      </c>
      <c r="E157" s="13">
        <v>42798.052789351852</v>
      </c>
      <c r="F157" s="13">
        <v>42798.059976851851</v>
      </c>
      <c r="G157" s="7">
        <v>2</v>
      </c>
      <c r="H157" s="21" t="s">
        <v>196</v>
      </c>
      <c r="I157" s="13">
        <v>42798.088483796295</v>
      </c>
      <c r="J157" s="7">
        <v>0</v>
      </c>
      <c r="K157" s="98" t="str">
        <f t="shared" si="52"/>
        <v>4051/4052</v>
      </c>
      <c r="L157" s="21" t="str">
        <f>VLOOKUP(A157,'Trips&amp;Operators'!$C$1:$G$99999,5,FALSE)</f>
        <v>SAFIEF AEIMEN</v>
      </c>
      <c r="M157" s="6">
        <f t="shared" si="53"/>
        <v>2.8506944443506654E-2</v>
      </c>
      <c r="N157" s="7">
        <f t="shared" si="67"/>
        <v>41.049999998649582</v>
      </c>
      <c r="O157" s="7"/>
      <c r="P157" s="7"/>
      <c r="Q157" s="22"/>
      <c r="R157" s="22"/>
      <c r="S157" s="31">
        <f t="shared" si="63"/>
        <v>1</v>
      </c>
      <c r="T157" s="46" t="str">
        <f t="shared" si="5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5"/>
        <v>https://d0f6bd738d7f1b3e5a7ca70fe4ff75f0.us-east-1.aws.found.io/app/kibana#/discover/Steve-Slow-Train-Analysis-(2080s-and-2083s)?_g=(refreshInterval:(display:Off,pause:!f,section:0,value:0),time:(from:'2017-03-04T00:16:01-0700',mode:absolute,to:'2017-03-04T03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197" t="str">
        <f t="shared" si="56"/>
        <v>N</v>
      </c>
      <c r="X157" s="197">
        <f t="shared" si="68"/>
        <v>1</v>
      </c>
      <c r="Y157" s="62">
        <f t="shared" si="42"/>
        <v>23.298500000000001</v>
      </c>
      <c r="Z157" s="62">
        <f t="shared" si="57"/>
        <v>1.4500000000000001E-2</v>
      </c>
      <c r="AA157" s="62">
        <f t="shared" si="58"/>
        <v>23.283999999999999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9"/>
        <v>0244-03</v>
      </c>
      <c r="AE157" s="85" t="str">
        <f t="shared" si="60"/>
        <v>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 &amp; aws s3 cp s3://rtdc.mdm.uploadarchive.raw/RTDC4052/ "%USERPROFILE%\AppData\Local\Temp\OnboardLogs"\RTDC4052\2017-03-05 --exclude "*" --recursive --include "*20170305*" &amp; "%USERPROFILE%\Documents\GitHub\mrs-test-scripts\Headless Mode &amp; Sideloading\WalkAndUnGZ.bat" "%USERPROFILE%\AppData\Local\Temp\OnboardLogs"\RTDC4052\2017-03-05</v>
      </c>
      <c r="AF157" s="82" t="str">
        <f t="shared" si="61"/>
        <v>"C:\Program Files (x86)\AstroGrep\AstroGrep.exe" /spath="%USERPROFILE%\AppData\Local\Temp\OnboardLogs" /stypes="app*4052*20170304*" /stext=" 09:.+((SYSTEM_STATE.+slice.+state.+changed )|(ment ac)|(multiple cpu faults)|(system.+state.+changed )|(\[timeout)|(PRM\|1\|D)|(kpr)|(kdp)|(\|lc)|(penalty))" /e /r /s</v>
      </c>
      <c r="AG157" s="1" t="str">
        <f t="shared" si="62"/>
        <v>EC</v>
      </c>
      <c r="AH157" s="86" t="str">
        <f t="shared" si="64"/>
        <v>"%USERPROFILE%\Documents\GitHub\eaglep3\Utilities\RefineRTDCRunTimes.py" --tripid 244-03 --locoid 4052 --swversion DE.1.0.9.0 --startMP 204:232985 --initTime 2017-03-04T01:16:01 --startdatetime 2017-03-04T01:26:22 --delay 2 --endMP 204:145 --enddatetime 2017-03-04T02:07:25 --enforcementcount 0 &gt;&gt;C:\Users\stu\Documents\GitHub\eaglep3-reporting\EC\2017-03-03-refined-times.txt</v>
      </c>
      <c r="AI157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{"issue":{"subject":"","project_id":79,"tracker_id":40,"status_id":1,"priority_id":2,"assigned_to_id":23,"start_date":"2017-03-04","description":"","custom_fields":[{"id":1,"name":"Subdivision","value":"EC"},{"id":4,"name":"Milepost","value":"0.0145"},{"id":17,"name":"Train ID","value":"244-03"},{"id":16,"name":"Locomotive ID","value":"4052"},{"id":130,"name":"Impact","value":""},{"id":150,"name":"Time of Event (Mountain Time)","value":"02:07:25"},{"id":151,"name":"Denver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6"/>
        <v>start /low /b %USERPROFILE%\Documents\GitHub\eaglep3\Utilities\DownloadLogsFromS3.py --loco 4052 --day 2017-03-04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"%USERPROFILE%\AppData\Local\Temp\OnboardLogs"\RTDC4052\*4052*20170304* | grep -SE "(Enforcement Action)|(\[TIMEOUT)|(CHR.+\|PRM\|1\|D.+(SWITCH|SIGNAL).+UNKNOWN)" - &gt;&gt; 2017-03-03-UncaughtWiMAX.txt</v>
      </c>
    </row>
    <row r="158" spans="1:91" x14ac:dyDescent="0.25">
      <c r="A158" s="33" t="s">
        <v>803</v>
      </c>
      <c r="B158" s="7">
        <v>4027</v>
      </c>
      <c r="C158" s="21" t="s">
        <v>251</v>
      </c>
      <c r="D158" s="21" t="s">
        <v>232</v>
      </c>
      <c r="E158" s="13">
        <v>42798.036805555559</v>
      </c>
      <c r="F158" s="13">
        <v>42798.041886574072</v>
      </c>
      <c r="G158" s="7">
        <v>1</v>
      </c>
      <c r="H158" s="21" t="s">
        <v>893</v>
      </c>
      <c r="I158" s="13">
        <v>42798.068101851852</v>
      </c>
      <c r="J158" s="7">
        <v>0</v>
      </c>
      <c r="K158" s="98" t="str">
        <f t="shared" si="52"/>
        <v>4027/4028</v>
      </c>
      <c r="L158" s="21" t="str">
        <f>VLOOKUP(A158,'Trips&amp;Operators'!$C$1:$G$99999,5,FALSE)</f>
        <v>BROWN JACOB</v>
      </c>
      <c r="M158" s="6">
        <f t="shared" si="53"/>
        <v>2.6215277779556345E-2</v>
      </c>
      <c r="N158" s="7">
        <f t="shared" si="67"/>
        <v>37.750000002561137</v>
      </c>
      <c r="O158" s="7"/>
      <c r="P158" s="7"/>
      <c r="Q158" s="22"/>
      <c r="R158" s="22"/>
      <c r="S158" s="31">
        <f t="shared" si="63"/>
        <v>1</v>
      </c>
      <c r="T158" s="46" t="str">
        <f t="shared" si="54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5"/>
        <v>https://d0f6bd738d7f1b3e5a7ca70fe4ff75f0.us-east-1.aws.found.io/app/kibana#/discover/Steve-Slow-Train-Analysis-(2080s-and-2083s)?_g=(refreshInterval:(display:Off,pause:!f,section:0,value:0),time:(from:'2017-03-03T23:53:00-0700',mode:absolute,to:'2017-03-04T02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197" t="str">
        <f t="shared" si="56"/>
        <v>N</v>
      </c>
      <c r="X158" s="197">
        <f t="shared" si="68"/>
        <v>1</v>
      </c>
      <c r="Y158" s="62">
        <f t="shared" si="42"/>
        <v>4.5499999999999999E-2</v>
      </c>
      <c r="Z158" s="62">
        <f t="shared" si="57"/>
        <v>23.328099999999999</v>
      </c>
      <c r="AA158" s="62">
        <f t="shared" si="58"/>
        <v>23.282599999999999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9"/>
        <v>0245-03</v>
      </c>
      <c r="AE158" s="85" t="str">
        <f t="shared" si="60"/>
        <v>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 &amp; 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</v>
      </c>
      <c r="AF158" s="82" t="str">
        <f t="shared" si="61"/>
        <v>"C:\Program Files (x86)\AstroGrep\AstroGrep.exe" /spath="%USERPROFILE%\AppData\Local\Temp\OnboardLogs" /stypes="app*4027*20170304*" /stext=" 08:.+((SYSTEM_STATE.+slice.+state.+changed )|(ment ac)|(multiple cpu faults)|(system.+state.+changed )|(\[timeout)|(PRM\|1\|D)|(kpr)|(kdp)|(\|lc)|(penalty))" /e /r /s</v>
      </c>
      <c r="AG158" s="1" t="str">
        <f t="shared" si="62"/>
        <v>EC</v>
      </c>
      <c r="AH158" s="86" t="str">
        <f t="shared" si="64"/>
        <v>"%USERPROFILE%\Documents\GitHub\eaglep3\Utilities\RefineRTDCRunTimes.py" --tripid 245-03 --locoid 4027 --swversion DE.1.0.9.0 --startMP 204:455 --initTime 2017-03-04T00:53:00 --startdatetime 2017-03-04T01:00:19 --delay 1 --endMP 204:233281 --enddatetime 2017-03-04T01:38:04 --enforcementcount 0 &gt;&gt;C:\Users\stu\Documents\GitHub\eaglep3-reporting\EC\2017-03-03-refined-times.txt</v>
      </c>
      <c r="AI158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{"issue":{"subject":"","project_id":79,"tracker_id":40,"status_id":1,"priority_id":2,"assigned_to_id":23,"start_date":"2017-03-04","description":"","custom_fields":[{"id":1,"name":"Subdivision","value":"EC"},{"id":4,"name":"Milepost","value":"23.3281"},{"id":17,"name":"Train ID","value":"245-03"},{"id":16,"name":"Locomotive ID","value":"4027"},{"id":130,"name":"Impact","value":""},{"id":150,"name":"Time of Event (Mountain Time)","value":"01:38:04"},{"id":151,"name":"Denver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6"/>
        <v>start /low /b %USERPROFILE%\Documents\GitHub\eaglep3\Utilities\DownloadLogsFromS3.py --loco 4027 --day 2017-03-04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"%USERPROFILE%\AppData\Local\Temp\OnboardLogs"\RTDC4027\*4027*20170304* | grep -SE "(Enforcement Action)|(\[TIMEOUT)|(CHR.+\|PRM\|1\|D.+(SWITCH|SIGNAL).+UNKNOWN)" - &gt;&gt; 2017-03-03-UncaughtWiMAX.txt</v>
      </c>
    </row>
    <row r="159" spans="1:91" s="20" customFormat="1" x14ac:dyDescent="0.25">
      <c r="A159" s="33" t="s">
        <v>807</v>
      </c>
      <c r="B159" s="7">
        <v>4028</v>
      </c>
      <c r="C159" s="21" t="s">
        <v>251</v>
      </c>
      <c r="D159" s="21" t="s">
        <v>894</v>
      </c>
      <c r="E159" s="13">
        <v>42798.073750000003</v>
      </c>
      <c r="F159" s="13">
        <v>42798.080706018518</v>
      </c>
      <c r="G159" s="7">
        <v>2</v>
      </c>
      <c r="H159" s="21" t="s">
        <v>243</v>
      </c>
      <c r="I159" s="13">
        <v>42798.107569444444</v>
      </c>
      <c r="J159" s="7">
        <v>0</v>
      </c>
      <c r="K159" s="98" t="str">
        <f t="shared" si="52"/>
        <v>4027/4028</v>
      </c>
      <c r="L159" s="21" t="str">
        <f>VLOOKUP(A159,'Trips&amp;Operators'!$C$1:$G$99999,5,FALSE)</f>
        <v>BROWN JACOB</v>
      </c>
      <c r="M159" s="6">
        <f t="shared" si="53"/>
        <v>2.6863425926421769E-2</v>
      </c>
      <c r="N159" s="7">
        <f t="shared" si="67"/>
        <v>38.683333334047347</v>
      </c>
      <c r="O159" s="7"/>
      <c r="P159" s="7"/>
      <c r="Q159" s="22"/>
      <c r="R159" s="22"/>
      <c r="S159" s="31">
        <f t="shared" si="63"/>
        <v>1</v>
      </c>
      <c r="T159" s="46" t="str">
        <f t="shared" si="54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5"/>
        <v>https://d0f6bd738d7f1b3e5a7ca70fe4ff75f0.us-east-1.aws.found.io/app/kibana#/discover/Steve-Slow-Train-Analysis-(2080s-and-2083s)?_g=(refreshInterval:(display:Off,pause:!f,section:0,value:0),time:(from:'2017-03-04T00:46:12-0700',mode:absolute,to:'2017-03-04T03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197" t="str">
        <f t="shared" si="56"/>
        <v>N</v>
      </c>
      <c r="X159" s="197">
        <f t="shared" si="68"/>
        <v>1</v>
      </c>
      <c r="Y159" s="62">
        <f t="shared" si="42"/>
        <v>23.2972</v>
      </c>
      <c r="Z159" s="62">
        <f t="shared" si="57"/>
        <v>1.47E-2</v>
      </c>
      <c r="AA159" s="62">
        <f t="shared" si="58"/>
        <v>23.282499999999999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9"/>
        <v>0246-03</v>
      </c>
      <c r="AE159" s="85" t="str">
        <f t="shared" si="60"/>
        <v>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 &amp; 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</v>
      </c>
      <c r="AF159" s="82" t="str">
        <f t="shared" si="61"/>
        <v>"C:\Program Files (x86)\AstroGrep\AstroGrep.exe" /spath="%USERPROFILE%\AppData\Local\Temp\OnboardLogs" /stypes="app*4028*20170304*" /stext=" 09:.+((SYSTEM_STATE.+slice.+state.+changed )|(ment ac)|(multiple cpu faults)|(system.+state.+changed )|(\[timeout)|(PRM\|1\|D)|(kpr)|(kdp)|(\|lc)|(penalty))" /e /r /s</v>
      </c>
      <c r="AG159" s="1" t="str">
        <f t="shared" si="62"/>
        <v>EC</v>
      </c>
      <c r="AH159" s="86" t="str">
        <f t="shared" si="64"/>
        <v>"%USERPROFILE%\Documents\GitHub\eaglep3\Utilities\RefineRTDCRunTimes.py" --tripid 246-03 --locoid 4028 --swversion DE.1.0.9.0 --startMP 204:232972 --initTime 2017-03-04T01:46:12 --startdatetime 2017-03-04T01:56:13 --delay 2 --endMP 204:147 --enddatetime 2017-03-04T02:34:54 --enforcementcount 0 &gt;&gt;C:\Users\stu\Documents\GitHub\eaglep3-reporting\EC\2017-03-03-refined-times.txt</v>
      </c>
      <c r="AI159" s="108" t="str">
        <f t="shared" si="65"/>
        <v>echo {"issue":{"subject":"","project_id":79,"tracker_id":40,"status_id":1,"priority_id":2,"assigned_to_id":23,"start_date":"2017-03-04","description":"","custom_fields":[{"id":1,"name":"Subdivision","value":"EC"},{"id":4,"name":"Milepost","value":"0.0147"},{"id":17,"name":"Train ID","value":"246-03"},{"id":16,"name":"Locomotive ID","value":"4028"},{"id":130,"name":"Impact","value":""},{"id":150,"name":"Time of Event (Mountain Time)","value":"02:34:54"},{"id":151,"name":"Denver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6"/>
        <v>start /low /b %USERPROFILE%\Documents\GitHub\eaglep3\Utilities\DownloadLogsFromS3.py --loco 4028 --day 2017-03-04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"%USERPROFILE%\AppData\Local\Temp\OnboardLogs"\RTDC4028\*4028*20170304* | grep -SE "(Enforcement Action)|(\[TIMEOUT)|(CHR.+\|PRM\|1\|D.+(SWITCH|SIGNAL).+UNKNOWN)" - &gt;&gt; 2017-03-03-UncaughtWiMAX.txt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629</v>
      </c>
      <c r="B160" s="7">
        <v>4001</v>
      </c>
      <c r="C160" s="21" t="s">
        <v>251</v>
      </c>
      <c r="D160" s="21" t="s">
        <v>910</v>
      </c>
      <c r="E160" s="13">
        <v>42797.22892361111</v>
      </c>
      <c r="F160" s="13">
        <v>42797.23064814815</v>
      </c>
      <c r="G160" s="7">
        <v>1</v>
      </c>
      <c r="H160" s="21" t="s">
        <v>911</v>
      </c>
      <c r="I160" s="13">
        <v>42797.239884259259</v>
      </c>
      <c r="J160" s="7">
        <v>0</v>
      </c>
      <c r="K160" s="98" t="str">
        <f t="shared" si="52"/>
        <v>4001/4002</v>
      </c>
      <c r="L160" s="21" t="str">
        <f>VLOOKUP(A160,'Trips&amp;Operators'!$C$1:$G$99999,5,FALSE)</f>
        <v>GEBRETEKLE DAGNEW</v>
      </c>
      <c r="M160" s="6">
        <f t="shared" si="53"/>
        <v>9.2361111092031933E-3</v>
      </c>
      <c r="N160" s="7">
        <f t="shared" si="67"/>
        <v>13.299999997252598</v>
      </c>
      <c r="O160" s="7"/>
      <c r="P160" s="7"/>
      <c r="Q160" s="22"/>
      <c r="R160" s="22"/>
      <c r="S160" s="31">
        <f t="shared" si="63"/>
        <v>1</v>
      </c>
      <c r="T160" s="46" t="str">
        <f t="shared" si="5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5"/>
        <v>https://d0f6bd738d7f1b3e5a7ca70fe4ff75f0.us-east-1.aws.found.io/app/kibana#/discover/Steve-Slow-Train-Analysis-(2080s-and-2083s)?_g=(refreshInterval:(display:Off,pause:!f,section:0,value:0),time:(from:'2017-03-03T04:29:39-0700',mode:absolute,to:'2017-03-03T06:45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197" t="str">
        <f t="shared" si="56"/>
        <v>N</v>
      </c>
      <c r="X160" s="197">
        <f t="shared" si="68"/>
        <v>554</v>
      </c>
      <c r="Y160" s="62">
        <f t="shared" si="42"/>
        <v>5.867</v>
      </c>
      <c r="Z160" s="62">
        <f t="shared" si="57"/>
        <v>1.17E-2</v>
      </c>
      <c r="AA160" s="62">
        <f t="shared" si="58"/>
        <v>5.8552999999999997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9"/>
        <v>0800-03</v>
      </c>
      <c r="AE160" s="85" t="str">
        <f t="shared" si="60"/>
        <v>aws s3 cp s3://rtdc.mdm.uploadarchive.raw/RTDC4001/ "%USERPROFILE%\AppData\Local\Temp\OnboardLogs"\RTDC4001\2017-03-03 --exclude "*" --recursive --include "*20170303*" &amp; "%USERPROFILE%\Documents\GitHub\mrs-test-scripts\Headless Mode &amp; Sideloading\WalkAndUnGZ.bat" "%USERPROFILE%\AppData\Local\Temp\OnboardLogs"\RTDC4001\2017-03-03 &amp; aws s3 cp s3://rtdc.mdm.uploadarchive.raw/RTDC4001/ "%USERPROFILE%\AppData\Local\Temp\OnboardLogs"\RTDC4001\2017-03-04 --exclude "*" --recursive --include "*20170304*" &amp; "%USERPROFILE%\Documents\GitHub\mrs-test-scripts\Headless Mode &amp; Sideloading\WalkAndUnGZ.bat" "%USERPROFILE%\AppData\Local\Temp\OnboardLogs"\RTDC4001\2017-03-04</v>
      </c>
      <c r="AF160" s="82" t="str">
        <f t="shared" si="61"/>
        <v>"C:\Program Files (x86)\AstroGrep\AstroGrep.exe" /spath="%USERPROFILE%\AppData\Local\Temp\OnboardLogs" /stypes="app*4001*20170303*" /stext=" 12:.+((SYSTEM_STATE.+slice.+state.+changed )|(ment ac)|(multiple cpu faults)|(system.+state.+changed )|(\[timeout)|(PRM\|1\|D)|(kpr)|(kdp)|(\|lc)|(penalty))" /e /r /s</v>
      </c>
      <c r="AG160" s="1" t="str">
        <f t="shared" si="62"/>
        <v>NW</v>
      </c>
      <c r="AH160" s="86" t="str">
        <f t="shared" si="64"/>
        <v>"%USERPROFILE%\Documents\GitHub\eaglep3\Utilities\RefineRTDCRunTimes.py" --tripid 800-03 --locoid 4001 --swversion DE.1.0.9.0 --startMP 300:58670 --initTime 2017-03-03T05:29:39 --startdatetime 2017-03-03T05:32:08 --delay 1 --endMP 204:117 --enddatetime 2017-03-03T05:45:26 --enforcementcount 0 &gt;&gt;C:\Users\stu\Documents\GitHub\eaglep3-reporting\EC\2017-03-03-refined-times.txt</v>
      </c>
      <c r="AI160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{"issue":{"subject":"","project_id":79,"tracker_id":40,"status_id":1,"priority_id":2,"assigned_to_id":23,"start_date":"2017-03-03","description":"","custom_fields":[{"id":1,"name":"Subdivision","value":"NW"},{"id":4,"name":"Milepost","value":"0.0117"},{"id":17,"name":"Train ID","value":"800-03"},{"id":16,"name":"Locomotive ID","value":"4001"},{"id":130,"name":"Impact","value":""},{"id":150,"name":"Time of Event (Mountain Time)","value":"05:45:26"},{"id":151,"name":"Denver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6"/>
        <v>start /low /b %USERPROFILE%\Documents\GitHub\eaglep3\Utilities\DownloadLogsFromS3.py --loco 4001 --day 2017-03-03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"%USERPROFILE%\AppData\Local\Temp\OnboardLogs"\RTDC4001\*4001*20170303* | grep -SE "(Enforcement Action)|(\[TIMEOUT)|(CHR.+\|PRM\|1\|D.+(SWITCH|SIGNAL).+UNKNOWN)" - &gt;&gt; 2017-03-03-UncaughtWiMAX.txt</v>
      </c>
    </row>
    <row r="161" spans="1:91" x14ac:dyDescent="0.25">
      <c r="A161" s="33" t="s">
        <v>635</v>
      </c>
      <c r="B161" s="7">
        <v>4002</v>
      </c>
      <c r="C161" s="21" t="s">
        <v>251</v>
      </c>
      <c r="D161" s="21" t="s">
        <v>912</v>
      </c>
      <c r="E161" s="13">
        <v>42797.240995370368</v>
      </c>
      <c r="F161" s="13">
        <v>42797.243923611109</v>
      </c>
      <c r="G161" s="7">
        <v>1</v>
      </c>
      <c r="H161" s="21" t="s">
        <v>913</v>
      </c>
      <c r="I161" s="13">
        <v>42797.253078703703</v>
      </c>
      <c r="J161" s="7">
        <v>0</v>
      </c>
      <c r="K161" s="98" t="str">
        <f t="shared" si="52"/>
        <v>4001/4002</v>
      </c>
      <c r="L161" s="21" t="str">
        <f>VLOOKUP(A161,'Trips&amp;Operators'!$C$1:$G$99999,5,FALSE)</f>
        <v>GEBRETEKLE DAGNEW</v>
      </c>
      <c r="M161" s="6">
        <f t="shared" si="53"/>
        <v>9.1550925935734995E-3</v>
      </c>
      <c r="N161" s="7">
        <f t="shared" si="67"/>
        <v>13.183333334745839</v>
      </c>
      <c r="O161" s="7"/>
      <c r="P161" s="7"/>
      <c r="Q161" s="22"/>
      <c r="R161" s="22"/>
      <c r="S161" s="31">
        <f t="shared" si="63"/>
        <v>1</v>
      </c>
      <c r="T161" s="46" t="str">
        <f t="shared" si="54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5"/>
        <v>https://d0f6bd738d7f1b3e5a7ca70fe4ff75f0.us-east-1.aws.found.io/app/kibana#/discover/Steve-Slow-Train-Analysis-(2080s-and-2083s)?_g=(refreshInterval:(display:Off,pause:!f,section:0,value:0),time:(from:'2017-03-03T04:47:02-0700',mode:absolute,to:'2017-03-03T07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197" t="str">
        <f t="shared" si="56"/>
        <v>N</v>
      </c>
      <c r="X161" s="197">
        <f t="shared" si="68"/>
        <v>1</v>
      </c>
      <c r="Y161" s="62">
        <f t="shared" ref="Y161:Y224" si="69">RIGHT(D161,LEN(D161)-4)/10000</f>
        <v>4.0599999999999997E-2</v>
      </c>
      <c r="Z161" s="62">
        <f t="shared" si="57"/>
        <v>5.8982000000000001</v>
      </c>
      <c r="AA161" s="62">
        <f t="shared" si="58"/>
        <v>5.8575999999999997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9"/>
        <v>0801-03</v>
      </c>
      <c r="AE161" s="85" t="str">
        <f t="shared" si="60"/>
        <v>aws s3 cp s3://rtdc.mdm.uploadarchive.raw/RTDC4002/ "%USERPROFILE%\AppData\Local\Temp\OnboardLogs"\RTDC4002\2017-03-03 --exclude "*" --recursive --include "*20170303*" &amp; "%USERPROFILE%\Documents\GitHub\mrs-test-scripts\Headless Mode &amp; Sideloading\WalkAndUnGZ.bat" "%USERPROFILE%\AppData\Local\Temp\OnboardLogs"\RTDC4002\2017-03-03 &amp; aws s3 cp s3://rtdc.mdm.uploadarchive.raw/RTDC4002/ "%USERPROFILE%\AppData\Local\Temp\OnboardLogs"\RTDC4002\2017-03-04 --exclude "*" --recursive --include "*20170304*" &amp; "%USERPROFILE%\Documents\GitHub\mrs-test-scripts\Headless Mode &amp; Sideloading\WalkAndUnGZ.bat" "%USERPROFILE%\AppData\Local\Temp\OnboardLogs"\RTDC4002\2017-03-04</v>
      </c>
      <c r="AF161" s="82" t="str">
        <f t="shared" si="61"/>
        <v>"C:\Program Files (x86)\AstroGrep\AstroGrep.exe" /spath="%USERPROFILE%\AppData\Local\Temp\OnboardLogs" /stypes="app*4002*20170303*" /stext=" 13:.+((SYSTEM_STATE.+slice.+state.+changed )|(ment ac)|(multiple cpu faults)|(system.+state.+changed )|(\[timeout)|(PRM\|1\|D)|(kpr)|(kdp)|(\|lc)|(penalty))" /e /r /s</v>
      </c>
      <c r="AG161" s="1" t="str">
        <f t="shared" si="62"/>
        <v>NW</v>
      </c>
      <c r="AH161" s="86" t="str">
        <f t="shared" si="64"/>
        <v>"%USERPROFILE%\Documents\GitHub\eaglep3\Utilities\RefineRTDCRunTimes.py" --tripid 801-03 --locoid 4002 --swversion DE.1.0.9.0 --startMP 204:406 --initTime 2017-03-03T05:47:02 --startdatetime 2017-03-03T05:51:15 --delay 1 --endMP 300:58982 --enddatetime 2017-03-03T06:04:26 --enforcementcount 0 &gt;&gt;C:\Users\stu\Documents\GitHub\eaglep3-reporting\EC\2017-03-03-refined-times.txt</v>
      </c>
      <c r="AI161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{"issue":{"subject":"","project_id":79,"tracker_id":40,"status_id":1,"priority_id":2,"assigned_to_id":23,"start_date":"2017-03-03","description":"","custom_fields":[{"id":1,"name":"Subdivision","value":"NW"},{"id":4,"name":"Milepost","value":"5.8982"},{"id":17,"name":"Train ID","value":"801-03"},{"id":16,"name":"Locomotive ID","value":"4002"},{"id":130,"name":"Impact","value":""},{"id":150,"name":"Time of Event (Mountain Time)","value":"06:04:26"},{"id":151,"name":"Denver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6"/>
        <v>start /low /b %USERPROFILE%\Documents\GitHub\eaglep3\Utilities\DownloadLogsFromS3.py --loco 4002 --day 2017-03-03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"%USERPROFILE%\AppData\Local\Temp\OnboardLogs"\RTDC4002\*4002*20170303* | grep -SE "(Enforcement Action)|(\[TIMEOUT)|(CHR.+\|PRM\|1\|D.+(SWITCH|SIGNAL).+UNKNOWN)" - &gt;&gt; 2017-03-03-UncaughtWiMAX.txt</v>
      </c>
    </row>
    <row r="162" spans="1:91" s="20" customFormat="1" x14ac:dyDescent="0.25">
      <c r="A162" s="33" t="s">
        <v>639</v>
      </c>
      <c r="B162" s="7">
        <v>4001</v>
      </c>
      <c r="C162" s="21" t="s">
        <v>251</v>
      </c>
      <c r="D162" s="21" t="s">
        <v>914</v>
      </c>
      <c r="E162" s="13">
        <v>42797.254641203705</v>
      </c>
      <c r="F162" s="13">
        <v>42797.257395833331</v>
      </c>
      <c r="G162" s="7">
        <v>1</v>
      </c>
      <c r="H162" s="21" t="s">
        <v>915</v>
      </c>
      <c r="I162" s="13">
        <v>42797.268275462964</v>
      </c>
      <c r="J162" s="7">
        <v>0</v>
      </c>
      <c r="K162" s="98" t="str">
        <f t="shared" si="52"/>
        <v>4001/4002</v>
      </c>
      <c r="L162" s="21" t="str">
        <f>VLOOKUP(A162,'Trips&amp;Operators'!$C$1:$G$99999,5,FALSE)</f>
        <v>GEBRETEKLE DAGNEW</v>
      </c>
      <c r="M162" s="6">
        <f t="shared" si="53"/>
        <v>1.0879629633564036E-2</v>
      </c>
      <c r="N162" s="7">
        <f t="shared" si="67"/>
        <v>15.666666672332212</v>
      </c>
      <c r="O162" s="7"/>
      <c r="P162" s="7"/>
      <c r="Q162" s="22"/>
      <c r="R162" s="22"/>
      <c r="S162" s="31">
        <f t="shared" si="63"/>
        <v>1</v>
      </c>
      <c r="T162" s="46" t="str">
        <f t="shared" si="54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5"/>
        <v>https://d0f6bd738d7f1b3e5a7ca70fe4ff75f0.us-east-1.aws.found.io/app/kibana#/discover/Steve-Slow-Train-Analysis-(2080s-and-2083s)?_g=(refreshInterval:(display:Off,pause:!f,section:0,value:0),time:(from:'2017-03-03T05:06:41-0700',mode:absolute,to:'2017-03-03T07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197" t="str">
        <f t="shared" si="56"/>
        <v>N</v>
      </c>
      <c r="X162" s="197">
        <f t="shared" si="68"/>
        <v>1</v>
      </c>
      <c r="Y162" s="62">
        <f t="shared" si="69"/>
        <v>5.8659999999999997</v>
      </c>
      <c r="Z162" s="62">
        <f t="shared" si="57"/>
        <v>1.2800000000000001E-2</v>
      </c>
      <c r="AA162" s="62">
        <f t="shared" si="58"/>
        <v>5.8531999999999993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9"/>
        <v>0802-03</v>
      </c>
      <c r="AE162" s="85" t="str">
        <f t="shared" si="60"/>
        <v>aws s3 cp s3://rtdc.mdm.uploadarchive.raw/RTDC4001/ "%USERPROFILE%\AppData\Local\Temp\OnboardLogs"\RTDC4001\2017-03-03 --exclude "*" --recursive --include "*20170303*" &amp; "%USERPROFILE%\Documents\GitHub\mrs-test-scripts\Headless Mode &amp; Sideloading\WalkAndUnGZ.bat" "%USERPROFILE%\AppData\Local\Temp\OnboardLogs"\RTDC4001\2017-03-03 &amp; aws s3 cp s3://rtdc.mdm.uploadarchive.raw/RTDC4001/ "%USERPROFILE%\AppData\Local\Temp\OnboardLogs"\RTDC4001\2017-03-04 --exclude "*" --recursive --include "*20170304*" &amp; "%USERPROFILE%\Documents\GitHub\mrs-test-scripts\Headless Mode &amp; Sideloading\WalkAndUnGZ.bat" "%USERPROFILE%\AppData\Local\Temp\OnboardLogs"\RTDC4001\2017-03-04</v>
      </c>
      <c r="AF162" s="82" t="str">
        <f t="shared" si="61"/>
        <v>"C:\Program Files (x86)\AstroGrep\AstroGrep.exe" /spath="%USERPROFILE%\AppData\Local\Temp\OnboardLogs" /stypes="app*4001*20170303*" /stext=" 13:.+((SYSTEM_STATE.+slice.+state.+changed )|(ment ac)|(multiple cpu faults)|(system.+state.+changed )|(\[timeout)|(PRM\|1\|D)|(kpr)|(kdp)|(\|lc)|(penalty))" /e /r /s</v>
      </c>
      <c r="AG162" s="1" t="str">
        <f t="shared" si="62"/>
        <v>NW</v>
      </c>
      <c r="AH162" s="86" t="str">
        <f t="shared" si="64"/>
        <v>"%USERPROFILE%\Documents\GitHub\eaglep3\Utilities\RefineRTDCRunTimes.py" --tripid 802-03 --locoid 4001 --swversion DE.1.0.9.0 --startMP 300:58660 --initTime 2017-03-03T06:06:41 --startdatetime 2017-03-03T06:10:39 --delay 1 --endMP 204:128 --enddatetime 2017-03-03T06:26:19 --enforcementcount 0 &gt;&gt;C:\Users\stu\Documents\GitHub\eaglep3-reporting\EC\2017-03-03-refined-times.txt</v>
      </c>
      <c r="AI162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{"issue":{"subject":"","project_id":79,"tracker_id":40,"status_id":1,"priority_id":2,"assigned_to_id":23,"start_date":"2017-03-03","description":"","custom_fields":[{"id":1,"name":"Subdivision","value":"NW"},{"id":4,"name":"Milepost","value":"0.0128"},{"id":17,"name":"Train ID","value":"802-03"},{"id":16,"name":"Locomotive ID","value":"4001"},{"id":130,"name":"Impact","value":""},{"id":150,"name":"Time of Event (Mountain Time)","value":"06:26:19"},{"id":151,"name":"Denver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6"/>
        <v>start /low /b %USERPROFILE%\Documents\GitHub\eaglep3\Utilities\DownloadLogsFromS3.py --loco 4001 --day 2017-03-03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"%USERPROFILE%\AppData\Local\Temp\OnboardLogs"\RTDC4001\*4001*20170303* | grep -SE "(Enforcement Action)|(\[TIMEOUT)|(CHR.+\|PRM\|1\|D.+(SWITCH|SIGNAL).+UNKNOWN)" - &gt;&gt; 2017-03-03-UncaughtWiMAX.txt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640</v>
      </c>
      <c r="B163" s="7">
        <v>4044</v>
      </c>
      <c r="C163" s="21" t="s">
        <v>251</v>
      </c>
      <c r="D163" s="21" t="s">
        <v>543</v>
      </c>
      <c r="E163" s="13">
        <v>42797.256793981483</v>
      </c>
      <c r="F163" s="13">
        <v>42797.266527777778</v>
      </c>
      <c r="G163" s="7">
        <v>12</v>
      </c>
      <c r="H163" s="21" t="s">
        <v>553</v>
      </c>
      <c r="I163" s="13">
        <v>42797.275752314818</v>
      </c>
      <c r="J163" s="7">
        <v>0</v>
      </c>
      <c r="K163" s="98" t="str">
        <f t="shared" si="52"/>
        <v>4043/4044</v>
      </c>
      <c r="L163" s="21" t="str">
        <f>VLOOKUP(A163,'Trips&amp;Operators'!$C$1:$G$99999,5,FALSE)</f>
        <v>SHOOK JOHN</v>
      </c>
      <c r="M163" s="6">
        <f t="shared" si="53"/>
        <v>9.2245370396994986E-3</v>
      </c>
      <c r="N163" s="7">
        <f t="shared" si="67"/>
        <v>13.283333337167278</v>
      </c>
      <c r="O163" s="7"/>
      <c r="P163" s="7"/>
      <c r="Q163" s="22"/>
      <c r="R163" s="22"/>
      <c r="S163" s="31">
        <f t="shared" si="63"/>
        <v>1</v>
      </c>
      <c r="T163" s="46" t="str">
        <f t="shared" si="54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5"/>
        <v>https://d0f6bd738d7f1b3e5a7ca70fe4ff75f0.us-east-1.aws.found.io/app/kibana#/discover/Steve-Slow-Train-Analysis-(2080s-and-2083s)?_g=(refreshInterval:(display:Off,pause:!f,section:0,value:0),time:(from:'2017-03-03T05:09:47-0700',mode:absolute,to:'2017-03-03T07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97" t="str">
        <f t="shared" si="56"/>
        <v>N</v>
      </c>
      <c r="X163" s="197">
        <f t="shared" si="68"/>
        <v>1</v>
      </c>
      <c r="Y163" s="62">
        <f t="shared" si="69"/>
        <v>0.1021</v>
      </c>
      <c r="Z163" s="62">
        <f t="shared" si="57"/>
        <v>5.8997000000000002</v>
      </c>
      <c r="AA163" s="62">
        <f t="shared" si="58"/>
        <v>5.7976000000000001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9"/>
        <v>0803-03</v>
      </c>
      <c r="AE163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63" s="82" t="str">
        <f t="shared" si="61"/>
        <v>"C:\Program Files (x86)\AstroGrep\AstroGrep.exe" /spath="%USERPROFILE%\AppData\Local\Temp\OnboardLogs" /stypes="app*4044*20170303*" /stext=" 13:.+((SYSTEM_STATE.+slice.+state.+changed )|(ment ac)|(multiple cpu faults)|(system.+state.+changed )|(\[timeout)|(PRM\|1\|D)|(kpr)|(kdp)|(\|lc)|(penalty))" /e /r /s</v>
      </c>
      <c r="AG163" s="1" t="str">
        <f t="shared" si="62"/>
        <v>NW</v>
      </c>
      <c r="AH163" s="86" t="str">
        <f t="shared" si="64"/>
        <v>"%USERPROFILE%\Documents\GitHub\eaglep3\Utilities\RefineRTDCRunTimes.py" --tripid 803-03 --locoid 4044 --swversion DE.1.0.9.0 --startMP 204:1021 --initTime 2017-03-03T06:09:47 --startdatetime 2017-03-03T06:23:48 --delay 12 --endMP 300:58997 --enddatetime 2017-03-03T06:37:05 --enforcementcount 0 &gt;&gt;C:\Users\stu\Documents\GitHub\eaglep3-reporting\EC\2017-03-03-refined-times.txt</v>
      </c>
      <c r="AI163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{"issue":{"subject":"","project_id":79,"tracker_id":40,"status_id":1,"priority_id":2,"assigned_to_id":23,"start_date":"2017-03-03","description":"","custom_fields":[{"id":1,"name":"Subdivision","value":"NW"},{"id":4,"name":"Milepost","value":"5.8997"},{"id":17,"name":"Train ID","value":"803-03"},{"id":16,"name":"Locomotive ID","value":"4044"},{"id":130,"name":"Impact","value":""},{"id":150,"name":"Time of Event (Mountain Time)","value":"06:37:05"},{"id":151,"name":"Denver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6"/>
        <v>start /low /b %USERPROFILE%\Documents\GitHub\eaglep3\Utilities\DownloadLogsFromS3.py --loco 4044 --day 2017-03-03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64" spans="1:91" s="20" customFormat="1" x14ac:dyDescent="0.25">
      <c r="A164" s="33" t="s">
        <v>643</v>
      </c>
      <c r="B164" s="7">
        <v>4043</v>
      </c>
      <c r="C164" s="21" t="s">
        <v>251</v>
      </c>
      <c r="D164" s="21" t="s">
        <v>555</v>
      </c>
      <c r="E164" s="13">
        <v>42797.276967592596</v>
      </c>
      <c r="F164" s="13">
        <v>42797.27847222222</v>
      </c>
      <c r="G164" s="7">
        <v>1</v>
      </c>
      <c r="H164" s="21" t="s">
        <v>916</v>
      </c>
      <c r="I164" s="13">
        <v>42797.288657407407</v>
      </c>
      <c r="J164" s="7">
        <v>0</v>
      </c>
      <c r="K164" s="98" t="str">
        <f t="shared" si="52"/>
        <v>4043/4044</v>
      </c>
      <c r="L164" s="21" t="str">
        <f>VLOOKUP(A164,'Trips&amp;Operators'!$C$1:$G$99999,5,FALSE)</f>
        <v>SHOOK JOHN</v>
      </c>
      <c r="M164" s="6">
        <f t="shared" si="53"/>
        <v>1.0185185186855961E-2</v>
      </c>
      <c r="N164" s="7">
        <f t="shared" si="67"/>
        <v>14.666666669072583</v>
      </c>
      <c r="O164" s="7"/>
      <c r="P164" s="7"/>
      <c r="Q164" s="22"/>
      <c r="R164" s="22"/>
      <c r="S164" s="31">
        <f t="shared" si="63"/>
        <v>1</v>
      </c>
      <c r="T164" s="46" t="str">
        <f t="shared" si="54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5"/>
        <v>https://d0f6bd738d7f1b3e5a7ca70fe4ff75f0.us-east-1.aws.found.io/app/kibana#/discover/Steve-Slow-Train-Analysis-(2080s-and-2083s)?_g=(refreshInterval:(display:Off,pause:!f,section:0,value:0),time:(from:'2017-03-03T05:38:50-0700',mode:absolute,to:'2017-03-03T07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97" t="str">
        <f t="shared" si="56"/>
        <v>N</v>
      </c>
      <c r="X164" s="197">
        <f t="shared" si="68"/>
        <v>1</v>
      </c>
      <c r="Y164" s="62">
        <f t="shared" si="69"/>
        <v>5.8681000000000001</v>
      </c>
      <c r="Z164" s="62">
        <f t="shared" si="57"/>
        <v>7.2900000000000006E-2</v>
      </c>
      <c r="AA164" s="62">
        <f t="shared" si="58"/>
        <v>5.7952000000000004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9"/>
        <v>0804-03</v>
      </c>
      <c r="AE164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64" s="82" t="str">
        <f t="shared" si="61"/>
        <v>"C:\Program Files (x86)\AstroGrep\AstroGrep.exe" /spath="%USERPROFILE%\AppData\Local\Temp\OnboardLogs" /stypes="app*4043*20170303*" /stext=" 13:.+((SYSTEM_STATE.+slice.+state.+changed )|(ment ac)|(multiple cpu faults)|(system.+state.+changed )|(\[timeout)|(PRM\|1\|D)|(kpr)|(kdp)|(\|lc)|(penalty))" /e /r /s</v>
      </c>
      <c r="AG164" s="1" t="str">
        <f t="shared" si="62"/>
        <v>NW</v>
      </c>
      <c r="AH164" s="86" t="str">
        <f t="shared" si="64"/>
        <v>"%USERPROFILE%\Documents\GitHub\eaglep3\Utilities\RefineRTDCRunTimes.py" --tripid 804-03 --locoid 4043 --swversion DE.1.0.9.0 --startMP 300:58681 --initTime 2017-03-03T06:38:50 --startdatetime 2017-03-03T06:41:00 --delay 1 --endMP 204:729 --enddatetime 2017-03-03T06:55:40 --enforcementcount 0 &gt;&gt;C:\Users\stu\Documents\GitHub\eaglep3-reporting\EC\2017-03-03-refined-times.txt</v>
      </c>
      <c r="AI164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{"issue":{"subject":"","project_id":79,"tracker_id":40,"status_id":1,"priority_id":2,"assigned_to_id":23,"start_date":"2017-03-03","description":"","custom_fields":[{"id":1,"name":"Subdivision","value":"NW"},{"id":4,"name":"Milepost","value":"0.0729"},{"id":17,"name":"Train ID","value":"804-03"},{"id":16,"name":"Locomotive ID","value":"4043"},{"id":130,"name":"Impact","value":""},{"id":150,"name":"Time of Event (Mountain Time)","value":"06:55:40"},{"id":151,"name":"Denver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6"/>
        <v>start /low /b %USERPROFILE%\Documents\GitHub\eaglep3\Utilities\DownloadLogsFromS3.py --loco 4043 --day 2017-03-03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575</v>
      </c>
      <c r="B165" s="7">
        <v>4002</v>
      </c>
      <c r="C165" s="21" t="s">
        <v>251</v>
      </c>
      <c r="D165" s="21" t="s">
        <v>917</v>
      </c>
      <c r="E165" s="13">
        <v>42797.270069444443</v>
      </c>
      <c r="F165" s="13">
        <v>42797.285613425927</v>
      </c>
      <c r="G165" s="7">
        <v>1</v>
      </c>
      <c r="H165" s="21" t="s">
        <v>918</v>
      </c>
      <c r="I165" s="13">
        <v>42797.294999999998</v>
      </c>
      <c r="J165" s="7">
        <v>0</v>
      </c>
      <c r="K165" s="98" t="str">
        <f t="shared" si="52"/>
        <v>4001/4002</v>
      </c>
      <c r="L165" s="21" t="str">
        <f>VLOOKUP(A165,'Trips&amp;Operators'!$C$1:$G$99999,5,FALSE)</f>
        <v>GEBRETEKLE DAGNEW</v>
      </c>
      <c r="M165" s="6">
        <f t="shared" si="53"/>
        <v>9.3865740709588863E-3</v>
      </c>
      <c r="N165" s="7">
        <f t="shared" si="67"/>
        <v>13.516666662180796</v>
      </c>
      <c r="O165" s="7"/>
      <c r="P165" s="7"/>
      <c r="Q165" s="22"/>
      <c r="R165" s="22"/>
      <c r="S165" s="31">
        <f t="shared" si="63"/>
        <v>1</v>
      </c>
      <c r="T165" s="46" t="str">
        <f t="shared" si="54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5"/>
        <v>https://d0f6bd738d7f1b3e5a7ca70fe4ff75f0.us-east-1.aws.found.io/app/kibana#/discover/Steve-Slow-Train-Analysis-(2080s-and-2083s)?_g=(refreshInterval:(display:Off,pause:!f,section:0,value:0),time:(from:'2017-03-03T05:28:54-0700',mode:absolute,to:'2017-03-03T08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5" s="197" t="str">
        <f t="shared" si="56"/>
        <v>N</v>
      </c>
      <c r="X165" s="197">
        <f t="shared" si="68"/>
        <v>1</v>
      </c>
      <c r="Y165" s="62">
        <f t="shared" si="69"/>
        <v>4.1700000000000001E-2</v>
      </c>
      <c r="Z165" s="62">
        <f t="shared" si="57"/>
        <v>5.9013999999999998</v>
      </c>
      <c r="AA165" s="62">
        <f t="shared" si="58"/>
        <v>5.8597000000000001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9"/>
        <v>0805-03</v>
      </c>
      <c r="AE165" s="85" t="str">
        <f t="shared" si="60"/>
        <v>aws s3 cp s3://rtdc.mdm.uploadarchive.raw/RTDC4002/ "%USERPROFILE%\AppData\Local\Temp\OnboardLogs"\RTDC4002\2017-03-03 --exclude "*" --recursive --include "*20170303*" &amp; "%USERPROFILE%\Documents\GitHub\mrs-test-scripts\Headless Mode &amp; Sideloading\WalkAndUnGZ.bat" "%USERPROFILE%\AppData\Local\Temp\OnboardLogs"\RTDC4002\2017-03-03 &amp; aws s3 cp s3://rtdc.mdm.uploadarchive.raw/RTDC4002/ "%USERPROFILE%\AppData\Local\Temp\OnboardLogs"\RTDC4002\2017-03-04 --exclude "*" --recursive --include "*20170304*" &amp; "%USERPROFILE%\Documents\GitHub\mrs-test-scripts\Headless Mode &amp; Sideloading\WalkAndUnGZ.bat" "%USERPROFILE%\AppData\Local\Temp\OnboardLogs"\RTDC4002\2017-03-04</v>
      </c>
      <c r="AF165" s="82" t="str">
        <f t="shared" si="61"/>
        <v>"C:\Program Files (x86)\AstroGrep\AstroGrep.exe" /spath="%USERPROFILE%\AppData\Local\Temp\OnboardLogs" /stypes="app*4002*20170303*" /stext=" 14:.+((SYSTEM_STATE.+slice.+state.+changed )|(ment ac)|(multiple cpu faults)|(system.+state.+changed )|(\[timeout)|(PRM\|1\|D)|(kpr)|(kdp)|(\|lc)|(penalty))" /e /r /s</v>
      </c>
      <c r="AG165" s="1" t="str">
        <f t="shared" si="62"/>
        <v>NW</v>
      </c>
      <c r="AH165" s="86" t="str">
        <f t="shared" si="64"/>
        <v>"%USERPROFILE%\Documents\GitHub\eaglep3\Utilities\RefineRTDCRunTimes.py" --tripid 805-03 --locoid 4002 --swversion DE.1.0.9.0 --startMP 204:417 --initTime 2017-03-03T06:28:54 --startdatetime 2017-03-03T06:51:17 --delay 1 --endMP 300:59014 --enddatetime 2017-03-03T07:04:48 --enforcementcount 0 &gt;&gt;C:\Users\stu\Documents\GitHub\eaglep3-reporting\EC\2017-03-03-refined-times.txt</v>
      </c>
      <c r="AI165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{"issue":{"subject":"","project_id":79,"tracker_id":40,"status_id":1,"priority_id":2,"assigned_to_id":23,"start_date":"2017-03-03","description":"","custom_fields":[{"id":1,"name":"Subdivision","value":"NW"},{"id":4,"name":"Milepost","value":"5.9014"},{"id":17,"name":"Train ID","value":"805-03"},{"id":16,"name":"Locomotive ID","value":"4002"},{"id":130,"name":"Impact","value":""},{"id":150,"name":"Time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6"/>
        <v>start /low /b %USERPROFILE%\Documents\GitHub\eaglep3\Utilities\DownloadLogsFromS3.py --loco 4002 --day 2017-03-03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"%USERPROFILE%\AppData\Local\Temp\OnboardLogs"\RTDC4002\*4002*20170303* | grep -SE "(Enforcement Action)|(\[TIMEOUT)|(CHR.+\|PRM\|1\|D.+(SWITCH|SIGNAL).+UNKNOWN)" - &gt;&gt; 2017-03-03-UncaughtWiMAX.txt</v>
      </c>
    </row>
    <row r="166" spans="1:91" s="20" customFormat="1" x14ac:dyDescent="0.25">
      <c r="A166" s="33" t="s">
        <v>650</v>
      </c>
      <c r="B166" s="7">
        <v>4001</v>
      </c>
      <c r="C166" s="21" t="s">
        <v>251</v>
      </c>
      <c r="D166" s="21" t="s">
        <v>919</v>
      </c>
      <c r="E166" s="13">
        <v>42797.296574074076</v>
      </c>
      <c r="F166" s="13">
        <v>42797.298194444447</v>
      </c>
      <c r="G166" s="7">
        <v>1</v>
      </c>
      <c r="H166" s="21" t="s">
        <v>324</v>
      </c>
      <c r="I166" s="13">
        <v>42797.308969907404</v>
      </c>
      <c r="J166" s="7">
        <v>0</v>
      </c>
      <c r="K166" s="98" t="str">
        <f t="shared" si="52"/>
        <v>4001/4002</v>
      </c>
      <c r="L166" s="21" t="str">
        <f>VLOOKUP(A166,'Trips&amp;Operators'!$C$1:$G$99999,5,FALSE)</f>
        <v>GEBRETEKLE DAGNEW</v>
      </c>
      <c r="M166" s="6">
        <f t="shared" si="53"/>
        <v>1.077546295709908E-2</v>
      </c>
      <c r="N166" s="7">
        <f t="shared" si="67"/>
        <v>15.516666658222675</v>
      </c>
      <c r="O166" s="7"/>
      <c r="P166" s="7"/>
      <c r="Q166" s="22"/>
      <c r="R166" s="22"/>
      <c r="S166" s="31">
        <f t="shared" si="63"/>
        <v>1</v>
      </c>
      <c r="T166" s="46" t="str">
        <f t="shared" si="54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5"/>
        <v>https://d0f6bd738d7f1b3e5a7ca70fe4ff75f0.us-east-1.aws.found.io/app/kibana#/discover/Steve-Slow-Train-Analysis-(2080s-and-2083s)?_g=(refreshInterval:(display:Off,pause:!f,section:0,value:0),time:(from:'2017-03-03T06:07:04-0700',mode:absolute,to:'2017-03-03T08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6" s="197" t="str">
        <f t="shared" si="56"/>
        <v>N</v>
      </c>
      <c r="X166" s="197">
        <f t="shared" si="68"/>
        <v>1</v>
      </c>
      <c r="Y166" s="62">
        <f t="shared" si="69"/>
        <v>5.8688000000000002</v>
      </c>
      <c r="Z166" s="62">
        <f t="shared" si="57"/>
        <v>6.8699999999999997E-2</v>
      </c>
      <c r="AA166" s="62">
        <f t="shared" si="58"/>
        <v>5.8001000000000005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9"/>
        <v>0806-03</v>
      </c>
      <c r="AE166" s="85" t="str">
        <f t="shared" si="60"/>
        <v>aws s3 cp s3://rtdc.mdm.uploadarchive.raw/RTDC4001/ "%USERPROFILE%\AppData\Local\Temp\OnboardLogs"\RTDC4001\2017-03-03 --exclude "*" --recursive --include "*20170303*" &amp; "%USERPROFILE%\Documents\GitHub\mrs-test-scripts\Headless Mode &amp; Sideloading\WalkAndUnGZ.bat" "%USERPROFILE%\AppData\Local\Temp\OnboardLogs"\RTDC4001\2017-03-03 &amp; aws s3 cp s3://rtdc.mdm.uploadarchive.raw/RTDC4001/ "%USERPROFILE%\AppData\Local\Temp\OnboardLogs"\RTDC4001\2017-03-04 --exclude "*" --recursive --include "*20170304*" &amp; "%USERPROFILE%\Documents\GitHub\mrs-test-scripts\Headless Mode &amp; Sideloading\WalkAndUnGZ.bat" "%USERPROFILE%\AppData\Local\Temp\OnboardLogs"\RTDC4001\2017-03-04</v>
      </c>
      <c r="AF166" s="82" t="str">
        <f t="shared" si="61"/>
        <v>"C:\Program Files (x86)\AstroGrep\AstroGrep.exe" /spath="%USERPROFILE%\AppData\Local\Temp\OnboardLogs" /stypes="app*4001*20170303*" /stext=" 14:.+((SYSTEM_STATE.+slice.+state.+changed )|(ment ac)|(multiple cpu faults)|(system.+state.+changed )|(\[timeout)|(PRM\|1\|D)|(kpr)|(kdp)|(\|lc)|(penalty))" /e /r /s</v>
      </c>
      <c r="AG166" s="1" t="str">
        <f t="shared" si="62"/>
        <v>NW</v>
      </c>
      <c r="AH166" s="86" t="str">
        <f t="shared" si="64"/>
        <v>"%USERPROFILE%\Documents\GitHub\eaglep3\Utilities\RefineRTDCRunTimes.py" --tripid 806-03 --locoid 4001 --swversion DE.1.0.9.0 --startMP 300:58688 --initTime 2017-03-03T07:07:04 --startdatetime 2017-03-03T07:09:24 --delay 1 --endMP 204:687 --enddatetime 2017-03-03T07:24:55 --enforcementcount 0 &gt;&gt;C:\Users\stu\Documents\GitHub\eaglep3-reporting\EC\2017-03-03-refined-times.txt</v>
      </c>
      <c r="AI166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{"issue":{"subject":"","project_id":79,"tracker_id":40,"status_id":1,"priority_id":2,"assigned_to_id":23,"start_date":"2017-03-03","description":"","custom_fields":[{"id":1,"name":"Subdivision","value":"NW"},{"id":4,"name":"Milepost","value":"0.0687"},{"id":17,"name":"Train ID","value":"806-03"},{"id":16,"name":"Locomotive ID","value":"4001"},{"id":130,"name":"Impact","value":""},{"id":150,"name":"Time of Event (Mountain Time)","value":"07:24:55"},{"id":151,"name":"Denver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6"/>
        <v>start /low /b %USERPROFILE%\Documents\GitHub\eaglep3\Utilities\DownloadLogsFromS3.py --loco 4001 --day 2017-03-03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"%USERPROFILE%\AppData\Local\Temp\OnboardLogs"\RTDC4001\*4001*20170303* | grep -SE "(Enforcement Action)|(\[TIMEOUT)|(CHR.+\|PRM\|1\|D.+(SWITCH|SIGNAL).+UNKNOWN)" - &gt;&gt; 2017-03-03-UncaughtWiMAX.txt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648</v>
      </c>
      <c r="B167" s="7">
        <v>4044</v>
      </c>
      <c r="C167" s="21" t="s">
        <v>251</v>
      </c>
      <c r="D167" s="21" t="s">
        <v>920</v>
      </c>
      <c r="E167" s="13">
        <v>42797.290381944447</v>
      </c>
      <c r="F167" s="13">
        <v>42797.30641203704</v>
      </c>
      <c r="G167" s="7">
        <v>0</v>
      </c>
      <c r="H167" s="21" t="s">
        <v>921</v>
      </c>
      <c r="I167" s="13">
        <v>42797.315821759257</v>
      </c>
      <c r="J167" s="7">
        <v>0</v>
      </c>
      <c r="K167" s="98" t="str">
        <f t="shared" si="52"/>
        <v>4043/4044</v>
      </c>
      <c r="L167" s="21" t="str">
        <f>VLOOKUP(A167,'Trips&amp;Operators'!$C$1:$G$99999,5,FALSE)</f>
        <v>SHOOK JOHN</v>
      </c>
      <c r="M167" s="6">
        <f t="shared" si="53"/>
        <v>9.4097222172422335E-3</v>
      </c>
      <c r="N167" s="7">
        <f t="shared" si="67"/>
        <v>13.549999992828816</v>
      </c>
      <c r="O167" s="7"/>
      <c r="P167" s="7"/>
      <c r="Q167" s="22"/>
      <c r="R167" s="22"/>
      <c r="S167" s="31">
        <f t="shared" si="63"/>
        <v>1</v>
      </c>
      <c r="T167" s="46" t="str">
        <f t="shared" si="54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5"/>
        <v>https://d0f6bd738d7f1b3e5a7ca70fe4ff75f0.us-east-1.aws.found.io/app/kibana#/discover/Steve-Slow-Train-Analysis-(2080s-and-2083s)?_g=(refreshInterval:(display:Off,pause:!f,section:0,value:0),time:(from:'2017-03-03T05:58:09-0700',mode:absolute,to:'2017-03-03T08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97" t="str">
        <f t="shared" si="56"/>
        <v>N</v>
      </c>
      <c r="X167" s="197">
        <f t="shared" si="68"/>
        <v>1</v>
      </c>
      <c r="Y167" s="62">
        <f t="shared" si="69"/>
        <v>0.1016</v>
      </c>
      <c r="Z167" s="62">
        <f t="shared" si="57"/>
        <v>5.8993000000000002</v>
      </c>
      <c r="AA167" s="62">
        <f t="shared" si="58"/>
        <v>5.7976999999999999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9"/>
        <v>0807-03</v>
      </c>
      <c r="AE167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67" s="82" t="str">
        <f t="shared" si="61"/>
        <v>"C:\Program Files (x86)\AstroGrep\AstroGrep.exe" /spath="%USERPROFILE%\AppData\Local\Temp\OnboardLogs" /stypes="app*4044*20170303*" /stext=" 14:.+((SYSTEM_STATE.+slice.+state.+changed )|(ment ac)|(multiple cpu faults)|(system.+state.+changed )|(\[timeout)|(PRM\|1\|D)|(kpr)|(kdp)|(\|lc)|(penalty))" /e /r /s</v>
      </c>
      <c r="AG167" s="1" t="str">
        <f t="shared" si="62"/>
        <v>NW</v>
      </c>
      <c r="AH167" s="86" t="str">
        <f t="shared" si="64"/>
        <v>"%USERPROFILE%\Documents\GitHub\eaglep3\Utilities\RefineRTDCRunTimes.py" --tripid 807-03 --locoid 4044 --swversion DE.1.0.9.0 --startMP 204:1016 --initTime 2017-03-03T06:58:09 --startdatetime 2017-03-03T07:21:14 --delay 0 --endMP 300:58993 --enddatetime 2017-03-03T07:34:47 --enforcementcount 0 &gt;&gt;C:\Users\stu\Documents\GitHub\eaglep3-reporting\EC\2017-03-03-refined-times.txt</v>
      </c>
      <c r="AI167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{"issue":{"subject":"","project_id":79,"tracker_id":40,"status_id":1,"priority_id":2,"assigned_to_id":23,"start_date":"2017-03-03","description":"","custom_fields":[{"id":1,"name":"Subdivision","value":"NW"},{"id":4,"name":"Milepost","value":"5.8993"},{"id":17,"name":"Train ID","value":"807-03"},{"id":16,"name":"Locomotive ID","value":"4044"},{"id":130,"name":"Impact","value":""},{"id":150,"name":"Time of Event (Mountain Time)","value":"07:34:47"},{"id":151,"name":"Denver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6"/>
        <v>start /low /b %USERPROFILE%\Documents\GitHub\eaglep3\Utilities\DownloadLogsFromS3.py --loco 4044 --day 2017-03-03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68" spans="1:91" s="20" customFormat="1" x14ac:dyDescent="0.25">
      <c r="A168" s="33" t="s">
        <v>653</v>
      </c>
      <c r="B168" s="7">
        <v>4043</v>
      </c>
      <c r="C168" s="21" t="s">
        <v>251</v>
      </c>
      <c r="D168" s="21" t="s">
        <v>555</v>
      </c>
      <c r="E168" s="13">
        <v>42797.317326388889</v>
      </c>
      <c r="F168" s="13">
        <v>42797.320023148146</v>
      </c>
      <c r="G168" s="7">
        <v>1</v>
      </c>
      <c r="H168" s="21" t="s">
        <v>922</v>
      </c>
      <c r="I168" s="13">
        <v>42797.334074074075</v>
      </c>
      <c r="J168" s="7">
        <v>0</v>
      </c>
      <c r="K168" s="98" t="str">
        <f t="shared" si="52"/>
        <v>4043/4044</v>
      </c>
      <c r="L168" s="21" t="str">
        <f>VLOOKUP(A168,'Trips&amp;Operators'!$C$1:$G$99999,5,FALSE)</f>
        <v>SHOOK JOHN</v>
      </c>
      <c r="M168" s="6">
        <f t="shared" si="53"/>
        <v>1.4050925929041114E-2</v>
      </c>
      <c r="N168" s="7">
        <f t="shared" si="67"/>
        <v>20.233333337819204</v>
      </c>
      <c r="O168" s="7"/>
      <c r="P168" s="7"/>
      <c r="Q168" s="22"/>
      <c r="R168" s="22"/>
      <c r="S168" s="31">
        <f t="shared" si="63"/>
        <v>1</v>
      </c>
      <c r="T168" s="46" t="str">
        <f t="shared" si="54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5"/>
        <v>https://d0f6bd738d7f1b3e5a7ca70fe4ff75f0.us-east-1.aws.found.io/app/kibana#/discover/Steve-Slow-Train-Analysis-(2080s-and-2083s)?_g=(refreshInterval:(display:Off,pause:!f,section:0,value:0),time:(from:'2017-03-03T06:36:57-0700',mode:absolute,to:'2017-03-03T09:01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97" t="str">
        <f t="shared" si="56"/>
        <v>N</v>
      </c>
      <c r="X168" s="197">
        <f t="shared" si="68"/>
        <v>1</v>
      </c>
      <c r="Y168" s="62">
        <f t="shared" si="69"/>
        <v>5.8681000000000001</v>
      </c>
      <c r="Z168" s="62">
        <f t="shared" si="57"/>
        <v>7.5700000000000003E-2</v>
      </c>
      <c r="AA168" s="62">
        <f t="shared" si="58"/>
        <v>5.7923999999999998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9"/>
        <v>0808-03</v>
      </c>
      <c r="AE168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68" s="82" t="str">
        <f t="shared" si="61"/>
        <v>"C:\Program Files (x86)\AstroGrep\AstroGrep.exe" /spath="%USERPROFILE%\AppData\Local\Temp\OnboardLogs" /stypes="app*4043*20170303*" /stext=" 15:.+((SYSTEM_STATE.+slice.+state.+changed )|(ment ac)|(multiple cpu faults)|(system.+state.+changed )|(\[timeout)|(PRM\|1\|D)|(kpr)|(kdp)|(\|lc)|(penalty))" /e /r /s</v>
      </c>
      <c r="AG168" s="1" t="str">
        <f t="shared" si="62"/>
        <v>NW</v>
      </c>
      <c r="AH168" s="86" t="str">
        <f t="shared" si="64"/>
        <v>"%USERPROFILE%\Documents\GitHub\eaglep3\Utilities\RefineRTDCRunTimes.py" --tripid 808-03 --locoid 4043 --swversion DE.1.0.9.0 --startMP 300:58681 --initTime 2017-03-03T07:36:57 --startdatetime 2017-03-03T07:40:50 --delay 1 --endMP 204:757 --enddatetime 2017-03-03T08:01:04 --enforcementcount 0 &gt;&gt;C:\Users\stu\Documents\GitHub\eaglep3-reporting\EC\2017-03-03-refined-times.txt</v>
      </c>
      <c r="AI168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{"issue":{"subject":"","project_id":79,"tracker_id":40,"status_id":1,"priority_id":2,"assigned_to_id":23,"start_date":"2017-03-03","description":"","custom_fields":[{"id":1,"name":"Subdivision","value":"NW"},{"id":4,"name":"Milepost","value":"0.0757"},{"id":17,"name":"Train ID","value":"808-03"},{"id":16,"name":"Locomotive ID","value":"4043"},{"id":130,"name":"Impact","value":""},{"id":150,"name":"Time of Event (Mountain Time)","value":"08:01:04"},{"id":151,"name":"Denver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6"/>
        <v>start /low /b %USERPROFILE%\Documents\GitHub\eaglep3\Utilities\DownloadLogsFromS3.py --loco 4043 --day 2017-03-03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580</v>
      </c>
      <c r="B169" s="7">
        <v>4002</v>
      </c>
      <c r="C169" s="21" t="s">
        <v>251</v>
      </c>
      <c r="D169" s="21" t="s">
        <v>557</v>
      </c>
      <c r="E169" s="13">
        <v>42797.310312499998</v>
      </c>
      <c r="F169" s="13">
        <v>42797.327245370368</v>
      </c>
      <c r="G169" s="7">
        <v>1</v>
      </c>
      <c r="H169" s="21" t="s">
        <v>544</v>
      </c>
      <c r="I169" s="13">
        <v>42797.336226851854</v>
      </c>
      <c r="J169" s="7">
        <v>0</v>
      </c>
      <c r="K169" s="98" t="str">
        <f t="shared" si="52"/>
        <v>4001/4002</v>
      </c>
      <c r="L169" s="21" t="str">
        <f>VLOOKUP(A169,'Trips&amp;Operators'!$C$1:$G$99999,5,FALSE)</f>
        <v>GEBRETEKLE DAGNEW</v>
      </c>
      <c r="M169" s="6">
        <f t="shared" si="53"/>
        <v>8.9814814855344594E-3</v>
      </c>
      <c r="N169" s="7">
        <f t="shared" si="67"/>
        <v>12.933333339169621</v>
      </c>
      <c r="O169" s="7"/>
      <c r="P169" s="7"/>
      <c r="Q169" s="22"/>
      <c r="R169" s="22"/>
      <c r="S169" s="31">
        <f t="shared" si="63"/>
        <v>1</v>
      </c>
      <c r="T169" s="46" t="str">
        <f t="shared" si="54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5"/>
        <v>https://d0f6bd738d7f1b3e5a7ca70fe4ff75f0.us-east-1.aws.found.io/app/kibana#/discover/Steve-Slow-Train-Analysis-(2080s-and-2083s)?_g=(refreshInterval:(display:Off,pause:!f,section:0,value:0),time:(from:'2017-03-03T06:26:51-0700',mode:absolute,to:'2017-03-03T09:04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197" t="str">
        <f t="shared" si="56"/>
        <v>N</v>
      </c>
      <c r="X169" s="197">
        <f t="shared" si="68"/>
        <v>1</v>
      </c>
      <c r="Y169" s="62">
        <f t="shared" si="69"/>
        <v>9.8599999999999993E-2</v>
      </c>
      <c r="Z169" s="62">
        <f t="shared" si="57"/>
        <v>5.899</v>
      </c>
      <c r="AA169" s="62">
        <f t="shared" si="58"/>
        <v>5.8003999999999998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9"/>
        <v>0809-03</v>
      </c>
      <c r="AE169" s="85" t="str">
        <f t="shared" si="60"/>
        <v>aws s3 cp s3://rtdc.mdm.uploadarchive.raw/RTDC4002/ "%USERPROFILE%\AppData\Local\Temp\OnboardLogs"\RTDC4002\2017-03-03 --exclude "*" --recursive --include "*20170303*" &amp; "%USERPROFILE%\Documents\GitHub\mrs-test-scripts\Headless Mode &amp; Sideloading\WalkAndUnGZ.bat" "%USERPROFILE%\AppData\Local\Temp\OnboardLogs"\RTDC4002\2017-03-03 &amp; aws s3 cp s3://rtdc.mdm.uploadarchive.raw/RTDC4002/ "%USERPROFILE%\AppData\Local\Temp\OnboardLogs"\RTDC4002\2017-03-04 --exclude "*" --recursive --include "*20170304*" &amp; "%USERPROFILE%\Documents\GitHub\mrs-test-scripts\Headless Mode &amp; Sideloading\WalkAndUnGZ.bat" "%USERPROFILE%\AppData\Local\Temp\OnboardLogs"\RTDC4002\2017-03-04</v>
      </c>
      <c r="AF169" s="82" t="str">
        <f t="shared" si="61"/>
        <v>"C:\Program Files (x86)\AstroGrep\AstroGrep.exe" /spath="%USERPROFILE%\AppData\Local\Temp\OnboardLogs" /stypes="app*4002*20170303*" /stext=" 15:.+((SYSTEM_STATE.+slice.+state.+changed )|(ment ac)|(multiple cpu faults)|(system.+state.+changed )|(\[timeout)|(PRM\|1\|D)|(kpr)|(kdp)|(\|lc)|(penalty))" /e /r /s</v>
      </c>
      <c r="AG169" s="1" t="str">
        <f t="shared" si="62"/>
        <v>NW</v>
      </c>
      <c r="AH169" s="86" t="str">
        <f t="shared" si="64"/>
        <v>"%USERPROFILE%\Documents\GitHub\eaglep3\Utilities\RefineRTDCRunTimes.py" --tripid 809-03 --locoid 4002 --swversion DE.1.0.9.0 --startMP 204:986 --initTime 2017-03-03T07:26:51 --startdatetime 2017-03-03T07:51:14 --delay 1 --endMP 300:58990 --enddatetime 2017-03-03T08:04:10 --enforcementcount 0 &gt;&gt;C:\Users\stu\Documents\GitHub\eaglep3-reporting\EC\2017-03-03-refined-times.txt</v>
      </c>
      <c r="AI169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{"issue":{"subject":"","project_id":79,"tracker_id":40,"status_id":1,"priority_id":2,"assigned_to_id":23,"start_date":"2017-03-03","description":"","custom_fields":[{"id":1,"name":"Subdivision","value":"NW"},{"id":4,"name":"Milepost","value":"5.899"},{"id":17,"name":"Train ID","value":"809-03"},{"id":16,"name":"Locomotive ID","value":"4002"},{"id":130,"name":"Impact","value":""},{"id":150,"name":"Time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6"/>
        <v>start /low /b %USERPROFILE%\Documents\GitHub\eaglep3\Utilities\DownloadLogsFromS3.py --loco 4002 --day 2017-03-03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"%USERPROFILE%\AppData\Local\Temp\OnboardLogs"\RTDC4002\*4002*20170303* | grep -SE "(Enforcement Action)|(\[TIMEOUT)|(CHR.+\|PRM\|1\|D.+(SWITCH|SIGNAL).+UNKNOWN)" - &gt;&gt; 2017-03-03-UncaughtWiMAX.txt</v>
      </c>
    </row>
    <row r="170" spans="1:91" x14ac:dyDescent="0.25">
      <c r="A170" s="33" t="s">
        <v>656</v>
      </c>
      <c r="B170" s="7">
        <v>4001</v>
      </c>
      <c r="C170" s="21" t="s">
        <v>251</v>
      </c>
      <c r="D170" s="21" t="s">
        <v>542</v>
      </c>
      <c r="E170" s="13">
        <v>42797.337569444448</v>
      </c>
      <c r="F170" s="13">
        <v>42797.338958333334</v>
      </c>
      <c r="G170" s="7">
        <v>0</v>
      </c>
      <c r="H170" s="21" t="s">
        <v>348</v>
      </c>
      <c r="I170" s="13">
        <v>42797.350868055553</v>
      </c>
      <c r="J170" s="7">
        <v>0</v>
      </c>
      <c r="K170" s="98" t="str">
        <f t="shared" si="52"/>
        <v>4001/4002</v>
      </c>
      <c r="L170" s="21" t="str">
        <f>VLOOKUP(A170,'Trips&amp;Operators'!$C$1:$G$99999,5,FALSE)</f>
        <v>GEBRETEKLE DAGNEW</v>
      </c>
      <c r="M170" s="6">
        <f t="shared" si="53"/>
        <v>1.190972221957054E-2</v>
      </c>
      <c r="N170" s="7">
        <f t="shared" si="67"/>
        <v>17.149999996181577</v>
      </c>
      <c r="O170" s="7"/>
      <c r="P170" s="7"/>
      <c r="Q170" s="22"/>
      <c r="R170" s="22"/>
      <c r="S170" s="31">
        <f t="shared" si="63"/>
        <v>1</v>
      </c>
      <c r="T170" s="46" t="str">
        <f t="shared" si="54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5"/>
        <v>https://d0f6bd738d7f1b3e5a7ca70fe4ff75f0.us-east-1.aws.found.io/app/kibana#/discover/Steve-Slow-Train-Analysis-(2080s-and-2083s)?_g=(refreshInterval:(display:Off,pause:!f,section:0,value:0),time:(from:'2017-03-03T07:06:06-0700',mode:absolute,to:'2017-03-03T09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197" t="str">
        <f t="shared" si="56"/>
        <v>N</v>
      </c>
      <c r="X170" s="197">
        <f t="shared" si="68"/>
        <v>1</v>
      </c>
      <c r="Y170" s="62">
        <f t="shared" si="69"/>
        <v>5.8674999999999997</v>
      </c>
      <c r="Z170" s="62">
        <f t="shared" si="57"/>
        <v>1.29E-2</v>
      </c>
      <c r="AA170" s="62">
        <f t="shared" si="58"/>
        <v>5.8545999999999996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9"/>
        <v>0810-03</v>
      </c>
      <c r="AE170" s="85" t="str">
        <f t="shared" si="60"/>
        <v>aws s3 cp s3://rtdc.mdm.uploadarchive.raw/RTDC4001/ "%USERPROFILE%\AppData\Local\Temp\OnboardLogs"\RTDC4001\2017-03-03 --exclude "*" --recursive --include "*20170303*" &amp; "%USERPROFILE%\Documents\GitHub\mrs-test-scripts\Headless Mode &amp; Sideloading\WalkAndUnGZ.bat" "%USERPROFILE%\AppData\Local\Temp\OnboardLogs"\RTDC4001\2017-03-03 &amp; aws s3 cp s3://rtdc.mdm.uploadarchive.raw/RTDC4001/ "%USERPROFILE%\AppData\Local\Temp\OnboardLogs"\RTDC4001\2017-03-04 --exclude "*" --recursive --include "*20170304*" &amp; "%USERPROFILE%\Documents\GitHub\mrs-test-scripts\Headless Mode &amp; Sideloading\WalkAndUnGZ.bat" "%USERPROFILE%\AppData\Local\Temp\OnboardLogs"\RTDC4001\2017-03-04</v>
      </c>
      <c r="AF170" s="82" t="str">
        <f t="shared" si="61"/>
        <v>"C:\Program Files (x86)\AstroGrep\AstroGrep.exe" /spath="%USERPROFILE%\AppData\Local\Temp\OnboardLogs" /stypes="app*4001*20170303*" /stext=" 15:.+((SYSTEM_STATE.+slice.+state.+changed )|(ment ac)|(multiple cpu faults)|(system.+state.+changed )|(\[timeout)|(PRM\|1\|D)|(kpr)|(kdp)|(\|lc)|(penalty))" /e /r /s</v>
      </c>
      <c r="AG170" s="1" t="str">
        <f t="shared" si="62"/>
        <v>NW</v>
      </c>
      <c r="AH170" s="86" t="str">
        <f t="shared" si="64"/>
        <v>"%USERPROFILE%\Documents\GitHub\eaglep3\Utilities\RefineRTDCRunTimes.py" --tripid 810-03 --locoid 4001 --swversion DE.1.0.9.0 --startMP 300:58675 --initTime 2017-03-03T08:06:06 --startdatetime 2017-03-03T08:08:06 --delay 0 --endMP 204:129 --enddatetime 2017-03-03T08:25:15 --enforcementcount 0 &gt;&gt;C:\Users\stu\Documents\GitHub\eaglep3-reporting\EC\2017-03-03-refined-times.txt</v>
      </c>
      <c r="AI170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{"issue":{"subject":"","project_id":79,"tracker_id":40,"status_id":1,"priority_id":2,"assigned_to_id":23,"start_date":"2017-03-03","description":"","custom_fields":[{"id":1,"name":"Subdivision","value":"NW"},{"id":4,"name":"Milepost","value":"0.0129"},{"id":17,"name":"Train ID","value":"810-03"},{"id":16,"name":"Locomotive ID","value":"4001"},{"id":130,"name":"Impact","value":""},{"id":150,"name":"Time of Event (Mountain Time)","value":"08:25:15"},{"id":151,"name":"Denver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6"/>
        <v>start /low /b %USERPROFILE%\Documents\GitHub\eaglep3\Utilities\DownloadLogsFromS3.py --loco 4001 --day 2017-03-03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"%USERPROFILE%\AppData\Local\Temp\OnboardLogs"\RTDC4001\*4001*20170303* | grep -SE "(Enforcement Action)|(\[TIMEOUT)|(CHR.+\|PRM\|1\|D.+(SWITCH|SIGNAL).+UNKNOWN)" - &gt;&gt; 2017-03-03-UncaughtWiMAX.txt</v>
      </c>
    </row>
    <row r="171" spans="1:91" x14ac:dyDescent="0.25">
      <c r="A171" s="33" t="s">
        <v>655</v>
      </c>
      <c r="B171" s="7">
        <v>4044</v>
      </c>
      <c r="C171" s="21" t="s">
        <v>251</v>
      </c>
      <c r="D171" s="21" t="s">
        <v>927</v>
      </c>
      <c r="E171" s="13">
        <v>42797.335914351854</v>
      </c>
      <c r="F171" s="13">
        <v>42797.348090277781</v>
      </c>
      <c r="G171" s="7">
        <v>1</v>
      </c>
      <c r="H171" s="21" t="s">
        <v>544</v>
      </c>
      <c r="I171" s="13">
        <v>42797.357627314814</v>
      </c>
      <c r="J171" s="7">
        <v>0</v>
      </c>
      <c r="K171" s="98" t="str">
        <f t="shared" si="52"/>
        <v>4043/4044</v>
      </c>
      <c r="L171" s="21" t="str">
        <f>VLOOKUP(A171,'Trips&amp;Operators'!$C$1:$G$99999,5,FALSE)</f>
        <v>SHOOK JOHN</v>
      </c>
      <c r="M171" s="6">
        <f t="shared" si="53"/>
        <v>9.5370370327145793E-3</v>
      </c>
      <c r="N171" s="7">
        <f t="shared" si="67"/>
        <v>13.733333327108994</v>
      </c>
      <c r="O171" s="7"/>
      <c r="P171" s="7"/>
      <c r="Q171" s="22"/>
      <c r="R171" s="22"/>
      <c r="S171" s="31">
        <f t="shared" si="63"/>
        <v>1</v>
      </c>
      <c r="T171" s="46" t="str">
        <f t="shared" si="54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5"/>
        <v>https://d0f6bd738d7f1b3e5a7ca70fe4ff75f0.us-east-1.aws.found.io/app/kibana#/discover/Steve-Slow-Train-Analysis-(2080s-and-2083s)?_g=(refreshInterval:(display:Off,pause:!f,section:0,value:0),time:(from:'2017-03-03T07:03:43-0700',mode:absolute,to:'2017-03-03T09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97" t="str">
        <f t="shared" si="56"/>
        <v>N</v>
      </c>
      <c r="X171" s="197">
        <f t="shared" si="68"/>
        <v>1</v>
      </c>
      <c r="Y171" s="62">
        <f t="shared" si="69"/>
        <v>0.1023</v>
      </c>
      <c r="Z171" s="62">
        <f t="shared" si="57"/>
        <v>5.899</v>
      </c>
      <c r="AA171" s="62">
        <f t="shared" si="58"/>
        <v>5.7967000000000004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9"/>
        <v>0811-03</v>
      </c>
      <c r="AE171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71" s="82" t="str">
        <f t="shared" si="61"/>
        <v>"C:\Program Files (x86)\AstroGrep\AstroGrep.exe" /spath="%USERPROFILE%\AppData\Local\Temp\OnboardLogs" /stypes="app*4044*20170303*" /stext=" 15:.+((SYSTEM_STATE.+slice.+state.+changed )|(ment ac)|(multiple cpu faults)|(system.+state.+changed )|(\[timeout)|(PRM\|1\|D)|(kpr)|(kdp)|(\|lc)|(penalty))" /e /r /s</v>
      </c>
      <c r="AG171" s="1" t="str">
        <f t="shared" si="62"/>
        <v>NW</v>
      </c>
      <c r="AH171" s="86" t="str">
        <f t="shared" si="64"/>
        <v>"%USERPROFILE%\Documents\GitHub\eaglep3\Utilities\RefineRTDCRunTimes.py" --tripid 811-03 --locoid 4044 --swversion DE.1.0.9.0 --startMP 204:1023 --initTime 2017-03-03T08:03:43 --startdatetime 2017-03-03T08:21:15 --delay 1 --endMP 300:58990 --enddatetime 2017-03-03T08:34:59 --enforcementcount 0 &gt;&gt;C:\Users\stu\Documents\GitHub\eaglep3-reporting\EC\2017-03-03-refined-times.txt</v>
      </c>
      <c r="AI171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{"issue":{"subject":"","project_id":79,"tracker_id":40,"status_id":1,"priority_id":2,"assigned_to_id":23,"start_date":"2017-03-03","description":"","custom_fields":[{"id":1,"name":"Subdivision","value":"NW"},{"id":4,"name":"Milepost","value":"5.899"},{"id":17,"name":"Train ID","value":"811-03"},{"id":16,"name":"Locomotive ID","value":"4044"},{"id":130,"name":"Impact","value":""},{"id":150,"name":"Time of Event (Mountain Time)","value":"08:34:59"},{"id":151,"name":"Denver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6"/>
        <v>start /low /b %USERPROFILE%\Documents\GitHub\eaglep3\Utilities\DownloadLogsFromS3.py --loco 4044 --day 2017-03-03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72" spans="1:91" s="20" customFormat="1" x14ac:dyDescent="0.25">
      <c r="A172" s="33" t="s">
        <v>662</v>
      </c>
      <c r="B172" s="7">
        <v>4043</v>
      </c>
      <c r="C172" s="21" t="s">
        <v>251</v>
      </c>
      <c r="D172" s="21" t="s">
        <v>928</v>
      </c>
      <c r="E172" s="13">
        <v>42797.359155092592</v>
      </c>
      <c r="F172" s="13">
        <v>42797.361689814818</v>
      </c>
      <c r="G172" s="7">
        <v>1</v>
      </c>
      <c r="H172" s="21" t="s">
        <v>916</v>
      </c>
      <c r="I172" s="13">
        <v>42797.372083333335</v>
      </c>
      <c r="J172" s="7">
        <v>0</v>
      </c>
      <c r="K172" s="98" t="str">
        <f t="shared" si="52"/>
        <v>4043/4044</v>
      </c>
      <c r="L172" s="21" t="str">
        <f>VLOOKUP(A172,'Trips&amp;Operators'!$C$1:$G$99999,5,FALSE)</f>
        <v>SHOOK JOHN</v>
      </c>
      <c r="M172" s="6">
        <f t="shared" si="53"/>
        <v>1.0393518517958E-2</v>
      </c>
      <c r="N172" s="7">
        <f t="shared" si="67"/>
        <v>14.96666666585952</v>
      </c>
      <c r="O172" s="7"/>
      <c r="P172" s="7"/>
      <c r="Q172" s="22"/>
      <c r="R172" s="22"/>
      <c r="S172" s="31">
        <f t="shared" si="63"/>
        <v>1</v>
      </c>
      <c r="T172" s="46" t="str">
        <f t="shared" si="54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5"/>
        <v>https://d0f6bd738d7f1b3e5a7ca70fe4ff75f0.us-east-1.aws.found.io/app/kibana#/discover/Steve-Slow-Train-Analysis-(2080s-and-2083s)?_g=(refreshInterval:(display:Off,pause:!f,section:0,value:0),time:(from:'2017-03-03T07:37:11-0700',mode:absolute,to:'2017-03-03T09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197" t="str">
        <f t="shared" si="56"/>
        <v>N</v>
      </c>
      <c r="X172" s="197">
        <f t="shared" si="68"/>
        <v>1</v>
      </c>
      <c r="Y172" s="62">
        <f t="shared" si="69"/>
        <v>5.8677000000000001</v>
      </c>
      <c r="Z172" s="62">
        <f t="shared" si="57"/>
        <v>7.2900000000000006E-2</v>
      </c>
      <c r="AA172" s="62">
        <f t="shared" si="58"/>
        <v>5.7948000000000004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9"/>
        <v>0812-03</v>
      </c>
      <c r="AE172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72" s="82" t="str">
        <f t="shared" si="61"/>
        <v>"C:\Program Files (x86)\AstroGrep\AstroGrep.exe" /spath="%USERPROFILE%\AppData\Local\Temp\OnboardLogs" /stypes="app*4043*20170303*" /stext=" 15:.+((SYSTEM_STATE.+slice.+state.+changed )|(ment ac)|(multiple cpu faults)|(system.+state.+changed )|(\[timeout)|(PRM\|1\|D)|(kpr)|(kdp)|(\|lc)|(penalty))" /e /r /s</v>
      </c>
      <c r="AG172" s="1" t="str">
        <f t="shared" si="62"/>
        <v>NW</v>
      </c>
      <c r="AH172" s="86" t="str">
        <f t="shared" si="64"/>
        <v>"%USERPROFILE%\Documents\GitHub\eaglep3\Utilities\RefineRTDCRunTimes.py" --tripid 812-03 --locoid 4043 --swversion DE.1.0.9.0 --startMP 300:58677 --initTime 2017-03-03T08:37:11 --startdatetime 2017-03-03T08:40:50 --delay 1 --endMP 204:729 --enddatetime 2017-03-03T08:55:48 --enforcementcount 0 &gt;&gt;C:\Users\stu\Documents\GitHub\eaglep3-reporting\EC\2017-03-03-refined-times.txt</v>
      </c>
      <c r="AI172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{"issue":{"subject":"","project_id":79,"tracker_id":40,"status_id":1,"priority_id":2,"assigned_to_id":23,"start_date":"2017-03-03","description":"","custom_fields":[{"id":1,"name":"Subdivision","value":"NW"},{"id":4,"name":"Milepost","value":"0.0729"},{"id":17,"name":"Train ID","value":"812-03"},{"id":16,"name":"Locomotive ID","value":"4043"},{"id":130,"name":"Impact","value":""},{"id":150,"name":"Time of Event (Mountain Time)","value":"08:55:48"},{"id":151,"name":"Denver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6"/>
        <v>start /low /b %USERPROFILE%\Documents\GitHub\eaglep3\Utilities\DownloadLogsFromS3.py --loco 4043 --day 2017-03-03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664</v>
      </c>
      <c r="B173" s="7">
        <v>4044</v>
      </c>
      <c r="C173" s="21" t="s">
        <v>251</v>
      </c>
      <c r="D173" s="21" t="s">
        <v>920</v>
      </c>
      <c r="E173" s="13">
        <v>42797.373738425929</v>
      </c>
      <c r="F173" s="13">
        <v>42797.389756944445</v>
      </c>
      <c r="G173" s="7">
        <v>1</v>
      </c>
      <c r="H173" s="21" t="s">
        <v>929</v>
      </c>
      <c r="I173" s="13">
        <v>42797.399317129632</v>
      </c>
      <c r="J173" s="7">
        <v>0</v>
      </c>
      <c r="K173" s="98" t="str">
        <f t="shared" si="52"/>
        <v>4043/4044</v>
      </c>
      <c r="L173" s="21" t="str">
        <f>VLOOKUP(A173,'Trips&amp;Operators'!$C$1:$G$99999,5,FALSE)</f>
        <v>SHOOK JOHN</v>
      </c>
      <c r="M173" s="6">
        <f t="shared" si="53"/>
        <v>9.560185186273884E-3</v>
      </c>
      <c r="N173" s="7">
        <f t="shared" si="67"/>
        <v>13.766666668234393</v>
      </c>
      <c r="O173" s="7"/>
      <c r="P173" s="7"/>
      <c r="Q173" s="22"/>
      <c r="R173" s="22"/>
      <c r="S173" s="31">
        <f t="shared" si="63"/>
        <v>1</v>
      </c>
      <c r="T173" s="46" t="str">
        <f t="shared" si="54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5"/>
        <v>https://d0f6bd738d7f1b3e5a7ca70fe4ff75f0.us-east-1.aws.found.io/app/kibana#/discover/Steve-Slow-Train-Analysis-(2080s-and-2083s)?_g=(refreshInterval:(display:Off,pause:!f,section:0,value:0),time:(from:'2017-03-03T07:58:11-0700',mode:absolute,to:'2017-03-03T10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197" t="str">
        <f t="shared" si="56"/>
        <v>N</v>
      </c>
      <c r="X173" s="197">
        <f t="shared" si="68"/>
        <v>1</v>
      </c>
      <c r="Y173" s="62">
        <f t="shared" si="69"/>
        <v>0.1016</v>
      </c>
      <c r="Z173" s="62">
        <f t="shared" si="57"/>
        <v>5.8994999999999997</v>
      </c>
      <c r="AA173" s="62">
        <f t="shared" si="58"/>
        <v>5.7978999999999994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9"/>
        <v>0813-03</v>
      </c>
      <c r="AE173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73" s="82" t="str">
        <f t="shared" si="61"/>
        <v>"C:\Program Files (x86)\AstroGrep\AstroGrep.exe" /spath="%USERPROFILE%\AppData\Local\Temp\OnboardLogs" /stypes="app*4044*20170303*" /stext=" 16:.+((SYSTEM_STATE.+slice.+state.+changed )|(ment ac)|(multiple cpu faults)|(system.+state.+changed )|(\[timeout)|(PRM\|1\|D)|(kpr)|(kdp)|(\|lc)|(penalty))" /e /r /s</v>
      </c>
      <c r="AG173" s="1" t="str">
        <f t="shared" si="62"/>
        <v>NW</v>
      </c>
      <c r="AH173" s="86" t="str">
        <f t="shared" si="64"/>
        <v>"%USERPROFILE%\Documents\GitHub\eaglep3\Utilities\RefineRTDCRunTimes.py" --tripid 813-03 --locoid 4044 --swversion DE.1.0.9.0 --startMP 204:1016 --initTime 2017-03-03T08:58:11 --startdatetime 2017-03-03T09:21:15 --delay 1 --endMP 300:58995 --enddatetime 2017-03-03T09:35:01 --enforcementcount 0 &gt;&gt;C:\Users\stu\Documents\GitHub\eaglep3-reporting\EC\2017-03-03-refined-times.txt</v>
      </c>
      <c r="AI173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{"issue":{"subject":"","project_id":79,"tracker_id":40,"status_id":1,"priority_id":2,"assigned_to_id":23,"start_date":"2017-03-03","description":"","custom_fields":[{"id":1,"name":"Subdivision","value":"NW"},{"id":4,"name":"Milepost","value":"5.8995"},{"id":17,"name":"Train ID","value":"813-03"},{"id":16,"name":"Locomotive ID","value":"4044"},{"id":130,"name":"Impact","value":""},{"id":150,"name":"Time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6"/>
        <v>start /low /b %USERPROFILE%\Documents\GitHub\eaglep3\Utilities\DownloadLogsFromS3.py --loco 4044 --day 2017-03-03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74" spans="1:91" s="20" customFormat="1" x14ac:dyDescent="0.25">
      <c r="A174" s="33" t="s">
        <v>670</v>
      </c>
      <c r="B174" s="7">
        <v>4043</v>
      </c>
      <c r="C174" s="21" t="s">
        <v>251</v>
      </c>
      <c r="D174" s="21" t="s">
        <v>930</v>
      </c>
      <c r="E174" s="13">
        <v>42797.400868055556</v>
      </c>
      <c r="F174" s="13">
        <v>42797.403356481482</v>
      </c>
      <c r="G174" s="7">
        <v>1</v>
      </c>
      <c r="H174" s="21" t="s">
        <v>931</v>
      </c>
      <c r="I174" s="13">
        <v>42797.413171296299</v>
      </c>
      <c r="J174" s="7">
        <v>0</v>
      </c>
      <c r="K174" s="98" t="str">
        <f t="shared" si="52"/>
        <v>4043/4044</v>
      </c>
      <c r="L174" s="21" t="str">
        <f>VLOOKUP(A174,'Trips&amp;Operators'!$C$1:$G$99999,5,FALSE)</f>
        <v>SHOOK JOHN</v>
      </c>
      <c r="M174" s="6">
        <f t="shared" si="53"/>
        <v>9.8148148172185756E-3</v>
      </c>
      <c r="N174" s="7">
        <f t="shared" si="67"/>
        <v>14.133333336794749</v>
      </c>
      <c r="O174" s="7"/>
      <c r="P174" s="7"/>
      <c r="Q174" s="22"/>
      <c r="R174" s="22"/>
      <c r="S174" s="31">
        <f t="shared" si="63"/>
        <v>1</v>
      </c>
      <c r="T174" s="46" t="str">
        <f t="shared" si="54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5"/>
        <v>https://d0f6bd738d7f1b3e5a7ca70fe4ff75f0.us-east-1.aws.found.io/app/kibana#/discover/Steve-Slow-Train-Analysis-(2080s-and-2083s)?_g=(refreshInterval:(display:Off,pause:!f,section:0,value:0),time:(from:'2017-03-03T08:37:15-0700',mode:absolute,to:'2017-03-03T10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197" t="str">
        <f t="shared" si="56"/>
        <v>N</v>
      </c>
      <c r="X174" s="197">
        <f t="shared" si="68"/>
        <v>1</v>
      </c>
      <c r="Y174" s="62">
        <f t="shared" si="69"/>
        <v>5.8682999999999996</v>
      </c>
      <c r="Z174" s="62">
        <f t="shared" si="57"/>
        <v>7.3999999999999996E-2</v>
      </c>
      <c r="AA174" s="62">
        <f t="shared" si="58"/>
        <v>5.7942999999999998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9"/>
        <v>0814-03</v>
      </c>
      <c r="AE174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74" s="82" t="str">
        <f t="shared" si="61"/>
        <v>"C:\Program Files (x86)\AstroGrep\AstroGrep.exe" /spath="%USERPROFILE%\AppData\Local\Temp\OnboardLogs" /stypes="app*4043*20170303*" /stext=" 16:.+((SYSTEM_STATE.+slice.+state.+changed )|(ment ac)|(multiple cpu faults)|(system.+state.+changed )|(\[timeout)|(PRM\|1\|D)|(kpr)|(kdp)|(\|lc)|(penalty))" /e /r /s</v>
      </c>
      <c r="AG174" s="1" t="str">
        <f t="shared" si="62"/>
        <v>NW</v>
      </c>
      <c r="AH174" s="86" t="str">
        <f t="shared" si="64"/>
        <v>"%USERPROFILE%\Documents\GitHub\eaglep3\Utilities\RefineRTDCRunTimes.py" --tripid 814-03 --locoid 4043 --swversion DE.1.0.9.0 --startMP 300:58683 --initTime 2017-03-03T09:37:15 --startdatetime 2017-03-03T09:40:50 --delay 1 --endMP 204:740 --enddatetime 2017-03-03T09:54:58 --enforcementcount 0 &gt;&gt;C:\Users\stu\Documents\GitHub\eaglep3-reporting\EC\2017-03-03-refined-times.txt</v>
      </c>
      <c r="AI174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{"issue":{"subject":"","project_id":79,"tracker_id":40,"status_id":1,"priority_id":2,"assigned_to_id":23,"start_date":"2017-03-03","description":"","custom_fields":[{"id":1,"name":"Subdivision","value":"NW"},{"id":4,"name":"Milepost","value":"0.074"},{"id":17,"name":"Train ID","value":"814-03"},{"id":16,"name":"Locomotive ID","value":"4043"},{"id":130,"name":"Impact","value":""},{"id":150,"name":"Time of Event (Mountain Time)","value":"09:54:58"},{"id":151,"name":"Denver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6"/>
        <v>start /low /b %USERPROFILE%\Documents\GitHub\eaglep3\Utilities\DownloadLogsFromS3.py --loco 4043 --day 2017-03-03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674</v>
      </c>
      <c r="B175" s="7">
        <v>4044</v>
      </c>
      <c r="C175" s="21" t="s">
        <v>251</v>
      </c>
      <c r="D175" s="21" t="s">
        <v>932</v>
      </c>
      <c r="E175" s="13">
        <v>42797.415196759262</v>
      </c>
      <c r="F175" s="13">
        <v>42797.431423611109</v>
      </c>
      <c r="G175" s="7">
        <v>1</v>
      </c>
      <c r="H175" s="21" t="s">
        <v>546</v>
      </c>
      <c r="I175" s="13">
        <v>42797.440960648149</v>
      </c>
      <c r="J175" s="7">
        <v>0</v>
      </c>
      <c r="K175" s="98" t="str">
        <f t="shared" si="52"/>
        <v>4043/4044</v>
      </c>
      <c r="L175" s="21" t="str">
        <f>VLOOKUP(A175,'Trips&amp;Operators'!$C$1:$G$99999,5,FALSE)</f>
        <v>SHOOK JOHN</v>
      </c>
      <c r="M175" s="6">
        <f t="shared" si="53"/>
        <v>9.5370370399905369E-3</v>
      </c>
      <c r="N175" s="7">
        <f t="shared" si="67"/>
        <v>13.733333337586373</v>
      </c>
      <c r="O175" s="7"/>
      <c r="P175" s="7"/>
      <c r="Q175" s="22"/>
      <c r="R175" s="22"/>
      <c r="S175" s="31">
        <f t="shared" si="63"/>
        <v>1</v>
      </c>
      <c r="T175" s="46" t="str">
        <f t="shared" si="54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5"/>
        <v>https://d0f6bd738d7f1b3e5a7ca70fe4ff75f0.us-east-1.aws.found.io/app/kibana#/discover/Steve-Slow-Train-Analysis-(2080s-and-2083s)?_g=(refreshInterval:(display:Off,pause:!f,section:0,value:0),time:(from:'2017-03-03T08:57:53-0700',mode:absolute,to:'2017-03-03T11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197" t="str">
        <f t="shared" si="56"/>
        <v>N</v>
      </c>
      <c r="X175" s="197">
        <f t="shared" si="68"/>
        <v>1</v>
      </c>
      <c r="Y175" s="62">
        <f t="shared" si="69"/>
        <v>0.1027</v>
      </c>
      <c r="Z175" s="62">
        <f t="shared" si="57"/>
        <v>5.8992000000000004</v>
      </c>
      <c r="AA175" s="62">
        <f t="shared" si="58"/>
        <v>5.7965000000000009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9"/>
        <v>0815-03</v>
      </c>
      <c r="AE175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75" s="82" t="str">
        <f t="shared" si="61"/>
        <v>"C:\Program Files (x86)\AstroGrep\AstroGrep.exe" /spath="%USERPROFILE%\AppData\Local\Temp\OnboardLogs" /stypes="app*4044*20170303*" /stext=" 17:.+((SYSTEM_STATE.+slice.+state.+changed )|(ment ac)|(multiple cpu faults)|(system.+state.+changed )|(\[timeout)|(PRM\|1\|D)|(kpr)|(kdp)|(\|lc)|(penalty))" /e /r /s</v>
      </c>
      <c r="AG175" s="1" t="str">
        <f t="shared" si="62"/>
        <v>NW</v>
      </c>
      <c r="AH175" s="86" t="str">
        <f t="shared" si="64"/>
        <v>"%USERPROFILE%\Documents\GitHub\eaglep3\Utilities\RefineRTDCRunTimes.py" --tripid 815-03 --locoid 4044 --swversion DE.1.0.9.0 --startMP 204:1027 --initTime 2017-03-03T09:57:53 --startdatetime 2017-03-03T10:21:15 --delay 1 --endMP 300:58992 --enddatetime 2017-03-03T10:34:59 --enforcementcount 0 &gt;&gt;C:\Users\stu\Documents\GitHub\eaglep3-reporting\EC\2017-03-03-refined-times.txt</v>
      </c>
      <c r="AI175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{"issue":{"subject":"","project_id":79,"tracker_id":40,"status_id":1,"priority_id":2,"assigned_to_id":23,"start_date":"2017-03-03","description":"","custom_fields":[{"id":1,"name":"Subdivision","value":"NW"},{"id":4,"name":"Milepost","value":"5.8992"},{"id":17,"name":"Train ID","value":"815-03"},{"id":16,"name":"Locomotive ID","value":"4044"},{"id":130,"name":"Impact","value":""},{"id":150,"name":"Time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6"/>
        <v>start /low /b %USERPROFILE%\Documents\GitHub\eaglep3\Utilities\DownloadLogsFromS3.py --loco 4044 --day 2017-03-03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76" spans="1:91" x14ac:dyDescent="0.25">
      <c r="A176" s="33" t="s">
        <v>679</v>
      </c>
      <c r="B176" s="7">
        <v>4043</v>
      </c>
      <c r="C176" s="21" t="s">
        <v>251</v>
      </c>
      <c r="D176" s="21" t="s">
        <v>545</v>
      </c>
      <c r="E176" s="13">
        <v>42797.443043981482</v>
      </c>
      <c r="F176" s="13">
        <v>42797.4450462963</v>
      </c>
      <c r="G176" s="7">
        <v>1</v>
      </c>
      <c r="H176" s="21" t="s">
        <v>933</v>
      </c>
      <c r="I176" s="13">
        <v>42797.454826388886</v>
      </c>
      <c r="J176" s="7">
        <v>0</v>
      </c>
      <c r="K176" s="98" t="str">
        <f t="shared" si="52"/>
        <v>4043/4044</v>
      </c>
      <c r="L176" s="21" t="str">
        <f>VLOOKUP(A176,'Trips&amp;Operators'!$C$1:$G$99999,5,FALSE)</f>
        <v>SHOOK JOHN</v>
      </c>
      <c r="M176" s="6">
        <f t="shared" si="53"/>
        <v>9.7800925868796185E-3</v>
      </c>
      <c r="N176" s="7">
        <f t="shared" si="67"/>
        <v>14.083333325106651</v>
      </c>
      <c r="O176" s="7"/>
      <c r="P176" s="7"/>
      <c r="Q176" s="22"/>
      <c r="R176" s="22"/>
      <c r="S176" s="31">
        <f t="shared" si="63"/>
        <v>1</v>
      </c>
      <c r="T176" s="46" t="str">
        <f t="shared" si="54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5"/>
        <v>https://d0f6bd738d7f1b3e5a7ca70fe4ff75f0.us-east-1.aws.found.io/app/kibana#/discover/Steve-Slow-Train-Analysis-(2080s-and-2083s)?_g=(refreshInterval:(display:Off,pause:!f,section:0,value:0),time:(from:'2017-03-03T09:37:59-0700',mode:absolute,to:'2017-03-03T11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197" t="str">
        <f t="shared" si="56"/>
        <v>N</v>
      </c>
      <c r="X176" s="197">
        <f t="shared" si="68"/>
        <v>1</v>
      </c>
      <c r="Y176" s="62">
        <f t="shared" si="69"/>
        <v>5.8673000000000002</v>
      </c>
      <c r="Z176" s="62">
        <f t="shared" si="57"/>
        <v>7.4700000000000003E-2</v>
      </c>
      <c r="AA176" s="62">
        <f t="shared" si="58"/>
        <v>5.7926000000000002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9"/>
        <v>0816-03</v>
      </c>
      <c r="AE176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76" s="82" t="str">
        <f t="shared" si="61"/>
        <v>"C:\Program Files (x86)\AstroGrep\AstroGrep.exe" /spath="%USERPROFILE%\AppData\Local\Temp\OnboardLogs" /stypes="app*4043*20170303*" /stext=" 17:.+((SYSTEM_STATE.+slice.+state.+changed )|(ment ac)|(multiple cpu faults)|(system.+state.+changed )|(\[timeout)|(PRM\|1\|D)|(kpr)|(kdp)|(\|lc)|(penalty))" /e /r /s</v>
      </c>
      <c r="AG176" s="1" t="str">
        <f t="shared" si="62"/>
        <v>NW</v>
      </c>
      <c r="AH176" s="86" t="str">
        <f t="shared" si="64"/>
        <v>"%USERPROFILE%\Documents\GitHub\eaglep3\Utilities\RefineRTDCRunTimes.py" --tripid 816-03 --locoid 4043 --swversion DE.1.0.9.0 --startMP 300:58673 --initTime 2017-03-03T10:37:59 --startdatetime 2017-03-03T10:40:52 --delay 1 --endMP 204:747 --enddatetime 2017-03-03T10:54:57 --enforcementcount 0 &gt;&gt;C:\Users\stu\Documents\GitHub\eaglep3-reporting\EC\2017-03-03-refined-times.txt</v>
      </c>
      <c r="AI176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{"issue":{"subject":"","project_id":79,"tracker_id":40,"status_id":1,"priority_id":2,"assigned_to_id":23,"start_date":"2017-03-03","description":"","custom_fields":[{"id":1,"name":"Subdivision","value":"NW"},{"id":4,"name":"Milepost","value":"0.0747"},{"id":17,"name":"Train ID","value":"816-03"},{"id":16,"name":"Locomotive ID","value":"4043"},{"id":130,"name":"Impact","value":""},{"id":150,"name":"Time of Event (Mountain Time)","value":"10:54:57"},{"id":151,"name":"Denver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6"/>
        <v>start /low /b %USERPROFILE%\Documents\GitHub\eaglep3\Utilities\DownloadLogsFromS3.py --loco 4043 --day 2017-03-03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</row>
    <row r="177" spans="1:40" x14ac:dyDescent="0.25">
      <c r="A177" s="33" t="s">
        <v>682</v>
      </c>
      <c r="B177" s="7">
        <v>4044</v>
      </c>
      <c r="C177" s="21" t="s">
        <v>251</v>
      </c>
      <c r="D177" s="21" t="s">
        <v>932</v>
      </c>
      <c r="E177" s="13">
        <v>42797.456759259258</v>
      </c>
      <c r="F177" s="13">
        <v>42797.473113425927</v>
      </c>
      <c r="G177" s="7">
        <v>1</v>
      </c>
      <c r="H177" s="21" t="s">
        <v>549</v>
      </c>
      <c r="I177" s="13">
        <v>42797.48300925926</v>
      </c>
      <c r="J177" s="7">
        <v>0</v>
      </c>
      <c r="K177" s="98" t="str">
        <f t="shared" si="52"/>
        <v>4043/4044</v>
      </c>
      <c r="L177" s="21" t="str">
        <f>VLOOKUP(A177,'Trips&amp;Operators'!$C$1:$G$99999,5,FALSE)</f>
        <v>SHOOK JOHN</v>
      </c>
      <c r="M177" s="6">
        <f t="shared" si="53"/>
        <v>9.8958333328482695E-3</v>
      </c>
      <c r="N177" s="7">
        <f t="shared" si="67"/>
        <v>14.249999999301508</v>
      </c>
      <c r="O177" s="7"/>
      <c r="P177" s="7"/>
      <c r="Q177" s="22"/>
      <c r="R177" s="22"/>
      <c r="S177" s="31">
        <f t="shared" si="63"/>
        <v>1</v>
      </c>
      <c r="T177" s="46" t="str">
        <f t="shared" si="54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5"/>
        <v>https://d0f6bd738d7f1b3e5a7ca70fe4ff75f0.us-east-1.aws.found.io/app/kibana#/discover/Steve-Slow-Train-Analysis-(2080s-and-2083s)?_g=(refreshInterval:(display:Off,pause:!f,section:0,value:0),time:(from:'2017-03-03T09:57:44-0700',mode:absolute,to:'2017-03-03T12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197" t="str">
        <f t="shared" si="56"/>
        <v>N</v>
      </c>
      <c r="X177" s="197">
        <f t="shared" si="68"/>
        <v>1</v>
      </c>
      <c r="Y177" s="62">
        <f t="shared" si="69"/>
        <v>0.1027</v>
      </c>
      <c r="Z177" s="62">
        <f t="shared" si="57"/>
        <v>5.8968999999999996</v>
      </c>
      <c r="AA177" s="62">
        <f t="shared" si="58"/>
        <v>5.7942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9"/>
        <v>0817-03</v>
      </c>
      <c r="AE177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77" s="82" t="str">
        <f t="shared" si="61"/>
        <v>"C:\Program Files (x86)\AstroGrep\AstroGrep.exe" /spath="%USERPROFILE%\AppData\Local\Temp\OnboardLogs" /stypes="app*4044*20170303*" /stext=" 18:.+((SYSTEM_STATE.+slice.+state.+changed )|(ment ac)|(multiple cpu faults)|(system.+state.+changed )|(\[timeout)|(PRM\|1\|D)|(kpr)|(kdp)|(\|lc)|(penalty))" /e /r /s</v>
      </c>
      <c r="AG177" s="1" t="str">
        <f t="shared" si="62"/>
        <v>NW</v>
      </c>
      <c r="AH177" s="86" t="str">
        <f t="shared" si="64"/>
        <v>"%USERPROFILE%\Documents\GitHub\eaglep3\Utilities\RefineRTDCRunTimes.py" --tripid 817-03 --locoid 4044 --swversion DE.1.0.9.0 --startMP 204:1027 --initTime 2017-03-03T10:57:44 --startdatetime 2017-03-03T11:21:17 --delay 1 --endMP 300:58969 --enddatetime 2017-03-03T11:35:32 --enforcementcount 0 &gt;&gt;C:\Users\stu\Documents\GitHub\eaglep3-reporting\EC\2017-03-03-refined-times.txt</v>
      </c>
      <c r="AI177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{"issue":{"subject":"","project_id":79,"tracker_id":40,"status_id":1,"priority_id":2,"assigned_to_id":23,"start_date":"2017-03-03","description":"","custom_fields":[{"id":1,"name":"Subdivision","value":"NW"},{"id":4,"name":"Milepost","value":"5.8969"},{"id":17,"name":"Train ID","value":"817-03"},{"id":16,"name":"Locomotive ID","value":"4044"},{"id":130,"name":"Impact","value":""},{"id":150,"name":"Time of Event (Mountain Time)","value":"11:35:32"},{"id":151,"name":"Denver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6"/>
        <v>start /low /b %USERPROFILE%\Documents\GitHub\eaglep3\Utilities\DownloadLogsFromS3.py --loco 4044 --day 2017-03-03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78" spans="1:40" x14ac:dyDescent="0.25">
      <c r="A178" s="33" t="s">
        <v>692</v>
      </c>
      <c r="B178" s="7">
        <v>4043</v>
      </c>
      <c r="C178" s="21" t="s">
        <v>251</v>
      </c>
      <c r="D178" s="21" t="s">
        <v>934</v>
      </c>
      <c r="E178" s="13">
        <v>42797.485648148147</v>
      </c>
      <c r="F178" s="13">
        <v>42797.486851851849</v>
      </c>
      <c r="G178" s="7">
        <v>1</v>
      </c>
      <c r="H178" s="21" t="s">
        <v>935</v>
      </c>
      <c r="I178" s="13">
        <v>42797.496608796297</v>
      </c>
      <c r="J178" s="7">
        <v>0</v>
      </c>
      <c r="K178" s="98" t="str">
        <f t="shared" si="52"/>
        <v>4043/4044</v>
      </c>
      <c r="L178" s="21" t="str">
        <f>VLOOKUP(A178,'Trips&amp;Operators'!$C$1:$G$99999,5,FALSE)</f>
        <v>SHOOK JOHN</v>
      </c>
      <c r="M178" s="6">
        <f t="shared" si="53"/>
        <v>9.7569444478722289E-3</v>
      </c>
      <c r="N178" s="7">
        <f t="shared" si="67"/>
        <v>14.05000000493601</v>
      </c>
      <c r="O178" s="7"/>
      <c r="P178" s="7"/>
      <c r="Q178" s="22"/>
      <c r="R178" s="22"/>
      <c r="S178" s="31">
        <f t="shared" si="63"/>
        <v>1</v>
      </c>
      <c r="T178" s="46" t="str">
        <f t="shared" si="54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5"/>
        <v>https://d0f6bd738d7f1b3e5a7ca70fe4ff75f0.us-east-1.aws.found.io/app/kibana#/discover/Steve-Slow-Train-Analysis-(2080s-and-2083s)?_g=(refreshInterval:(display:Off,pause:!f,section:0,value:0),time:(from:'2017-03-03T10:39:20-0700',mode:absolute,to:'2017-03-03T12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197" t="str">
        <f t="shared" si="56"/>
        <v>N</v>
      </c>
      <c r="X178" s="197">
        <f t="shared" si="68"/>
        <v>1</v>
      </c>
      <c r="Y178" s="62">
        <f t="shared" si="69"/>
        <v>5.8685</v>
      </c>
      <c r="Z178" s="62">
        <f t="shared" si="57"/>
        <v>7.4800000000000005E-2</v>
      </c>
      <c r="AA178" s="62">
        <f t="shared" si="58"/>
        <v>5.7937000000000003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9"/>
        <v>0818-03</v>
      </c>
      <c r="AE178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78" s="82" t="str">
        <f t="shared" si="61"/>
        <v>"C:\Program Files (x86)\AstroGrep\AstroGrep.exe" /spath="%USERPROFILE%\AppData\Local\Temp\OnboardLogs" /stypes="app*4043*20170303*" /stext=" 18:.+((SYSTEM_STATE.+slice.+state.+changed )|(ment ac)|(multiple cpu faults)|(system.+state.+changed )|(\[timeout)|(PRM\|1\|D)|(kpr)|(kdp)|(\|lc)|(penalty))" /e /r /s</v>
      </c>
      <c r="AG178" s="1" t="str">
        <f t="shared" si="62"/>
        <v>NW</v>
      </c>
      <c r="AH178" s="86" t="str">
        <f t="shared" si="64"/>
        <v>"%USERPROFILE%\Documents\GitHub\eaglep3\Utilities\RefineRTDCRunTimes.py" --tripid 818-03 --locoid 4043 --swversion DE.1.0.9.0 --startMP 300:58685 --initTime 2017-03-03T11:39:20 --startdatetime 2017-03-03T11:41:04 --delay 1 --endMP 204:748 --enddatetime 2017-03-03T11:55:07 --enforcementcount 0 &gt;&gt;C:\Users\stu\Documents\GitHub\eaglep3-reporting\EC\2017-03-03-refined-times.txt</v>
      </c>
      <c r="AI178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{"issue":{"subject":"","project_id":79,"tracker_id":40,"status_id":1,"priority_id":2,"assigned_to_id":23,"start_date":"2017-03-03","description":"","custom_fields":[{"id":1,"name":"Subdivision","value":"NW"},{"id":4,"name":"Milepost","value":"0.0748"},{"id":17,"name":"Train ID","value":"818-03"},{"id":16,"name":"Locomotive ID","value":"4043"},{"id":130,"name":"Impact","value":""},{"id":150,"name":"Time of Event (Mountain Time)","value":"11:55:07"},{"id":151,"name":"Denver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6"/>
        <v>start /low /b %USERPROFILE%\Documents\GitHub\eaglep3\Utilities\DownloadLogsFromS3.py --loco 4043 --day 2017-03-03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</row>
    <row r="179" spans="1:40" x14ac:dyDescent="0.25">
      <c r="A179" s="33" t="s">
        <v>696</v>
      </c>
      <c r="B179" s="7">
        <v>4044</v>
      </c>
      <c r="C179" s="21" t="s">
        <v>251</v>
      </c>
      <c r="D179" s="21" t="s">
        <v>562</v>
      </c>
      <c r="E179" s="13">
        <v>42797.498171296298</v>
      </c>
      <c r="F179" s="13">
        <v>42797.514768518522</v>
      </c>
      <c r="G179" s="7">
        <v>1</v>
      </c>
      <c r="H179" s="21" t="s">
        <v>544</v>
      </c>
      <c r="I179" s="13">
        <v>42797.524270833332</v>
      </c>
      <c r="J179" s="7">
        <v>0</v>
      </c>
      <c r="K179" s="98" t="str">
        <f t="shared" si="52"/>
        <v>4043/4044</v>
      </c>
      <c r="L179" s="21" t="str">
        <f>VLOOKUP(A179,'Trips&amp;Operators'!$C$1:$G$99999,5,FALSE)</f>
        <v>SHOOK JOHN</v>
      </c>
      <c r="M179" s="6">
        <f t="shared" si="53"/>
        <v>9.5023148096515797E-3</v>
      </c>
      <c r="N179" s="7">
        <f t="shared" ref="N179:N210" si="70">24*60*SUM($M179:$M179)</f>
        <v>13.683333325898275</v>
      </c>
      <c r="O179" s="7"/>
      <c r="P179" s="7"/>
      <c r="Q179" s="22"/>
      <c r="R179" s="22"/>
      <c r="S179" s="31">
        <f t="shared" si="63"/>
        <v>1</v>
      </c>
      <c r="T179" s="46" t="str">
        <f t="shared" si="54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5"/>
        <v>https://d0f6bd738d7f1b3e5a7ca70fe4ff75f0.us-east-1.aws.found.io/app/kibana#/discover/Steve-Slow-Train-Analysis-(2080s-and-2083s)?_g=(refreshInterval:(display:Off,pause:!f,section:0,value:0),time:(from:'2017-03-03T10:57:22-0700',mode:absolute,to:'2017-03-03T13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197" t="str">
        <f t="shared" si="56"/>
        <v>N</v>
      </c>
      <c r="X179" s="197">
        <f t="shared" si="68"/>
        <v>1</v>
      </c>
      <c r="Y179" s="62">
        <f t="shared" si="69"/>
        <v>0.10249999999999999</v>
      </c>
      <c r="Z179" s="62">
        <f t="shared" si="57"/>
        <v>5.899</v>
      </c>
      <c r="AA179" s="62">
        <f t="shared" si="58"/>
        <v>5.7965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9"/>
        <v>0819-03</v>
      </c>
      <c r="AE179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79" s="82" t="str">
        <f t="shared" si="61"/>
        <v>"C:\Program Files (x86)\AstroGrep\AstroGrep.exe" /spath="%USERPROFILE%\AppData\Local\Temp\OnboardLogs" /stypes="app*4044*20170303*" /stext=" 19:.+((SYSTEM_STATE.+slice.+state.+changed )|(ment ac)|(multiple cpu faults)|(system.+state.+changed )|(\[timeout)|(PRM\|1\|D)|(kpr)|(kdp)|(\|lc)|(penalty))" /e /r /s</v>
      </c>
      <c r="AG179" s="1" t="str">
        <f t="shared" si="62"/>
        <v>NW</v>
      </c>
      <c r="AH179" s="86" t="str">
        <f t="shared" si="64"/>
        <v>"%USERPROFILE%\Documents\GitHub\eaglep3\Utilities\RefineRTDCRunTimes.py" --tripid 819-03 --locoid 4044 --swversion DE.1.0.9.0 --startMP 204:1025 --initTime 2017-03-03T11:57:22 --startdatetime 2017-03-03T12:21:16 --delay 1 --endMP 300:58990 --enddatetime 2017-03-03T12:34:57 --enforcementcount 0 &gt;&gt;C:\Users\stu\Documents\GitHub\eaglep3-reporting\EC\2017-03-03-refined-times.txt</v>
      </c>
      <c r="AI179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{"issue":{"subject":"","project_id":79,"tracker_id":40,"status_id":1,"priority_id":2,"assigned_to_id":23,"start_date":"2017-03-03","description":"","custom_fields":[{"id":1,"name":"Subdivision","value":"NW"},{"id":4,"name":"Milepost","value":"5.899"},{"id":17,"name":"Train ID","value":"819-03"},{"id":16,"name":"Locomotive ID","value":"4044"},{"id":130,"name":"Impact","value":""},{"id":150,"name":"Time of Event (Mountain Time)","value":"12:34:57"},{"id":151,"name":"Denver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6"/>
        <v>start /low /b %USERPROFILE%\Documents\GitHub\eaglep3\Utilities\DownloadLogsFromS3.py --loco 4044 --day 2017-03-03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80" spans="1:40" x14ac:dyDescent="0.25">
      <c r="A180" s="33" t="s">
        <v>703</v>
      </c>
      <c r="B180" s="7">
        <v>4043</v>
      </c>
      <c r="C180" s="21" t="s">
        <v>251</v>
      </c>
      <c r="D180" s="21" t="s">
        <v>936</v>
      </c>
      <c r="E180" s="13">
        <v>42797.525729166664</v>
      </c>
      <c r="F180" s="13">
        <v>42797.528356481482</v>
      </c>
      <c r="G180" s="7">
        <v>1</v>
      </c>
      <c r="H180" s="21" t="s">
        <v>937</v>
      </c>
      <c r="I180" s="13">
        <v>42797.538298611114</v>
      </c>
      <c r="J180" s="7">
        <v>0</v>
      </c>
      <c r="K180" s="98" t="str">
        <f t="shared" si="52"/>
        <v>4043/4044</v>
      </c>
      <c r="L180" s="21" t="str">
        <f>VLOOKUP(A180,'Trips&amp;Operators'!$C$1:$G$99999,5,FALSE)</f>
        <v>SHOOK JOHN</v>
      </c>
      <c r="M180" s="6">
        <f t="shared" si="53"/>
        <v>9.9421296326909214E-3</v>
      </c>
      <c r="N180" s="7">
        <f t="shared" si="70"/>
        <v>14.316666671074927</v>
      </c>
      <c r="O180" s="7"/>
      <c r="P180" s="7"/>
      <c r="Q180" s="22"/>
      <c r="R180" s="22"/>
      <c r="S180" s="31">
        <f t="shared" si="63"/>
        <v>1</v>
      </c>
      <c r="T180" s="46" t="str">
        <f t="shared" si="54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5"/>
        <v>https://d0f6bd738d7f1b3e5a7ca70fe4ff75f0.us-east-1.aws.found.io/app/kibana#/discover/Steve-Slow-Train-Analysis-(2080s-and-2083s)?_g=(refreshInterval:(display:Off,pause:!f,section:0,value:0),time:(from:'2017-03-03T11:37:03-0700',mode:absolute,to:'2017-03-03T13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197" t="str">
        <f t="shared" si="56"/>
        <v>N</v>
      </c>
      <c r="X180" s="197">
        <f t="shared" si="68"/>
        <v>1</v>
      </c>
      <c r="Y180" s="62">
        <f t="shared" si="69"/>
        <v>5.8667999999999996</v>
      </c>
      <c r="Z180" s="62">
        <f t="shared" si="57"/>
        <v>7.22E-2</v>
      </c>
      <c r="AA180" s="62">
        <f t="shared" si="58"/>
        <v>5.7946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9"/>
        <v>0820-03</v>
      </c>
      <c r="AE180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80" s="82" t="str">
        <f t="shared" si="61"/>
        <v>"C:\Program Files (x86)\AstroGrep\AstroGrep.exe" /spath="%USERPROFILE%\AppData\Local\Temp\OnboardLogs" /stypes="app*4043*20170303*" /stext=" 19:.+((SYSTEM_STATE.+slice.+state.+changed )|(ment ac)|(multiple cpu faults)|(system.+state.+changed )|(\[timeout)|(PRM\|1\|D)|(kpr)|(kdp)|(\|lc)|(penalty))" /e /r /s</v>
      </c>
      <c r="AG180" s="1" t="str">
        <f t="shared" si="62"/>
        <v>NW</v>
      </c>
      <c r="AH180" s="86" t="str">
        <f t="shared" si="64"/>
        <v>"%USERPROFILE%\Documents\GitHub\eaglep3\Utilities\RefineRTDCRunTimes.py" --tripid 820-03 --locoid 4043 --swversion DE.1.0.9.0 --startMP 300:58668 --initTime 2017-03-03T12:37:03 --startdatetime 2017-03-03T12:40:50 --delay 1 --endMP 204:722 --enddatetime 2017-03-03T12:55:09 --enforcementcount 0 &gt;&gt;C:\Users\stu\Documents\GitHub\eaglep3-reporting\EC\2017-03-03-refined-times.txt</v>
      </c>
      <c r="AI180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{"issue":{"subject":"","project_id":79,"tracker_id":40,"status_id":1,"priority_id":2,"assigned_to_id":23,"start_date":"2017-03-03","description":"","custom_fields":[{"id":1,"name":"Subdivision","value":"NW"},{"id":4,"name":"Milepost","value":"0.0722"},{"id":17,"name":"Train ID","value":"820-03"},{"id":16,"name":"Locomotive ID","value":"4043"},{"id":130,"name":"Impact","value":""},{"id":150,"name":"Time of Event (Mountain Time)","value":"12:55:09"},{"id":151,"name":"Denver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6"/>
        <v>start /low /b %USERPROFILE%\Documents\GitHub\eaglep3\Utilities\DownloadLogsFromS3.py --loco 4043 --day 2017-03-03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</row>
    <row r="181" spans="1:40" x14ac:dyDescent="0.25">
      <c r="A181" s="33" t="s">
        <v>708</v>
      </c>
      <c r="B181" s="7">
        <v>4044</v>
      </c>
      <c r="C181" s="21" t="s">
        <v>251</v>
      </c>
      <c r="D181" s="21" t="s">
        <v>938</v>
      </c>
      <c r="E181" s="13">
        <v>42797.542094907411</v>
      </c>
      <c r="F181" s="13">
        <v>42797.556435185186</v>
      </c>
      <c r="G181" s="7">
        <v>1</v>
      </c>
      <c r="H181" s="21" t="s">
        <v>939</v>
      </c>
      <c r="I181" s="13">
        <v>42797.565497685187</v>
      </c>
      <c r="J181" s="7">
        <v>0</v>
      </c>
      <c r="K181" s="98" t="str">
        <f t="shared" si="52"/>
        <v>4043/4044</v>
      </c>
      <c r="L181" s="21" t="str">
        <f>VLOOKUP(A181,'Trips&amp;Operators'!$C$1:$G$99999,5,FALSE)</f>
        <v>LEVERE CRAIG</v>
      </c>
      <c r="M181" s="6">
        <f t="shared" si="53"/>
        <v>9.0625000011641532E-3</v>
      </c>
      <c r="N181" s="7">
        <f t="shared" si="70"/>
        <v>13.050000001676381</v>
      </c>
      <c r="O181" s="7"/>
      <c r="P181" s="7"/>
      <c r="Q181" s="22"/>
      <c r="R181" s="22"/>
      <c r="S181" s="31">
        <f t="shared" si="63"/>
        <v>1</v>
      </c>
      <c r="T181" s="46" t="str">
        <f t="shared" si="54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5"/>
        <v>https://d0f6bd738d7f1b3e5a7ca70fe4ff75f0.us-east-1.aws.found.io/app/kibana#/discover/Steve-Slow-Train-Analysis-(2080s-and-2083s)?_g=(refreshInterval:(display:Off,pause:!f,section:0,value:0),time:(from:'2017-03-03T12:00:37-0700',mode:absolute,to:'2017-03-03T14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197" t="str">
        <f t="shared" si="56"/>
        <v>N</v>
      </c>
      <c r="X181" s="197">
        <f t="shared" si="68"/>
        <v>1</v>
      </c>
      <c r="Y181" s="62">
        <f t="shared" si="69"/>
        <v>0.1018</v>
      </c>
      <c r="Z181" s="62">
        <f t="shared" si="57"/>
        <v>5.8967000000000001</v>
      </c>
      <c r="AA181" s="62">
        <f t="shared" si="58"/>
        <v>5.7949000000000002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9"/>
        <v>0821-03</v>
      </c>
      <c r="AE181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81" s="82" t="str">
        <f t="shared" si="61"/>
        <v>"C:\Program Files (x86)\AstroGrep\AstroGrep.exe" /spath="%USERPROFILE%\AppData\Local\Temp\OnboardLogs" /stypes="app*4044*20170303*" /stext=" 20:.+((SYSTEM_STATE.+slice.+state.+changed )|(ment ac)|(multiple cpu faults)|(system.+state.+changed )|(\[timeout)|(PRM\|1\|D)|(kpr)|(kdp)|(\|lc)|(penalty))" /e /r /s</v>
      </c>
      <c r="AG181" s="1" t="str">
        <f t="shared" si="62"/>
        <v>NW</v>
      </c>
      <c r="AH181" s="86" t="str">
        <f t="shared" si="64"/>
        <v>"%USERPROFILE%\Documents\GitHub\eaglep3\Utilities\RefineRTDCRunTimes.py" --tripid 821-03 --locoid 4044 --swversion DE.1.0.9.0 --startMP 204:1018 --initTime 2017-03-03T13:00:37 --startdatetime 2017-03-03T13:21:16 --delay 1 --endMP 300:58967 --enddatetime 2017-03-03T13:34:19 --enforcementcount 0 &gt;&gt;C:\Users\stu\Documents\GitHub\eaglep3-reporting\EC\2017-03-03-refined-times.txt</v>
      </c>
      <c r="AI181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{"issue":{"subject":"","project_id":79,"tracker_id":40,"status_id":1,"priority_id":2,"assigned_to_id":23,"start_date":"2017-03-03","description":"","custom_fields":[{"id":1,"name":"Subdivision","value":"NW"},{"id":4,"name":"Milepost","value":"5.8967"},{"id":17,"name":"Train ID","value":"821-03"},{"id":16,"name":"Locomotive ID","value":"4044"},{"id":130,"name":"Impact","value":""},{"id":150,"name":"Time of Event (Mountain Time)","value":"13:34:19"},{"id":151,"name":"Denver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6"/>
        <v>start /low /b %USERPROFILE%\Documents\GitHub\eaglep3\Utilities\DownloadLogsFromS3.py --loco 4044 --day 2017-03-03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82" spans="1:40" x14ac:dyDescent="0.25">
      <c r="A182" s="33" t="s">
        <v>712</v>
      </c>
      <c r="B182" s="7">
        <v>4043</v>
      </c>
      <c r="C182" s="21" t="s">
        <v>251</v>
      </c>
      <c r="D182" s="21" t="s">
        <v>940</v>
      </c>
      <c r="E182" s="13">
        <v>42797.566354166665</v>
      </c>
      <c r="F182" s="13">
        <v>42797.567962962959</v>
      </c>
      <c r="G182" s="7">
        <v>1</v>
      </c>
      <c r="H182" s="21" t="s">
        <v>941</v>
      </c>
      <c r="I182" s="13">
        <v>42797.58011574074</v>
      </c>
      <c r="J182" s="7">
        <v>0</v>
      </c>
      <c r="K182" s="98" t="str">
        <f t="shared" si="52"/>
        <v>4043/4044</v>
      </c>
      <c r="L182" s="21" t="str">
        <f>VLOOKUP(A182,'Trips&amp;Operators'!$C$1:$G$99999,5,FALSE)</f>
        <v>LEVERE CRAIG</v>
      </c>
      <c r="M182" s="6">
        <f t="shared" si="53"/>
        <v>1.2152777781011537E-2</v>
      </c>
      <c r="N182" s="7">
        <f t="shared" si="70"/>
        <v>17.500000004656613</v>
      </c>
      <c r="O182" s="7"/>
      <c r="P182" s="7"/>
      <c r="Q182" s="22"/>
      <c r="R182" s="22"/>
      <c r="S182" s="31">
        <f t="shared" si="63"/>
        <v>1</v>
      </c>
      <c r="T182" s="46" t="str">
        <f t="shared" si="54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5"/>
        <v>https://d0f6bd738d7f1b3e5a7ca70fe4ff75f0.us-east-1.aws.found.io/app/kibana#/discover/Steve-Slow-Train-Analysis-(2080s-and-2083s)?_g=(refreshInterval:(display:Off,pause:!f,section:0,value:0),time:(from:'2017-03-03T12:35:33-0700',mode:absolute,to:'2017-03-03T14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197" t="str">
        <f t="shared" si="56"/>
        <v>N</v>
      </c>
      <c r="X182" s="197">
        <f t="shared" si="68"/>
        <v>1</v>
      </c>
      <c r="Y182" s="62">
        <f t="shared" si="69"/>
        <v>5.8662000000000001</v>
      </c>
      <c r="Z182" s="62">
        <f t="shared" si="57"/>
        <v>6.8000000000000005E-2</v>
      </c>
      <c r="AA182" s="62">
        <f t="shared" si="58"/>
        <v>5.7982000000000005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9"/>
        <v>0822-03</v>
      </c>
      <c r="AE182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82" s="82" t="str">
        <f t="shared" si="61"/>
        <v>"C:\Program Files (x86)\AstroGrep\AstroGrep.exe" /spath="%USERPROFILE%\AppData\Local\Temp\OnboardLogs" /stypes="app*4043*20170303*" /stext=" 20:.+((SYSTEM_STATE.+slice.+state.+changed )|(ment ac)|(multiple cpu faults)|(system.+state.+changed )|(\[timeout)|(PRM\|1\|D)|(kpr)|(kdp)|(\|lc)|(penalty))" /e /r /s</v>
      </c>
      <c r="AG182" s="1" t="str">
        <f t="shared" si="62"/>
        <v>NW</v>
      </c>
      <c r="AH182" s="86" t="str">
        <f t="shared" si="64"/>
        <v>"%USERPROFILE%\Documents\GitHub\eaglep3\Utilities\RefineRTDCRunTimes.py" --tripid 822-03 --locoid 4043 --swversion DE.1.0.9.0 --startMP 300:58662 --initTime 2017-03-03T13:35:33 --startdatetime 2017-03-03T13:37:52 --delay 1 --endMP 204:680 --enddatetime 2017-03-03T13:55:22 --enforcementcount 0 &gt;&gt;C:\Users\stu\Documents\GitHub\eaglep3-reporting\EC\2017-03-03-refined-times.txt</v>
      </c>
      <c r="AI182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{"issue":{"subject":"","project_id":79,"tracker_id":40,"status_id":1,"priority_id":2,"assigned_to_id":23,"start_date":"2017-03-03","description":"","custom_fields":[{"id":1,"name":"Subdivision","value":"NW"},{"id":4,"name":"Milepost","value":"0.068"},{"id":17,"name":"Train ID","value":"822-03"},{"id":16,"name":"Locomotive ID","value":"4043"},{"id":130,"name":"Impact","value":""},{"id":150,"name":"Time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6"/>
        <v>start /low /b %USERPROFILE%\Documents\GitHub\eaglep3\Utilities\DownloadLogsFromS3.py --loco 4043 --day 2017-03-03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</row>
    <row r="183" spans="1:40" x14ac:dyDescent="0.25">
      <c r="A183" s="33" t="s">
        <v>590</v>
      </c>
      <c r="B183" s="7">
        <v>4044</v>
      </c>
      <c r="C183" s="21" t="s">
        <v>251</v>
      </c>
      <c r="D183" s="21" t="s">
        <v>550</v>
      </c>
      <c r="E183" s="13">
        <v>42797.587291666663</v>
      </c>
      <c r="F183" s="13">
        <v>42797.598090277781</v>
      </c>
      <c r="G183" s="7">
        <v>1</v>
      </c>
      <c r="H183" s="21" t="s">
        <v>942</v>
      </c>
      <c r="I183" s="13">
        <v>42797.608171296299</v>
      </c>
      <c r="J183" s="7">
        <v>0</v>
      </c>
      <c r="K183" s="98" t="str">
        <f t="shared" si="52"/>
        <v>4043/4044</v>
      </c>
      <c r="L183" s="21" t="str">
        <f>VLOOKUP(A183,'Trips&amp;Operators'!$C$1:$G$99999,5,FALSE)</f>
        <v>LEVERE CRAIG</v>
      </c>
      <c r="M183" s="6">
        <f t="shared" si="53"/>
        <v>1.0081018517666962E-2</v>
      </c>
      <c r="N183" s="7">
        <f t="shared" si="70"/>
        <v>14.516666665440425</v>
      </c>
      <c r="O183" s="7"/>
      <c r="P183" s="7"/>
      <c r="Q183" s="22"/>
      <c r="R183" s="22"/>
      <c r="S183" s="31">
        <f t="shared" si="63"/>
        <v>1</v>
      </c>
      <c r="T183" s="46" t="str">
        <f t="shared" si="54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5"/>
        <v>https://d0f6bd738d7f1b3e5a7ca70fe4ff75f0.us-east-1.aws.found.io/app/kibana#/discover/Steve-Slow-Train-Analysis-(2080s-and-2083s)?_g=(refreshInterval:(display:Off,pause:!f,section:0,value:0),time:(from:'2017-03-03T13:05:42-0700',mode:absolute,to:'2017-03-03T15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197" t="str">
        <f t="shared" si="56"/>
        <v>N</v>
      </c>
      <c r="X183" s="197">
        <f t="shared" si="68"/>
        <v>1</v>
      </c>
      <c r="Y183" s="62">
        <f t="shared" si="69"/>
        <v>9.7199999999999995E-2</v>
      </c>
      <c r="Z183" s="62">
        <f t="shared" si="57"/>
        <v>5.8963000000000001</v>
      </c>
      <c r="AA183" s="62">
        <f t="shared" si="58"/>
        <v>5.7991000000000001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9"/>
        <v>0823-03</v>
      </c>
      <c r="AE183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83" s="82" t="str">
        <f t="shared" si="61"/>
        <v>"C:\Program Files (x86)\AstroGrep\AstroGrep.exe" /spath="%USERPROFILE%\AppData\Local\Temp\OnboardLogs" /stypes="app*4044*20170303*" /stext=" 21:.+((SYSTEM_STATE.+slice.+state.+changed )|(ment ac)|(multiple cpu faults)|(system.+state.+changed )|(\[timeout)|(PRM\|1\|D)|(kpr)|(kdp)|(\|lc)|(penalty))" /e /r /s</v>
      </c>
      <c r="AG183" s="1" t="str">
        <f t="shared" si="62"/>
        <v>NW</v>
      </c>
      <c r="AH183" s="86" t="str">
        <f t="shared" si="64"/>
        <v>"%USERPROFILE%\Documents\GitHub\eaglep3\Utilities\RefineRTDCRunTimes.py" --tripid 823-03 --locoid 4044 --swversion DE.1.0.9.0 --startMP 204:972 --initTime 2017-03-03T14:05:42 --startdatetime 2017-03-03T14:21:15 --delay 1 --endMP 300:58963 --enddatetime 2017-03-03T14:35:46 --enforcementcount 0 &gt;&gt;C:\Users\stu\Documents\GitHub\eaglep3-reporting\EC\2017-03-03-refined-times.txt</v>
      </c>
      <c r="AI183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{"issue":{"subject":"","project_id":79,"tracker_id":40,"status_id":1,"priority_id":2,"assigned_to_id":23,"start_date":"2017-03-03","description":"","custom_fields":[{"id":1,"name":"Subdivision","value":"NW"},{"id":4,"name":"Milepost","value":"5.8963"},{"id":17,"name":"Train ID","value":"823-03"},{"id":16,"name":"Locomotive ID","value":"4044"},{"id":130,"name":"Impact","value":""},{"id":150,"name":"Time of Event (Mountain Time)","value":"14:35:46"},{"id":151,"name":"Denver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6"/>
        <v>start /low /b %USERPROFILE%\Documents\GitHub\eaglep3\Utilities\DownloadLogsFromS3.py --loco 4044 --day 2017-03-03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84" spans="1:40" x14ac:dyDescent="0.25">
      <c r="A184" s="33" t="s">
        <v>719</v>
      </c>
      <c r="B184" s="7">
        <v>4043</v>
      </c>
      <c r="C184" s="21" t="s">
        <v>251</v>
      </c>
      <c r="D184" s="21" t="s">
        <v>554</v>
      </c>
      <c r="E184" s="13">
        <v>42797.609166666669</v>
      </c>
      <c r="F184" s="13">
        <v>42797.610659722224</v>
      </c>
      <c r="G184" s="7">
        <v>1</v>
      </c>
      <c r="H184" s="21" t="s">
        <v>943</v>
      </c>
      <c r="I184" s="13">
        <v>42797.621840277781</v>
      </c>
      <c r="J184" s="7">
        <v>0</v>
      </c>
      <c r="K184" s="98" t="str">
        <f t="shared" si="52"/>
        <v>4043/4044</v>
      </c>
      <c r="L184" s="21" t="str">
        <f>VLOOKUP(A184,'Trips&amp;Operators'!$C$1:$G$99999,5,FALSE)</f>
        <v>LEVERE CRAIG</v>
      </c>
      <c r="M184" s="6">
        <f t="shared" si="53"/>
        <v>1.1180555557075422E-2</v>
      </c>
      <c r="N184" s="7">
        <f t="shared" si="70"/>
        <v>16.100000002188608</v>
      </c>
      <c r="O184" s="7"/>
      <c r="P184" s="7"/>
      <c r="Q184" s="22"/>
      <c r="R184" s="22"/>
      <c r="S184" s="31">
        <f t="shared" si="63"/>
        <v>1</v>
      </c>
      <c r="T184" s="46" t="str">
        <f t="shared" si="54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5"/>
        <v>https://d0f6bd738d7f1b3e5a7ca70fe4ff75f0.us-east-1.aws.found.io/app/kibana#/discover/Steve-Slow-Train-Analysis-(2080s-and-2083s)?_g=(refreshInterval:(display:Off,pause:!f,section:0,value:0),time:(from:'2017-03-03T13:37:12-0700',mode:absolute,to:'2017-03-03T15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197" t="str">
        <f t="shared" si="56"/>
        <v>N</v>
      </c>
      <c r="X184" s="197">
        <f t="shared" ref="X184:X215" si="71">VALUE(LEFT(AD184,4))-VALUE(LEFT(AD183,4))</f>
        <v>1</v>
      </c>
      <c r="Y184" s="62">
        <f t="shared" si="69"/>
        <v>5.8644999999999996</v>
      </c>
      <c r="Z184" s="62">
        <f t="shared" si="57"/>
        <v>7.0599999999999996E-2</v>
      </c>
      <c r="AA184" s="62">
        <f t="shared" si="58"/>
        <v>5.7938999999999998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9"/>
        <v>0824-03</v>
      </c>
      <c r="AE184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84" s="82" t="str">
        <f t="shared" si="61"/>
        <v>"C:\Program Files (x86)\AstroGrep\AstroGrep.exe" /spath="%USERPROFILE%\AppData\Local\Temp\OnboardLogs" /stypes="app*4043*20170303*" /stext=" 21:.+((SYSTEM_STATE.+slice.+state.+changed )|(ment ac)|(multiple cpu faults)|(system.+state.+changed )|(\[timeout)|(PRM\|1\|D)|(kpr)|(kdp)|(\|lc)|(penalty))" /e /r /s</v>
      </c>
      <c r="AG184" s="1" t="str">
        <f t="shared" si="62"/>
        <v>NW</v>
      </c>
      <c r="AH184" s="86" t="str">
        <f t="shared" si="64"/>
        <v>"%USERPROFILE%\Documents\GitHub\eaglep3\Utilities\RefineRTDCRunTimes.py" --tripid 824-03 --locoid 4043 --swversion DE.1.0.9.0 --startMP 300:58645 --initTime 2017-03-03T14:37:12 --startdatetime 2017-03-03T14:39:21 --delay 1 --endMP 204:706 --enddatetime 2017-03-03T14:55:27 --enforcementcount 0 &gt;&gt;C:\Users\stu\Documents\GitHub\eaglep3-reporting\EC\2017-03-03-refined-times.txt</v>
      </c>
      <c r="AI184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{"issue":{"subject":"","project_id":79,"tracker_id":40,"status_id":1,"priority_id":2,"assigned_to_id":23,"start_date":"2017-03-03","description":"","custom_fields":[{"id":1,"name":"Subdivision","value":"NW"},{"id":4,"name":"Milepost","value":"0.0706"},{"id":17,"name":"Train ID","value":"824-03"},{"id":16,"name":"Locomotive ID","value":"4043"},{"id":130,"name":"Impact","value":""},{"id":150,"name":"Time of Event (Mountain Time)","value":"14:55:27"},{"id":151,"name":"Denver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6"/>
        <v>start /low /b %USERPROFILE%\Documents\GitHub\eaglep3\Utilities\DownloadLogsFromS3.py --loco 4043 --day 2017-03-03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</row>
    <row r="185" spans="1:40" x14ac:dyDescent="0.25">
      <c r="A185" s="33" t="s">
        <v>725</v>
      </c>
      <c r="B185" s="7">
        <v>4044</v>
      </c>
      <c r="C185" s="21" t="s">
        <v>251</v>
      </c>
      <c r="D185" s="21" t="s">
        <v>550</v>
      </c>
      <c r="E185" s="13">
        <v>42797.63453703704</v>
      </c>
      <c r="F185" s="13">
        <v>42797.639803240738</v>
      </c>
      <c r="G185" s="7">
        <v>1</v>
      </c>
      <c r="H185" s="21" t="s">
        <v>939</v>
      </c>
      <c r="I185" s="13">
        <v>42797.649884259263</v>
      </c>
      <c r="J185" s="7">
        <v>0</v>
      </c>
      <c r="K185" s="98" t="str">
        <f t="shared" si="52"/>
        <v>4043/4044</v>
      </c>
      <c r="L185" s="21" t="str">
        <f>VLOOKUP(A185,'Trips&amp;Operators'!$C$1:$G$99999,5,FALSE)</f>
        <v>LEVERE CRAIG</v>
      </c>
      <c r="M185" s="6">
        <f t="shared" si="53"/>
        <v>1.008101852494292E-2</v>
      </c>
      <c r="N185" s="7">
        <f t="shared" si="70"/>
        <v>14.516666675917804</v>
      </c>
      <c r="O185" s="7"/>
      <c r="P185" s="7"/>
      <c r="Q185" s="22"/>
      <c r="R185" s="22"/>
      <c r="S185" s="31">
        <f t="shared" si="63"/>
        <v>1</v>
      </c>
      <c r="T185" s="46" t="str">
        <f t="shared" si="54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5"/>
        <v>https://d0f6bd738d7f1b3e5a7ca70fe4ff75f0.us-east-1.aws.found.io/app/kibana#/discover/Steve-Slow-Train-Analysis-(2080s-and-2083s)?_g=(refreshInterval:(display:Off,pause:!f,section:0,value:0),time:(from:'2017-03-03T14:13:44-0700',mode:absolute,to:'2017-03-03T16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197" t="str">
        <f t="shared" si="56"/>
        <v>N</v>
      </c>
      <c r="X185" s="197">
        <f t="shared" si="71"/>
        <v>1</v>
      </c>
      <c r="Y185" s="62">
        <f t="shared" si="69"/>
        <v>9.7199999999999995E-2</v>
      </c>
      <c r="Z185" s="62">
        <f t="shared" si="57"/>
        <v>5.8967000000000001</v>
      </c>
      <c r="AA185" s="62">
        <f t="shared" si="58"/>
        <v>5.7995000000000001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9"/>
        <v>0825-03</v>
      </c>
      <c r="AE185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85" s="82" t="str">
        <f t="shared" si="61"/>
        <v>"C:\Program Files (x86)\AstroGrep\AstroGrep.exe" /spath="%USERPROFILE%\AppData\Local\Temp\OnboardLogs" /stypes="app*4044*20170303*" /stext=" 22:.+((SYSTEM_STATE.+slice.+state.+changed )|(ment ac)|(multiple cpu faults)|(system.+state.+changed )|(\[timeout)|(PRM\|1\|D)|(kpr)|(kdp)|(\|lc)|(penalty))" /e /r /s</v>
      </c>
      <c r="AG185" s="1" t="str">
        <f t="shared" si="62"/>
        <v>NW</v>
      </c>
      <c r="AH185" s="86" t="str">
        <f t="shared" si="64"/>
        <v>"%USERPROFILE%\Documents\GitHub\eaglep3\Utilities\RefineRTDCRunTimes.py" --tripid 825-03 --locoid 4044 --swversion DE.1.0.9.0 --startMP 204:972 --initTime 2017-03-03T15:13:44 --startdatetime 2017-03-03T15:21:19 --delay 1 --endMP 300:58967 --enddatetime 2017-03-03T15:35:50 --enforcementcount 0 &gt;&gt;C:\Users\stu\Documents\GitHub\eaglep3-reporting\EC\2017-03-03-refined-times.txt</v>
      </c>
      <c r="AI185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{"issue":{"subject":"","project_id":79,"tracker_id":40,"status_id":1,"priority_id":2,"assigned_to_id":23,"start_date":"2017-03-03","description":"","custom_fields":[{"id":1,"name":"Subdivision","value":"NW"},{"id":4,"name":"Milepost","value":"5.8967"},{"id":17,"name":"Train ID","value":"825-03"},{"id":16,"name":"Locomotive ID","value":"4044"},{"id":130,"name":"Impact","value":""},{"id":150,"name":"Time of Event (Mountain Time)","value":"15:35:50"},{"id":151,"name":"Denver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6"/>
        <v>start /low /b %USERPROFILE%\Documents\GitHub\eaglep3\Utilities\DownloadLogsFromS3.py --loco 4044 --day 2017-03-03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86" spans="1:40" x14ac:dyDescent="0.25">
      <c r="A186" s="33" t="s">
        <v>731</v>
      </c>
      <c r="B186" s="7">
        <v>4043</v>
      </c>
      <c r="C186" s="21" t="s">
        <v>251</v>
      </c>
      <c r="D186" s="21" t="s">
        <v>944</v>
      </c>
      <c r="E186" s="13">
        <v>42797.650995370372</v>
      </c>
      <c r="F186" s="13">
        <v>42797.652395833335</v>
      </c>
      <c r="G186" s="7">
        <v>1</v>
      </c>
      <c r="H186" s="21" t="s">
        <v>356</v>
      </c>
      <c r="I186" s="13">
        <v>42797.664780092593</v>
      </c>
      <c r="J186" s="7">
        <v>0</v>
      </c>
      <c r="K186" s="98" t="str">
        <f t="shared" si="52"/>
        <v>4043/4044</v>
      </c>
      <c r="L186" s="21" t="str">
        <f>VLOOKUP(A186,'Trips&amp;Operators'!$C$1:$G$99999,5,FALSE)</f>
        <v>LEVERE CRAIG</v>
      </c>
      <c r="M186" s="6">
        <f t="shared" si="53"/>
        <v>1.2384259258396924E-2</v>
      </c>
      <c r="N186" s="7">
        <f t="shared" si="70"/>
        <v>17.83333333209157</v>
      </c>
      <c r="O186" s="7"/>
      <c r="P186" s="7"/>
      <c r="Q186" s="22"/>
      <c r="R186" s="22"/>
      <c r="S186" s="31">
        <f t="shared" si="63"/>
        <v>1</v>
      </c>
      <c r="T186" s="46" t="str">
        <f t="shared" si="54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5"/>
        <v>https://d0f6bd738d7f1b3e5a7ca70fe4ff75f0.us-east-1.aws.found.io/app/kibana#/discover/Steve-Slow-Train-Analysis-(2080s-and-2083s)?_g=(refreshInterval:(display:Off,pause:!f,section:0,value:0),time:(from:'2017-03-03T14:37:26-0700',mode:absolute,to:'2017-03-03T16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197" t="str">
        <f t="shared" si="56"/>
        <v>N</v>
      </c>
      <c r="X186" s="197">
        <f t="shared" si="71"/>
        <v>1</v>
      </c>
      <c r="Y186" s="62">
        <f t="shared" si="69"/>
        <v>5.8643000000000001</v>
      </c>
      <c r="Z186" s="62">
        <f t="shared" si="57"/>
        <v>6.8400000000000002E-2</v>
      </c>
      <c r="AA186" s="62">
        <f t="shared" si="58"/>
        <v>5.7959000000000005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9"/>
        <v>0826-03</v>
      </c>
      <c r="AE186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86" s="82" t="str">
        <f t="shared" si="61"/>
        <v>"C:\Program Files (x86)\AstroGrep\AstroGrep.exe" /spath="%USERPROFILE%\AppData\Local\Temp\OnboardLogs" /stypes="app*4043*20170303*" /stext=" 22:.+((SYSTEM_STATE.+slice.+state.+changed )|(ment ac)|(multiple cpu faults)|(system.+state.+changed )|(\[timeout)|(PRM\|1\|D)|(kpr)|(kdp)|(\|lc)|(penalty))" /e /r /s</v>
      </c>
      <c r="AG186" s="1" t="str">
        <f t="shared" si="62"/>
        <v>NW</v>
      </c>
      <c r="AH186" s="86" t="str">
        <f t="shared" si="64"/>
        <v>"%USERPROFILE%\Documents\GitHub\eaglep3\Utilities\RefineRTDCRunTimes.py" --tripid 826-03 --locoid 4043 --swversion DE.1.0.9.0 --startMP 300:58643 --initTime 2017-03-03T15:37:26 --startdatetime 2017-03-03T15:39:27 --delay 1 --endMP 204:684 --enddatetime 2017-03-03T15:57:17 --enforcementcount 0 &gt;&gt;C:\Users\stu\Documents\GitHub\eaglep3-reporting\EC\2017-03-03-refined-times.txt</v>
      </c>
      <c r="AI186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{"issue":{"subject":"","project_id":79,"tracker_id":40,"status_id":1,"priority_id":2,"assigned_to_id":23,"start_date":"2017-03-03","description":"","custom_fields":[{"id":1,"name":"Subdivision","value":"NW"},{"id":4,"name":"Milepost","value":"0.0684"},{"id":17,"name":"Train ID","value":"826-03"},{"id":16,"name":"Locomotive ID","value":"4043"},{"id":130,"name":"Impact","value":""},{"id":150,"name":"Time of Event (Mountain Time)","value":"15:57:17"},{"id":151,"name":"Denver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6"/>
        <v>start /low /b %USERPROFILE%\Documents\GitHub\eaglep3\Utilities\DownloadLogsFromS3.py --loco 4043 --day 2017-03-03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</row>
    <row r="187" spans="1:40" x14ac:dyDescent="0.25">
      <c r="A187" s="33" t="s">
        <v>733</v>
      </c>
      <c r="B187" s="7">
        <v>4006</v>
      </c>
      <c r="C187" s="21" t="s">
        <v>251</v>
      </c>
      <c r="D187" s="21" t="s">
        <v>945</v>
      </c>
      <c r="E187" s="13">
        <v>42797.657986111109</v>
      </c>
      <c r="F187" s="13">
        <v>42797.660636574074</v>
      </c>
      <c r="G187" s="7">
        <v>1</v>
      </c>
      <c r="H187" s="21" t="s">
        <v>929</v>
      </c>
      <c r="I187" s="13">
        <v>42797.670208333337</v>
      </c>
      <c r="J187" s="7">
        <v>0</v>
      </c>
      <c r="K187" s="98" t="str">
        <f t="shared" si="52"/>
        <v>4005/4006</v>
      </c>
      <c r="L187" s="21" t="str">
        <f>VLOOKUP(A187,'Trips&amp;Operators'!$C$1:$G$99999,5,FALSE)</f>
        <v>SMITH MICHAEL</v>
      </c>
      <c r="M187" s="6">
        <f t="shared" si="53"/>
        <v>9.5717592630535364E-3</v>
      </c>
      <c r="N187" s="7">
        <f t="shared" si="70"/>
        <v>13.783333338797092</v>
      </c>
      <c r="O187" s="7"/>
      <c r="P187" s="7"/>
      <c r="Q187" s="22"/>
      <c r="R187" s="22"/>
      <c r="S187" s="31">
        <f t="shared" si="63"/>
        <v>1</v>
      </c>
      <c r="T187" s="46" t="str">
        <f t="shared" si="54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5"/>
        <v>https://d0f6bd738d7f1b3e5a7ca70fe4ff75f0.us-east-1.aws.found.io/app/kibana#/discover/Steve-Slow-Train-Analysis-(2080s-and-2083s)?_g=(refreshInterval:(display:Off,pause:!f,section:0,value:0),time:(from:'2017-03-03T14:47:30-0700',mode:absolute,to:'2017-03-03T17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197" t="str">
        <f t="shared" si="56"/>
        <v>N</v>
      </c>
      <c r="X187" s="197">
        <f t="shared" si="71"/>
        <v>1</v>
      </c>
      <c r="Y187" s="62">
        <f t="shared" si="69"/>
        <v>9.7600000000000006E-2</v>
      </c>
      <c r="Z187" s="62">
        <f t="shared" si="57"/>
        <v>5.8994999999999997</v>
      </c>
      <c r="AA187" s="62">
        <f t="shared" si="58"/>
        <v>5.8018999999999998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9"/>
        <v>0827-03</v>
      </c>
      <c r="AE187" s="85" t="str">
        <f t="shared" si="60"/>
        <v>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 &amp; aws s3 cp s3://rtdc.mdm.uploadarchive.raw/RTDC4006/ "%USERPROFILE%\AppData\Local\Temp\OnboardLogs"\RTDC4006\2017-03-04 --exclude "*" --recursive --include "*20170304*" &amp; "%USERPROFILE%\Documents\GitHub\mrs-test-scripts\Headless Mode &amp; Sideloading\WalkAndUnGZ.bat" "%USERPROFILE%\AppData\Local\Temp\OnboardLogs"\RTDC4006\2017-03-04</v>
      </c>
      <c r="AF187" s="82" t="str">
        <f t="shared" si="61"/>
        <v>"C:\Program Files (x86)\AstroGrep\AstroGrep.exe" /spath="%USERPROFILE%\AppData\Local\Temp\OnboardLogs" /stypes="app*4006*20170303*" /stext=" 23:.+((SYSTEM_STATE.+slice.+state.+changed )|(ment ac)|(multiple cpu faults)|(system.+state.+changed )|(\[timeout)|(PRM\|1\|D)|(kpr)|(kdp)|(\|lc)|(penalty))" /e /r /s</v>
      </c>
      <c r="AG187" s="1" t="str">
        <f t="shared" si="62"/>
        <v>NW</v>
      </c>
      <c r="AH187" s="86" t="str">
        <f t="shared" si="64"/>
        <v>"%USERPROFILE%\Documents\GitHub\eaglep3\Utilities\RefineRTDCRunTimes.py" --tripid 827-03 --locoid 4006 --swversion DE.1.0.9.0 --startMP 204:976 --initTime 2017-03-03T15:47:30 --startdatetime 2017-03-03T15:51:19 --delay 1 --endMP 300:58995 --enddatetime 2017-03-03T16:05:06 --enforcementcount 0 &gt;&gt;C:\Users\stu\Documents\GitHub\eaglep3-reporting\EC\2017-03-03-refined-times.txt</v>
      </c>
      <c r="AI187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{"issue":{"subject":"","project_id":79,"tracker_id":40,"status_id":1,"priority_id":2,"assigned_to_id":23,"start_date":"2017-03-03","description":"","custom_fields":[{"id":1,"name":"Subdivision","value":"NW"},{"id":4,"name":"Milepost","value":"5.8995"},{"id":17,"name":"Train ID","value":"827-03"},{"id":16,"name":"Locomotive ID","value":"4006"},{"id":130,"name":"Impact","value":""},{"id":150,"name":"Time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6"/>
        <v>start /low /b %USERPROFILE%\Documents\GitHub\eaglep3\Utilities\DownloadLogsFromS3.py --loco 4006 --day 2017-03-03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"%USERPROFILE%\AppData\Local\Temp\OnboardLogs"\RTDC4006\*4006*20170303* | grep -SE "(Enforcement Action)|(\[TIMEOUT)|(CHR.+\|PRM\|1\|D.+(SWITCH|SIGNAL).+UNKNOWN)" - &gt;&gt; 2017-03-03-UncaughtWiMAX.txt</v>
      </c>
    </row>
    <row r="188" spans="1:40" x14ac:dyDescent="0.25">
      <c r="A188" s="33" t="s">
        <v>737</v>
      </c>
      <c r="B188" s="7">
        <v>4005</v>
      </c>
      <c r="C188" s="21" t="s">
        <v>251</v>
      </c>
      <c r="D188" s="21" t="s">
        <v>928</v>
      </c>
      <c r="E188" s="13">
        <v>42797.671574074076</v>
      </c>
      <c r="F188" s="13">
        <v>42797.673009259262</v>
      </c>
      <c r="G188" s="7">
        <v>1</v>
      </c>
      <c r="H188" s="21" t="s">
        <v>561</v>
      </c>
      <c r="I188" s="13">
        <v>42797.685173611113</v>
      </c>
      <c r="J188" s="7">
        <v>0</v>
      </c>
      <c r="K188" s="98" t="str">
        <f t="shared" si="52"/>
        <v>4005/4006</v>
      </c>
      <c r="L188" s="21" t="str">
        <f>VLOOKUP(A188,'Trips&amp;Operators'!$C$1:$G$99999,5,FALSE)</f>
        <v>SMITH MICHAEL</v>
      </c>
      <c r="M188" s="6">
        <f t="shared" si="53"/>
        <v>1.2164351850515231E-2</v>
      </c>
      <c r="N188" s="7">
        <f t="shared" si="70"/>
        <v>17.516666664741933</v>
      </c>
      <c r="O188" s="7"/>
      <c r="P188" s="7"/>
      <c r="Q188" s="22"/>
      <c r="R188" s="22"/>
      <c r="S188" s="31">
        <f t="shared" si="63"/>
        <v>1</v>
      </c>
      <c r="T188" s="46" t="str">
        <f t="shared" si="54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5"/>
        <v>https://d0f6bd738d7f1b3e5a7ca70fe4ff75f0.us-east-1.aws.found.io/app/kibana#/discover/Steve-Slow-Train-Analysis-(2080s-and-2083s)?_g=(refreshInterval:(display:Off,pause:!f,section:0,value:0),time:(from:'2017-03-03T15:07:04-0700',mode:absolute,to:'2017-03-03T17:26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197" t="str">
        <f t="shared" si="56"/>
        <v>N</v>
      </c>
      <c r="X188" s="197">
        <f t="shared" si="71"/>
        <v>1</v>
      </c>
      <c r="Y188" s="62">
        <f t="shared" si="69"/>
        <v>5.8677000000000001</v>
      </c>
      <c r="Z188" s="62">
        <f t="shared" si="57"/>
        <v>6.8500000000000005E-2</v>
      </c>
      <c r="AA188" s="62">
        <f t="shared" si="58"/>
        <v>5.7991999999999999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9"/>
        <v>0828-03</v>
      </c>
      <c r="AE188" s="85" t="str">
        <f t="shared" si="60"/>
        <v>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 &amp; aws s3 cp s3://rtdc.mdm.uploadarchive.raw/RTDC4005/ "%USERPROFILE%\AppData\Local\Temp\OnboardLogs"\RTDC4005\2017-03-04 --exclude "*" --recursive --include "*20170304*" &amp; "%USERPROFILE%\Documents\GitHub\mrs-test-scripts\Headless Mode &amp; Sideloading\WalkAndUnGZ.bat" "%USERPROFILE%\AppData\Local\Temp\OnboardLogs"\RTDC4005\2017-03-04</v>
      </c>
      <c r="AF188" s="82" t="str">
        <f t="shared" si="61"/>
        <v>"C:\Program Files (x86)\AstroGrep\AstroGrep.exe" /spath="%USERPROFILE%\AppData\Local\Temp\OnboardLogs" /stypes="app*4005*20170303*" /stext=" 23:.+((SYSTEM_STATE.+slice.+state.+changed )|(ment ac)|(multiple cpu faults)|(system.+state.+changed )|(\[timeout)|(PRM\|1\|D)|(kpr)|(kdp)|(\|lc)|(penalty))" /e /r /s</v>
      </c>
      <c r="AG188" s="1" t="str">
        <f t="shared" si="62"/>
        <v>NW</v>
      </c>
      <c r="AH188" s="86" t="str">
        <f t="shared" si="64"/>
        <v>"%USERPROFILE%\Documents\GitHub\eaglep3\Utilities\RefineRTDCRunTimes.py" --tripid 828-03 --locoid 4005 --swversion DE.1.0.9.0 --startMP 300:58677 --initTime 2017-03-03T16:07:04 --startdatetime 2017-03-03T16:09:08 --delay 1 --endMP 204:685 --enddatetime 2017-03-03T16:26:39 --enforcementcount 0 &gt;&gt;C:\Users\stu\Documents\GitHub\eaglep3-reporting\EC\2017-03-03-refined-times.txt</v>
      </c>
      <c r="AI188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{"issue":{"subject":"","project_id":79,"tracker_id":40,"status_id":1,"priority_id":2,"assigned_to_id":23,"start_date":"2017-03-03","description":"","custom_fields":[{"id":1,"name":"Subdivision","value":"NW"},{"id":4,"name":"Milepost","value":"0.0685"},{"id":17,"name":"Train ID","value":"828-03"},{"id":16,"name":"Locomotive ID","value":"4005"},{"id":130,"name":"Impact","value":""},{"id":150,"name":"Time of Event (Mountain Time)","value":"16:26:39"},{"id":151,"name":"Denver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6"/>
        <v>start /low /b %USERPROFILE%\Documents\GitHub\eaglep3\Utilities\DownloadLogsFromS3.py --loco 4005 --day 2017-03-03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"%USERPROFILE%\AppData\Local\Temp\OnboardLogs"\RTDC4005\*4005*20170303* | grep -SE "(Enforcement Action)|(\[TIMEOUT)|(CHR.+\|PRM\|1\|D.+(SWITCH|SIGNAL).+UNKNOWN)" - &gt;&gt; 2017-03-03-UncaughtWiMAX.txt</v>
      </c>
    </row>
    <row r="189" spans="1:40" x14ac:dyDescent="0.25">
      <c r="A189" s="33" t="s">
        <v>736</v>
      </c>
      <c r="B189" s="7">
        <v>4044</v>
      </c>
      <c r="C189" s="21" t="s">
        <v>251</v>
      </c>
      <c r="D189" s="21" t="s">
        <v>357</v>
      </c>
      <c r="E189" s="13">
        <v>42797.67019675926</v>
      </c>
      <c r="F189" s="13">
        <v>42797.681446759256</v>
      </c>
      <c r="G189" s="7">
        <v>1</v>
      </c>
      <c r="H189" s="21" t="s">
        <v>358</v>
      </c>
      <c r="I189" s="13">
        <v>42797.69085648148</v>
      </c>
      <c r="J189" s="7">
        <v>0</v>
      </c>
      <c r="K189" s="98" t="str">
        <f t="shared" si="52"/>
        <v>4043/4044</v>
      </c>
      <c r="L189" s="21" t="str">
        <f>VLOOKUP(A189,'Trips&amp;Operators'!$C$1:$G$99999,5,FALSE)</f>
        <v>LEVERE CRAIG</v>
      </c>
      <c r="M189" s="6">
        <f t="shared" si="53"/>
        <v>9.4097222245181911E-3</v>
      </c>
      <c r="N189" s="7">
        <f t="shared" si="70"/>
        <v>13.550000003306195</v>
      </c>
      <c r="O189" s="7"/>
      <c r="P189" s="7"/>
      <c r="Q189" s="22"/>
      <c r="R189" s="22"/>
      <c r="S189" s="31">
        <f t="shared" si="63"/>
        <v>1</v>
      </c>
      <c r="T189" s="46" t="str">
        <f t="shared" si="54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5"/>
        <v>https://d0f6bd738d7f1b3e5a7ca70fe4ff75f0.us-east-1.aws.found.io/app/kibana#/discover/Steve-Slow-Train-Analysis-(2080s-and-2083s)?_g=(refreshInterval:(display:Off,pause:!f,section:0,value:0),time:(from:'2017-03-03T15:05:05-0700',mode:absolute,to:'2017-03-03T17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197" t="str">
        <f t="shared" si="56"/>
        <v>N</v>
      </c>
      <c r="X189" s="197">
        <f t="shared" si="71"/>
        <v>1</v>
      </c>
      <c r="Y189" s="62">
        <f t="shared" si="69"/>
        <v>9.6699999999999994E-2</v>
      </c>
      <c r="Z189" s="62">
        <f t="shared" si="57"/>
        <v>5.8952</v>
      </c>
      <c r="AA189" s="62">
        <f t="shared" si="58"/>
        <v>5.7984999999999998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9"/>
        <v>0829-03</v>
      </c>
      <c r="AE189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89" s="82" t="str">
        <f t="shared" si="61"/>
        <v>"C:\Program Files (x86)\AstroGrep\AstroGrep.exe" /spath="%USERPROFILE%\AppData\Local\Temp\OnboardLogs" /stypes="app*4044*20170303*" /stext=" 23:.+((SYSTEM_STATE.+slice.+state.+changed )|(ment ac)|(multiple cpu faults)|(system.+state.+changed )|(\[timeout)|(PRM\|1\|D)|(kpr)|(kdp)|(\|lc)|(penalty))" /e /r /s</v>
      </c>
      <c r="AG189" s="1" t="str">
        <f t="shared" si="62"/>
        <v>NW</v>
      </c>
      <c r="AH189" s="86" t="str">
        <f t="shared" si="64"/>
        <v>"%USERPROFILE%\Documents\GitHub\eaglep3\Utilities\RefineRTDCRunTimes.py" --tripid 829-03 --locoid 4044 --swversion DE.1.0.9.0 --startMP 204:967 --initTime 2017-03-03T16:05:05 --startdatetime 2017-03-03T16:21:17 --delay 1 --endMP 300:58952 --enddatetime 2017-03-03T16:34:50 --enforcementcount 0 &gt;&gt;C:\Users\stu\Documents\GitHub\eaglep3-reporting\EC\2017-03-03-refined-times.txt</v>
      </c>
      <c r="AI189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{"issue":{"subject":"","project_id":79,"tracker_id":40,"status_id":1,"priority_id":2,"assigned_to_id":23,"start_date":"2017-03-03","description":"","custom_fields":[{"id":1,"name":"Subdivision","value":"NW"},{"id":4,"name":"Milepost","value":"5.8952"},{"id":17,"name":"Train ID","value":"829-03"},{"id":16,"name":"Locomotive ID","value":"4044"},{"id":130,"name":"Impact","value":""},{"id":150,"name":"Time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6"/>
        <v>start /low /b %USERPROFILE%\Documents\GitHub\eaglep3\Utilities\DownloadLogsFromS3.py --loco 4044 --day 2017-03-03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2017-03-03-UncaughtWiMAX.txt</v>
      </c>
    </row>
    <row r="190" spans="1:40" x14ac:dyDescent="0.25">
      <c r="A190" s="33" t="s">
        <v>741</v>
      </c>
      <c r="B190" s="7">
        <v>4043</v>
      </c>
      <c r="C190" s="21" t="s">
        <v>251</v>
      </c>
      <c r="D190" s="21" t="s">
        <v>946</v>
      </c>
      <c r="E190" s="13">
        <v>42797.69190972222</v>
      </c>
      <c r="F190" s="13">
        <v>42797.693402777775</v>
      </c>
      <c r="G190" s="7">
        <v>1</v>
      </c>
      <c r="H190" s="21" t="s">
        <v>947</v>
      </c>
      <c r="I190" s="13">
        <v>42797.705659722225</v>
      </c>
      <c r="J190" s="7">
        <v>0</v>
      </c>
      <c r="K190" s="98" t="str">
        <f t="shared" si="52"/>
        <v>4043/4044</v>
      </c>
      <c r="L190" s="21" t="str">
        <f>VLOOKUP(A190,'Trips&amp;Operators'!$C$1:$G$99999,5,FALSE)</f>
        <v>LEVERE CRAIG</v>
      </c>
      <c r="M190" s="6">
        <f t="shared" si="53"/>
        <v>1.2256944450200535E-2</v>
      </c>
      <c r="N190" s="7">
        <f t="shared" si="70"/>
        <v>17.650000008288771</v>
      </c>
      <c r="O190" s="7"/>
      <c r="P190" s="7"/>
      <c r="Q190" s="22"/>
      <c r="R190" s="22"/>
      <c r="S190" s="31">
        <f t="shared" si="63"/>
        <v>1</v>
      </c>
      <c r="T190" s="46" t="str">
        <f t="shared" si="54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5"/>
        <v>https://d0f6bd738d7f1b3e5a7ca70fe4ff75f0.us-east-1.aws.found.io/app/kibana#/discover/Steve-Slow-Train-Analysis-(2080s-and-2083s)?_g=(refreshInterval:(display:Off,pause:!f,section:0,value:0),time:(from:'2017-03-03T15:36:21-0700',mode:absolute,to:'2017-03-03T17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197" t="str">
        <f t="shared" si="56"/>
        <v>N</v>
      </c>
      <c r="X190" s="197">
        <f t="shared" si="71"/>
        <v>1</v>
      </c>
      <c r="Y190" s="62">
        <f t="shared" si="69"/>
        <v>5.8640999999999996</v>
      </c>
      <c r="Z190" s="62">
        <f t="shared" si="57"/>
        <v>6.8900000000000003E-2</v>
      </c>
      <c r="AA190" s="62">
        <f t="shared" si="58"/>
        <v>5.7951999999999995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9"/>
        <v>0830-03</v>
      </c>
      <c r="AE190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90" s="82" t="str">
        <f t="shared" si="61"/>
        <v>"C:\Program Files (x86)\AstroGrep\AstroGrep.exe" /spath="%USERPROFILE%\AppData\Local\Temp\OnboardLogs" /stypes="app*4043*20170303*" /stext=" 23:.+((SYSTEM_STATE.+slice.+state.+changed )|(ment ac)|(multiple cpu faults)|(system.+state.+changed )|(\[timeout)|(PRM\|1\|D)|(kpr)|(kdp)|(\|lc)|(penalty))" /e /r /s</v>
      </c>
      <c r="AG190" s="1" t="str">
        <f t="shared" si="62"/>
        <v>NW</v>
      </c>
      <c r="AH190" s="86" t="str">
        <f t="shared" si="64"/>
        <v>"%USERPROFILE%\Documents\GitHub\eaglep3\Utilities\RefineRTDCRunTimes.py" --tripid 830-03 --locoid 4043 --swversion DE.1.0.9.0 --startMP 300:58641 --initTime 2017-03-03T16:36:21 --startdatetime 2017-03-03T16:38:30 --delay 1 --endMP 204:689 --enddatetime 2017-03-03T16:56:09 --enforcementcount 0 &gt;&gt;C:\Users\stu\Documents\GitHub\eaglep3-reporting\EC\2017-03-03-refined-times.txt</v>
      </c>
      <c r="AI190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{"issue":{"subject":"","project_id":79,"tracker_id":40,"status_id":1,"priority_id":2,"assigned_to_id":23,"start_date":"2017-03-03","description":"","custom_fields":[{"id":1,"name":"Subdivision","value":"NW"},{"id":4,"name":"Milepost","value":"0.0689"},{"id":17,"name":"Train ID","value":"830-03"},{"id":16,"name":"Locomotive ID","value":"4043"},{"id":130,"name":"Impact","value":""},{"id":150,"name":"Time of Event (Mountain Time)","value":"16:56:09"},{"id":151,"name":"Denver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6"/>
        <v>start /low /b %USERPROFILE%\Documents\GitHub\eaglep3\Utilities\DownloadLogsFromS3.py --loco 4043 --day 2017-03-03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</row>
    <row r="191" spans="1:40" x14ac:dyDescent="0.25">
      <c r="A191" s="33" t="s">
        <v>743</v>
      </c>
      <c r="B191" s="7">
        <v>4006</v>
      </c>
      <c r="C191" s="21" t="s">
        <v>251</v>
      </c>
      <c r="D191" s="21" t="s">
        <v>948</v>
      </c>
      <c r="E191" s="13">
        <v>42797.695868055554</v>
      </c>
      <c r="F191" s="13">
        <v>42797.702361111114</v>
      </c>
      <c r="G191" s="7">
        <v>1</v>
      </c>
      <c r="H191" s="21" t="s">
        <v>949</v>
      </c>
      <c r="I191" s="13">
        <v>42797.711967592593</v>
      </c>
      <c r="J191" s="7">
        <v>0</v>
      </c>
      <c r="K191" s="98" t="str">
        <f t="shared" si="52"/>
        <v>4005/4006</v>
      </c>
      <c r="L191" s="21" t="str">
        <f>VLOOKUP(A191,'Trips&amp;Operators'!$C$1:$G$99999,5,FALSE)</f>
        <v>SMITH MICHAEL</v>
      </c>
      <c r="M191" s="6">
        <f t="shared" si="53"/>
        <v>9.6064814788405783E-3</v>
      </c>
      <c r="N191" s="7">
        <f t="shared" si="70"/>
        <v>13.833333329530433</v>
      </c>
      <c r="O191" s="7"/>
      <c r="P191" s="7"/>
      <c r="Q191" s="22"/>
      <c r="R191" s="22"/>
      <c r="S191" s="31">
        <f t="shared" si="63"/>
        <v>1</v>
      </c>
      <c r="T191" s="46" t="str">
        <f t="shared" si="54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5"/>
        <v>https://d0f6bd738d7f1b3e5a7ca70fe4ff75f0.us-east-1.aws.found.io/app/kibana#/discover/Steve-Slow-Train-Analysis-(2080s-and-2083s)?_g=(refreshInterval:(display:Off,pause:!f,section:0,value:0),time:(from:'2017-03-03T15:42:03-0700',mode:absolute,to:'2017-03-03T18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1" s="197" t="str">
        <f t="shared" si="56"/>
        <v>N</v>
      </c>
      <c r="X191" s="197">
        <f t="shared" si="71"/>
        <v>1</v>
      </c>
      <c r="Y191" s="62">
        <f t="shared" si="69"/>
        <v>9.6199999999999994E-2</v>
      </c>
      <c r="Z191" s="62">
        <f t="shared" si="57"/>
        <v>5.8975</v>
      </c>
      <c r="AA191" s="62">
        <f t="shared" si="58"/>
        <v>5.8013000000000003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9"/>
        <v>0831-03</v>
      </c>
      <c r="AE191" s="85" t="str">
        <f t="shared" si="60"/>
        <v>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 &amp; aws s3 cp s3://rtdc.mdm.uploadarchive.raw/RTDC4006/ "%USERPROFILE%\AppData\Local\Temp\OnboardLogs"\RTDC4006\2017-03-04 --exclude "*" --recursive --include "*20170304*" &amp; "%USERPROFILE%\Documents\GitHub\mrs-test-scripts\Headless Mode &amp; Sideloading\WalkAndUnGZ.bat" "%USERPROFILE%\AppData\Local\Temp\OnboardLogs"\RTDC4006\2017-03-04</v>
      </c>
      <c r="AF191" s="82" t="str">
        <f t="shared" si="61"/>
        <v>"C:\Program Files (x86)\AstroGrep\AstroGrep.exe" /spath="%USERPROFILE%\AppData\Local\Temp\OnboardLogs" /stypes="app*4006*20170304*" /stext=" 00:.+((SYSTEM_STATE.+slice.+state.+changed )|(ment ac)|(multiple cpu faults)|(system.+state.+changed )|(\[timeout)|(PRM\|1\|D)|(kpr)|(kdp)|(\|lc)|(penalty))" /e /r /s</v>
      </c>
      <c r="AG191" s="1" t="str">
        <f t="shared" si="62"/>
        <v>NW</v>
      </c>
      <c r="AH191" s="86" t="str">
        <f t="shared" si="64"/>
        <v>"%USERPROFILE%\Documents\GitHub\eaglep3\Utilities\RefineRTDCRunTimes.py" --tripid 831-03 --locoid 4006 --swversion DE.1.0.9.0 --startMP 204:962 --initTime 2017-03-03T16:42:03 --startdatetime 2017-03-03T16:51:24 --delay 1 --endMP 300:58975 --enddatetime 2017-03-03T17:05:14 --enforcementcount 0 &gt;&gt;C:\Users\stu\Documents\GitHub\eaglep3-reporting\EC\2017-03-03-refined-times.txt</v>
      </c>
      <c r="AI191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{"issue":{"subject":"","project_id":79,"tracker_id":40,"status_id":1,"priority_id":2,"assigned_to_id":23,"start_date":"2017-03-03","description":"","custom_fields":[{"id":1,"name":"Subdivision","value":"NW"},{"id":4,"name":"Milepost","value":"5.8975"},{"id":17,"name":"Train ID","value":"831-03"},{"id":16,"name":"Locomotive ID","value":"4006"},{"id":130,"name":"Impact","value":""},{"id":150,"name":"Time of Event (Mountain Time)","value":"17:05:14"},{"id":151,"name":"Denver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6"/>
        <v>start /low /b %USERPROFILE%\Documents\GitHub\eaglep3\Utilities\DownloadLogsFromS3.py --loco 4006 --day 2017-03-03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"%USERPROFILE%\AppData\Local\Temp\OnboardLogs"\RTDC4006\*4006*20170303* | grep -SE "(Enforcement Action)|(\[TIMEOUT)|(CHR.+\|PRM\|1\|D.+(SWITCH|SIGNAL).+UNKNOWN)" - &gt;&gt; 2017-03-03-UncaughtWiMAX.txt</v>
      </c>
    </row>
    <row r="192" spans="1:40" x14ac:dyDescent="0.25">
      <c r="A192" s="33" t="s">
        <v>747</v>
      </c>
      <c r="B192" s="7">
        <v>4005</v>
      </c>
      <c r="C192" s="21" t="s">
        <v>251</v>
      </c>
      <c r="D192" s="21" t="s">
        <v>914</v>
      </c>
      <c r="E192" s="13">
        <v>42797.712962962964</v>
      </c>
      <c r="F192" s="13">
        <v>42797.714317129627</v>
      </c>
      <c r="G192" s="7">
        <v>1</v>
      </c>
      <c r="H192" s="21" t="s">
        <v>950</v>
      </c>
      <c r="I192" s="13">
        <v>42797.725868055553</v>
      </c>
      <c r="J192" s="7">
        <v>0</v>
      </c>
      <c r="K192" s="98" t="str">
        <f t="shared" si="52"/>
        <v>4005/4006</v>
      </c>
      <c r="L192" s="21" t="str">
        <f>VLOOKUP(A192,'Trips&amp;Operators'!$C$1:$G$99999,5,FALSE)</f>
        <v>SMITH MICHAEL</v>
      </c>
      <c r="M192" s="6">
        <f t="shared" si="53"/>
        <v>1.1550925926712807E-2</v>
      </c>
      <c r="N192" s="7">
        <f t="shared" si="70"/>
        <v>16.633333334466442</v>
      </c>
      <c r="O192" s="7"/>
      <c r="P192" s="7"/>
      <c r="Q192" s="22"/>
      <c r="R192" s="22"/>
      <c r="S192" s="31">
        <f t="shared" si="63"/>
        <v>1</v>
      </c>
      <c r="T192" s="46" t="str">
        <f t="shared" si="54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5"/>
        <v>https://d0f6bd738d7f1b3e5a7ca70fe4ff75f0.us-east-1.aws.found.io/app/kibana#/discover/Steve-Slow-Train-Analysis-(2080s-and-2083s)?_g=(refreshInterval:(display:Off,pause:!f,section:0,value:0),time:(from:'2017-03-03T16:06:40-0700',mode:absolute,to:'2017-03-03T18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197" t="str">
        <f t="shared" si="56"/>
        <v>N</v>
      </c>
      <c r="X192" s="197">
        <f t="shared" si="71"/>
        <v>1</v>
      </c>
      <c r="Y192" s="62">
        <f t="shared" si="69"/>
        <v>5.8659999999999997</v>
      </c>
      <c r="Z192" s="62">
        <f t="shared" si="57"/>
        <v>6.6799999999999998E-2</v>
      </c>
      <c r="AA192" s="62">
        <f t="shared" si="58"/>
        <v>5.7991999999999999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9"/>
        <v>0832-03</v>
      </c>
      <c r="AE192" s="85" t="str">
        <f t="shared" si="60"/>
        <v>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 &amp; aws s3 cp s3://rtdc.mdm.uploadarchive.raw/RTDC4005/ "%USERPROFILE%\AppData\Local\Temp\OnboardLogs"\RTDC4005\2017-03-04 --exclude "*" --recursive --include "*20170304*" &amp; "%USERPROFILE%\Documents\GitHub\mrs-test-scripts\Headless Mode &amp; Sideloading\WalkAndUnGZ.bat" "%USERPROFILE%\AppData\Local\Temp\OnboardLogs"\RTDC4005\2017-03-04</v>
      </c>
      <c r="AF192" s="82" t="str">
        <f t="shared" si="61"/>
        <v>"C:\Program Files (x86)\AstroGrep\AstroGrep.exe" /spath="%USERPROFILE%\AppData\Local\Temp\OnboardLogs" /stypes="app*4005*20170304*" /stext=" 00:.+((SYSTEM_STATE.+slice.+state.+changed )|(ment ac)|(multiple cpu faults)|(system.+state.+changed )|(\[timeout)|(PRM\|1\|D)|(kpr)|(kdp)|(\|lc)|(penalty))" /e /r /s</v>
      </c>
      <c r="AG192" s="1" t="str">
        <f t="shared" si="62"/>
        <v>NW</v>
      </c>
      <c r="AH192" s="86" t="str">
        <f t="shared" si="64"/>
        <v>"%USERPROFILE%\Documents\GitHub\eaglep3\Utilities\RefineRTDCRunTimes.py" --tripid 832-03 --locoid 4005 --swversion DE.1.0.9.0 --startMP 300:58660 --initTime 2017-03-03T17:06:40 --startdatetime 2017-03-03T17:08:37 --delay 1 --endMP 204:668 --enddatetime 2017-03-03T17:25:15 --enforcementcount 0 &gt;&gt;C:\Users\stu\Documents\GitHub\eaglep3-reporting\EC\2017-03-03-refined-times.txt</v>
      </c>
      <c r="AI192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{"issue":{"subject":"","project_id":79,"tracker_id":40,"status_id":1,"priority_id":2,"assigned_to_id":23,"start_date":"2017-03-03","description":"","custom_fields":[{"id":1,"name":"Subdivision","value":"NW"},{"id":4,"name":"Milepost","value":"0.0668"},{"id":17,"name":"Train ID","value":"832-03"},{"id":16,"name":"Locomotive ID","value":"4005"},{"id":130,"name":"Impact","value":""},{"id":150,"name":"Time of Event (Mountain Time)","value":"17:25:15"},{"id":151,"name":"Denver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6"/>
        <v>start /low /b %USERPROFILE%\Documents\GitHub\eaglep3\Utilities\DownloadLogsFromS3.py --loco 4005 --day 2017-03-03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"%USERPROFILE%\AppData\Local\Temp\OnboardLogs"\RTDC4005\*4005*20170304* | grep -SE "(Enforcement Action)|(\[TIMEOUT)|(CHR.+\|PRM\|1\|D.+(SWITCH|SIGNAL).+UNKNOWN)" - &gt;&gt; 2017-03-03-UncaughtWiMAX.txt</v>
      </c>
    </row>
    <row r="193" spans="1:40" x14ac:dyDescent="0.25">
      <c r="A193" s="33" t="s">
        <v>750</v>
      </c>
      <c r="B193" s="7">
        <v>4044</v>
      </c>
      <c r="C193" s="21" t="s">
        <v>251</v>
      </c>
      <c r="D193" s="21" t="s">
        <v>951</v>
      </c>
      <c r="E193" s="13">
        <v>42797.717650462961</v>
      </c>
      <c r="F193" s="13">
        <v>42797.723090277781</v>
      </c>
      <c r="G193" s="7">
        <v>1</v>
      </c>
      <c r="H193" s="21" t="s">
        <v>306</v>
      </c>
      <c r="I193" s="13">
        <v>42797.732233796298</v>
      </c>
      <c r="J193" s="7">
        <v>0</v>
      </c>
      <c r="K193" s="98" t="str">
        <f t="shared" si="52"/>
        <v>4043/4044</v>
      </c>
      <c r="L193" s="21" t="str">
        <f>VLOOKUP(A193,'Trips&amp;Operators'!$C$1:$G$99999,5,FALSE)</f>
        <v>LEVERE CRAIG</v>
      </c>
      <c r="M193" s="6">
        <f t="shared" si="53"/>
        <v>9.1435185167938471E-3</v>
      </c>
      <c r="N193" s="7">
        <f t="shared" si="70"/>
        <v>13.16666666418314</v>
      </c>
      <c r="O193" s="7"/>
      <c r="P193" s="7"/>
      <c r="Q193" s="22"/>
      <c r="R193" s="22"/>
      <c r="S193" s="31">
        <f t="shared" si="63"/>
        <v>1</v>
      </c>
      <c r="T193" s="46" t="str">
        <f t="shared" si="54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5"/>
        <v>https://d0f6bd738d7f1b3e5a7ca70fe4ff75f0.us-east-1.aws.found.io/app/kibana#/discover/Steve-Slow-Train-Analysis-(2080s-and-2083s)?_g=(refreshInterval:(display:Off,pause:!f,section:0,value:0),time:(from:'2017-03-03T16:13:25-0700',mode:absolute,to:'2017-03-03T18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197" t="str">
        <f t="shared" si="56"/>
        <v>N</v>
      </c>
      <c r="X193" s="197">
        <f t="shared" si="71"/>
        <v>1</v>
      </c>
      <c r="Y193" s="62">
        <f t="shared" si="69"/>
        <v>9.9000000000000005E-2</v>
      </c>
      <c r="Z193" s="62">
        <f t="shared" si="57"/>
        <v>5.8949999999999996</v>
      </c>
      <c r="AA193" s="62">
        <f t="shared" si="58"/>
        <v>5.7959999999999994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9"/>
        <v>0833-03</v>
      </c>
      <c r="AE193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93" s="82" t="str">
        <f t="shared" si="61"/>
        <v>"C:\Program Files (x86)\AstroGrep\AstroGrep.exe" /spath="%USERPROFILE%\AppData\Local\Temp\OnboardLogs" /stypes="app*4044*20170304*" /stext=" 00:.+((SYSTEM_STATE.+slice.+state.+changed )|(ment ac)|(multiple cpu faults)|(system.+state.+changed )|(\[timeout)|(PRM\|1\|D)|(kpr)|(kdp)|(\|lc)|(penalty))" /e /r /s</v>
      </c>
      <c r="AG193" s="1" t="str">
        <f t="shared" si="62"/>
        <v>NW</v>
      </c>
      <c r="AH193" s="86" t="str">
        <f t="shared" si="64"/>
        <v>"%USERPROFILE%\Documents\GitHub\eaglep3\Utilities\RefineRTDCRunTimes.py" --tripid 833-03 --locoid 4044 --swversion DE.1.0.9.0 --startMP 204:990 --initTime 2017-03-03T17:13:25 --startdatetime 2017-03-03T17:21:15 --delay 1 --endMP 300:58950 --enddatetime 2017-03-03T17:34:25 --enforcementcount 0 &gt;&gt;C:\Users\stu\Documents\GitHub\eaglep3-reporting\EC\2017-03-03-refined-times.txt</v>
      </c>
      <c r="AI193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{"issue":{"subject":"","project_id":79,"tracker_id":40,"status_id":1,"priority_id":2,"assigned_to_id":23,"start_date":"2017-03-03","description":"","custom_fields":[{"id":1,"name":"Subdivision","value":"NW"},{"id":4,"name":"Milepost","value":"5.895"},{"id":17,"name":"Train ID","value":"833-03"},{"id":16,"name":"Locomotive ID","value":"4044"},{"id":130,"name":"Impact","value":""},{"id":150,"name":"Time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6"/>
        <v>start /low /b %USERPROFILE%\Documents\GitHub\eaglep3\Utilities\DownloadLogsFromS3.py --loco 4044 --day 2017-03-03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"%USERPROFILE%\AppData\Local\Temp\OnboardLogs"\RTDC4044\*4044*20170304* | grep -SE "(Enforcement Action)|(\[TIMEOUT)|(CHR.+\|PRM\|1\|D.+(SWITCH|SIGNAL).+UNKNOWN)" - &gt;&gt; 2017-03-03-UncaughtWiMAX.txt</v>
      </c>
    </row>
    <row r="194" spans="1:40" x14ac:dyDescent="0.25">
      <c r="A194" s="33" t="s">
        <v>753</v>
      </c>
      <c r="B194" s="7">
        <v>4043</v>
      </c>
      <c r="C194" s="21" t="s">
        <v>251</v>
      </c>
      <c r="D194" s="21" t="s">
        <v>551</v>
      </c>
      <c r="E194" s="13">
        <v>42797.733067129629</v>
      </c>
      <c r="F194" s="13">
        <v>42797.734560185185</v>
      </c>
      <c r="G194" s="7">
        <v>1</v>
      </c>
      <c r="H194" s="21" t="s">
        <v>952</v>
      </c>
      <c r="I194" s="13">
        <v>42797.74759259259</v>
      </c>
      <c r="J194" s="7">
        <v>0</v>
      </c>
      <c r="K194" s="98" t="str">
        <f t="shared" si="52"/>
        <v>4043/4044</v>
      </c>
      <c r="L194" s="21" t="str">
        <f>VLOOKUP(A194,'Trips&amp;Operators'!$C$1:$G$99999,5,FALSE)</f>
        <v>LEVERE CRAIG</v>
      </c>
      <c r="M194" s="6">
        <f t="shared" si="53"/>
        <v>1.3032407405262347E-2</v>
      </c>
      <c r="N194" s="7">
        <f t="shared" si="70"/>
        <v>18.76666666357778</v>
      </c>
      <c r="O194" s="7"/>
      <c r="P194" s="7"/>
      <c r="Q194" s="22"/>
      <c r="R194" s="22"/>
      <c r="S194" s="31">
        <f t="shared" si="63"/>
        <v>1</v>
      </c>
      <c r="T194" s="46" t="str">
        <f t="shared" si="54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5"/>
        <v>https://d0f6bd738d7f1b3e5a7ca70fe4ff75f0.us-east-1.aws.found.io/app/kibana#/discover/Steve-Slow-Train-Analysis-(2080s-and-2083s)?_g=(refreshInterval:(display:Off,pause:!f,section:0,value:0),time:(from:'2017-03-03T16:35:37-0700',mode:absolute,to:'2017-03-03T18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197" t="str">
        <f t="shared" si="56"/>
        <v>N</v>
      </c>
      <c r="X194" s="197">
        <f t="shared" si="71"/>
        <v>1</v>
      </c>
      <c r="Y194" s="62">
        <f t="shared" si="69"/>
        <v>5.8634000000000004</v>
      </c>
      <c r="Z194" s="62">
        <f t="shared" si="57"/>
        <v>6.9800000000000001E-2</v>
      </c>
      <c r="AA194" s="62">
        <f t="shared" si="58"/>
        <v>5.7936000000000005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9"/>
        <v>0834-03</v>
      </c>
      <c r="AE194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94" s="82" t="str">
        <f t="shared" si="61"/>
        <v>"C:\Program Files (x86)\AstroGrep\AstroGrep.exe" /spath="%USERPROFILE%\AppData\Local\Temp\OnboardLogs" /stypes="app*4043*20170304*" /stext=" 00:.+((SYSTEM_STATE.+slice.+state.+changed )|(ment ac)|(multiple cpu faults)|(system.+state.+changed )|(\[timeout)|(PRM\|1\|D)|(kpr)|(kdp)|(\|lc)|(penalty))" /e /r /s</v>
      </c>
      <c r="AG194" s="1" t="str">
        <f t="shared" si="62"/>
        <v>NW</v>
      </c>
      <c r="AH194" s="86" t="str">
        <f t="shared" si="64"/>
        <v>"%USERPROFILE%\Documents\GitHub\eaglep3\Utilities\RefineRTDCRunTimes.py" --tripid 834-03 --locoid 4043 --swversion DE.1.0.9.0 --startMP 300:58634 --initTime 2017-03-03T17:35:37 --startdatetime 2017-03-03T17:37:46 --delay 1 --endMP 204:698 --enddatetime 2017-03-03T17:56:32 --enforcementcount 0 &gt;&gt;C:\Users\stu\Documents\GitHub\eaglep3-reporting\EC\2017-03-03-refined-times.txt</v>
      </c>
      <c r="AI194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{"issue":{"subject":"","project_id":79,"tracker_id":40,"status_id":1,"priority_id":2,"assigned_to_id":23,"start_date":"2017-03-03","description":"","custom_fields":[{"id":1,"name":"Subdivision","value":"NW"},{"id":4,"name":"Milepost","value":"0.0698"},{"id":17,"name":"Train ID","value":"834-03"},{"id":16,"name":"Locomotive ID","value":"4043"},{"id":130,"name":"Impact","value":""},{"id":150,"name":"Time of Event (Mountain Time)","value":"17:56:32"},{"id":151,"name":"Denver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6"/>
        <v>start /low /b %USERPROFILE%\Documents\GitHub\eaglep3\Utilities\DownloadLogsFromS3.py --loco 4043 --day 2017-03-03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"%USERPROFILE%\AppData\Local\Temp\OnboardLogs"\RTDC4043\*4043*20170304* | grep -SE "(Enforcement Action)|(\[TIMEOUT)|(CHR.+\|PRM\|1\|D.+(SWITCH|SIGNAL).+UNKNOWN)" - &gt;&gt; 2017-03-03-UncaughtWiMAX.txt</v>
      </c>
    </row>
    <row r="195" spans="1:40" x14ac:dyDescent="0.25">
      <c r="A195" s="33" t="s">
        <v>751</v>
      </c>
      <c r="B195" s="7">
        <v>4006</v>
      </c>
      <c r="C195" s="21" t="s">
        <v>251</v>
      </c>
      <c r="D195" s="21" t="s">
        <v>953</v>
      </c>
      <c r="E195" s="13">
        <v>42797.73097222222</v>
      </c>
      <c r="F195" s="13">
        <v>42797.743969907409</v>
      </c>
      <c r="G195" s="7">
        <v>1</v>
      </c>
      <c r="H195" s="21" t="s">
        <v>954</v>
      </c>
      <c r="I195" s="13">
        <v>42797.754178240742</v>
      </c>
      <c r="J195" s="7">
        <v>0</v>
      </c>
      <c r="K195" s="98" t="str">
        <f t="shared" si="52"/>
        <v>4005/4006</v>
      </c>
      <c r="L195" s="21" t="str">
        <f>VLOOKUP(A195,'Trips&amp;Operators'!$C$1:$G$99999,5,FALSE)</f>
        <v>SMITH MICHAEL</v>
      </c>
      <c r="M195" s="6">
        <f t="shared" si="53"/>
        <v>1.0208333333139308E-2</v>
      </c>
      <c r="N195" s="7">
        <f t="shared" si="70"/>
        <v>14.699999999720603</v>
      </c>
      <c r="O195" s="7"/>
      <c r="P195" s="7"/>
      <c r="Q195" s="22"/>
      <c r="R195" s="22"/>
      <c r="S195" s="31">
        <f t="shared" si="63"/>
        <v>1</v>
      </c>
      <c r="T195" s="46" t="str">
        <f t="shared" si="54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5"/>
        <v>https://d0f6bd738d7f1b3e5a7ca70fe4ff75f0.us-east-1.aws.found.io/app/kibana#/discover/Steve-Slow-Train-Analysis-(2080s-and-2083s)?_g=(refreshInterval:(display:Off,pause:!f,section:0,value:0),time:(from:'2017-03-03T16:32:36-0700',mode:absolute,to:'2017-03-03T19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5" s="197" t="str">
        <f t="shared" si="56"/>
        <v>N</v>
      </c>
      <c r="X195" s="197">
        <f t="shared" si="71"/>
        <v>1</v>
      </c>
      <c r="Y195" s="62">
        <f t="shared" si="69"/>
        <v>9.6500000000000002E-2</v>
      </c>
      <c r="Z195" s="62">
        <f t="shared" si="57"/>
        <v>5.8945999999999996</v>
      </c>
      <c r="AA195" s="62">
        <f t="shared" si="58"/>
        <v>5.7980999999999998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9"/>
        <v>0835-03</v>
      </c>
      <c r="AE195" s="85" t="str">
        <f t="shared" si="60"/>
        <v>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 &amp; aws s3 cp s3://rtdc.mdm.uploadarchive.raw/RTDC4006/ "%USERPROFILE%\AppData\Local\Temp\OnboardLogs"\RTDC4006\2017-03-04 --exclude "*" --recursive --include "*20170304*" &amp; "%USERPROFILE%\Documents\GitHub\mrs-test-scripts\Headless Mode &amp; Sideloading\WalkAndUnGZ.bat" "%USERPROFILE%\AppData\Local\Temp\OnboardLogs"\RTDC4006\2017-03-04</v>
      </c>
      <c r="AF195" s="82" t="str">
        <f t="shared" si="61"/>
        <v>"C:\Program Files (x86)\AstroGrep\AstroGrep.exe" /spath="%USERPROFILE%\AppData\Local\Temp\OnboardLogs" /stypes="app*4006*20170304*" /stext=" 01:.+((SYSTEM_STATE.+slice.+state.+changed )|(ment ac)|(multiple cpu faults)|(system.+state.+changed )|(\[timeout)|(PRM\|1\|D)|(kpr)|(kdp)|(\|lc)|(penalty))" /e /r /s</v>
      </c>
      <c r="AG195" s="1" t="str">
        <f t="shared" si="62"/>
        <v>NW</v>
      </c>
      <c r="AH195" s="86" t="str">
        <f t="shared" si="64"/>
        <v>"%USERPROFILE%\Documents\GitHub\eaglep3\Utilities\RefineRTDCRunTimes.py" --tripid 835-03 --locoid 4006 --swversion DE.1.0.9.0 --startMP 204:965 --initTime 2017-03-03T17:32:36 --startdatetime 2017-03-03T17:51:19 --delay 1 --endMP 300:58946 --enddatetime 2017-03-03T18:06:01 --enforcementcount 0 &gt;&gt;C:\Users\stu\Documents\GitHub\eaglep3-reporting\EC\2017-03-03-refined-times.txt</v>
      </c>
      <c r="AI195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{"issue":{"subject":"","project_id":79,"tracker_id":40,"status_id":1,"priority_id":2,"assigned_to_id":23,"start_date":"2017-03-03","description":"","custom_fields":[{"id":1,"name":"Subdivision","value":"NW"},{"id":4,"name":"Milepost","value":"5.8946"},{"id":17,"name":"Train ID","value":"835-03"},{"id":16,"name":"Locomotive ID","value":"4006"},{"id":130,"name":"Impact","value":""},{"id":150,"name":"Time of Event (Mountain Time)","value":"18:06:01"},{"id":151,"name":"Denver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6"/>
        <v>start /low /b %USERPROFILE%\Documents\GitHub\eaglep3\Utilities\DownloadLogsFromS3.py --loco 4006 --day 2017-03-03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"%USERPROFILE%\AppData\Local\Temp\OnboardLogs"\RTDC4006\*4006*20170304* | grep -SE "(Enforcement Action)|(\[TIMEOUT)|(CHR.+\|PRM\|1\|D.+(SWITCH|SIGNAL).+UNKNOWN)" - &gt;&gt; 2017-03-03-UncaughtWiMAX.txt</v>
      </c>
    </row>
    <row r="196" spans="1:40" x14ac:dyDescent="0.25">
      <c r="A196" s="33" t="s">
        <v>758</v>
      </c>
      <c r="B196" s="7">
        <v>4005</v>
      </c>
      <c r="C196" s="21" t="s">
        <v>251</v>
      </c>
      <c r="D196" s="21" t="s">
        <v>305</v>
      </c>
      <c r="E196" s="13">
        <v>42797.755254629628</v>
      </c>
      <c r="F196" s="13">
        <v>42797.756747685184</v>
      </c>
      <c r="G196" s="7">
        <v>1</v>
      </c>
      <c r="H196" s="21" t="s">
        <v>558</v>
      </c>
      <c r="I196" s="13">
        <v>42797.767777777779</v>
      </c>
      <c r="J196" s="7">
        <v>0</v>
      </c>
      <c r="K196" s="98" t="str">
        <f t="shared" si="52"/>
        <v>4005/4006</v>
      </c>
      <c r="L196" s="21" t="str">
        <f>VLOOKUP(A196,'Trips&amp;Operators'!$C$1:$G$99999,5,FALSE)</f>
        <v>SMITH MICHAEL</v>
      </c>
      <c r="M196" s="6">
        <f t="shared" si="53"/>
        <v>1.1030092595319729E-2</v>
      </c>
      <c r="N196" s="7">
        <f t="shared" si="70"/>
        <v>15.88333333726041</v>
      </c>
      <c r="O196" s="7"/>
      <c r="P196" s="7"/>
      <c r="Q196" s="22"/>
      <c r="R196" s="22"/>
      <c r="S196" s="31">
        <f t="shared" si="63"/>
        <v>1</v>
      </c>
      <c r="T196" s="46" t="str">
        <f t="shared" si="54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5"/>
        <v>https://d0f6bd738d7f1b3e5a7ca70fe4ff75f0.us-east-1.aws.found.io/app/kibana#/discover/Steve-Slow-Train-Analysis-(2080s-and-2083s)?_g=(refreshInterval:(display:Off,pause:!f,section:0,value:0),time:(from:'2017-03-03T17:07:34-0700',mode:absolute,to:'2017-03-03T19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6" s="197" t="str">
        <f t="shared" si="56"/>
        <v>N</v>
      </c>
      <c r="X196" s="197">
        <f t="shared" si="71"/>
        <v>1</v>
      </c>
      <c r="Y196" s="62">
        <f t="shared" si="69"/>
        <v>5.8635999999999999</v>
      </c>
      <c r="Z196" s="62">
        <f t="shared" si="57"/>
        <v>6.7699999999999996E-2</v>
      </c>
      <c r="AA196" s="62">
        <f t="shared" si="58"/>
        <v>5.7958999999999996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9"/>
        <v>0836-03</v>
      </c>
      <c r="AE196" s="85" t="str">
        <f t="shared" si="60"/>
        <v>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 &amp; aws s3 cp s3://rtdc.mdm.uploadarchive.raw/RTDC4005/ "%USERPROFILE%\AppData\Local\Temp\OnboardLogs"\RTDC4005\2017-03-04 --exclude "*" --recursive --include "*20170304*" &amp; "%USERPROFILE%\Documents\GitHub\mrs-test-scripts\Headless Mode &amp; Sideloading\WalkAndUnGZ.bat" "%USERPROFILE%\AppData\Local\Temp\OnboardLogs"\RTDC4005\2017-03-04</v>
      </c>
      <c r="AF196" s="82" t="str">
        <f t="shared" si="61"/>
        <v>"C:\Program Files (x86)\AstroGrep\AstroGrep.exe" /spath="%USERPROFILE%\AppData\Local\Temp\OnboardLogs" /stypes="app*4005*20170304*" /stext=" 01:.+((SYSTEM_STATE.+slice.+state.+changed )|(ment ac)|(multiple cpu faults)|(system.+state.+changed )|(\[timeout)|(PRM\|1\|D)|(kpr)|(kdp)|(\|lc)|(penalty))" /e /r /s</v>
      </c>
      <c r="AG196" s="1" t="str">
        <f t="shared" si="62"/>
        <v>NW</v>
      </c>
      <c r="AH196" s="86" t="str">
        <f t="shared" si="64"/>
        <v>"%USERPROFILE%\Documents\GitHub\eaglep3\Utilities\RefineRTDCRunTimes.py" --tripid 836-03 --locoid 4005 --swversion DE.1.0.9.0 --startMP 300:58636 --initTime 2017-03-03T18:07:34 --startdatetime 2017-03-03T18:09:43 --delay 1 --endMP 204:677 --enddatetime 2017-03-03T18:25:36 --enforcementcount 0 &gt;&gt;C:\Users\stu\Documents\GitHub\eaglep3-reporting\EC\2017-03-03-refined-times.txt</v>
      </c>
      <c r="AI196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{"issue":{"subject":"","project_id":79,"tracker_id":40,"status_id":1,"priority_id":2,"assigned_to_id":23,"start_date":"2017-03-03","description":"","custom_fields":[{"id":1,"name":"Subdivision","value":"NW"},{"id":4,"name":"Milepost","value":"0.0677"},{"id":17,"name":"Train ID","value":"836-03"},{"id":16,"name":"Locomotive ID","value":"4005"},{"id":130,"name":"Impact","value":""},{"id":150,"name":"Time of Event (Mountain Time)","value":"18:25:36"},{"id":151,"name":"Denver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6"/>
        <v>start /low /b %USERPROFILE%\Documents\GitHub\eaglep3\Utilities\DownloadLogsFromS3.py --loco 4005 --day 2017-03-03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"%USERPROFILE%\AppData\Local\Temp\OnboardLogs"\RTDC4005\*4005*20170304* | grep -SE "(Enforcement Action)|(\[TIMEOUT)|(CHR.+\|PRM\|1\|D.+(SWITCH|SIGNAL).+UNKNOWN)" - &gt;&gt; 2017-03-03-UncaughtWiMAX.txt</v>
      </c>
    </row>
    <row r="197" spans="1:40" x14ac:dyDescent="0.25">
      <c r="A197" s="33" t="s">
        <v>761</v>
      </c>
      <c r="B197" s="7">
        <v>4044</v>
      </c>
      <c r="C197" s="21" t="s">
        <v>251</v>
      </c>
      <c r="D197" s="21" t="s">
        <v>945</v>
      </c>
      <c r="E197" s="13">
        <v>42797.760717592595</v>
      </c>
      <c r="F197" s="13">
        <v>42797.764756944445</v>
      </c>
      <c r="G197" s="7">
        <v>1</v>
      </c>
      <c r="H197" s="21" t="s">
        <v>282</v>
      </c>
      <c r="I197" s="13">
        <v>42797.776087962964</v>
      </c>
      <c r="J197" s="7">
        <v>0</v>
      </c>
      <c r="K197" s="98" t="str">
        <f t="shared" si="52"/>
        <v>4043/4044</v>
      </c>
      <c r="L197" s="21" t="str">
        <f>VLOOKUP(A197,'Trips&amp;Operators'!$C$1:$G$99999,5,FALSE)</f>
        <v>LEVERE CRAIG</v>
      </c>
      <c r="M197" s="6">
        <f t="shared" si="53"/>
        <v>1.1331018518831115E-2</v>
      </c>
      <c r="N197" s="7">
        <f t="shared" si="70"/>
        <v>16.316666667116806</v>
      </c>
      <c r="O197" s="7"/>
      <c r="P197" s="7"/>
      <c r="Q197" s="22"/>
      <c r="R197" s="22"/>
      <c r="S197" s="31">
        <f t="shared" si="63"/>
        <v>1</v>
      </c>
      <c r="T197" s="46" t="str">
        <f t="shared" si="54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5"/>
        <v>https://d0f6bd738d7f1b3e5a7ca70fe4ff75f0.us-east-1.aws.found.io/app/kibana#/discover/Steve-Slow-Train-Analysis-(2080s-and-2083s)?_g=(refreshInterval:(display:Off,pause:!f,section:0,value:0),time:(from:'2017-03-03T17:15:26-0700',mode:absolute,to:'2017-03-03T19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197" t="str">
        <f t="shared" si="56"/>
        <v>N</v>
      </c>
      <c r="X197" s="197">
        <f t="shared" si="71"/>
        <v>1</v>
      </c>
      <c r="Y197" s="62">
        <f t="shared" si="69"/>
        <v>9.7600000000000006E-2</v>
      </c>
      <c r="Z197" s="62">
        <f t="shared" si="57"/>
        <v>5.8958000000000004</v>
      </c>
      <c r="AA197" s="62">
        <f t="shared" si="58"/>
        <v>5.7982000000000005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9"/>
        <v>0837-03</v>
      </c>
      <c r="AE197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197" s="82" t="str">
        <f t="shared" si="61"/>
        <v>"C:\Program Files (x86)\AstroGrep\AstroGrep.exe" /spath="%USERPROFILE%\AppData\Local\Temp\OnboardLogs" /stypes="app*4044*20170304*" /stext=" 01:.+((SYSTEM_STATE.+slice.+state.+changed )|(ment ac)|(multiple cpu faults)|(system.+state.+changed )|(\[timeout)|(PRM\|1\|D)|(kpr)|(kdp)|(\|lc)|(penalty))" /e /r /s</v>
      </c>
      <c r="AG197" s="1" t="str">
        <f t="shared" si="62"/>
        <v>NW</v>
      </c>
      <c r="AH197" s="86" t="str">
        <f t="shared" si="64"/>
        <v>"%USERPROFILE%\Documents\GitHub\eaglep3\Utilities\RefineRTDCRunTimes.py" --tripid 837-03 --locoid 4044 --swversion DE.1.0.9.0 --startMP 204:976 --initTime 2017-03-03T18:15:26 --startdatetime 2017-03-03T18:21:15 --delay 1 --endMP 300:58958 --enddatetime 2017-03-03T18:37:34 --enforcementcount 0 &gt;&gt;C:\Users\stu\Documents\GitHub\eaglep3-reporting\EC\2017-03-03-refined-times.txt</v>
      </c>
      <c r="AI197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{"issue":{"subject":"","project_id":79,"tracker_id":40,"status_id":1,"priority_id":2,"assigned_to_id":23,"start_date":"2017-03-03","description":"","custom_fields":[{"id":1,"name":"Subdivision","value":"NW"},{"id":4,"name":"Milepost","value":"5.8958"},{"id":17,"name":"Train ID","value":"837-03"},{"id":16,"name":"Locomotive ID","value":"4044"},{"id":130,"name":"Impact","value":""},{"id":150,"name":"Time of Event (Mountain Time)","value":"18:37:34"},{"id":151,"name":"Denver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6"/>
        <v>start /low /b %USERPROFILE%\Documents\GitHub\eaglep3\Utilities\DownloadLogsFromS3.py --loco 4044 --day 2017-03-03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"%USERPROFILE%\AppData\Local\Temp\OnboardLogs"\RTDC4044\*4044*20170304* | grep -SE "(Enforcement Action)|(\[TIMEOUT)|(CHR.+\|PRM\|1\|D.+(SWITCH|SIGNAL).+UNKNOWN)" - &gt;&gt; 2017-03-03-UncaughtWiMAX.txt</v>
      </c>
    </row>
    <row r="198" spans="1:40" x14ac:dyDescent="0.25">
      <c r="A198" s="33" t="s">
        <v>768</v>
      </c>
      <c r="B198" s="7">
        <v>4043</v>
      </c>
      <c r="C198" s="21" t="s">
        <v>251</v>
      </c>
      <c r="D198" s="21" t="s">
        <v>944</v>
      </c>
      <c r="E198" s="13">
        <v>42797.777291666665</v>
      </c>
      <c r="F198" s="13">
        <v>42797.778715277775</v>
      </c>
      <c r="G198" s="7">
        <v>1</v>
      </c>
      <c r="H198" s="21" t="s">
        <v>559</v>
      </c>
      <c r="I198" s="13">
        <v>42797.790127314816</v>
      </c>
      <c r="J198" s="7">
        <v>0</v>
      </c>
      <c r="K198" s="98" t="str">
        <f t="shared" si="52"/>
        <v>4043/4044</v>
      </c>
      <c r="L198" s="21" t="str">
        <f>VLOOKUP(A198,'Trips&amp;Operators'!$C$1:$G$99999,5,FALSE)</f>
        <v>LEVERE CRAIG</v>
      </c>
      <c r="M198" s="6">
        <f t="shared" si="53"/>
        <v>1.1412037041736767E-2</v>
      </c>
      <c r="N198" s="7">
        <f t="shared" si="70"/>
        <v>16.433333340100944</v>
      </c>
      <c r="O198" s="7"/>
      <c r="P198" s="7"/>
      <c r="Q198" s="22"/>
      <c r="R198" s="22"/>
      <c r="S198" s="31">
        <f t="shared" si="63"/>
        <v>1</v>
      </c>
      <c r="T198" s="46" t="str">
        <f t="shared" si="54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5"/>
        <v>https://d0f6bd738d7f1b3e5a7ca70fe4ff75f0.us-east-1.aws.found.io/app/kibana#/discover/Steve-Slow-Train-Analysis-(2080s-and-2083s)?_g=(refreshInterval:(display:Off,pause:!f,section:0,value:0),time:(from:'2017-03-03T17:39:18-0700',mode:absolute,to:'2017-03-03T19:57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197" t="str">
        <f t="shared" si="56"/>
        <v>N</v>
      </c>
      <c r="X198" s="197">
        <f t="shared" si="71"/>
        <v>1</v>
      </c>
      <c r="Y198" s="62">
        <f t="shared" si="69"/>
        <v>5.8643000000000001</v>
      </c>
      <c r="Z198" s="62">
        <f t="shared" si="57"/>
        <v>7.0300000000000001E-2</v>
      </c>
      <c r="AA198" s="62">
        <f t="shared" si="58"/>
        <v>5.7940000000000005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9"/>
        <v>0838-03</v>
      </c>
      <c r="AE198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198" s="82" t="str">
        <f t="shared" si="61"/>
        <v>"C:\Program Files (x86)\AstroGrep\AstroGrep.exe" /spath="%USERPROFILE%\AppData\Local\Temp\OnboardLogs" /stypes="app*4043*20170304*" /stext=" 01:.+((SYSTEM_STATE.+slice.+state.+changed )|(ment ac)|(multiple cpu faults)|(system.+state.+changed )|(\[timeout)|(PRM\|1\|D)|(kpr)|(kdp)|(\|lc)|(penalty))" /e /r /s</v>
      </c>
      <c r="AG198" s="1" t="str">
        <f t="shared" si="62"/>
        <v>NW</v>
      </c>
      <c r="AH198" s="86" t="str">
        <f t="shared" si="64"/>
        <v>"%USERPROFILE%\Documents\GitHub\eaglep3\Utilities\RefineRTDCRunTimes.py" --tripid 838-03 --locoid 4043 --swversion DE.1.0.9.0 --startMP 300:58643 --initTime 2017-03-03T18:39:18 --startdatetime 2017-03-03T18:41:21 --delay 1 --endMP 204:703 --enddatetime 2017-03-03T18:57:47 --enforcementcount 0 &gt;&gt;C:\Users\stu\Documents\GitHub\eaglep3-reporting\EC\2017-03-03-refined-times.txt</v>
      </c>
      <c r="AI198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{"issue":{"subject":"","project_id":79,"tracker_id":40,"status_id":1,"priority_id":2,"assigned_to_id":23,"start_date":"2017-03-03","description":"","custom_fields":[{"id":1,"name":"Subdivision","value":"NW"},{"id":4,"name":"Milepost","value":"0.0703"},{"id":17,"name":"Train ID","value":"838-03"},{"id":16,"name":"Locomotive ID","value":"4043"},{"id":130,"name":"Impact","value":""},{"id":150,"name":"Time of Event (Mountain Time)","value":"18:57:47"},{"id":151,"name":"Denver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6"/>
        <v>start /low /b %USERPROFILE%\Documents\GitHub\eaglep3\Utilities\DownloadLogsFromS3.py --loco 4043 --day 2017-03-03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"%USERPROFILE%\AppData\Local\Temp\OnboardLogs"\RTDC4043\*4043*20170304* | grep -SE "(Enforcement Action)|(\[TIMEOUT)|(CHR.+\|PRM\|1\|D.+(SWITCH|SIGNAL).+UNKNOWN)" - &gt;&gt; 2017-03-03-UncaughtWiMAX.txt</v>
      </c>
    </row>
    <row r="199" spans="1:40" x14ac:dyDescent="0.25">
      <c r="A199" s="33" t="s">
        <v>764</v>
      </c>
      <c r="B199" s="7">
        <v>4006</v>
      </c>
      <c r="C199" s="21" t="s">
        <v>251</v>
      </c>
      <c r="D199" s="21" t="s">
        <v>360</v>
      </c>
      <c r="E199" s="13">
        <v>42797.76939814815</v>
      </c>
      <c r="F199" s="13">
        <v>42797.785694444443</v>
      </c>
      <c r="G199" s="7">
        <v>1</v>
      </c>
      <c r="H199" s="21" t="s">
        <v>358</v>
      </c>
      <c r="I199" s="13">
        <v>42797.795231481483</v>
      </c>
      <c r="J199" s="7">
        <v>0</v>
      </c>
      <c r="K199" s="98" t="str">
        <f t="shared" si="52"/>
        <v>4005/4006</v>
      </c>
      <c r="L199" s="21" t="str">
        <f>VLOOKUP(A199,'Trips&amp;Operators'!$C$1:$G$99999,5,FALSE)</f>
        <v>SMITH MICHAEL</v>
      </c>
      <c r="M199" s="6">
        <f t="shared" si="53"/>
        <v>9.5370370399905369E-3</v>
      </c>
      <c r="N199" s="7">
        <f t="shared" si="70"/>
        <v>13.733333337586373</v>
      </c>
      <c r="O199" s="7"/>
      <c r="P199" s="7"/>
      <c r="Q199" s="22"/>
      <c r="R199" s="22"/>
      <c r="S199" s="31">
        <f t="shared" si="63"/>
        <v>1</v>
      </c>
      <c r="T199" s="46" t="str">
        <f t="shared" si="54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5"/>
        <v>https://d0f6bd738d7f1b3e5a7ca70fe4ff75f0.us-east-1.aws.found.io/app/kibana#/discover/Steve-Slow-Train-Analysis-(2080s-and-2083s)?_g=(refreshInterval:(display:Off,pause:!f,section:0,value:0),time:(from:'2017-03-03T17:27:56-0700',mode:absolute,to:'2017-03-03T20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9" s="197" t="str">
        <f t="shared" si="56"/>
        <v>N</v>
      </c>
      <c r="X199" s="197">
        <f t="shared" si="71"/>
        <v>1</v>
      </c>
      <c r="Y199" s="62">
        <f t="shared" si="69"/>
        <v>9.7799999999999998E-2</v>
      </c>
      <c r="Z199" s="62">
        <f t="shared" si="57"/>
        <v>5.8952</v>
      </c>
      <c r="AA199" s="62">
        <f t="shared" si="58"/>
        <v>5.7973999999999997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9"/>
        <v>0839-03</v>
      </c>
      <c r="AE199" s="85" t="str">
        <f t="shared" si="60"/>
        <v>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 &amp; aws s3 cp s3://rtdc.mdm.uploadarchive.raw/RTDC4006/ "%USERPROFILE%\AppData\Local\Temp\OnboardLogs"\RTDC4006\2017-03-04 --exclude "*" --recursive --include "*20170304*" &amp; "%USERPROFILE%\Documents\GitHub\mrs-test-scripts\Headless Mode &amp; Sideloading\WalkAndUnGZ.bat" "%USERPROFILE%\AppData\Local\Temp\OnboardLogs"\RTDC4006\2017-03-04</v>
      </c>
      <c r="AF199" s="82" t="str">
        <f t="shared" si="61"/>
        <v>"C:\Program Files (x86)\AstroGrep\AstroGrep.exe" /spath="%USERPROFILE%\AppData\Local\Temp\OnboardLogs" /stypes="app*4006*20170304*" /stext=" 02:.+((SYSTEM_STATE.+slice.+state.+changed )|(ment ac)|(multiple cpu faults)|(system.+state.+changed )|(\[timeout)|(PRM\|1\|D)|(kpr)|(kdp)|(\|lc)|(penalty))" /e /r /s</v>
      </c>
      <c r="AG199" s="1" t="str">
        <f t="shared" si="62"/>
        <v>NW</v>
      </c>
      <c r="AH199" s="86" t="str">
        <f t="shared" si="64"/>
        <v>"%USERPROFILE%\Documents\GitHub\eaglep3\Utilities\RefineRTDCRunTimes.py" --tripid 839-03 --locoid 4006 --swversion DE.1.0.9.0 --startMP 204:978 --initTime 2017-03-03T18:27:56 --startdatetime 2017-03-03T18:51:24 --delay 1 --endMP 300:58952 --enddatetime 2017-03-03T19:05:08 --enforcementcount 0 &gt;&gt;C:\Users\stu\Documents\GitHub\eaglep3-reporting\EC\2017-03-03-refined-times.txt</v>
      </c>
      <c r="AI199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{"issue":{"subject":"","project_id":79,"tracker_id":40,"status_id":1,"priority_id":2,"assigned_to_id":23,"start_date":"2017-03-03","description":"","custom_fields":[{"id":1,"name":"Subdivision","value":"NW"},{"id":4,"name":"Milepost","value":"5.8952"},{"id":17,"name":"Train ID","value":"839-03"},{"id":16,"name":"Locomotive ID","value":"4006"},{"id":130,"name":"Impact","value":""},{"id":150,"name":"Time of Event (Mountain Time)","value":"19:05:08"},{"id":151,"name":"Denver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6"/>
        <v>start /low /b %USERPROFILE%\Documents\GitHub\eaglep3\Utilities\DownloadLogsFromS3.py --loco 4006 --day 2017-03-03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"%USERPROFILE%\AppData\Local\Temp\OnboardLogs"\RTDC4006\*4006*20170304* | grep -SE "(Enforcement Action)|(\[TIMEOUT)|(CHR.+\|PRM\|1\|D.+(SWITCH|SIGNAL).+UNKNOWN)" - &gt;&gt; 2017-03-03-UncaughtWiMAX.txt</v>
      </c>
    </row>
    <row r="200" spans="1:40" x14ac:dyDescent="0.25">
      <c r="A200" s="33" t="s">
        <v>781</v>
      </c>
      <c r="B200" s="7">
        <v>4043</v>
      </c>
      <c r="C200" s="21" t="s">
        <v>251</v>
      </c>
      <c r="D200" s="21" t="s">
        <v>955</v>
      </c>
      <c r="E200" s="13">
        <v>42797.818032407406</v>
      </c>
      <c r="F200" s="13">
        <v>42797.819791666669</v>
      </c>
      <c r="G200" s="7">
        <v>1</v>
      </c>
      <c r="H200" s="21" t="s">
        <v>556</v>
      </c>
      <c r="I200" s="13">
        <v>42797.833113425928</v>
      </c>
      <c r="J200" s="7">
        <v>0</v>
      </c>
      <c r="K200" s="98" t="str">
        <f t="shared" si="52"/>
        <v>4043/4044</v>
      </c>
      <c r="L200" s="21" t="str">
        <f>VLOOKUP(A200,'Trips&amp;Operators'!$C$1:$G$99999,5,FALSE)</f>
        <v>DAVIDSON DAVID</v>
      </c>
      <c r="M200" s="6">
        <f t="shared" si="53"/>
        <v>1.3321759259270038E-2</v>
      </c>
      <c r="N200" s="7">
        <f t="shared" si="70"/>
        <v>19.183333333348855</v>
      </c>
      <c r="O200" s="7"/>
      <c r="P200" s="7"/>
      <c r="Q200" s="22"/>
      <c r="R200" s="22"/>
      <c r="S200" s="31">
        <f t="shared" si="63"/>
        <v>1</v>
      </c>
      <c r="T200" s="46" t="str">
        <f t="shared" si="54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5"/>
        <v>https://d0f6bd738d7f1b3e5a7ca70fe4ff75f0.us-east-1.aws.found.io/app/kibana#/discover/Steve-Slow-Train-Analysis-(2080s-and-2083s)?_g=(refreshInterval:(display:Off,pause:!f,section:0,value:0),time:(from:'2017-03-03T18:37:58-0700',mode:absolute,to:'2017-03-03T20:59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197" t="str">
        <f t="shared" si="56"/>
        <v>N</v>
      </c>
      <c r="X200" s="197">
        <f t="shared" si="71"/>
        <v>1</v>
      </c>
      <c r="Y200" s="62">
        <f t="shared" si="69"/>
        <v>5.8613</v>
      </c>
      <c r="Z200" s="62">
        <f t="shared" si="57"/>
        <v>6.7100000000000007E-2</v>
      </c>
      <c r="AA200" s="62">
        <f t="shared" si="58"/>
        <v>5.7942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9"/>
        <v>0840-03</v>
      </c>
      <c r="AE200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200" s="82" t="str">
        <f t="shared" si="61"/>
        <v>"C:\Program Files (x86)\AstroGrep\AstroGrep.exe" /spath="%USERPROFILE%\AppData\Local\Temp\OnboardLogs" /stypes="app*4043*20170304*" /stext=" 02:.+((SYSTEM_STATE.+slice.+state.+changed )|(ment ac)|(multiple cpu faults)|(system.+state.+changed )|(\[timeout)|(PRM\|1\|D)|(kpr)|(kdp)|(\|lc)|(penalty))" /e /r /s</v>
      </c>
      <c r="AG200" s="1" t="str">
        <f t="shared" si="62"/>
        <v>NW</v>
      </c>
      <c r="AH200" s="86" t="str">
        <f t="shared" si="64"/>
        <v>"%USERPROFILE%\Documents\GitHub\eaglep3\Utilities\RefineRTDCRunTimes.py" --tripid 840-03 --locoid 4043 --swversion DE.1.0.9.0 --startMP 300:58613 --initTime 2017-03-03T19:37:58 --startdatetime 2017-03-03T19:40:30 --delay 1 --endMP 204:671 --enddatetime 2017-03-03T19:59:41 --enforcementcount 0 &gt;&gt;C:\Users\stu\Documents\GitHub\eaglep3-reporting\EC\2017-03-03-refined-times.txt</v>
      </c>
      <c r="AI200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{"issue":{"subject":"","project_id":79,"tracker_id":40,"status_id":1,"priority_id":2,"assigned_to_id":23,"start_date":"2017-03-03","description":"","custom_fields":[{"id":1,"name":"Subdivision","value":"NW"},{"id":4,"name":"Milepost","value":"0.0671"},{"id":17,"name":"Train ID","value":"840-03"},{"id":16,"name":"Locomotive ID","value":"4043"},{"id":130,"name":"Impact","value":""},{"id":150,"name":"Time of Event (Mountain Time)","value":"19:59:41"},{"id":151,"name":"Denver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6"/>
        <v>start /low /b %USERPROFILE%\Documents\GitHub\eaglep3\Utilities\DownloadLogsFromS3.py --loco 4043 --day 2017-03-03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"%USERPROFILE%\AppData\Local\Temp\OnboardLogs"\RTDC4043\*4043*20170304* | grep -SE "(Enforcement Action)|(\[TIMEOUT)|(CHR.+\|PRM\|1\|D.+(SWITCH|SIGNAL).+UNKNOWN)" - &gt;&gt; 2017-03-03-UncaughtWiMAX.txt</v>
      </c>
    </row>
    <row r="201" spans="1:40" x14ac:dyDescent="0.25">
      <c r="A201" s="33" t="s">
        <v>774</v>
      </c>
      <c r="B201" s="7">
        <v>4044</v>
      </c>
      <c r="C201" s="21" t="s">
        <v>251</v>
      </c>
      <c r="D201" s="21" t="s">
        <v>360</v>
      </c>
      <c r="E201" s="13">
        <v>42797.801111111112</v>
      </c>
      <c r="F201" s="13">
        <v>42797.806446759256</v>
      </c>
      <c r="G201" s="7">
        <v>1</v>
      </c>
      <c r="H201" s="21" t="s">
        <v>956</v>
      </c>
      <c r="I201" s="13">
        <v>42797.816770833335</v>
      </c>
      <c r="J201" s="7">
        <v>0</v>
      </c>
      <c r="K201" s="98" t="str">
        <f t="shared" si="52"/>
        <v>4043/4044</v>
      </c>
      <c r="L201" s="21" t="str">
        <f>VLOOKUP(A201,'Trips&amp;Operators'!$C$1:$G$99999,5,FALSE)</f>
        <v>DAVIDSON DAVID</v>
      </c>
      <c r="M201" s="6">
        <f t="shared" si="53"/>
        <v>1.0324074079107959E-2</v>
      </c>
      <c r="N201" s="7">
        <f t="shared" si="70"/>
        <v>14.866666673915461</v>
      </c>
      <c r="O201" s="7"/>
      <c r="P201" s="7"/>
      <c r="Q201" s="22"/>
      <c r="R201" s="22"/>
      <c r="S201" s="31">
        <f t="shared" si="63"/>
        <v>1</v>
      </c>
      <c r="T201" s="46" t="str">
        <f t="shared" si="54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5"/>
        <v>https://d0f6bd738d7f1b3e5a7ca70fe4ff75f0.us-east-1.aws.found.io/app/kibana#/discover/Steve-Slow-Train-Analysis-(2080s-and-2083s)?_g=(refreshInterval:(display:Off,pause:!f,section:0,value:0),time:(from:'2017-03-03T18:13:36-0700',mode:absolute,to:'2017-03-03T20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97" t="str">
        <f t="shared" si="56"/>
        <v>N</v>
      </c>
      <c r="X201" s="197">
        <f t="shared" si="71"/>
        <v>1</v>
      </c>
      <c r="Y201" s="62">
        <f t="shared" si="69"/>
        <v>9.7799999999999998E-2</v>
      </c>
      <c r="Z201" s="62">
        <f t="shared" si="57"/>
        <v>5.8935000000000004</v>
      </c>
      <c r="AA201" s="62">
        <f t="shared" si="58"/>
        <v>5.7957000000000001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9"/>
        <v>0841-03</v>
      </c>
      <c r="AE201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201" s="82" t="str">
        <f t="shared" si="61"/>
        <v>"C:\Program Files (x86)\AstroGrep\AstroGrep.exe" /spath="%USERPROFILE%\AppData\Local\Temp\OnboardLogs" /stypes="app*4044*20170304*" /stext=" 02:.+((SYSTEM_STATE.+slice.+state.+changed )|(ment ac)|(multiple cpu faults)|(system.+state.+changed )|(\[timeout)|(PRM\|1\|D)|(kpr)|(kdp)|(\|lc)|(penalty))" /e /r /s</v>
      </c>
      <c r="AG201" s="1" t="str">
        <f t="shared" si="62"/>
        <v>NW</v>
      </c>
      <c r="AH201" s="86" t="str">
        <f t="shared" si="64"/>
        <v>"%USERPROFILE%\Documents\GitHub\eaglep3\Utilities\RefineRTDCRunTimes.py" --tripid 841-03 --locoid 4044 --swversion DE.1.0.9.0 --startMP 204:978 --initTime 2017-03-03T19:13:36 --startdatetime 2017-03-03T19:21:17 --delay 1 --endMP 300:58935 --enddatetime 2017-03-03T19:36:09 --enforcementcount 0 &gt;&gt;C:\Users\stu\Documents\GitHub\eaglep3-reporting\EC\2017-03-03-refined-times.txt</v>
      </c>
      <c r="AI201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{"issue":{"subject":"","project_id":79,"tracker_id":40,"status_id":1,"priority_id":2,"assigned_to_id":23,"start_date":"2017-03-03","description":"","custom_fields":[{"id":1,"name":"Subdivision","value":"NW"},{"id":4,"name":"Milepost","value":"5.8935"},{"id":17,"name":"Train ID","value":"841-03"},{"id":16,"name":"Locomotive ID","value":"4044"},{"id":130,"name":"Impact","value":""},{"id":150,"name":"Time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6"/>
        <v>start /low /b %USERPROFILE%\Documents\GitHub\eaglep3\Utilities\DownloadLogsFromS3.py --loco 4044 --day 2017-03-03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"%USERPROFILE%\AppData\Local\Temp\OnboardLogs"\RTDC4044\*4044*20170304* | grep -SE "(Enforcement Action)|(\[TIMEOUT)|(CHR.+\|PRM\|1\|D.+(SWITCH|SIGNAL).+UNKNOWN)" - &gt;&gt; 2017-03-03-UncaughtWiMAX.txt</v>
      </c>
    </row>
    <row r="202" spans="1:40" x14ac:dyDescent="0.25">
      <c r="A202" s="33" t="s">
        <v>787</v>
      </c>
      <c r="B202" s="7">
        <v>4043</v>
      </c>
      <c r="C202" s="21" t="s">
        <v>251</v>
      </c>
      <c r="D202" s="21" t="s">
        <v>957</v>
      </c>
      <c r="E202" s="13">
        <v>42797.859027777777</v>
      </c>
      <c r="F202" s="13">
        <v>42797.860902777778</v>
      </c>
      <c r="G202" s="7">
        <v>1</v>
      </c>
      <c r="H202" s="21" t="s">
        <v>356</v>
      </c>
      <c r="I202" s="13">
        <v>42797.872187499997</v>
      </c>
      <c r="J202" s="7">
        <v>0</v>
      </c>
      <c r="K202" s="98" t="str">
        <f t="shared" si="52"/>
        <v>4043/4044</v>
      </c>
      <c r="L202" s="21" t="str">
        <f>VLOOKUP(A202,'Trips&amp;Operators'!$C$1:$G$99999,5,FALSE)</f>
        <v>LEVERE CRAIG</v>
      </c>
      <c r="M202" s="6">
        <f t="shared" si="53"/>
        <v>1.1284722218988463E-2</v>
      </c>
      <c r="N202" s="7">
        <f t="shared" si="70"/>
        <v>16.249999995343387</v>
      </c>
      <c r="O202" s="7"/>
      <c r="P202" s="7"/>
      <c r="Q202" s="22"/>
      <c r="R202" s="22"/>
      <c r="S202" s="31">
        <f t="shared" si="63"/>
        <v>1</v>
      </c>
      <c r="T202" s="46" t="str">
        <f t="shared" si="54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5"/>
        <v>https://d0f6bd738d7f1b3e5a7ca70fe4ff75f0.us-east-1.aws.found.io/app/kibana#/discover/Steve-Slow-Train-Analysis-(2080s-and-2083s)?_g=(refreshInterval:(display:Off,pause:!f,section:0,value:0),time:(from:'2017-03-03T19:37:00-0700',mode:absolute,to:'2017-03-03T21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197" t="str">
        <f t="shared" si="56"/>
        <v>N</v>
      </c>
      <c r="X202" s="197">
        <f t="shared" si="71"/>
        <v>1</v>
      </c>
      <c r="Y202" s="62">
        <f t="shared" si="69"/>
        <v>5.8655999999999997</v>
      </c>
      <c r="Z202" s="62">
        <f t="shared" si="57"/>
        <v>6.8400000000000002E-2</v>
      </c>
      <c r="AA202" s="62">
        <f t="shared" si="58"/>
        <v>5.7972000000000001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9"/>
        <v>0842-03</v>
      </c>
      <c r="AE202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202" s="82" t="str">
        <f t="shared" si="61"/>
        <v>"C:\Program Files (x86)\AstroGrep\AstroGrep.exe" /spath="%USERPROFILE%\AppData\Local\Temp\OnboardLogs" /stypes="app*4043*20170304*" /stext=" 03:.+((SYSTEM_STATE.+slice.+state.+changed )|(ment ac)|(multiple cpu faults)|(system.+state.+changed )|(\[timeout)|(PRM\|1\|D)|(kpr)|(kdp)|(\|lc)|(penalty))" /e /r /s</v>
      </c>
      <c r="AG202" s="1" t="str">
        <f t="shared" si="62"/>
        <v>NW</v>
      </c>
      <c r="AH202" s="86" t="str">
        <f t="shared" si="64"/>
        <v>"%USERPROFILE%\Documents\GitHub\eaglep3\Utilities\RefineRTDCRunTimes.py" --tripid 842-03 --locoid 4043 --swversion DE.1.0.9.0 --startMP 300:58656 --initTime 2017-03-03T20:37:00 --startdatetime 2017-03-03T20:39:42 --delay 1 --endMP 204:684 --enddatetime 2017-03-03T20:55:57 --enforcementcount 0 &gt;&gt;C:\Users\stu\Documents\GitHub\eaglep3-reporting\EC\2017-03-03-refined-times.txt</v>
      </c>
      <c r="AI202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{"issue":{"subject":"","project_id":79,"tracker_id":40,"status_id":1,"priority_id":2,"assigned_to_id":23,"start_date":"2017-03-03","description":"","custom_fields":[{"id":1,"name":"Subdivision","value":"NW"},{"id":4,"name":"Milepost","value":"0.0684"},{"id":17,"name":"Train ID","value":"842-03"},{"id":16,"name":"Locomotive ID","value":"4043"},{"id":130,"name":"Impact","value":""},{"id":150,"name":"Time of Event (Mountain Time)","value":"20:55:57"},{"id":151,"name":"Denver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6"/>
        <v>start /low /b %USERPROFILE%\Documents\GitHub\eaglep3\Utilities\DownloadLogsFromS3.py --loco 4043 --day 2017-03-03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"%USERPROFILE%\AppData\Local\Temp\OnboardLogs"\RTDC4043\*4043*20170304* | grep -SE "(Enforcement Action)|(\[TIMEOUT)|(CHR.+\|PRM\|1\|D.+(SWITCH|SIGNAL).+UNKNOWN)" - &gt;&gt; 2017-03-03-UncaughtWiMAX.txt</v>
      </c>
    </row>
    <row r="203" spans="1:40" x14ac:dyDescent="0.25">
      <c r="A203" s="33" t="s">
        <v>602</v>
      </c>
      <c r="B203" s="7">
        <v>4044</v>
      </c>
      <c r="C203" s="21" t="s">
        <v>251</v>
      </c>
      <c r="D203" s="21" t="s">
        <v>958</v>
      </c>
      <c r="E203" s="13">
        <v>42797.83834490741</v>
      </c>
      <c r="F203" s="13">
        <v>42797.848113425927</v>
      </c>
      <c r="G203" s="7">
        <v>1</v>
      </c>
      <c r="H203" s="21" t="s">
        <v>549</v>
      </c>
      <c r="I203" s="13">
        <v>42797.857974537037</v>
      </c>
      <c r="J203" s="7">
        <v>0</v>
      </c>
      <c r="K203" s="98" t="str">
        <f t="shared" si="52"/>
        <v>4043/4044</v>
      </c>
      <c r="L203" s="21" t="str">
        <f>VLOOKUP(A203,'Trips&amp;Operators'!$C$1:$G$99999,5,FALSE)</f>
        <v>LEVERE CRAIG</v>
      </c>
      <c r="M203" s="6">
        <f t="shared" si="53"/>
        <v>9.8611111097852699E-3</v>
      </c>
      <c r="N203" s="7">
        <f t="shared" si="70"/>
        <v>14.199999998090789</v>
      </c>
      <c r="O203" s="7"/>
      <c r="P203" s="7"/>
      <c r="Q203" s="22"/>
      <c r="R203" s="22"/>
      <c r="S203" s="31">
        <f t="shared" si="63"/>
        <v>1</v>
      </c>
      <c r="T203" s="46" t="str">
        <f t="shared" si="54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5"/>
        <v>https://d0f6bd738d7f1b3e5a7ca70fe4ff75f0.us-east-1.aws.found.io/app/kibana#/discover/Steve-Slow-Train-Analysis-(2080s-and-2083s)?_g=(refreshInterval:(display:Off,pause:!f,section:0,value:0),time:(from:'2017-03-03T19:07:13-0700',mode:absolute,to:'2017-03-03T21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197" t="str">
        <f t="shared" si="56"/>
        <v>N</v>
      </c>
      <c r="X203" s="197">
        <f t="shared" si="71"/>
        <v>1</v>
      </c>
      <c r="Y203" s="62">
        <f t="shared" si="69"/>
        <v>9.5699999999999993E-2</v>
      </c>
      <c r="Z203" s="62">
        <f t="shared" si="57"/>
        <v>5.8968999999999996</v>
      </c>
      <c r="AA203" s="62">
        <f t="shared" si="58"/>
        <v>5.8011999999999997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9"/>
        <v>0843-03</v>
      </c>
      <c r="AE203" s="85" t="str">
        <f t="shared" si="6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203" s="82" t="str">
        <f t="shared" si="61"/>
        <v>"C:\Program Files (x86)\AstroGrep\AstroGrep.exe" /spath="%USERPROFILE%\AppData\Local\Temp\OnboardLogs" /stypes="app*4044*20170304*" /stext=" 03:.+((SYSTEM_STATE.+slice.+state.+changed )|(ment ac)|(multiple cpu faults)|(system.+state.+changed )|(\[timeout)|(PRM\|1\|D)|(kpr)|(kdp)|(\|lc)|(penalty))" /e /r /s</v>
      </c>
      <c r="AG203" s="1" t="str">
        <f t="shared" si="62"/>
        <v>NW</v>
      </c>
      <c r="AH203" s="86" t="str">
        <f t="shared" si="64"/>
        <v>"%USERPROFILE%\Documents\GitHub\eaglep3\Utilities\RefineRTDCRunTimes.py" --tripid 843-03 --locoid 4044 --swversion DE.1.0.9.0 --startMP 204:957 --initTime 2017-03-03T20:07:13 --startdatetime 2017-03-03T20:21:17 --delay 1 --endMP 300:58969 --enddatetime 2017-03-03T20:35:29 --enforcementcount 0 &gt;&gt;C:\Users\stu\Documents\GitHub\eaglep3-reporting\EC\2017-03-03-refined-times.txt</v>
      </c>
      <c r="AI203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{"issue":{"subject":"","project_id":79,"tracker_id":40,"status_id":1,"priority_id":2,"assigned_to_id":23,"start_date":"2017-03-03","description":"","custom_fields":[{"id":1,"name":"Subdivision","value":"NW"},{"id":4,"name":"Milepost","value":"5.8969"},{"id":17,"name":"Train ID","value":"843-03"},{"id":16,"name":"Locomotive ID","value":"4044"},{"id":130,"name":"Impact","value":""},{"id":150,"name":"Time of Event (Mountain Time)","value":"20:35:29"},{"id":151,"name":"Denver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6"/>
        <v>start /low /b %USERPROFILE%\Documents\GitHub\eaglep3\Utilities\DownloadLogsFromS3.py --loco 4044 --day 2017-03-03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"%USERPROFILE%\AppData\Local\Temp\OnboardLogs"\RTDC4044\*4044*20170304* | grep -SE "(Enforcement Action)|(\[TIMEOUT)|(CHR.+\|PRM\|1\|D.+(SWITCH|SIGNAL).+UNKNOWN)" - &gt;&gt; 2017-03-03-UncaughtWiMAX.txt</v>
      </c>
    </row>
    <row r="204" spans="1:40" x14ac:dyDescent="0.25">
      <c r="A204" s="33" t="s">
        <v>791</v>
      </c>
      <c r="B204" s="7">
        <v>4043</v>
      </c>
      <c r="C204" s="21" t="s">
        <v>251</v>
      </c>
      <c r="D204" s="21" t="s">
        <v>554</v>
      </c>
      <c r="E204" s="13">
        <v>42797.90053240741</v>
      </c>
      <c r="F204" s="13">
        <v>42797.902731481481</v>
      </c>
      <c r="G204" s="7">
        <v>2</v>
      </c>
      <c r="H204" s="21" t="s">
        <v>959</v>
      </c>
      <c r="I204" s="13">
        <v>42797.91375</v>
      </c>
      <c r="J204" s="7">
        <v>0</v>
      </c>
      <c r="K204" s="98" t="str">
        <f t="shared" si="52"/>
        <v>4043/4044</v>
      </c>
      <c r="L204" s="21" t="str">
        <f>VLOOKUP(A204,'Trips&amp;Operators'!$C$1:$G$99999,5,FALSE)</f>
        <v>SMITH MICHAEL</v>
      </c>
      <c r="M204" s="6">
        <f t="shared" si="53"/>
        <v>1.1018518518540077E-2</v>
      </c>
      <c r="N204" s="7">
        <f t="shared" si="70"/>
        <v>15.866666666697711</v>
      </c>
      <c r="O204" s="7"/>
      <c r="P204" s="7"/>
      <c r="Q204" s="22"/>
      <c r="R204" s="22"/>
      <c r="S204" s="31">
        <f t="shared" si="63"/>
        <v>1</v>
      </c>
      <c r="T204" s="46" t="str">
        <f t="shared" si="54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5"/>
        <v>https://d0f6bd738d7f1b3e5a7ca70fe4ff75f0.us-east-1.aws.found.io/app/kibana#/discover/Steve-Slow-Train-Analysis-(2080s-and-2083s)?_g=(refreshInterval:(display:Off,pause:!f,section:0,value:0),time:(from:'2017-03-03T20:36:46-0700',mode:absolute,to:'2017-03-03T22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4" s="197" t="str">
        <f t="shared" si="56"/>
        <v>N</v>
      </c>
      <c r="X204" s="197">
        <f t="shared" si="71"/>
        <v>1</v>
      </c>
      <c r="Y204" s="62">
        <f t="shared" si="69"/>
        <v>5.8644999999999996</v>
      </c>
      <c r="Z204" s="62">
        <f t="shared" si="57"/>
        <v>6.6400000000000001E-2</v>
      </c>
      <c r="AA204" s="62">
        <f t="shared" si="58"/>
        <v>5.7980999999999998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9"/>
        <v>0844-03</v>
      </c>
      <c r="AE204" s="85" t="str">
        <f t="shared" si="6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204" s="82" t="str">
        <f t="shared" si="61"/>
        <v>"C:\Program Files (x86)\AstroGrep\AstroGrep.exe" /spath="%USERPROFILE%\AppData\Local\Temp\OnboardLogs" /stypes="app*4043*20170304*" /stext=" 04:.+((SYSTEM_STATE.+slice.+state.+changed )|(ment ac)|(multiple cpu faults)|(system.+state.+changed )|(\[timeout)|(PRM\|1\|D)|(kpr)|(kdp)|(\|lc)|(penalty))" /e /r /s</v>
      </c>
      <c r="AG204" s="1" t="str">
        <f t="shared" si="62"/>
        <v>NW</v>
      </c>
      <c r="AH204" s="86" t="str">
        <f t="shared" si="64"/>
        <v>"%USERPROFILE%\Documents\GitHub\eaglep3\Utilities\RefineRTDCRunTimes.py" --tripid 844-03 --locoid 4043 --swversion DE.1.0.9.0 --startMP 300:58645 --initTime 2017-03-03T21:36:46 --startdatetime 2017-03-03T21:39:56 --delay 2 --endMP 204:664 --enddatetime 2017-03-03T21:55:48 --enforcementcount 0 &gt;&gt;C:\Users\stu\Documents\GitHub\eaglep3-reporting\EC\2017-03-03-refined-times.txt</v>
      </c>
      <c r="AI204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{"issue":{"subject":"","project_id":79,"tracker_id":40,"status_id":1,"priority_id":2,"assigned_to_id":23,"start_date":"2017-03-03","description":"","custom_fields":[{"id":1,"name":"Subdivision","value":"NW"},{"id":4,"name":"Milepost","value":"0.0664"},{"id":17,"name":"Train ID","value":"844-03"},{"id":16,"name":"Locomotive ID","value":"4043"},{"id":130,"name":"Impact","value":""},{"id":150,"name":"Time of Event (Mountain Time)","value":"21:55:48"},{"id":151,"name":"Denver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6"/>
        <v>start /low /b %USERPROFILE%\Documents\GitHub\eaglep3\Utilities\DownloadLogsFromS3.py --loco 4043 --day 2017-03-03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"%USERPROFILE%\AppData\Local\Temp\OnboardLogs"\RTDC4043\*4043*20170304* | grep -SE "(Enforcement Action)|(\[TIMEOUT)|(CHR.+\|PRM\|1\|D.+(SWITCH|SIGNAL).+UNKNOWN)" - &gt;&gt; 2017-03-03-UncaughtWiMAX.txt</v>
      </c>
    </row>
    <row r="205" spans="1:40" x14ac:dyDescent="0.25">
      <c r="A205" s="33" t="s">
        <v>789</v>
      </c>
      <c r="B205" s="7">
        <v>4044</v>
      </c>
      <c r="C205" s="21" t="s">
        <v>251</v>
      </c>
      <c r="D205" s="21" t="s">
        <v>325</v>
      </c>
      <c r="E205" s="13">
        <v>42797.876446759263</v>
      </c>
      <c r="F205" s="13">
        <v>42797.889849537038</v>
      </c>
      <c r="G205" s="7">
        <v>1</v>
      </c>
      <c r="H205" s="21" t="s">
        <v>960</v>
      </c>
      <c r="I205" s="13">
        <v>42797.899270833332</v>
      </c>
      <c r="J205" s="7">
        <v>0</v>
      </c>
      <c r="K205" s="98" t="str">
        <f t="shared" ref="K205:K246" si="72">IF(ISEVEN(B205),(B205-1)&amp;"/"&amp;B205,B205&amp;"/"&amp;(B205+1))</f>
        <v>4043/4044</v>
      </c>
      <c r="L205" s="21" t="str">
        <f>VLOOKUP(A205,'Trips&amp;Operators'!$C$1:$G$99999,5,FALSE)</f>
        <v>SMITH MICHAEL</v>
      </c>
      <c r="M205" s="6">
        <f t="shared" ref="M205:M246" si="73">I205-F205</f>
        <v>9.4212962940218858E-3</v>
      </c>
      <c r="N205" s="7">
        <f t="shared" si="70"/>
        <v>13.566666663391516</v>
      </c>
      <c r="O205" s="7"/>
      <c r="P205" s="7"/>
      <c r="Q205" s="22"/>
      <c r="R205" s="22"/>
      <c r="S205" s="31">
        <f t="shared" si="63"/>
        <v>1</v>
      </c>
      <c r="T205" s="46" t="str">
        <f t="shared" ref="T205:T246" si="74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6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-03T20:02:05-0700',mode:absolute,to:'2017-03-03T22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197" t="str">
        <f t="shared" ref="W205:W246" si="76">IF(AA205&lt;IF(AG205="EC",23,5.65),"Y","N")</f>
        <v>N</v>
      </c>
      <c r="X205" s="197">
        <f t="shared" si="71"/>
        <v>1</v>
      </c>
      <c r="Y205" s="62">
        <f t="shared" si="69"/>
        <v>9.74E-2</v>
      </c>
      <c r="Z205" s="62">
        <f t="shared" ref="Z205:Z246" si="77">RIGHT(H205,LEN(H205)-4)/10000</f>
        <v>5.8954000000000004</v>
      </c>
      <c r="AA205" s="62">
        <f t="shared" ref="AA205:AA246" si="78">ABS(Z205-Y205)</f>
        <v>5.798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6" si="79">IF(LEN(A205)=6,"0"&amp;A205,A205)</f>
        <v>0845-03</v>
      </c>
      <c r="AE205" s="85" t="str">
        <f t="shared" ref="AE205:AE246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205" s="82" t="str">
        <f t="shared" ref="AF205:AF246" si="8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/stypes="app*4044*20170304*" /stext=" 04:.+((SYSTEM_STATE.+slice.+state.+changed )|(ment ac)|(multiple cpu faults)|(system.+state.+changed )|(\[timeout)|(PRM\|1\|D)|(kpr)|(kdp)|(\|lc)|(penalty))" /e /r /s</v>
      </c>
      <c r="AG205" s="1" t="str">
        <f t="shared" ref="AG205:AG246" si="82">IFERROR(IF(VALUE(LEFT(AD205,2))&lt;=2,"EC",IF(OR(VALUE(LEFT(AD205,2))=8,VALUE(LEFT(AD205,2))=18),"NW","Other")),"Other")</f>
        <v>NW</v>
      </c>
      <c r="AH205" s="86" t="str">
        <f t="shared" si="64"/>
        <v>"%USERPROFILE%\Documents\GitHub\eaglep3\Utilities\RefineRTDCRunTimes.py" --tripid 845-03 --locoid 4044 --swversion DE.1.0.9.0 --startMP 204:974 --initTime 2017-03-03T21:02:05 --startdatetime 2017-03-03T21:21:23 --delay 1 --endMP 300:58954 --enddatetime 2017-03-03T21:34:57 --enforcementcount 0 &gt;&gt;C:\Users\stu\Documents\GitHub\eaglep3-reporting\EC\2017-03-03-refined-times.txt</v>
      </c>
      <c r="AI205" s="108" t="str">
        <f t="shared" si="65"/>
        <v>echo {"issue":{"subject":"","project_id":79,"tracker_id":40,"status_id":1,"priority_id":2,"assigned_to_id":23,"start_date":"2017-03-03","description":"","custom_fields":[{"id":1,"name":"Subdivision","value":"NW"},{"id":4,"name":"Milepost","value":"5.8954"},{"id":17,"name":"Train ID","value":"845-03"},{"id":16,"name":"Locomotive ID","value":"4044"},{"id":130,"name":"Impact","value":""},{"id":150,"name":"Time of Event (Mountain Time)","value":"21:34:57"},{"id":151,"name":"Denver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6"/>
        <v>start /low /b %USERPROFILE%\Documents\GitHub\eaglep3\Utilities\DownloadLogsFromS3.py --loco 4044 --day 2017-03-03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"%USERPROFILE%\AppData\Local\Temp\OnboardLogs"\RTDC4044\*4044*20170304* | grep -SE "(Enforcement Action)|(\[TIMEOUT)|(CHR.+\|PRM\|1\|D.+(SWITCH|SIGNAL).+UNKNOWN)" - &gt;&gt; 2017-03-03-UncaughtWiMAX.txt</v>
      </c>
    </row>
    <row r="206" spans="1:40" x14ac:dyDescent="0.25">
      <c r="A206" s="33" t="s">
        <v>793</v>
      </c>
      <c r="B206" s="7">
        <v>4044</v>
      </c>
      <c r="C206" s="21" t="s">
        <v>251</v>
      </c>
      <c r="D206" s="21" t="s">
        <v>953</v>
      </c>
      <c r="E206" s="13">
        <v>42797.915798611109</v>
      </c>
      <c r="F206" s="13">
        <v>42797.931435185186</v>
      </c>
      <c r="G206" s="7">
        <v>1</v>
      </c>
      <c r="H206" s="21" t="s">
        <v>546</v>
      </c>
      <c r="I206" s="13">
        <v>42797.942650462966</v>
      </c>
      <c r="J206" s="7">
        <v>0</v>
      </c>
      <c r="K206" s="98" t="str">
        <f t="shared" si="72"/>
        <v>4043/4044</v>
      </c>
      <c r="L206" s="21" t="str">
        <f>VLOOKUP(A206,'Trips&amp;Operators'!$C$1:$G$99999,5,FALSE)</f>
        <v>SMITH MICHAEL</v>
      </c>
      <c r="M206" s="6">
        <f t="shared" si="73"/>
        <v>1.1215277780138422E-2</v>
      </c>
      <c r="N206" s="7">
        <f t="shared" si="70"/>
        <v>16.150000003399327</v>
      </c>
      <c r="O206" s="7"/>
      <c r="P206" s="7"/>
      <c r="Q206" s="22"/>
      <c r="R206" s="22"/>
      <c r="S206" s="31">
        <f t="shared" ref="S206:S246" si="83">SUM(U206:U206)/IF(AG206="EC",12,1)</f>
        <v>1</v>
      </c>
      <c r="T206" s="46" t="str">
        <f t="shared" si="74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5"/>
        <v>https://d0f6bd738d7f1b3e5a7ca70fe4ff75f0.us-east-1.aws.found.io/app/kibana#/discover/Steve-Slow-Train-Analysis-(2080s-and-2083s)?_g=(refreshInterval:(display:Off,pause:!f,section:0,value:0),time:(from:'2017-03-03T20:58:45-0700',mode:absolute,to:'2017-03-03T23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97" t="str">
        <f t="shared" si="76"/>
        <v>N</v>
      </c>
      <c r="X206" s="197">
        <f t="shared" si="71"/>
        <v>2</v>
      </c>
      <c r="Y206" s="62">
        <f t="shared" si="69"/>
        <v>9.6500000000000002E-2</v>
      </c>
      <c r="Z206" s="62">
        <f t="shared" si="77"/>
        <v>5.8992000000000004</v>
      </c>
      <c r="AA206" s="62">
        <f t="shared" si="78"/>
        <v>5.8027000000000006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9"/>
        <v>0847-03</v>
      </c>
      <c r="AE206" s="85" t="str">
        <f t="shared" si="80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206" s="82" t="str">
        <f t="shared" si="81"/>
        <v>"C:\Program Files (x86)\AstroGrep\AstroGrep.exe" /spath="%USERPROFILE%\AppData\Local\Temp\OnboardLogs" /stypes="app*4044*20170304*" /stext=" 05:.+((SYSTEM_STATE.+slice.+state.+changed )|(ment ac)|(multiple cpu faults)|(system.+state.+changed )|(\[timeout)|(PRM\|1\|D)|(kpr)|(kdp)|(\|lc)|(penalty))" /e /r /s</v>
      </c>
      <c r="AG206" s="1" t="str">
        <f t="shared" si="82"/>
        <v>NW</v>
      </c>
      <c r="AH206" s="86" t="str">
        <f t="shared" ref="AH206:AH246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847-03 --locoid 4044 --swversion DE.1.0.9.0 --startMP 204:965 --initTime 2017-03-03T21:58:45 --startdatetime 2017-03-03T22:21:16 --delay 1 --endMP 300:58992 --enddatetime 2017-03-03T22:37:25 --enforcementcount 0 &gt;&gt;C:\Users\stu\Documents\GitHub\eaglep3-reporting\EC\2017-03-03-refined-times.txt</v>
      </c>
      <c r="AI206" s="108" t="str">
        <f t="shared" ref="AI206:AI246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{"issue":{"subject":"","project_id":79,"tracker_id":40,"status_id":1,"priority_id":2,"assigned_to_id":23,"start_date":"2017-03-03","description":"","custom_fields":[{"id":1,"name":"Subdivision","value":"NW"},{"id":4,"name":"Milepost","value":"5.8992"},{"id":17,"name":"Train ID","value":"847-03"},{"id":16,"name":"Locomotive ID","value":"4044"},{"id":130,"name":"Impact","value":""},{"id":150,"name":"Time of Event (Mountain Time)","value":"22:37:25"},{"id":151,"name":"Denver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46" si="86">"start /low /b "&amp;dls3logs&amp;" --loco "&amp;B206&amp;" --day "&amp;TEXT(F206,"YYYY-MM-DD")</f>
        <v>start /low /b %USERPROFILE%\Documents\GitHub\eaglep3\Utilities\DownloadLogsFromS3.py --loco 4044 --day 2017-03-03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"%USERPROFILE%\AppData\Local\Temp\OnboardLogs"\RTDC4044\*4044*20170304* | grep -SE "(Enforcement Action)|(\[TIMEOUT)|(CHR.+\|PRM\|1\|D.+(SWITCH|SIGNAL).+UNKNOWN)" - &gt;&gt; 2017-03-03-UncaughtWiMAX.txt</v>
      </c>
    </row>
    <row r="207" spans="1:40" x14ac:dyDescent="0.25">
      <c r="A207" s="33" t="s">
        <v>609</v>
      </c>
      <c r="B207" s="7">
        <v>4054</v>
      </c>
      <c r="C207" s="21" t="s">
        <v>251</v>
      </c>
      <c r="D207" s="21" t="s">
        <v>895</v>
      </c>
      <c r="E207" s="13">
        <v>42797.116203703707</v>
      </c>
      <c r="F207" s="13">
        <v>42797.11990740741</v>
      </c>
      <c r="G207" s="7">
        <v>5</v>
      </c>
      <c r="H207" s="21" t="s">
        <v>304</v>
      </c>
      <c r="I207" s="13">
        <v>42797.126111111109</v>
      </c>
      <c r="J207" s="7">
        <v>0</v>
      </c>
      <c r="K207" s="98" t="str">
        <f t="shared" si="72"/>
        <v>4053/4054</v>
      </c>
      <c r="L207" s="21" t="str">
        <f>VLOOKUP(A207,'Trips&amp;Operators'!$C$1:$G$99999,5,FALSE)</f>
        <v>BADERTSCHER DIANE</v>
      </c>
      <c r="M207" s="6">
        <f t="shared" si="73"/>
        <v>6.2037036987021565E-3</v>
      </c>
      <c r="N207" s="7">
        <f t="shared" si="70"/>
        <v>8.9333333261311054</v>
      </c>
      <c r="O207" s="7"/>
      <c r="P207" s="7"/>
      <c r="Q207" s="22"/>
      <c r="R207" s="22"/>
      <c r="S207" s="31">
        <f t="shared" si="83"/>
        <v>1</v>
      </c>
      <c r="T207" s="46" t="str">
        <f t="shared" si="74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5"/>
        <v>https://d0f6bd738d7f1b3e5a7ca70fe4ff75f0.us-east-1.aws.found.io/app/kibana#/discover/Steve-Slow-Train-Analysis-(2080s-and-2083s)?_g=(refreshInterval:(display:Off,pause:!f,section:0,value:0),time:(from:'2017-03-03T01:47:20-0700',mode:absolute,to:'2017-03-03T04:01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97" t="str">
        <f t="shared" si="76"/>
        <v>Y</v>
      </c>
      <c r="X207" s="197">
        <f t="shared" si="71"/>
        <v>-545</v>
      </c>
      <c r="Y207" s="62">
        <f t="shared" si="69"/>
        <v>2.3473999999999999</v>
      </c>
      <c r="Z207" s="62">
        <f t="shared" si="77"/>
        <v>1.67E-2</v>
      </c>
      <c r="AA207" s="62">
        <f t="shared" si="78"/>
        <v>2.3306999999999998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9"/>
        <v>0302-03</v>
      </c>
      <c r="AE207" s="85" t="str">
        <f t="shared" si="80"/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AF207" s="82" t="str">
        <f t="shared" si="81"/>
        <v>"C:\Program Files (x86)\AstroGrep\AstroGrep.exe" /spath="%USERPROFILE%\AppData\Local\Temp\OnboardLogs" /stypes="app*4054*20170303*" /stext=" 10:.+((SYSTEM_STATE.+slice.+state.+changed )|(ment ac)|(multiple cpu faults)|(system.+state.+changed )|(\[timeout)|(PRM\|1\|D)|(kpr)|(kdp)|(\|lc)|(penalty))" /e /r /s</v>
      </c>
      <c r="AG207" s="1" t="str">
        <f t="shared" si="82"/>
        <v>Other</v>
      </c>
      <c r="AH207" s="86" t="str">
        <f t="shared" si="84"/>
        <v>"%USERPROFILE%\Documents\GitHub\eaglep3\Utilities\RefineRTDCRunTimes.py" --tripid 302-03 --locoid 4054 --swversion DE.1.0.9.0 --startMP 300:23474 --initTime 2017-03-03T02:47:20 --startdatetime 2017-03-03T02:52:40 --delay 5 --endMP 204:167 --enddatetime 2017-03-03T03:01:36 --enforcementcount 0 &gt;&gt;C:\Users\stu\Documents\GitHub\eaglep3-reporting\EC\2017-03-03-refined-times.txt</v>
      </c>
      <c r="AI207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{"issue":{"subject":"","project_id":79,"tracker_id":40,"status_id":1,"priority_id":2,"assigned_to_id":23,"start_date":"2017-03-03","description":"","custom_fields":[{"id":1,"name":"Subdivision","value":"Other"},{"id":4,"name":"Milepost","value":"0.0167"},{"id":17,"name":"Train ID","value":"302-03"},{"id":16,"name":"Locomotive ID","value":"4054"},{"id":130,"name":"Impact","value":""},{"id":150,"name":"Time of Event (Mountain Time)","value":"03:01:36"},{"id":151,"name":"Denver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6"/>
        <v>start /low /b %USERPROFILE%\Documents\GitHub\eaglep3\Utilities\DownloadLogsFromS3.py --loco 4054 --day 2017-03-03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"%USERPROFILE%\AppData\Local\Temp\OnboardLogs"\RTDC4054\*4054*20170303* | grep -SE "(Enforcement Action)|(\[TIMEOUT)|(CHR.+\|PRM\|1\|D.+(SWITCH|SIGNAL).+UNKNOWN)" - &gt;&gt; 2017-03-03-UncaughtWiMAX.txt</v>
      </c>
    </row>
    <row r="208" spans="1:40" x14ac:dyDescent="0.25">
      <c r="A208" s="33" t="s">
        <v>611</v>
      </c>
      <c r="B208" s="7">
        <v>4032</v>
      </c>
      <c r="C208" s="21" t="s">
        <v>251</v>
      </c>
      <c r="D208" s="21" t="s">
        <v>896</v>
      </c>
      <c r="E208" s="13">
        <v>42797.133506944447</v>
      </c>
      <c r="F208" s="13">
        <v>42797.137129629627</v>
      </c>
      <c r="G208" s="7">
        <v>5</v>
      </c>
      <c r="H208" s="21" t="s">
        <v>184</v>
      </c>
      <c r="I208" s="13">
        <v>42797.142476851855</v>
      </c>
      <c r="J208" s="7">
        <v>0</v>
      </c>
      <c r="K208" s="98" t="str">
        <f t="shared" si="72"/>
        <v>4031/4032</v>
      </c>
      <c r="L208" s="21" t="str">
        <f>VLOOKUP(A208,'Trips&amp;Operators'!$C$1:$G$99999,5,FALSE)</f>
        <v>YANAI IAN</v>
      </c>
      <c r="M208" s="6">
        <f t="shared" si="73"/>
        <v>5.3472222280106507E-3</v>
      </c>
      <c r="N208" s="7">
        <f t="shared" si="70"/>
        <v>7.700000008335337</v>
      </c>
      <c r="O208" s="7"/>
      <c r="P208" s="7"/>
      <c r="Q208" s="22"/>
      <c r="R208" s="22"/>
      <c r="S208" s="31">
        <f t="shared" si="83"/>
        <v>1</v>
      </c>
      <c r="T208" s="46" t="str">
        <f t="shared" si="74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5"/>
        <v>https://d0f6bd738d7f1b3e5a7ca70fe4ff75f0.us-east-1.aws.found.io/app/kibana#/discover/Steve-Slow-Train-Analysis-(2080s-and-2083s)?_g=(refreshInterval:(display:Off,pause:!f,section:0,value:0),time:(from:'2017-03-03T02:12:15-0700',mode:absolute,to:'2017-03-03T04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197" t="str">
        <f t="shared" si="76"/>
        <v>Y</v>
      </c>
      <c r="X208" s="197">
        <f t="shared" si="71"/>
        <v>2</v>
      </c>
      <c r="Y208" s="62">
        <f t="shared" si="69"/>
        <v>2.3512</v>
      </c>
      <c r="Z208" s="62">
        <f t="shared" si="77"/>
        <v>1.49E-2</v>
      </c>
      <c r="AA208" s="62">
        <f t="shared" si="78"/>
        <v>2.3363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9"/>
        <v>0304-03</v>
      </c>
      <c r="AE208" s="85" t="str">
        <f t="shared" si="80"/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AF208" s="82" t="str">
        <f t="shared" si="81"/>
        <v>"C:\Program Files (x86)\AstroGrep\AstroGrep.exe" /spath="%USERPROFILE%\AppData\Local\Temp\OnboardLogs" /stypes="app*4032*20170303*" /stext=" 10:.+((SYSTEM_STATE.+slice.+state.+changed )|(ment ac)|(multiple cpu faults)|(system.+state.+changed )|(\[timeout)|(PRM\|1\|D)|(kpr)|(kdp)|(\|lc)|(penalty))" /e /r /s</v>
      </c>
      <c r="AG208" s="1" t="str">
        <f t="shared" si="82"/>
        <v>Other</v>
      </c>
      <c r="AH208" s="86" t="str">
        <f t="shared" si="84"/>
        <v>"%USERPROFILE%\Documents\GitHub\eaglep3\Utilities\RefineRTDCRunTimes.py" --tripid 304-03 --locoid 4032 --swversion DE.1.0.9.0 --startMP 300:23512 --initTime 2017-03-03T03:12:15 --startdatetime 2017-03-03T03:17:28 --delay 5 --endMP 204:149 --enddatetime 2017-03-03T03:25:10 --enforcementcount 0 &gt;&gt;C:\Users\stu\Documents\GitHub\eaglep3-reporting\EC\2017-03-03-refined-times.txt</v>
      </c>
      <c r="AI208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{"issue":{"subject":"","project_id":79,"tracker_id":40,"status_id":1,"priority_id":2,"assigned_to_id":23,"start_date":"2017-03-03","description":"","custom_fields":[{"id":1,"name":"Subdivision","value":"Other"},{"id":4,"name":"Milepost","value":"0.0149"},{"id":17,"name":"Train ID","value":"304-03"},{"id":16,"name":"Locomotive ID","value":"4032"},{"id":130,"name":"Impact","value":""},{"id":150,"name":"Time of Event (Mountain Time)","value":"03:25:10"},{"id":151,"name":"Denver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6"/>
        <v>start /low /b %USERPROFILE%\Documents\GitHub\eaglep3\Utilities\DownloadLogsFromS3.py --loco 4032 --day 2017-03-03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"%USERPROFILE%\AppData\Local\Temp\OnboardLogs"\RTDC4032\*4032*20170303* | grep -SE "(Enforcement Action)|(\[TIMEOUT)|(CHR.+\|PRM\|1\|D.+(SWITCH|SIGNAL).+UNKNOWN)" - &gt;&gt; 2017-03-03-UncaughtWiMAX.txt</v>
      </c>
    </row>
    <row r="209" spans="1:40" x14ac:dyDescent="0.25">
      <c r="A209" s="33" t="s">
        <v>776</v>
      </c>
      <c r="B209" s="7">
        <v>4053</v>
      </c>
      <c r="C209" s="21" t="s">
        <v>251</v>
      </c>
      <c r="D209" s="21" t="s">
        <v>323</v>
      </c>
      <c r="E209" s="13">
        <v>42797.80159722222</v>
      </c>
      <c r="F209" s="13">
        <v>42797.816388888888</v>
      </c>
      <c r="G209" s="7">
        <v>1</v>
      </c>
      <c r="H209" s="21" t="s">
        <v>541</v>
      </c>
      <c r="I209" s="13">
        <v>42797.823414351849</v>
      </c>
      <c r="J209" s="7">
        <v>0</v>
      </c>
      <c r="K209" s="98" t="str">
        <f t="shared" si="72"/>
        <v>4053/4054</v>
      </c>
      <c r="L209" s="21" t="str">
        <f>VLOOKUP(A209,'Trips&amp;Operators'!$C$1:$G$99999,5,FALSE)</f>
        <v>KILLION DAVID</v>
      </c>
      <c r="M209" s="6">
        <f t="shared" si="73"/>
        <v>7.025462960882578E-3</v>
      </c>
      <c r="N209" s="7">
        <f t="shared" si="70"/>
        <v>10.116666663670912</v>
      </c>
      <c r="O209" s="7"/>
      <c r="P209" s="7"/>
      <c r="Q209" s="22"/>
      <c r="R209" s="22"/>
      <c r="S209" s="31">
        <f t="shared" si="83"/>
        <v>1</v>
      </c>
      <c r="T209" s="46" t="str">
        <f t="shared" si="74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5"/>
        <v>https://d0f6bd738d7f1b3e5a7ca70fe4ff75f0.us-east-1.aws.found.io/app/kibana#/discover/Steve-Slow-Train-Analysis-(2080s-and-2083s)?_g=(refreshInterval:(display:Off,pause:!f,section:0,value:0),time:(from:'2017-03-03T18:14:18-0700',mode:absolute,to:'2017-03-03T20:45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9" s="197" t="str">
        <f t="shared" si="76"/>
        <v>Y</v>
      </c>
      <c r="X209" s="197">
        <f t="shared" si="71"/>
        <v>1</v>
      </c>
      <c r="Y209" s="62">
        <f t="shared" si="69"/>
        <v>4.7699999999999999E-2</v>
      </c>
      <c r="Z209" s="62">
        <f t="shared" si="77"/>
        <v>2.3308</v>
      </c>
      <c r="AA209" s="62">
        <f t="shared" si="78"/>
        <v>2.2831000000000001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9"/>
        <v>0305-03</v>
      </c>
      <c r="AE209" s="85" t="str">
        <f t="shared" si="80"/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AF209" s="82" t="str">
        <f t="shared" si="81"/>
        <v>"C:\Program Files (x86)\AstroGrep\AstroGrep.exe" /spath="%USERPROFILE%\AppData\Local\Temp\OnboardLogs" /stypes="app*4053*20170304*" /stext=" 02:.+((SYSTEM_STATE.+slice.+state.+changed )|(ment ac)|(multiple cpu faults)|(system.+state.+changed )|(\[timeout)|(PRM\|1\|D)|(kpr)|(kdp)|(\|lc)|(penalty))" /e /r /s</v>
      </c>
      <c r="AG209" s="1" t="str">
        <f t="shared" si="82"/>
        <v>Other</v>
      </c>
      <c r="AH209" s="86" t="str">
        <f t="shared" si="84"/>
        <v>"%USERPROFILE%\Documents\GitHub\eaglep3\Utilities\RefineRTDCRunTimes.py" --tripid 305-03 --locoid 4053 --swversion DE.1.0.9.0 --startMP 204:477 --initTime 2017-03-03T19:14:18 --startdatetime 2017-03-03T19:35:36 --delay 1 --endMP 300:23308 --enddatetime 2017-03-03T19:45:43 --enforcementcount 0 &gt;&gt;C:\Users\stu\Documents\GitHub\eaglep3-reporting\EC\2017-03-03-refined-times.txt</v>
      </c>
      <c r="AI209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{"issue":{"subject":"","project_id":79,"tracker_id":40,"status_id":1,"priority_id":2,"assigned_to_id":23,"start_date":"2017-03-03","description":"","custom_fields":[{"id":1,"name":"Subdivision","value":"Other"},{"id":4,"name":"Milepost","value":"2.3308"},{"id":17,"name":"Train ID","value":"305-03"},{"id":16,"name":"Locomotive ID","value":"4053"},{"id":130,"name":"Impact","value":""},{"id":150,"name":"Time of Event (Mountain Time)","value":"19:45:43"},{"id":151,"name":"Denver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6"/>
        <v>start /low /b %USERPROFILE%\Documents\GitHub\eaglep3\Utilities\DownloadLogsFromS3.py --loco 4053 --day 2017-03-03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"%USERPROFILE%\AppData\Local\Temp\OnboardLogs"\RTDC4053\*4053*20170304* | grep -SE "(Enforcement Action)|(\[TIMEOUT)|(CHR.+\|PRM\|1\|D.+(SWITCH|SIGNAL).+UNKNOWN)" - &gt;&gt; 2017-03-03-UncaughtWiMAX.txt</v>
      </c>
    </row>
    <row r="210" spans="1:40" x14ac:dyDescent="0.25">
      <c r="A210" s="33" t="s">
        <v>615</v>
      </c>
      <c r="B210" s="7">
        <v>4008</v>
      </c>
      <c r="C210" s="21" t="s">
        <v>251</v>
      </c>
      <c r="D210" s="21" t="s">
        <v>897</v>
      </c>
      <c r="E210" s="13">
        <v>42797.155613425923</v>
      </c>
      <c r="F210" s="13">
        <v>42797.161585648151</v>
      </c>
      <c r="G210" s="7">
        <v>8</v>
      </c>
      <c r="H210" s="21" t="s">
        <v>233</v>
      </c>
      <c r="I210" s="13">
        <v>42797.168275462966</v>
      </c>
      <c r="J210" s="7">
        <v>0</v>
      </c>
      <c r="K210" s="98" t="str">
        <f t="shared" si="72"/>
        <v>4007/4008</v>
      </c>
      <c r="L210" s="21" t="str">
        <f>VLOOKUP(A210,'Trips&amp;Operators'!$C$1:$G$99999,5,FALSE)</f>
        <v>CUSHING HARRY</v>
      </c>
      <c r="M210" s="6">
        <f t="shared" si="73"/>
        <v>6.6898148143081926E-3</v>
      </c>
      <c r="N210" s="7">
        <f t="shared" si="70"/>
        <v>9.6333333326037973</v>
      </c>
      <c r="O210" s="7"/>
      <c r="P210" s="7"/>
      <c r="Q210" s="22"/>
      <c r="R210" s="22"/>
      <c r="S210" s="31">
        <f t="shared" si="83"/>
        <v>1</v>
      </c>
      <c r="T210" s="46" t="str">
        <f t="shared" si="74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5"/>
        <v>https://d0f6bd738d7f1b3e5a7ca70fe4ff75f0.us-east-1.aws.found.io/app/kibana#/discover/Steve-Slow-Train-Analysis-(2080s-and-2083s)?_g=(refreshInterval:(display:Off,pause:!f,section:0,value:0),time:(from:'2017-03-03T02:44:05-0700',mode:absolute,to:'2017-03-03T05:02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197" t="str">
        <f t="shared" si="76"/>
        <v>Y</v>
      </c>
      <c r="X210" s="197">
        <f t="shared" si="71"/>
        <v>1</v>
      </c>
      <c r="Y210" s="62">
        <f t="shared" si="69"/>
        <v>2.3637000000000001</v>
      </c>
      <c r="Z210" s="62">
        <f t="shared" si="77"/>
        <v>1.3899999999999999E-2</v>
      </c>
      <c r="AA210" s="62">
        <f t="shared" si="78"/>
        <v>2.3498000000000001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9"/>
        <v>0306-03</v>
      </c>
      <c r="AE210" s="85" t="str">
        <f t="shared" si="80"/>
        <v>aws s3 cp s3://rtdc.mdm.uploadarchive.raw/RTDC4008/ "%USERPROFILE%\AppData\Local\Temp\OnboardLogs"\RTDC4008\2017-03-03 --exclude "*" --recursive --include "*20170303*" &amp; "%USERPROFILE%\Documents\GitHub\mrs-test-scripts\Headless Mode &amp; Sideloading\WalkAndUnGZ.bat" "%USERPROFILE%\AppData\Local\Temp\OnboardLogs"\RTDC4008\2017-03-03 &amp; 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</v>
      </c>
      <c r="AF210" s="82" t="str">
        <f t="shared" si="81"/>
        <v>"C:\Program Files (x86)\AstroGrep\AstroGrep.exe" /spath="%USERPROFILE%\AppData\Local\Temp\OnboardLogs" /stypes="app*4008*20170303*" /stext=" 11:.+((SYSTEM_STATE.+slice.+state.+changed )|(ment ac)|(multiple cpu faults)|(system.+state.+changed )|(\[timeout)|(PRM\|1\|D)|(kpr)|(kdp)|(\|lc)|(penalty))" /e /r /s</v>
      </c>
      <c r="AG210" s="1" t="str">
        <f t="shared" si="82"/>
        <v>Other</v>
      </c>
      <c r="AH210" s="86" t="str">
        <f t="shared" si="84"/>
        <v>"%USERPROFILE%\Documents\GitHub\eaglep3\Utilities\RefineRTDCRunTimes.py" --tripid 306-03 --locoid 4008 --swversion DE.1.0.9.0 --startMP 300:23637 --initTime 2017-03-03T03:44:05 --startdatetime 2017-03-03T03:52:41 --delay 8 --endMP 204:139 --enddatetime 2017-03-03T04:02:19 --enforcementcount 0 &gt;&gt;C:\Users\stu\Documents\GitHub\eaglep3-reporting\EC\2017-03-03-refined-times.txt</v>
      </c>
      <c r="AI210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{"issue":{"subject":"","project_id":79,"tracker_id":40,"status_id":1,"priority_id":2,"assigned_to_id":23,"start_date":"2017-03-03","description":"","custom_fields":[{"id":1,"name":"Subdivision","value":"Other"},{"id":4,"name":"Milepost","value":"0.0139"},{"id":17,"name":"Train ID","value":"306-03"},{"id":16,"name":"Locomotive ID","value":"4008"},{"id":130,"name":"Impact","value":""},{"id":150,"name":"Time of Event (Mountain Time)","value":"04:02:19"},{"id":151,"name":"Denver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6"/>
        <v>start /low /b %USERPROFILE%\Documents\GitHub\eaglep3\Utilities\DownloadLogsFromS3.py --loco 4008 --day 2017-03-03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"%USERPROFILE%\AppData\Local\Temp\OnboardLogs"\RTDC4008\*4008*20170303* | grep -SE "(Enforcement Action)|(\[TIMEOUT)|(CHR.+\|PRM\|1\|D.+(SWITCH|SIGNAL).+UNKNOWN)" - &gt;&gt; 2017-03-03-UncaughtWiMAX.txt</v>
      </c>
    </row>
    <row r="211" spans="1:40" x14ac:dyDescent="0.25">
      <c r="A211" s="33" t="s">
        <v>782</v>
      </c>
      <c r="B211" s="7">
        <v>4031</v>
      </c>
      <c r="C211" s="21" t="s">
        <v>251</v>
      </c>
      <c r="D211" s="21" t="s">
        <v>898</v>
      </c>
      <c r="E211" s="13">
        <v>42797.826423611114</v>
      </c>
      <c r="F211" s="13">
        <v>42797.833275462966</v>
      </c>
      <c r="G211" s="7">
        <v>1</v>
      </c>
      <c r="H211" s="21" t="s">
        <v>354</v>
      </c>
      <c r="I211" s="13">
        <v>42797.841111111113</v>
      </c>
      <c r="J211" s="7">
        <v>0</v>
      </c>
      <c r="K211" s="98" t="str">
        <f t="shared" si="72"/>
        <v>4031/4032</v>
      </c>
      <c r="L211" s="21" t="str">
        <f>VLOOKUP(A211,'Trips&amp;Operators'!$C$1:$G$99999,5,FALSE)</f>
        <v>WHITED DUSTIN</v>
      </c>
      <c r="M211" s="6">
        <f t="shared" si="73"/>
        <v>7.8356481462833472E-3</v>
      </c>
      <c r="N211" s="7">
        <f t="shared" ref="N211:N246" si="87">24*60*SUM($M211:$M211)</f>
        <v>11.28333333064802</v>
      </c>
      <c r="O211" s="7"/>
      <c r="P211" s="7"/>
      <c r="Q211" s="22"/>
      <c r="R211" s="22"/>
      <c r="S211" s="31">
        <f t="shared" si="83"/>
        <v>1</v>
      </c>
      <c r="T211" s="46" t="str">
        <f t="shared" si="74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5"/>
        <v>https://d0f6bd738d7f1b3e5a7ca70fe4ff75f0.us-east-1.aws.found.io/app/kibana#/discover/Steve-Slow-Train-Analysis-(2080s-and-2083s)?_g=(refreshInterval:(display:Off,pause:!f,section:0,value:0),time:(from:'2017-03-03T18:50:03-0700',mode:absolute,to:'2017-03-03T21:11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197" t="str">
        <f t="shared" si="76"/>
        <v>Y</v>
      </c>
      <c r="X211" s="197">
        <f t="shared" si="71"/>
        <v>1</v>
      </c>
      <c r="Y211" s="62">
        <f t="shared" si="69"/>
        <v>4.2999999999999997E-2</v>
      </c>
      <c r="Z211" s="62">
        <f t="shared" si="77"/>
        <v>2.3346</v>
      </c>
      <c r="AA211" s="62">
        <f t="shared" si="78"/>
        <v>2.2915999999999999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9"/>
        <v>0307-03</v>
      </c>
      <c r="AE211" s="85" t="str">
        <f t="shared" si="80"/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AF211" s="82" t="str">
        <f t="shared" si="81"/>
        <v>"C:\Program Files (x86)\AstroGrep\AstroGrep.exe" /spath="%USERPROFILE%\AppData\Local\Temp\OnboardLogs" /stypes="app*4031*20170304*" /stext=" 03:.+((SYSTEM_STATE.+slice.+state.+changed )|(ment ac)|(multiple cpu faults)|(system.+state.+changed )|(\[timeout)|(PRM\|1\|D)|(kpr)|(kdp)|(\|lc)|(penalty))" /e /r /s</v>
      </c>
      <c r="AG211" s="1" t="str">
        <f t="shared" si="82"/>
        <v>Other</v>
      </c>
      <c r="AH211" s="86" t="str">
        <f t="shared" si="84"/>
        <v>"%USERPROFILE%\Documents\GitHub\eaglep3\Utilities\RefineRTDCRunTimes.py" --tripid 307-03 --locoid 4031 --swversion DE.1.0.9.0 --startMP 204:430 --initTime 2017-03-03T19:50:03 --startdatetime 2017-03-03T19:59:55 --delay 1 --endMP 300:23346 --enddatetime 2017-03-03T20:11:12 --enforcementcount 0 &gt;&gt;C:\Users\stu\Documents\GitHub\eaglep3-reporting\EC\2017-03-03-refined-times.txt</v>
      </c>
      <c r="AI211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{"issue":{"subject":"","project_id":79,"tracker_id":40,"status_id":1,"priority_id":2,"assigned_to_id":23,"start_date":"2017-03-03","description":"","custom_fields":[{"id":1,"name":"Subdivision","value":"Other"},{"id":4,"name":"Milepost","value":"2.3346"},{"id":17,"name":"Train ID","value":"307-03"},{"id":16,"name":"Locomotive ID","value":"4031"},{"id":130,"name":"Impact","value":""},{"id":150,"name":"Time of Event (Mountain Time)","value":"20:11:12"},{"id":151,"name":"Denver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6"/>
        <v>start /low /b %USERPROFILE%\Documents\GitHub\eaglep3\Utilities\DownloadLogsFromS3.py --loco 4031 --day 2017-03-03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"%USERPROFILE%\AppData\Local\Temp\OnboardLogs"\RTDC4031\*4031*20170304* | grep -SE "(Enforcement Action)|(\[TIMEOUT)|(CHR.+\|PRM\|1\|D.+(SWITCH|SIGNAL).+UNKNOWN)" - &gt;&gt; 2017-03-03-UncaughtWiMAX.txt</v>
      </c>
    </row>
    <row r="212" spans="1:40" x14ac:dyDescent="0.25">
      <c r="A212" s="33" t="s">
        <v>618</v>
      </c>
      <c r="B212" s="7">
        <v>4052</v>
      </c>
      <c r="C212" s="21" t="s">
        <v>251</v>
      </c>
      <c r="D212" s="21" t="s">
        <v>899</v>
      </c>
      <c r="E212" s="13">
        <v>42797.16951388889</v>
      </c>
      <c r="F212" s="13">
        <v>42797.173900462964</v>
      </c>
      <c r="G212" s="7">
        <v>2</v>
      </c>
      <c r="H212" s="21" t="s">
        <v>184</v>
      </c>
      <c r="I212" s="13">
        <v>42797.174108796295</v>
      </c>
      <c r="J212" s="7">
        <v>0</v>
      </c>
      <c r="K212" s="98" t="str">
        <f t="shared" si="72"/>
        <v>4051/4052</v>
      </c>
      <c r="L212" s="21" t="str">
        <f>VLOOKUP(A212,'Trips&amp;Operators'!$C$1:$G$99999,5,FALSE)</f>
        <v>STARKS ANGELINA</v>
      </c>
      <c r="M212" s="6">
        <f t="shared" si="73"/>
        <v>2.0833333110203966E-4</v>
      </c>
      <c r="N212" s="7">
        <f t="shared" si="87"/>
        <v>0.29999999678693712</v>
      </c>
      <c r="O212" s="7"/>
      <c r="P212" s="7"/>
      <c r="Q212" s="22"/>
      <c r="R212" s="22"/>
      <c r="S212" s="31">
        <f t="shared" si="83"/>
        <v>1</v>
      </c>
      <c r="T212" s="46" t="str">
        <f t="shared" si="74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5"/>
        <v>https://d0f6bd738d7f1b3e5a7ca70fe4ff75f0.us-east-1.aws.found.io/app/kibana#/discover/Steve-Slow-Train-Analysis-(2080s-and-2083s)?_g=(refreshInterval:(display:Off,pause:!f,section:0,value:0),time:(from:'2017-03-03T03:04:06-0700',mode:absolute,to:'2017-03-03T05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2" s="197" t="str">
        <f t="shared" si="76"/>
        <v>Y</v>
      </c>
      <c r="X212" s="197">
        <f t="shared" si="71"/>
        <v>1</v>
      </c>
      <c r="Y212" s="62">
        <f t="shared" si="69"/>
        <v>2.5760000000000001</v>
      </c>
      <c r="Z212" s="62">
        <f t="shared" si="77"/>
        <v>1.49E-2</v>
      </c>
      <c r="AA212" s="62">
        <f t="shared" si="78"/>
        <v>2.5611000000000002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9"/>
        <v>0308-03</v>
      </c>
      <c r="AE212" s="85" t="str">
        <f t="shared" si="80"/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AF212" s="82" t="str">
        <f t="shared" si="81"/>
        <v>"C:\Program Files (x86)\AstroGrep\AstroGrep.exe" /spath="%USERPROFILE%\AppData\Local\Temp\OnboardLogs" /stypes="app*4052*20170303*" /stext=" 11:.+((SYSTEM_STATE.+slice.+state.+changed )|(ment ac)|(multiple cpu faults)|(system.+state.+changed )|(\[timeout)|(PRM\|1\|D)|(kpr)|(kdp)|(\|lc)|(penalty))" /e /r /s</v>
      </c>
      <c r="AG212" s="1" t="str">
        <f t="shared" si="82"/>
        <v>Other</v>
      </c>
      <c r="AH212" s="86" t="str">
        <f t="shared" si="84"/>
        <v>"%USERPROFILE%\Documents\GitHub\eaglep3\Utilities\RefineRTDCRunTimes.py" --tripid 308-03 --locoid 4052 --swversion DE.1.0.9.0 --startMP 300:25760 --initTime 2017-03-03T04:04:06 --startdatetime 2017-03-03T04:10:25 --delay 2 --endMP 204:149 --enddatetime 2017-03-03T04:10:43 --enforcementcount 0 &gt;&gt;C:\Users\stu\Documents\GitHub\eaglep3-reporting\EC\2017-03-03-refined-times.txt</v>
      </c>
      <c r="AI212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{"issue":{"subject":"","project_id":79,"tracker_id":40,"status_id":1,"priority_id":2,"assigned_to_id":23,"start_date":"2017-03-03","description":"","custom_fields":[{"id":1,"name":"Subdivision","value":"Other"},{"id":4,"name":"Milepost","value":"0.0149"},{"id":17,"name":"Train ID","value":"308-03"},{"id":16,"name":"Locomotive ID","value":"4052"},{"id":130,"name":"Impact","value":""},{"id":150,"name":"Time of Event (Mountain Time)","value":"04:10:43"},{"id":151,"name":"Denver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6"/>
        <v>start /low /b %USERPROFILE%\Documents\GitHub\eaglep3\Utilities\DownloadLogsFromS3.py --loco 4052 --day 2017-03-03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2017-03-03-UncaughtWiMAX.txt</v>
      </c>
    </row>
    <row r="213" spans="1:40" x14ac:dyDescent="0.25">
      <c r="A213" s="33" t="s">
        <v>804</v>
      </c>
      <c r="B213" s="7">
        <v>4029</v>
      </c>
      <c r="C213" s="21" t="s">
        <v>251</v>
      </c>
      <c r="D213" s="21" t="s">
        <v>246</v>
      </c>
      <c r="E213" s="13">
        <v>42798.049849537034</v>
      </c>
      <c r="F213" s="13">
        <v>42798.051631944443</v>
      </c>
      <c r="G213" s="7">
        <v>2</v>
      </c>
      <c r="H213" s="21" t="s">
        <v>900</v>
      </c>
      <c r="I213" s="13">
        <v>42798.060150462959</v>
      </c>
      <c r="J213" s="7">
        <v>0</v>
      </c>
      <c r="K213" s="98" t="str">
        <f t="shared" si="72"/>
        <v>4029/4030</v>
      </c>
      <c r="L213" s="21" t="str">
        <f>VLOOKUP(A213,'Trips&amp;Operators'!$C$1:$G$99999,5,FALSE)</f>
        <v>STORY SAMANTHA</v>
      </c>
      <c r="M213" s="6">
        <f t="shared" si="73"/>
        <v>8.5185185162117705E-3</v>
      </c>
      <c r="N213" s="7">
        <f t="shared" si="87"/>
        <v>12.266666663344949</v>
      </c>
      <c r="O213" s="7"/>
      <c r="P213" s="7"/>
      <c r="Q213" s="22"/>
      <c r="R213" s="22"/>
      <c r="S213" s="31">
        <f t="shared" si="83"/>
        <v>1</v>
      </c>
      <c r="T213" s="46" t="str">
        <f t="shared" si="74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5"/>
        <v>https://d0f6bd738d7f1b3e5a7ca70fe4ff75f0.us-east-1.aws.found.io/app/kibana#/discover/Steve-Slow-Train-Analysis-(2080s-and-2083s)?_g=(refreshInterval:(display:Off,pause:!f,section:0,value:0),time:(from:'2017-03-04T00:11:47-0700',mode:absolute,to:'2017-03-04T02:26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3" s="197" t="str">
        <f t="shared" si="76"/>
        <v>Y</v>
      </c>
      <c r="X213" s="197">
        <f t="shared" si="71"/>
        <v>1</v>
      </c>
      <c r="Y213" s="62">
        <f t="shared" si="69"/>
        <v>4.6600000000000003E-2</v>
      </c>
      <c r="Z213" s="62">
        <f t="shared" si="77"/>
        <v>2.3311999999999999</v>
      </c>
      <c r="AA213" s="62">
        <f t="shared" si="78"/>
        <v>2.2845999999999997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9"/>
        <v>0309-03</v>
      </c>
      <c r="AE213" s="85" t="str">
        <f t="shared" si="80"/>
        <v>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 &amp; 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</v>
      </c>
      <c r="AF213" s="82" t="str">
        <f t="shared" si="81"/>
        <v>"C:\Program Files (x86)\AstroGrep\AstroGrep.exe" /spath="%USERPROFILE%\AppData\Local\Temp\OnboardLogs" /stypes="app*4029*20170304*" /stext=" 08:.+((SYSTEM_STATE.+slice.+state.+changed )|(ment ac)|(multiple cpu faults)|(system.+state.+changed )|(\[timeout)|(PRM\|1\|D)|(kpr)|(kdp)|(\|lc)|(penalty))" /e /r /s</v>
      </c>
      <c r="AG213" s="1" t="str">
        <f t="shared" si="82"/>
        <v>Other</v>
      </c>
      <c r="AH213" s="86" t="str">
        <f t="shared" si="84"/>
        <v>"%USERPROFILE%\Documents\GitHub\eaglep3\Utilities\RefineRTDCRunTimes.py" --tripid 309-03 --locoid 4029 --swversion DE.1.0.9.0 --startMP 204:466 --initTime 2017-03-04T01:11:47 --startdatetime 2017-03-04T01:14:21 --delay 2 --endMP 300:23312 --enddatetime 2017-03-04T01:26:37 --enforcementcount 0 &gt;&gt;C:\Users\stu\Documents\GitHub\eaglep3-reporting\EC\2017-03-03-refined-times.txt</v>
      </c>
      <c r="AI213" s="108" t="str">
        <f t="shared" si="85"/>
        <v>echo {"issue":{"subject":"","project_id":79,"tracker_id":40,"status_id":1,"priority_id":2,"assigned_to_id":23,"start_date":"2017-03-04","description":"","custom_fields":[{"id":1,"name":"Subdivision","value":"Other"},{"id":4,"name":"Milepost","value":"2.3312"},{"id":17,"name":"Train ID","value":"309-03"},{"id":16,"name":"Locomotive ID","value":"4029"},{"id":130,"name":"Impact","value":""},{"id":150,"name":"Time of Event (Mountain Time)","value":"01:26:37"},{"id":151,"name":"Denver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6"/>
        <v>start /low /b %USERPROFILE%\Documents\GitHub\eaglep3\Utilities\DownloadLogsFromS3.py --loco 4029 --day 2017-03-04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"%USERPROFILE%\AppData\Local\Temp\OnboardLogs"\RTDC4029\*4029*20170304* | grep -SE "(Enforcement Action)|(\[TIMEOUT)|(CHR.+\|PRM\|1\|D.+(SWITCH|SIGNAL).+UNKNOWN)" - &gt;&gt; 2017-03-03-UncaughtWiMAX.txt</v>
      </c>
    </row>
    <row r="214" spans="1:40" x14ac:dyDescent="0.25">
      <c r="A214" s="33" t="s">
        <v>620</v>
      </c>
      <c r="B214" s="7">
        <v>4045</v>
      </c>
      <c r="C214" s="21" t="s">
        <v>251</v>
      </c>
      <c r="D214" s="21" t="s">
        <v>901</v>
      </c>
      <c r="E214" s="13">
        <v>42797.185335648152</v>
      </c>
      <c r="F214" s="13">
        <v>42797.188564814816</v>
      </c>
      <c r="G214" s="7">
        <v>4</v>
      </c>
      <c r="H214" s="21" t="s">
        <v>196</v>
      </c>
      <c r="I214" s="13">
        <v>42797.195729166669</v>
      </c>
      <c r="J214" s="7">
        <v>0</v>
      </c>
      <c r="K214" s="98" t="str">
        <f t="shared" si="72"/>
        <v>4045/4046</v>
      </c>
      <c r="L214" s="21" t="str">
        <f>VLOOKUP(A214,'Trips&amp;Operators'!$C$1:$G$99999,5,FALSE)</f>
        <v>LOZA FIDEL</v>
      </c>
      <c r="M214" s="6">
        <f t="shared" si="73"/>
        <v>7.1643518531345762E-3</v>
      </c>
      <c r="N214" s="7">
        <f t="shared" si="87"/>
        <v>10.31666666851379</v>
      </c>
      <c r="O214" s="7"/>
      <c r="P214" s="7"/>
      <c r="Q214" s="22"/>
      <c r="R214" s="22"/>
      <c r="S214" s="31">
        <f t="shared" si="83"/>
        <v>1</v>
      </c>
      <c r="T214" s="46" t="str">
        <f t="shared" si="74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5"/>
        <v>https://d0f6bd738d7f1b3e5a7ca70fe4ff75f0.us-east-1.aws.found.io/app/kibana#/discover/Steve-Slow-Train-Analysis-(2080s-and-2083s)?_g=(refreshInterval:(display:Off,pause:!f,section:0,value:0),time:(from:'2017-03-03T03:26:53-0700',mode:absolute,to:'2017-03-03T05:41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 t="shared" si="76"/>
        <v>Y</v>
      </c>
      <c r="X214" s="197">
        <f t="shared" si="71"/>
        <v>1</v>
      </c>
      <c r="Y214" s="62">
        <f t="shared" si="69"/>
        <v>2.3391000000000002</v>
      </c>
      <c r="Z214" s="62">
        <f t="shared" si="77"/>
        <v>1.4500000000000001E-2</v>
      </c>
      <c r="AA214" s="62">
        <f t="shared" si="78"/>
        <v>2.3246000000000002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9"/>
        <v>0310-03</v>
      </c>
      <c r="AE214" s="85" t="str">
        <f t="shared" si="80"/>
        <v>aws s3 cp s3://rtdc.mdm.uploadarchive.raw/RTDC4045/ "%USERPROFILE%\AppData\Local\Temp\OnboardLogs"\RTDC4045\2017-03-03 --exclude "*" --recursive --include "*20170303*" &amp; "%USERPROFILE%\Documents\GitHub\mrs-test-scripts\Headless Mode &amp; Sideloading\WalkAndUnGZ.bat" "%USERPROFILE%\AppData\Local\Temp\OnboardLogs"\RTDC4045\2017-03-03 &amp; aws s3 cp s3://rtdc.mdm.uploadarchive.raw/RTDC4045/ "%USERPROFILE%\AppData\Local\Temp\OnboardLogs"\RTDC4045\2017-03-04 --exclude "*" --recursive --include "*20170304*" &amp; "%USERPROFILE%\Documents\GitHub\mrs-test-scripts\Headless Mode &amp; Sideloading\WalkAndUnGZ.bat" "%USERPROFILE%\AppData\Local\Temp\OnboardLogs"\RTDC4045\2017-03-04</v>
      </c>
      <c r="AF214" s="82" t="str">
        <f t="shared" si="81"/>
        <v>"C:\Program Files (x86)\AstroGrep\AstroGrep.exe" /spath="%USERPROFILE%\AppData\Local\Temp\OnboardLogs" /stypes="app*4045*20170303*" /stext=" 11:.+((SYSTEM_STATE.+slice.+state.+changed )|(ment ac)|(multiple cpu faults)|(system.+state.+changed )|(\[timeout)|(PRM\|1\|D)|(kpr)|(kdp)|(\|lc)|(penalty))" /e /r /s</v>
      </c>
      <c r="AG214" s="1" t="str">
        <f t="shared" si="82"/>
        <v>Other</v>
      </c>
      <c r="AH214" s="86" t="str">
        <f t="shared" si="84"/>
        <v>"%USERPROFILE%\Documents\GitHub\eaglep3\Utilities\RefineRTDCRunTimes.py" --tripid 310-03 --locoid 4045 --swversion DE.1.0.9.0 --startMP 300:23391 --initTime 2017-03-03T04:26:53 --startdatetime 2017-03-03T04:31:32 --delay 4 --endMP 204:145 --enddatetime 2017-03-03T04:41:51 --enforcementcount 0 &gt;&gt;C:\Users\stu\Documents\GitHub\eaglep3-reporting\EC\2017-03-03-refined-times.txt</v>
      </c>
      <c r="AI214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{"issue":{"subject":"","project_id":79,"tracker_id":40,"status_id":1,"priority_id":2,"assigned_to_id":23,"start_date":"2017-03-03","description":"","custom_fields":[{"id":1,"name":"Subdivision","value":"Other"},{"id":4,"name":"Milepost","value":"0.0145"},{"id":17,"name":"Train ID","value":"310-03"},{"id":16,"name":"Locomotive ID","value":"4045"},{"id":130,"name":"Impact","value":""},{"id":150,"name":"Time of Event (Mountain Time)","value":"04:41:51"},{"id":151,"name":"Denver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6"/>
        <v>start /low /b %USERPROFILE%\Documents\GitHub\eaglep3\Utilities\DownloadLogsFromS3.py --loco 4045 --day 2017-03-03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"%USERPROFILE%\AppData\Local\Temp\OnboardLogs"\RTDC4045\*4045*20170303* | grep -SE "(Enforcement Action)|(\[TIMEOUT)|(CHR.+\|PRM\|1\|D.+(SWITCH|SIGNAL).+UNKNOWN)" - &gt;&gt; 2017-03-03-UncaughtWiMAX.txt</v>
      </c>
    </row>
    <row r="215" spans="1:40" x14ac:dyDescent="0.25">
      <c r="A215" s="33" t="s">
        <v>522</v>
      </c>
      <c r="B215" s="7">
        <v>4020</v>
      </c>
      <c r="C215" s="21" t="s">
        <v>251</v>
      </c>
      <c r="D215" s="21" t="s">
        <v>203</v>
      </c>
      <c r="E215" s="13">
        <v>42797.073067129626</v>
      </c>
      <c r="F215" s="13">
        <v>42797.074756944443</v>
      </c>
      <c r="G215" s="7">
        <v>1</v>
      </c>
      <c r="H215" s="21" t="s">
        <v>355</v>
      </c>
      <c r="I215" s="13">
        <v>42797.083032407405</v>
      </c>
      <c r="J215" s="7">
        <v>0</v>
      </c>
      <c r="K215" s="98" t="str">
        <f t="shared" si="72"/>
        <v>4019/4020</v>
      </c>
      <c r="L215" s="21" t="str">
        <f>VLOOKUP(A215,'Trips&amp;Operators'!$C$1:$G$99999,5,FALSE)</f>
        <v>BROWN JACOB</v>
      </c>
      <c r="M215" s="6">
        <f t="shared" si="73"/>
        <v>8.2754629620467313E-3</v>
      </c>
      <c r="N215" s="7">
        <f t="shared" si="87"/>
        <v>11.916666665347293</v>
      </c>
      <c r="O215" s="7"/>
      <c r="P215" s="7"/>
      <c r="Q215" s="22"/>
      <c r="R215" s="22"/>
      <c r="S215" s="31">
        <f t="shared" si="83"/>
        <v>1</v>
      </c>
      <c r="T215" s="46" t="str">
        <f t="shared" si="74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5"/>
        <v>https://d0f6bd738d7f1b3e5a7ca70fe4ff75f0.us-east-1.aws.found.io/app/kibana#/discover/Steve-Slow-Train-Analysis-(2080s-and-2083s)?_g=(refreshInterval:(display:Off,pause:!f,section:0,value:0),time:(from:'2017-03-03T00:45:13-0700',mode:absolute,to:'2017-03-03T02:59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97" t="str">
        <f t="shared" si="76"/>
        <v>Y</v>
      </c>
      <c r="X215" s="197">
        <f t="shared" si="71"/>
        <v>1</v>
      </c>
      <c r="Y215" s="62">
        <f t="shared" si="69"/>
        <v>4.6199999999999998E-2</v>
      </c>
      <c r="Z215" s="62">
        <f t="shared" si="77"/>
        <v>2.3306</v>
      </c>
      <c r="AA215" s="62">
        <f t="shared" si="78"/>
        <v>2.2844000000000002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9"/>
        <v>0311-02</v>
      </c>
      <c r="AE215" s="85" t="str">
        <f t="shared" si="80"/>
        <v>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 &amp; 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</v>
      </c>
      <c r="AF215" s="82" t="str">
        <f t="shared" si="81"/>
        <v>"C:\Program Files (x86)\AstroGrep\AstroGrep.exe" /spath="%USERPROFILE%\AppData\Local\Temp\OnboardLogs" /stypes="app*4020*20170303*" /stext=" 08:.+((SYSTEM_STATE.+slice.+state.+changed )|(ment ac)|(multiple cpu faults)|(system.+state.+changed )|(\[timeout)|(PRM\|1\|D)|(kpr)|(kdp)|(\|lc)|(penalty))" /e /r /s</v>
      </c>
      <c r="AG215" s="1" t="str">
        <f t="shared" si="82"/>
        <v>Other</v>
      </c>
      <c r="AH215" s="86" t="str">
        <f t="shared" si="84"/>
        <v>"%USERPROFILE%\Documents\GitHub\eaglep3\Utilities\RefineRTDCRunTimes.py" --tripid 311-02 --locoid 4020 --swversion DE.1.0.9.0 --startMP 204:462 --initTime 2017-03-03T01:45:13 --startdatetime 2017-03-03T01:47:39 --delay 1 --endMP 300:23306 --enddatetime 2017-03-03T01:59:34 --enforcementcount 0 &gt;&gt;C:\Users\stu\Documents\GitHub\eaglep3-reporting\EC\2017-03-03-refined-times.txt</v>
      </c>
      <c r="AI215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{"issue":{"subject":"","project_id":79,"tracker_id":40,"status_id":1,"priority_id":2,"assigned_to_id":23,"start_date":"2017-03-03","description":"","custom_fields":[{"id":1,"name":"Subdivision","value":"Other"},{"id":4,"name":"Milepost","value":"2.3306"},{"id":17,"name":"Train ID","value":"311-02"},{"id":16,"name":"Locomotive ID","value":"4020"},{"id":130,"name":"Impact","value":""},{"id":150,"name":"Time of Event (Mountain Time)","value":"01:59:34"},{"id":151,"name":"Denver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6"/>
        <v>start /low /b %USERPROFILE%\Documents\GitHub\eaglep3\Utilities\DownloadLogsFromS3.py --loco 4020 --day 2017-03-03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"%USERPROFILE%\AppData\Local\Temp\OnboardLogs"\RTDC4020\*4020*20170303* | grep -SE "(Enforcement Action)|(\[TIMEOUT)|(CHR.+\|PRM\|1\|D.+(SWITCH|SIGNAL).+UNKNOWN)" - &gt;&gt; 2017-03-03-UncaughtWiMAX.txt</v>
      </c>
    </row>
    <row r="216" spans="1:40" x14ac:dyDescent="0.25">
      <c r="A216" s="33" t="s">
        <v>806</v>
      </c>
      <c r="B216" s="7">
        <v>4011</v>
      </c>
      <c r="C216" s="21" t="s">
        <v>251</v>
      </c>
      <c r="D216" s="21" t="s">
        <v>552</v>
      </c>
      <c r="E216" s="13">
        <v>42798.068101851852</v>
      </c>
      <c r="F216" s="13">
        <v>42798.069618055553</v>
      </c>
      <c r="G216" s="7">
        <v>1</v>
      </c>
      <c r="H216" s="21" t="s">
        <v>902</v>
      </c>
      <c r="I216" s="13">
        <v>42798.077604166669</v>
      </c>
      <c r="J216" s="7">
        <v>0</v>
      </c>
      <c r="K216" s="98" t="str">
        <f t="shared" si="72"/>
        <v>4011/4012</v>
      </c>
      <c r="L216" s="21" t="str">
        <f>VLOOKUP(A216,'Trips&amp;Operators'!$C$1:$G$99999,5,FALSE)</f>
        <v>STAMBAUGH JAMES</v>
      </c>
      <c r="M216" s="6">
        <f t="shared" si="73"/>
        <v>7.9861111153149977E-3</v>
      </c>
      <c r="N216" s="7">
        <f t="shared" si="87"/>
        <v>11.500000006053597</v>
      </c>
      <c r="O216" s="7"/>
      <c r="P216" s="7"/>
      <c r="Q216" s="22"/>
      <c r="R216" s="22"/>
      <c r="S216" s="31">
        <f t="shared" si="83"/>
        <v>1</v>
      </c>
      <c r="T216" s="46" t="str">
        <f t="shared" si="74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5"/>
        <v>https://d0f6bd738d7f1b3e5a7ca70fe4ff75f0.us-east-1.aws.found.io/app/kibana#/discover/Steve-Slow-Train-Analysis-(2080s-and-2083s)?_g=(refreshInterval:(display:Off,pause:!f,section:0,value:0),time:(from:'2017-03-04T00:38:04-0700',mode:absolute,to:'2017-03-04T02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6" s="197" t="str">
        <f t="shared" si="76"/>
        <v>Y</v>
      </c>
      <c r="X216" s="197">
        <f t="shared" ref="X216:X246" si="88">VALUE(LEFT(AD216,4))-VALUE(LEFT(AD215,4))</f>
        <v>0</v>
      </c>
      <c r="Y216" s="62">
        <f t="shared" si="69"/>
        <v>7.0099999999999996E-2</v>
      </c>
      <c r="Z216" s="62">
        <f t="shared" si="77"/>
        <v>2.3323</v>
      </c>
      <c r="AA216" s="62">
        <f t="shared" si="78"/>
        <v>2.2622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9"/>
        <v>0311-03</v>
      </c>
      <c r="AE216" s="85" t="str">
        <f t="shared" si="80"/>
        <v>aws s3 cp s3://rtdc.mdm.uploadarchive.raw/RTDC4011/ "%USERPROFILE%\AppData\Local\Temp\OnboardLogs"\RTDC4011\2017-03-04 --exclude "*" --recursive --include "*20170304*" &amp; "%USERPROFILE%\Documents\GitHub\mrs-test-scripts\Headless Mode &amp; Sideloading\WalkAndUnGZ.bat" "%USERPROFILE%\AppData\Local\Temp\OnboardLogs"\RTDC4011\2017-03-04 &amp; aws s3 cp s3://rtdc.mdm.uploadarchive.raw/RTDC4011/ "%USERPROFILE%\AppData\Local\Temp\OnboardLogs"\RTDC4011\2017-03-05 --exclude "*" --recursive --include "*20170305*" &amp; "%USERPROFILE%\Documents\GitHub\mrs-test-scripts\Headless Mode &amp; Sideloading\WalkAndUnGZ.bat" "%USERPROFILE%\AppData\Local\Temp\OnboardLogs"\RTDC4011\2017-03-05</v>
      </c>
      <c r="AF216" s="82" t="str">
        <f t="shared" si="81"/>
        <v>"C:\Program Files (x86)\AstroGrep\AstroGrep.exe" /spath="%USERPROFILE%\AppData\Local\Temp\OnboardLogs" /stypes="app*4011*20170304*" /stext=" 08:.+((SYSTEM_STATE.+slice.+state.+changed )|(ment ac)|(multiple cpu faults)|(system.+state.+changed )|(\[timeout)|(PRM\|1\|D)|(kpr)|(kdp)|(\|lc)|(penalty))" /e /r /s</v>
      </c>
      <c r="AG216" s="1" t="str">
        <f t="shared" si="82"/>
        <v>Other</v>
      </c>
      <c r="AH216" s="86" t="str">
        <f t="shared" si="84"/>
        <v>"%USERPROFILE%\Documents\GitHub\eaglep3\Utilities\RefineRTDCRunTimes.py" --tripid 311-03 --locoid 4011 --swversion DE.1.0.9.0 --startMP 204:701 --initTime 2017-03-04T01:38:04 --startdatetime 2017-03-04T01:40:15 --delay 1 --endMP 300:23323 --enddatetime 2017-03-04T01:51:45 --enforcementcount 0 &gt;&gt;C:\Users\stu\Documents\GitHub\eaglep3-reporting\EC\2017-03-03-refined-times.txt</v>
      </c>
      <c r="AI216" s="108" t="str">
        <f t="shared" si="85"/>
        <v>echo {"issue":{"subject":"","project_id":79,"tracker_id":40,"status_id":1,"priority_id":2,"assigned_to_id":23,"start_date":"2017-03-04","description":"","custom_fields":[{"id":1,"name":"Subdivision","value":"Other"},{"id":4,"name":"Milepost","value":"2.3323"},{"id":17,"name":"Train ID","value":"311-03"},{"id":16,"name":"Locomotive ID","value":"4011"},{"id":130,"name":"Impact","value":""},{"id":150,"name":"Time of Event (Mountain Time)","value":"01:51:45"},{"id":151,"name":"Denver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6"/>
        <v>start /low /b %USERPROFILE%\Documents\GitHub\eaglep3\Utilities\DownloadLogsFromS3.py --loco 4011 --day 2017-03-04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"%USERPROFILE%\AppData\Local\Temp\OnboardLogs"\RTDC4011\*4011*20170304* | grep -SE "(Enforcement Action)|(\[TIMEOUT)|(CHR.+\|PRM\|1\|D.+(SWITCH|SIGNAL).+UNKNOWN)" - &gt;&gt; 2017-03-03-UncaughtWiMAX.txt</v>
      </c>
    </row>
    <row r="217" spans="1:40" x14ac:dyDescent="0.25">
      <c r="A217" s="33" t="s">
        <v>523</v>
      </c>
      <c r="B217" s="7">
        <v>4022</v>
      </c>
      <c r="C217" s="21" t="s">
        <v>251</v>
      </c>
      <c r="D217" s="21" t="s">
        <v>242</v>
      </c>
      <c r="E217" s="13">
        <v>42797.092905092592</v>
      </c>
      <c r="F217" s="13">
        <v>42797.094641203701</v>
      </c>
      <c r="G217" s="7">
        <v>1</v>
      </c>
      <c r="H217" s="21" t="s">
        <v>541</v>
      </c>
      <c r="I217" s="13">
        <v>42797.103935185187</v>
      </c>
      <c r="J217" s="7">
        <v>0</v>
      </c>
      <c r="K217" s="98" t="str">
        <f t="shared" si="72"/>
        <v>4021/4022</v>
      </c>
      <c r="L217" s="21" t="str">
        <f>VLOOKUP(A217,'Trips&amp;Operators'!$C$1:$G$99999,5,FALSE)</f>
        <v>PERKINS DARREN</v>
      </c>
      <c r="M217" s="6">
        <f t="shared" si="73"/>
        <v>9.2939814858254977E-3</v>
      </c>
      <c r="N217" s="7">
        <f t="shared" si="87"/>
        <v>13.383333339588717</v>
      </c>
      <c r="O217" s="7"/>
      <c r="P217" s="7"/>
      <c r="Q217" s="22"/>
      <c r="R217" s="22"/>
      <c r="S217" s="31">
        <f t="shared" si="83"/>
        <v>1</v>
      </c>
      <c r="T217" s="46" t="str">
        <f t="shared" si="74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5"/>
        <v>https://d0f6bd738d7f1b3e5a7ca70fe4ff75f0.us-east-1.aws.found.io/app/kibana#/discover/Steve-Slow-Train-Analysis-(2080s-and-2083s)?_g=(refreshInterval:(display:Off,pause:!f,section:0,value:0),time:(from:'2017-03-03T01:13:47-0700',mode:absolute,to:'2017-03-03T03:29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197" t="str">
        <f t="shared" si="76"/>
        <v>Y</v>
      </c>
      <c r="X217" s="197">
        <f t="shared" si="88"/>
        <v>2</v>
      </c>
      <c r="Y217" s="62">
        <f t="shared" si="69"/>
        <v>4.4400000000000002E-2</v>
      </c>
      <c r="Z217" s="62">
        <f t="shared" si="77"/>
        <v>2.3308</v>
      </c>
      <c r="AA217" s="62">
        <f t="shared" si="78"/>
        <v>2.2864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9"/>
        <v>0313-02</v>
      </c>
      <c r="AE217" s="85" t="str">
        <f t="shared" si="80"/>
        <v>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 &amp; 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</v>
      </c>
      <c r="AF217" s="82" t="str">
        <f t="shared" si="81"/>
        <v>"C:\Program Files (x86)\AstroGrep\AstroGrep.exe" /spath="%USERPROFILE%\AppData\Local\Temp\OnboardLogs" /stypes="app*4022*20170303*" /stext=" 09:.+((SYSTEM_STATE.+slice.+state.+changed )|(ment ac)|(multiple cpu faults)|(system.+state.+changed )|(\[timeout)|(PRM\|1\|D)|(kpr)|(kdp)|(\|lc)|(penalty))" /e /r /s</v>
      </c>
      <c r="AG217" s="1" t="str">
        <f t="shared" si="82"/>
        <v>Other</v>
      </c>
      <c r="AH217" s="86" t="str">
        <f t="shared" si="84"/>
        <v>"%USERPROFILE%\Documents\GitHub\eaglep3\Utilities\RefineRTDCRunTimes.py" --tripid 313-02 --locoid 4022 --swversion DE.1.0.9.0 --startMP 204:444 --initTime 2017-03-03T02:13:47 --startdatetime 2017-03-03T02:16:17 --delay 1 --endMP 300:23308 --enddatetime 2017-03-03T02:29:40 --enforcementcount 0 &gt;&gt;C:\Users\stu\Documents\GitHub\eaglep3-reporting\EC\2017-03-03-refined-times.txt</v>
      </c>
      <c r="AI217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{"issue":{"subject":"","project_id":79,"tracker_id":40,"status_id":1,"priority_id":2,"assigned_to_id":23,"start_date":"2017-03-03","description":"","custom_fields":[{"id":1,"name":"Subdivision","value":"Other"},{"id":4,"name":"Milepost","value":"2.3308"},{"id":17,"name":"Train ID","value":"313-02"},{"id":16,"name":"Locomotive ID","value":"4022"},{"id":130,"name":"Impact","value":""},{"id":150,"name":"Time of Event (Mountain Time)","value":"02:29:40"},{"id":151,"name":"Denver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6"/>
        <v>start /low /b %USERPROFILE%\Documents\GitHub\eaglep3\Utilities\DownloadLogsFromS3.py --loco 4022 --day 2017-03-03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"%USERPROFILE%\AppData\Local\Temp\OnboardLogs"\RTDC4022\*4022*20170303* | grep -SE "(Enforcement Action)|(\[TIMEOUT)|(CHR.+\|PRM\|1\|D.+(SWITCH|SIGNAL).+UNKNOWN)" - &gt;&gt; 2017-03-03-UncaughtWiMAX.txt</v>
      </c>
    </row>
    <row r="218" spans="1:40" x14ac:dyDescent="0.25">
      <c r="A218" s="33" t="s">
        <v>808</v>
      </c>
      <c r="B218" s="7">
        <v>4051</v>
      </c>
      <c r="C218" s="21" t="s">
        <v>251</v>
      </c>
      <c r="D218" s="21" t="s">
        <v>276</v>
      </c>
      <c r="E218" s="13">
        <v>42798.091921296298</v>
      </c>
      <c r="F218" s="13">
        <v>42798.093321759261</v>
      </c>
      <c r="G218" s="7">
        <v>1</v>
      </c>
      <c r="H218" s="21" t="s">
        <v>903</v>
      </c>
      <c r="I218" s="13">
        <v>42798.101550925923</v>
      </c>
      <c r="J218" s="7">
        <v>0</v>
      </c>
      <c r="K218" s="98" t="str">
        <f t="shared" si="72"/>
        <v>4051/4052</v>
      </c>
      <c r="L218" s="21" t="str">
        <f>VLOOKUP(A218,'Trips&amp;Operators'!$C$1:$G$99999,5,FALSE)</f>
        <v>SAFIEF AEIMEN</v>
      </c>
      <c r="M218" s="6">
        <f t="shared" si="73"/>
        <v>8.2291666622040793E-3</v>
      </c>
      <c r="N218" s="7">
        <f t="shared" si="87"/>
        <v>11.849999993573874</v>
      </c>
      <c r="O218" s="7"/>
      <c r="P218" s="7"/>
      <c r="Q218" s="22"/>
      <c r="R218" s="22"/>
      <c r="S218" s="31">
        <f t="shared" si="83"/>
        <v>1</v>
      </c>
      <c r="T218" s="46" t="str">
        <f t="shared" si="74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5"/>
        <v>https://d0f6bd738d7f1b3e5a7ca70fe4ff75f0.us-east-1.aws.found.io/app/kibana#/discover/Steve-Slow-Train-Analysis-(2080s-and-2083s)?_g=(refreshInterval:(display:Off,pause:!f,section:0,value:0),time:(from:'2017-03-04T01:12:22-0700',mode:absolute,to:'2017-03-04T03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8" s="197" t="str">
        <f t="shared" si="76"/>
        <v>Y</v>
      </c>
      <c r="X218" s="197">
        <f t="shared" si="88"/>
        <v>0</v>
      </c>
      <c r="Y218" s="62">
        <f t="shared" si="69"/>
        <v>4.6699999999999998E-2</v>
      </c>
      <c r="Z218" s="62">
        <f t="shared" si="77"/>
        <v>2.331</v>
      </c>
      <c r="AA218" s="62">
        <f t="shared" si="78"/>
        <v>2.2843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9"/>
        <v>0313-03</v>
      </c>
      <c r="AE218" s="85" t="str">
        <f t="shared" si="80"/>
        <v>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 &amp; aws s3 cp s3://rtdc.mdm.uploadarchive.raw/RTDC4051/ "%USERPROFILE%\AppData\Local\Temp\OnboardLogs"\RTDC4051\2017-03-05 --exclude "*" --recursive --include "*20170305*" &amp; "%USERPROFILE%\Documents\GitHub\mrs-test-scripts\Headless Mode &amp; Sideloading\WalkAndUnGZ.bat" "%USERPROFILE%\AppData\Local\Temp\OnboardLogs"\RTDC4051\2017-03-05</v>
      </c>
      <c r="AF218" s="82" t="str">
        <f t="shared" si="81"/>
        <v>"C:\Program Files (x86)\AstroGrep\AstroGrep.exe" /spath="%USERPROFILE%\AppData\Local\Temp\OnboardLogs" /stypes="app*4051*20170304*" /stext=" 09:.+((SYSTEM_STATE.+slice.+state.+changed )|(ment ac)|(multiple cpu faults)|(system.+state.+changed )|(\[timeout)|(PRM\|1\|D)|(kpr)|(kdp)|(\|lc)|(penalty))" /e /r /s</v>
      </c>
      <c r="AG218" s="1" t="str">
        <f t="shared" si="82"/>
        <v>Other</v>
      </c>
      <c r="AH218" s="86" t="str">
        <f t="shared" si="84"/>
        <v>"%USERPROFILE%\Documents\GitHub\eaglep3\Utilities\RefineRTDCRunTimes.py" --tripid 313-03 --locoid 4051 --swversion DE.1.0.9.0 --startMP 204:467 --initTime 2017-03-04T02:12:22 --startdatetime 2017-03-04T02:14:23 --delay 1 --endMP 300:23310 --enddatetime 2017-03-04T02:26:14 --enforcementcount 0 &gt;&gt;C:\Users\stu\Documents\GitHub\eaglep3-reporting\EC\2017-03-03-refined-times.txt</v>
      </c>
      <c r="AI218" s="108" t="str">
        <f t="shared" si="85"/>
        <v>echo {"issue":{"subject":"","project_id":79,"tracker_id":40,"status_id":1,"priority_id":2,"assigned_to_id":23,"start_date":"2017-03-04","description":"","custom_fields":[{"id":1,"name":"Subdivision","value":"Other"},{"id":4,"name":"Milepost","value":"2.331"},{"id":17,"name":"Train ID","value":"313-03"},{"id":16,"name":"Locomotive ID","value":"4051"},{"id":130,"name":"Impact","value":""},{"id":150,"name":"Time of Event (Mountain Time)","value":"02:26:14"},{"id":151,"name":"Denver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6"/>
        <v>start /low /b %USERPROFILE%\Documents\GitHub\eaglep3\Utilities\DownloadLogsFromS3.py --loco 4051 --day 2017-03-04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"%USERPROFILE%\AppData\Local\Temp\OnboardLogs"\RTDC4051\*4051*20170304* | grep -SE "(Enforcement Action)|(\[TIMEOUT)|(CHR.+\|PRM\|1\|D.+(SWITCH|SIGNAL).+UNKNOWN)" - &gt;&gt; 2017-03-03-UncaughtWiMAX.txt</v>
      </c>
    </row>
    <row r="219" spans="1:40" x14ac:dyDescent="0.25">
      <c r="A219" s="33" t="s">
        <v>809</v>
      </c>
      <c r="B219" s="7">
        <v>4027</v>
      </c>
      <c r="C219" s="21" t="s">
        <v>251</v>
      </c>
      <c r="D219" s="21" t="s">
        <v>232</v>
      </c>
      <c r="E219" s="13">
        <v>42798.113391203704</v>
      </c>
      <c r="F219" s="13">
        <v>42798.114583333336</v>
      </c>
      <c r="G219" s="7">
        <v>1</v>
      </c>
      <c r="H219" s="21" t="s">
        <v>354</v>
      </c>
      <c r="I219" s="13">
        <v>42798.123344907406</v>
      </c>
      <c r="J219" s="7">
        <v>0</v>
      </c>
      <c r="K219" s="98" t="str">
        <f t="shared" si="72"/>
        <v>4027/4028</v>
      </c>
      <c r="L219" s="21" t="str">
        <f>VLOOKUP(A219,'Trips&amp;Operators'!$C$1:$G$99999,5,FALSE)</f>
        <v>BROWN JACOB</v>
      </c>
      <c r="M219" s="6">
        <f t="shared" si="73"/>
        <v>8.7615740703768097E-3</v>
      </c>
      <c r="N219" s="7">
        <f t="shared" si="87"/>
        <v>12.616666661342606</v>
      </c>
      <c r="O219" s="7"/>
      <c r="P219" s="7"/>
      <c r="Q219" s="22"/>
      <c r="R219" s="22"/>
      <c r="S219" s="31">
        <f t="shared" si="83"/>
        <v>1</v>
      </c>
      <c r="T219" s="46" t="str">
        <f t="shared" si="74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5"/>
        <v>https://d0f6bd738d7f1b3e5a7ca70fe4ff75f0.us-east-1.aws.found.io/app/kibana#/discover/Steve-Slow-Train-Analysis-(2080s-and-2083s)?_g=(refreshInterval:(display:Off,pause:!f,section:0,value:0),time:(from:'2017-03-04T01:43:17-0700',mode:absolute,to:'2017-03-04T03:57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9" s="197" t="str">
        <f t="shared" si="76"/>
        <v>Y</v>
      </c>
      <c r="X219" s="197">
        <f t="shared" si="88"/>
        <v>2</v>
      </c>
      <c r="Y219" s="62">
        <f t="shared" si="69"/>
        <v>4.5499999999999999E-2</v>
      </c>
      <c r="Z219" s="62">
        <f t="shared" si="77"/>
        <v>2.3346</v>
      </c>
      <c r="AA219" s="62">
        <f t="shared" si="78"/>
        <v>2.2890999999999999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9"/>
        <v>0315-03</v>
      </c>
      <c r="AE219" s="85" t="str">
        <f t="shared" si="80"/>
        <v>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 &amp; 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</v>
      </c>
      <c r="AF219" s="82" t="str">
        <f t="shared" si="81"/>
        <v>"C:\Program Files (x86)\AstroGrep\AstroGrep.exe" /spath="%USERPROFILE%\AppData\Local\Temp\OnboardLogs" /stypes="app*4027*20170304*" /stext=" 09:.+((SYSTEM_STATE.+slice.+state.+changed )|(ment ac)|(multiple cpu faults)|(system.+state.+changed )|(\[timeout)|(PRM\|1\|D)|(kpr)|(kdp)|(\|lc)|(penalty))" /e /r /s</v>
      </c>
      <c r="AG219" s="1" t="str">
        <f t="shared" si="82"/>
        <v>Other</v>
      </c>
      <c r="AH219" s="86" t="str">
        <f t="shared" si="84"/>
        <v>"%USERPROFILE%\Documents\GitHub\eaglep3\Utilities\RefineRTDCRunTimes.py" --tripid 315-03 --locoid 4027 --swversion DE.1.0.9.0 --startMP 204:455 --initTime 2017-03-04T02:43:17 --startdatetime 2017-03-04T02:45:00 --delay 1 --endMP 300:23346 --enddatetime 2017-03-04T02:57:37 --enforcementcount 0 &gt;&gt;C:\Users\stu\Documents\GitHub\eaglep3-reporting\EC\2017-03-03-refined-times.txt</v>
      </c>
      <c r="AI219" s="108" t="str">
        <f t="shared" si="85"/>
        <v>echo {"issue":{"subject":"","project_id":79,"tracker_id":40,"status_id":1,"priority_id":2,"assigned_to_id":23,"start_date":"2017-03-04","description":"","custom_fields":[{"id":1,"name":"Subdivision","value":"Other"},{"id":4,"name":"Milepost","value":"2.3346"},{"id":17,"name":"Train ID","value":"315-03"},{"id":16,"name":"Locomotive ID","value":"4027"},{"id":130,"name":"Impact","value":""},{"id":150,"name":"Time of Event (Mountain Time)","value":"02:57:37"},{"id":151,"name":"Denver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6"/>
        <v>start /low /b %USERPROFILE%\Documents\GitHub\eaglep3\Utilities\DownloadLogsFromS3.py --loco 4027 --day 2017-03-04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"%USERPROFILE%\AppData\Local\Temp\OnboardLogs"\RTDC4027\*4027*20170304* | grep -SE "(Enforcement Action)|(\[TIMEOUT)|(CHR.+\|PRM\|1\|D.+(SWITCH|SIGNAL).+UNKNOWN)" - &gt;&gt; 2017-03-03-UncaughtWiMAX.txt</v>
      </c>
    </row>
    <row r="220" spans="1:40" x14ac:dyDescent="0.25">
      <c r="A220" s="33" t="s">
        <v>623</v>
      </c>
      <c r="B220" s="7">
        <v>4002</v>
      </c>
      <c r="C220" s="21" t="s">
        <v>251</v>
      </c>
      <c r="D220" s="21" t="s">
        <v>976</v>
      </c>
      <c r="E220" s="13">
        <v>42797.218819444446</v>
      </c>
      <c r="F220" s="13">
        <v>42797.222326388888</v>
      </c>
      <c r="G220" s="7">
        <v>4</v>
      </c>
      <c r="H220" s="21" t="s">
        <v>921</v>
      </c>
      <c r="I220" s="13">
        <v>42797.227708333332</v>
      </c>
      <c r="J220" s="7">
        <v>0</v>
      </c>
      <c r="K220" s="98" t="str">
        <f t="shared" si="72"/>
        <v>4001/4002</v>
      </c>
      <c r="L220" s="21" t="str">
        <f>VLOOKUP(A220,'Trips&amp;Operators'!$C$1:$G$99999,5,FALSE)</f>
        <v>GEBRETEKLE DAGNEW</v>
      </c>
      <c r="M220" s="6">
        <f t="shared" si="73"/>
        <v>5.3819444437976927E-3</v>
      </c>
      <c r="N220" s="7">
        <f t="shared" si="87"/>
        <v>7.7499999990686774</v>
      </c>
      <c r="O220" s="7"/>
      <c r="P220" s="7"/>
      <c r="Q220" s="22"/>
      <c r="R220" s="22"/>
      <c r="S220" s="31">
        <f t="shared" si="83"/>
        <v>0</v>
      </c>
      <c r="T220" s="46" t="str">
        <f t="shared" si="74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75"/>
        <v>https://d0f6bd738d7f1b3e5a7ca70fe4ff75f0.us-east-1.aws.found.io/app/kibana#/discover/Steve-Slow-Train-Analysis-(2080s-and-2083s)?_g=(refreshInterval:(display:Off,pause:!f,section:0,value:0),time:(from:'2017-03-03T04:15:06-0700',mode:absolute,to:'2017-03-03T06:27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0" s="197" t="str">
        <f t="shared" si="76"/>
        <v>Y</v>
      </c>
      <c r="X220" s="197">
        <f t="shared" si="88"/>
        <v>586</v>
      </c>
      <c r="Y220" s="62">
        <f t="shared" si="69"/>
        <v>3.0135000000000001</v>
      </c>
      <c r="Z220" s="62">
        <f t="shared" si="77"/>
        <v>5.8993000000000002</v>
      </c>
      <c r="AA220" s="62">
        <f t="shared" si="78"/>
        <v>2.8858000000000001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9"/>
        <v>0901-03</v>
      </c>
      <c r="AE220" s="85" t="str">
        <f t="shared" si="80"/>
        <v>aws s3 cp s3://rtdc.mdm.uploadarchive.raw/RTDC4002/ "%USERPROFILE%\AppData\Local\Temp\OnboardLogs"\RTDC4002\2017-03-03 --exclude "*" --recursive --include "*20170303*" &amp; "%USERPROFILE%\Documents\GitHub\mrs-test-scripts\Headless Mode &amp; Sideloading\WalkAndUnGZ.bat" "%USERPROFILE%\AppData\Local\Temp\OnboardLogs"\RTDC4002\2017-03-03 &amp; aws s3 cp s3://rtdc.mdm.uploadarchive.raw/RTDC4002/ "%USERPROFILE%\AppData\Local\Temp\OnboardLogs"\RTDC4002\2017-03-04 --exclude "*" --recursive --include "*20170304*" &amp; "%USERPROFILE%\Documents\GitHub\mrs-test-scripts\Headless Mode &amp; Sideloading\WalkAndUnGZ.bat" "%USERPROFILE%\AppData\Local\Temp\OnboardLogs"\RTDC4002\2017-03-04</v>
      </c>
      <c r="AF220" s="82" t="str">
        <f t="shared" si="81"/>
        <v>"C:\Program Files (x86)\AstroGrep\AstroGrep.exe" /spath="%USERPROFILE%\AppData\Local\Temp\OnboardLogs" /stypes="app*4002*20170303*" /stext=" 12:.+((SYSTEM_STATE.+slice.+state.+changed )|(ment ac)|(multiple cpu faults)|(system.+state.+changed )|(\[timeout)|(PRM\|1\|D)|(kpr)|(kdp)|(\|lc)|(penalty))" /e /r /s</v>
      </c>
      <c r="AG220" s="1" t="str">
        <f t="shared" si="82"/>
        <v>Other</v>
      </c>
      <c r="AH220" s="86" t="str">
        <f t="shared" si="84"/>
        <v>"%USERPROFILE%\Documents\GitHub\eaglep3\Utilities\RefineRTDCRunTimes.py" --tripid 901-03 --locoid 4002 --swversion DE.1.0.9.0 --startMP 300:30135 --initTime 2017-03-03T05:15:06 --startdatetime 2017-03-03T05:20:09 --delay 4 --endMP 300:58993 --enddatetime 2017-03-03T05:27:54 --enforcementcount 0 &gt;&gt;C:\Users\stu\Documents\GitHub\eaglep3-reporting\EC\2017-03-03-refined-times.txt</v>
      </c>
      <c r="AI220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{"issue":{"subject":"","project_id":79,"tracker_id":40,"status_id":1,"priority_id":2,"assigned_to_id":23,"start_date":"2017-03-03","description":"","custom_fields":[{"id":1,"name":"Subdivision","value":"Other"},{"id":4,"name":"Milepost","value":"5.8993"},{"id":17,"name":"Train ID","value":"901-03"},{"id":16,"name":"Locomotive ID","value":"4002"},{"id":130,"name":"Impact","value":""},{"id":150,"name":"Time of Event (Mountain Time)","value":"05:27:54"},{"id":151,"name":"Denver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6"/>
        <v>start /low /b %USERPROFILE%\Documents\GitHub\eaglep3\Utilities\DownloadLogsFromS3.py --loco 4002 --day 2017-03-03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"%USERPROFILE%\AppData\Local\Temp\OnboardLogs"\RTDC4002\*4002*20170303* | grep -SE "(Enforcement Action)|(\[TIMEOUT)|(CHR.+\|PRM\|1\|D.+(SWITCH|SIGNAL).+UNKNOWN)" - &gt;&gt; 2017-03-03-UncaughtWiMAX.txt</v>
      </c>
    </row>
    <row r="221" spans="1:40" x14ac:dyDescent="0.25">
      <c r="A221" s="33" t="s">
        <v>636</v>
      </c>
      <c r="B221" s="7">
        <v>4043</v>
      </c>
      <c r="C221" s="21" t="s">
        <v>251</v>
      </c>
      <c r="D221" s="21" t="s">
        <v>977</v>
      </c>
      <c r="E221" s="13">
        <v>42797.24422453704</v>
      </c>
      <c r="F221" s="13">
        <v>42797.249166666668</v>
      </c>
      <c r="G221" s="7">
        <v>7</v>
      </c>
      <c r="H221" s="21" t="s">
        <v>978</v>
      </c>
      <c r="I221" s="13">
        <v>42797.254942129628</v>
      </c>
      <c r="J221" s="7">
        <v>0</v>
      </c>
      <c r="K221" s="98" t="str">
        <f t="shared" si="72"/>
        <v>4043/4044</v>
      </c>
      <c r="L221" s="21" t="str">
        <f>VLOOKUP(A221,'Trips&amp;Operators'!$C$1:$G$99999,5,FALSE)</f>
        <v>SHOOK JOHN</v>
      </c>
      <c r="M221" s="6">
        <f t="shared" si="73"/>
        <v>5.7754629597184248E-3</v>
      </c>
      <c r="N221" s="7">
        <f t="shared" si="87"/>
        <v>8.3166666619945318</v>
      </c>
      <c r="O221" s="7"/>
      <c r="P221" s="7"/>
      <c r="Q221" s="22"/>
      <c r="R221" s="22"/>
      <c r="S221" s="31">
        <f t="shared" si="83"/>
        <v>1</v>
      </c>
      <c r="T221" s="46" t="str">
        <f t="shared" si="74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5"/>
        <v>https://d0f6bd738d7f1b3e5a7ca70fe4ff75f0.us-east-1.aws.found.io/app/kibana#/discover/Steve-Slow-Train-Analysis-(2080s-and-2083s)?_g=(refreshInterval:(display:Off,pause:!f,section:0,value:0),time:(from:'2017-03-03T04:51:41-0700',mode:absolute,to:'2017-03-03T07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1" s="197" t="str">
        <f t="shared" si="76"/>
        <v>Y</v>
      </c>
      <c r="X221" s="197">
        <f t="shared" si="88"/>
        <v>1</v>
      </c>
      <c r="Y221" s="62">
        <f t="shared" si="69"/>
        <v>2.2780999999999998</v>
      </c>
      <c r="Z221" s="62">
        <f t="shared" si="77"/>
        <v>7.4999999999999997E-2</v>
      </c>
      <c r="AA221" s="62">
        <f t="shared" si="78"/>
        <v>2.2030999999999996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9"/>
        <v>0902-03</v>
      </c>
      <c r="AE221" s="85" t="str">
        <f t="shared" si="8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221" s="82" t="str">
        <f t="shared" si="81"/>
        <v>"C:\Program Files (x86)\AstroGrep\AstroGrep.exe" /spath="%USERPROFILE%\AppData\Local\Temp\OnboardLogs" /stypes="app*4043*20170303*" /stext=" 13:.+((SYSTEM_STATE.+slice.+state.+changed )|(ment ac)|(multiple cpu faults)|(system.+state.+changed )|(\[timeout)|(PRM\|1\|D)|(kpr)|(kdp)|(\|lc)|(penalty))" /e /r /s</v>
      </c>
      <c r="AG221" s="1" t="str">
        <f t="shared" si="82"/>
        <v>Other</v>
      </c>
      <c r="AH221" s="86" t="str">
        <f t="shared" si="84"/>
        <v>"%USERPROFILE%\Documents\GitHub\eaglep3\Utilities\RefineRTDCRunTimes.py" --tripid 902-03 --locoid 4043 --swversion DE.1.0.9.0 --startMP 300:22781 --initTime 2017-03-03T05:51:41 --startdatetime 2017-03-03T05:58:48 --delay 7 --endMP 204:750 --enddatetime 2017-03-03T06:07:07 --enforcementcount 0 &gt;&gt;C:\Users\stu\Documents\GitHub\eaglep3-reporting\EC\2017-03-03-refined-times.txt</v>
      </c>
      <c r="AI221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{"issue":{"subject":"","project_id":79,"tracker_id":40,"status_id":1,"priority_id":2,"assigned_to_id":23,"start_date":"2017-03-03","description":"","custom_fields":[{"id":1,"name":"Subdivision","value":"Other"},{"id":4,"name":"Milepost","value":"0.075"},{"id":17,"name":"Train ID","value":"902-03"},{"id":16,"name":"Locomotive ID","value":"4043"},{"id":130,"name":"Impact","value":""},{"id":150,"name":"Time of Event (Mountain Time)","value":"06:07:07"},{"id":151,"name":"Denver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6"/>
        <v>start /low /b %USERPROFILE%\Documents\GitHub\eaglep3\Utilities\DownloadLogsFromS3.py --loco 4043 --day 2017-03-03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2017-03-03-UncaughtWiMAX.txt</v>
      </c>
    </row>
    <row r="222" spans="1:40" x14ac:dyDescent="0.25">
      <c r="A222" s="33" t="s">
        <v>659</v>
      </c>
      <c r="B222" s="7">
        <v>4002</v>
      </c>
      <c r="C222" s="21" t="s">
        <v>251</v>
      </c>
      <c r="D222" s="21" t="s">
        <v>979</v>
      </c>
      <c r="E222" s="13">
        <v>42797.352696759262</v>
      </c>
      <c r="F222" s="13">
        <v>42797.35465277778</v>
      </c>
      <c r="G222" s="7">
        <v>1</v>
      </c>
      <c r="H222" s="21" t="s">
        <v>980</v>
      </c>
      <c r="I222" s="13">
        <v>42797.359826388885</v>
      </c>
      <c r="J222" s="7">
        <v>0</v>
      </c>
      <c r="K222" s="98" t="str">
        <f t="shared" si="72"/>
        <v>4001/4002</v>
      </c>
      <c r="L222" s="21" t="str">
        <f>VLOOKUP(A222,'Trips&amp;Operators'!$C$1:$G$99999,5,FALSE)</f>
        <v>GEBRETEKLE DAGNEW</v>
      </c>
      <c r="M222" s="6">
        <f t="shared" si="73"/>
        <v>5.1736111054196954E-3</v>
      </c>
      <c r="N222" s="7">
        <f t="shared" si="87"/>
        <v>7.4499999918043613</v>
      </c>
      <c r="O222" s="7"/>
      <c r="P222" s="7"/>
      <c r="Q222" s="22"/>
      <c r="R222" s="22"/>
      <c r="S222" s="31">
        <f t="shared" si="83"/>
        <v>1</v>
      </c>
      <c r="T222" s="46" t="str">
        <f t="shared" si="74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5"/>
        <v>https://d0f6bd738d7f1b3e5a7ca70fe4ff75f0.us-east-1.aws.found.io/app/kibana#/discover/Steve-Slow-Train-Analysis-(2080s-and-2083s)?_g=(refreshInterval:(display:Off,pause:!f,section:0,value:0),time:(from:'2017-03-03T07:27:53-0700',mode:absolute,to:'2017-03-03T09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197" t="str">
        <f t="shared" si="76"/>
        <v>Y</v>
      </c>
      <c r="X222" s="197">
        <f t="shared" si="88"/>
        <v>1</v>
      </c>
      <c r="Y222" s="62">
        <f t="shared" si="69"/>
        <v>4.3299999999999998E-2</v>
      </c>
      <c r="Z222" s="62">
        <f t="shared" si="77"/>
        <v>2.4260000000000002</v>
      </c>
      <c r="AA222" s="62">
        <f t="shared" si="78"/>
        <v>2.3827000000000003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9"/>
        <v>0903-03</v>
      </c>
      <c r="AE222" s="85" t="str">
        <f t="shared" si="80"/>
        <v>aws s3 cp s3://rtdc.mdm.uploadarchive.raw/RTDC4002/ "%USERPROFILE%\AppData\Local\Temp\OnboardLogs"\RTDC4002\2017-03-03 --exclude "*" --recursive --include "*20170303*" &amp; "%USERPROFILE%\Documents\GitHub\mrs-test-scripts\Headless Mode &amp; Sideloading\WalkAndUnGZ.bat" "%USERPROFILE%\AppData\Local\Temp\OnboardLogs"\RTDC4002\2017-03-03 &amp; aws s3 cp s3://rtdc.mdm.uploadarchive.raw/RTDC4002/ "%USERPROFILE%\AppData\Local\Temp\OnboardLogs"\RTDC4002\2017-03-04 --exclude "*" --recursive --include "*20170304*" &amp; "%USERPROFILE%\Documents\GitHub\mrs-test-scripts\Headless Mode &amp; Sideloading\WalkAndUnGZ.bat" "%USERPROFILE%\AppData\Local\Temp\OnboardLogs"\RTDC4002\2017-03-04</v>
      </c>
      <c r="AF222" s="82" t="str">
        <f t="shared" si="81"/>
        <v>"C:\Program Files (x86)\AstroGrep\AstroGrep.exe" /spath="%USERPROFILE%\AppData\Local\Temp\OnboardLogs" /stypes="app*4002*20170303*" /stext=" 15:.+((SYSTEM_STATE.+slice.+state.+changed )|(ment ac)|(multiple cpu faults)|(system.+state.+changed )|(\[timeout)|(PRM\|1\|D)|(kpr)|(kdp)|(\|lc)|(penalty))" /e /r /s</v>
      </c>
      <c r="AG222" s="1" t="str">
        <f t="shared" si="82"/>
        <v>Other</v>
      </c>
      <c r="AH222" s="86" t="str">
        <f t="shared" si="84"/>
        <v>"%USERPROFILE%\Documents\GitHub\eaglep3\Utilities\RefineRTDCRunTimes.py" --tripid 903-03 --locoid 4002 --swversion DE.1.0.9.0 --startMP 204:433 --initTime 2017-03-03T08:27:53 --startdatetime 2017-03-03T08:30:42 --delay 1 --endMP 300:24260 --enddatetime 2017-03-03T08:38:09 --enforcementcount 0 &gt;&gt;C:\Users\stu\Documents\GitHub\eaglep3-reporting\EC\2017-03-03-refined-times.txt</v>
      </c>
      <c r="AI222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{"issue":{"subject":"","project_id":79,"tracker_id":40,"status_id":1,"priority_id":2,"assigned_to_id":23,"start_date":"2017-03-03","description":"","custom_fields":[{"id":1,"name":"Subdivision","value":"Other"},{"id":4,"name":"Milepost","value":"2.426"},{"id":17,"name":"Train ID","value":"903-03"},{"id":16,"name":"Locomotive ID","value":"4002"},{"id":130,"name":"Impact","value":""},{"id":150,"name":"Time of Event (Mountain Time)","value":"08:38:09"},{"id":151,"name":"Denver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6"/>
        <v>start /low /b %USERPROFILE%\Documents\GitHub\eaglep3\Utilities\DownloadLogsFromS3.py --loco 4002 --day 2017-03-03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"%USERPROFILE%\AppData\Local\Temp\OnboardLogs"\RTDC4002\*4002*20170303* | grep -SE "(Enforcement Action)|(\[TIMEOUT)|(CHR.+\|PRM\|1\|D.+(SWITCH|SIGNAL).+UNKNOWN)" - &gt;&gt; 2017-03-03-UncaughtWiMAX.txt</v>
      </c>
    </row>
    <row r="223" spans="1:40" x14ac:dyDescent="0.25">
      <c r="A223" s="33" t="s">
        <v>730</v>
      </c>
      <c r="B223" s="7">
        <v>4005</v>
      </c>
      <c r="C223" s="21" t="s">
        <v>251</v>
      </c>
      <c r="D223" s="21" t="s">
        <v>981</v>
      </c>
      <c r="E223" s="13">
        <v>42797.647094907406</v>
      </c>
      <c r="F223" s="13">
        <v>42797.650925925926</v>
      </c>
      <c r="G223" s="7">
        <v>5</v>
      </c>
      <c r="H223" s="21" t="s">
        <v>947</v>
      </c>
      <c r="I223" s="13">
        <v>42797.6565162037</v>
      </c>
      <c r="J223" s="7">
        <v>0</v>
      </c>
      <c r="K223" s="98" t="str">
        <f t="shared" si="72"/>
        <v>4005/4006</v>
      </c>
      <c r="L223" s="21" t="str">
        <f>VLOOKUP(A223,'Trips&amp;Operators'!$C$1:$G$99999,5,FALSE)</f>
        <v>SMITH MICHAEL</v>
      </c>
      <c r="M223" s="6">
        <f t="shared" si="73"/>
        <v>5.5902777748997323E-3</v>
      </c>
      <c r="N223" s="7">
        <f t="shared" si="87"/>
        <v>8.0499999958556145</v>
      </c>
      <c r="O223" s="7"/>
      <c r="P223" s="7"/>
      <c r="Q223" s="22"/>
      <c r="R223" s="22"/>
      <c r="S223" s="31">
        <f t="shared" si="83"/>
        <v>1</v>
      </c>
      <c r="T223" s="46" t="str">
        <f t="shared" si="74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5"/>
        <v>https://d0f6bd738d7f1b3e5a7ca70fe4ff75f0.us-east-1.aws.found.io/app/kibana#/discover/Steve-Slow-Train-Analysis-(2080s-and-2083s)?_g=(refreshInterval:(display:Off,pause:!f,section:0,value:0),time:(from:'2017-03-03T14:31:49-0700',mode:absolute,to:'2017-03-03T16:45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3" s="197" t="str">
        <f t="shared" si="76"/>
        <v>Y</v>
      </c>
      <c r="X223" s="197">
        <f t="shared" si="88"/>
        <v>1</v>
      </c>
      <c r="Y223" s="62">
        <f t="shared" si="69"/>
        <v>2.3557000000000001</v>
      </c>
      <c r="Z223" s="62">
        <f t="shared" si="77"/>
        <v>6.8900000000000003E-2</v>
      </c>
      <c r="AA223" s="62">
        <f t="shared" si="78"/>
        <v>2.2867999999999999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9"/>
        <v>0904-03</v>
      </c>
      <c r="AE223" s="85" t="str">
        <f t="shared" si="80"/>
        <v>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 &amp; aws s3 cp s3://rtdc.mdm.uploadarchive.raw/RTDC4005/ "%USERPROFILE%\AppData\Local\Temp\OnboardLogs"\RTDC4005\2017-03-04 --exclude "*" --recursive --include "*20170304*" &amp; "%USERPROFILE%\Documents\GitHub\mrs-test-scripts\Headless Mode &amp; Sideloading\WalkAndUnGZ.bat" "%USERPROFILE%\AppData\Local\Temp\OnboardLogs"\RTDC4005\2017-03-04</v>
      </c>
      <c r="AF223" s="82" t="str">
        <f t="shared" si="81"/>
        <v>"C:\Program Files (x86)\AstroGrep\AstroGrep.exe" /spath="%USERPROFILE%\AppData\Local\Temp\OnboardLogs" /stypes="app*4005*20170303*" /stext=" 22:.+((SYSTEM_STATE.+slice.+state.+changed )|(ment ac)|(multiple cpu faults)|(system.+state.+changed )|(\[timeout)|(PRM\|1\|D)|(kpr)|(kdp)|(\|lc)|(penalty))" /e /r /s</v>
      </c>
      <c r="AG223" s="1" t="str">
        <f t="shared" si="82"/>
        <v>Other</v>
      </c>
      <c r="AH223" s="86" t="str">
        <f t="shared" si="84"/>
        <v>"%USERPROFILE%\Documents\GitHub\eaglep3\Utilities\RefineRTDCRunTimes.py" --tripid 904-03 --locoid 4005 --swversion DE.1.0.9.0 --startMP 300:23557 --initTime 2017-03-03T15:31:49 --startdatetime 2017-03-03T15:37:20 --delay 5 --endMP 204:689 --enddatetime 2017-03-03T15:45:23 --enforcementcount 0 &gt;&gt;C:\Users\stu\Documents\GitHub\eaglep3-reporting\EC\2017-03-03-refined-times.txt</v>
      </c>
      <c r="AI223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{"issue":{"subject":"","project_id":79,"tracker_id":40,"status_id":1,"priority_id":2,"assigned_to_id":23,"start_date":"2017-03-03","description":"","custom_fields":[{"id":1,"name":"Subdivision","value":"Other"},{"id":4,"name":"Milepost","value":"0.0689"},{"id":17,"name":"Train ID","value":"904-03"},{"id":16,"name":"Locomotive ID","value":"4005"},{"id":130,"name":"Impact","value":""},{"id":150,"name":"Time of Event (Mountain Time)","value":"15:45:23"},{"id":151,"name":"Denver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6"/>
        <v>start /low /b %USERPROFILE%\Documents\GitHub\eaglep3\Utilities\DownloadLogsFromS3.py --loco 4005 --day 2017-03-03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"%USERPROFILE%\AppData\Local\Temp\OnboardLogs"\RTDC4005\*4005*20170303* | grep -SE "(Enforcement Action)|(\[TIMEOUT)|(CHR.+\|PRM\|1\|D.+(SWITCH|SIGNAL).+UNKNOWN)" - &gt;&gt; 2017-03-03-UncaughtWiMAX.txt</v>
      </c>
    </row>
    <row r="224" spans="1:40" x14ac:dyDescent="0.25">
      <c r="A224" s="33" t="s">
        <v>773</v>
      </c>
      <c r="B224" s="7">
        <v>4005</v>
      </c>
      <c r="C224" s="21" t="s">
        <v>251</v>
      </c>
      <c r="D224" s="21" t="s">
        <v>359</v>
      </c>
      <c r="E224" s="13">
        <v>42797.796840277777</v>
      </c>
      <c r="F224" s="13">
        <v>42797.798321759263</v>
      </c>
      <c r="G224" s="7">
        <v>1</v>
      </c>
      <c r="H224" s="21" t="s">
        <v>982</v>
      </c>
      <c r="I224" s="13">
        <v>42797.803171296298</v>
      </c>
      <c r="J224" s="7">
        <v>0</v>
      </c>
      <c r="K224" s="98" t="str">
        <f t="shared" si="72"/>
        <v>4005/4006</v>
      </c>
      <c r="L224" s="21" t="str">
        <f>VLOOKUP(A224,'Trips&amp;Operators'!$C$1:$G$99999,5,FALSE)</f>
        <v>SMITH MICHAEL</v>
      </c>
      <c r="M224" s="6">
        <f t="shared" si="73"/>
        <v>4.8495370356249623E-3</v>
      </c>
      <c r="N224" s="7">
        <f t="shared" si="87"/>
        <v>6.9833333312999457</v>
      </c>
      <c r="O224" s="7"/>
      <c r="P224" s="7"/>
      <c r="Q224" s="22"/>
      <c r="R224" s="22"/>
      <c r="S224" s="31">
        <f t="shared" si="83"/>
        <v>0</v>
      </c>
      <c r="T224" s="46" t="str">
        <f t="shared" si="74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75"/>
        <v>https://d0f6bd738d7f1b3e5a7ca70fe4ff75f0.us-east-1.aws.found.io/app/kibana#/discover/Steve-Slow-Train-Analysis-(2080s-and-2083s)?_g=(refreshInterval:(display:Off,pause:!f,section:0,value:0),time:(from:'2017-03-03T18:07:27-0700',mode:absolute,to:'2017-03-03T20:16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4" s="197" t="str">
        <f t="shared" si="76"/>
        <v>Y</v>
      </c>
      <c r="X224" s="197">
        <f t="shared" si="88"/>
        <v>2</v>
      </c>
      <c r="Y224" s="62">
        <f t="shared" si="69"/>
        <v>5.8638000000000003</v>
      </c>
      <c r="Z224" s="62">
        <f t="shared" si="77"/>
        <v>2.8849999999999998</v>
      </c>
      <c r="AA224" s="62">
        <f t="shared" si="78"/>
        <v>2.9788000000000006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9"/>
        <v>0906-03</v>
      </c>
      <c r="AE224" s="85" t="str">
        <f t="shared" si="80"/>
        <v>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 &amp; aws s3 cp s3://rtdc.mdm.uploadarchive.raw/RTDC4005/ "%USERPROFILE%\AppData\Local\Temp\OnboardLogs"\RTDC4005\2017-03-04 --exclude "*" --recursive --include "*20170304*" &amp; "%USERPROFILE%\Documents\GitHub\mrs-test-scripts\Headless Mode &amp; Sideloading\WalkAndUnGZ.bat" "%USERPROFILE%\AppData\Local\Temp\OnboardLogs"\RTDC4005\2017-03-04</v>
      </c>
      <c r="AF224" s="82" t="str">
        <f t="shared" si="81"/>
        <v>"C:\Program Files (x86)\AstroGrep\AstroGrep.exe" /spath="%USERPROFILE%\AppData\Local\Temp\OnboardLogs" /stypes="app*4005*20170304*" /stext=" 02:.+((SYSTEM_STATE.+slice.+state.+changed )|(ment ac)|(multiple cpu faults)|(system.+state.+changed )|(\[timeout)|(PRM\|1\|D)|(kpr)|(kdp)|(\|lc)|(penalty))" /e /r /s</v>
      </c>
      <c r="AG224" s="1" t="str">
        <f t="shared" si="82"/>
        <v>Other</v>
      </c>
      <c r="AH224" s="86" t="str">
        <f t="shared" si="84"/>
        <v>"%USERPROFILE%\Documents\GitHub\eaglep3\Utilities\RefineRTDCRunTimes.py" --tripid 906-03 --locoid 4005 --swversion DE.1.0.9.0 --startMP 300:58638 --initTime 2017-03-03T19:07:27 --startdatetime 2017-03-03T19:09:35 --delay 1 --endMP 300:28850 --enddatetime 2017-03-03T19:16:34 --enforcementcount 0 &gt;&gt;C:\Users\stu\Documents\GitHub\eaglep3-reporting\EC\2017-03-03-refined-times.txt</v>
      </c>
      <c r="AI224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{"issue":{"subject":"","project_id":79,"tracker_id":40,"status_id":1,"priority_id":2,"assigned_to_id":23,"start_date":"2017-03-03","description":"","custom_fields":[{"id":1,"name":"Subdivision","value":"Other"},{"id":4,"name":"Milepost","value":"2.885"},{"id":17,"name":"Train ID","value":"906-03"},{"id":16,"name":"Locomotive ID","value":"4005"},{"id":130,"name":"Impact","value":""},{"id":150,"name":"Time of Event (Mountain Time)","value":"19:16:34"},{"id":151,"name":"Denver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6"/>
        <v>start /low /b %USERPROFILE%\Documents\GitHub\eaglep3\Utilities\DownloadLogsFromS3.py --loco 4005 --day 2017-03-03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"%USERPROFILE%\AppData\Local\Temp\OnboardLogs"\RTDC4005\*4005*20170304* | grep -SE "(Enforcement Action)|(\[TIMEOUT)|(CHR.+\|PRM\|1\|D.+(SWITCH|SIGNAL).+UNKNOWN)" - &gt;&gt; 2017-03-03-UncaughtWiMAX.txt</v>
      </c>
    </row>
    <row r="225" spans="1:40" x14ac:dyDescent="0.25">
      <c r="A225" s="33" t="s">
        <v>796</v>
      </c>
      <c r="B225" s="7">
        <v>4043</v>
      </c>
      <c r="C225" s="21" t="s">
        <v>251</v>
      </c>
      <c r="D225" s="21" t="s">
        <v>563</v>
      </c>
      <c r="E225" s="13">
        <v>42797.943831018521</v>
      </c>
      <c r="F225" s="13">
        <v>42797.945706018516</v>
      </c>
      <c r="G225" s="7">
        <v>1</v>
      </c>
      <c r="H225" s="21" t="s">
        <v>983</v>
      </c>
      <c r="I225" s="13">
        <v>42797.950266203705</v>
      </c>
      <c r="J225" s="7">
        <v>0</v>
      </c>
      <c r="K225" s="98" t="str">
        <f t="shared" si="72"/>
        <v>4043/4044</v>
      </c>
      <c r="L225" s="21" t="str">
        <f>VLOOKUP(A225,'Trips&amp;Operators'!$C$1:$G$99999,5,FALSE)</f>
        <v>SMITH MICHAEL</v>
      </c>
      <c r="M225" s="6">
        <f t="shared" si="73"/>
        <v>4.5601851888932288E-3</v>
      </c>
      <c r="N225" s="7">
        <f t="shared" si="87"/>
        <v>6.5666666720062494</v>
      </c>
      <c r="O225" s="7"/>
      <c r="P225" s="7"/>
      <c r="Q225" s="22"/>
      <c r="R225" s="22"/>
      <c r="S225" s="31">
        <f t="shared" si="83"/>
        <v>0</v>
      </c>
      <c r="T225" s="46" t="str">
        <f t="shared" si="74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5"/>
        <v>https://d0f6bd738d7f1b3e5a7ca70fe4ff75f0.us-east-1.aws.found.io/app/kibana#/discover/Steve-Slow-Train-Analysis-(2080s-and-2083s)?_g=(refreshInterval:(display:Off,pause:!f,section:0,value:0),time:(from:'2017-03-03T21:39:07-0700',mode:absolute,to:'2017-03-03T23:48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5" s="197" t="str">
        <f t="shared" si="76"/>
        <v>Y</v>
      </c>
      <c r="X225" s="197">
        <f t="shared" si="88"/>
        <v>2</v>
      </c>
      <c r="Y225" s="62">
        <f t="shared" ref="Y225:Y246" si="89">RIGHT(D225,LEN(D225)-4)/10000</f>
        <v>5.8678999999999997</v>
      </c>
      <c r="Z225" s="62">
        <f t="shared" si="77"/>
        <v>2.1539999999999999</v>
      </c>
      <c r="AA225" s="62">
        <f t="shared" si="78"/>
        <v>3.7138999999999998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9"/>
        <v>0908-03</v>
      </c>
      <c r="AE225" s="85" t="str">
        <f t="shared" si="80"/>
        <v>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 &amp; aws s3 cp s3://rtdc.mdm.uploadarchive.raw/RTDC4043/ "%USERPROFILE%\AppData\Local\Temp\OnboardLogs"\RTDC4043\2017-03-04 --exclude "*" --recursive --include "*20170304*" &amp; "%USERPROFILE%\Documents\GitHub\mrs-test-scripts\Headless Mode &amp; Sideloading\WalkAndUnGZ.bat" "%USERPROFILE%\AppData\Local\Temp\OnboardLogs"\RTDC4043\2017-03-04</v>
      </c>
      <c r="AF225" s="82" t="str">
        <f t="shared" si="81"/>
        <v>"C:\Program Files (x86)\AstroGrep\AstroGrep.exe" /spath="%USERPROFILE%\AppData\Local\Temp\OnboardLogs" /stypes="app*4043*20170304*" /stext=" 05:.+((SYSTEM_STATE.+slice.+state.+changed )|(ment ac)|(multiple cpu faults)|(system.+state.+changed )|(\[timeout)|(PRM\|1\|D)|(kpr)|(kdp)|(\|lc)|(penalty))" /e /r /s</v>
      </c>
      <c r="AG225" s="1" t="str">
        <f t="shared" si="82"/>
        <v>Other</v>
      </c>
      <c r="AH225" s="86" t="str">
        <f t="shared" si="84"/>
        <v>"%USERPROFILE%\Documents\GitHub\eaglep3\Utilities\RefineRTDCRunTimes.py" --tripid 908-03 --locoid 4043 --swversion DE.1.0.9.0 --startMP 300:58679 --initTime 2017-03-03T22:39:07 --startdatetime 2017-03-03T22:41:49 --delay 1 --endMP 300:21540 --enddatetime 2017-03-03T22:48:23 --enforcementcount 0 &gt;&gt;C:\Users\stu\Documents\GitHub\eaglep3-reporting\EC\2017-03-03-refined-times.txt</v>
      </c>
      <c r="AI225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{"issue":{"subject":"","project_id":79,"tracker_id":40,"status_id":1,"priority_id":2,"assigned_to_id":23,"start_date":"2017-03-03","description":"","custom_fields":[{"id":1,"name":"Subdivision","value":"Other"},{"id":4,"name":"Milepost","value":"2.154"},{"id":17,"name":"Train ID","value":"908-03"},{"id":16,"name":"Locomotive ID","value":"4043"},{"id":130,"name":"Impact","value":""},{"id":150,"name":"Time of Event (Mountain Time)","value":"22:48:23"},{"id":151,"name":"Denver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6"/>
        <v>start /low /b %USERPROFILE%\Documents\GitHub\eaglep3\Utilities\DownloadLogsFromS3.py --loco 4043 --day 2017-03-03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"%USERPROFILE%\AppData\Local\Temp\OnboardLogs"\RTDC4043\*4043*20170304* | grep -SE "(Enforcement Action)|(\[TIMEOUT)|(CHR.+\|PRM\|1\|D.+(SWITCH|SIGNAL).+UNKNOWN)" - &gt;&gt; 2017-03-03-UncaughtWiMAX.txt</v>
      </c>
    </row>
    <row r="226" spans="1:40" x14ac:dyDescent="0.25">
      <c r="A226" s="33" t="s">
        <v>754</v>
      </c>
      <c r="B226" s="7">
        <v>4013</v>
      </c>
      <c r="C226" s="21" t="s">
        <v>251</v>
      </c>
      <c r="D226" s="21" t="s">
        <v>904</v>
      </c>
      <c r="E226" s="13">
        <v>42797.73710648148</v>
      </c>
      <c r="F226" s="13">
        <v>42797.744120370371</v>
      </c>
      <c r="G226" s="7">
        <v>10</v>
      </c>
      <c r="H226" s="21" t="s">
        <v>184</v>
      </c>
      <c r="I226" s="13">
        <v>42797.75105324074</v>
      </c>
      <c r="J226" s="7">
        <v>0</v>
      </c>
      <c r="K226" s="98" t="str">
        <f t="shared" si="72"/>
        <v>4013/4014</v>
      </c>
      <c r="L226" s="21" t="str">
        <f>VLOOKUP(A226,'Trips&amp;Operators'!$C$1:$G$99999,5,FALSE)</f>
        <v>STAMBAUGH JAMES</v>
      </c>
      <c r="M226" s="6">
        <f t="shared" si="73"/>
        <v>6.9328703684732318E-3</v>
      </c>
      <c r="N226" s="7">
        <f t="shared" si="87"/>
        <v>9.9833333306014538</v>
      </c>
      <c r="O226" s="7"/>
      <c r="P226" s="7"/>
      <c r="Q226" s="22"/>
      <c r="R226" s="22"/>
      <c r="S226" s="31">
        <f t="shared" si="83"/>
        <v>0</v>
      </c>
      <c r="T226" s="46" t="e">
        <f t="shared" si="74"/>
        <v>#VALUE!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5"/>
        <v>https://d0f6bd738d7f1b3e5a7ca70fe4ff75f0.us-east-1.aws.found.io/app/kibana#/discover/Steve-Slow-Train-Analysis-(2080s-and-2083s)?_g=(refreshInterval:(display:Off,pause:!f,section:0,value:0),time:(from:'2017-03-03T16:41:26-0700',mode:absolute,to:'2017-03-03T19:01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6" s="197" t="str">
        <f t="shared" si="76"/>
        <v>Y</v>
      </c>
      <c r="X226" s="197" t="e">
        <f t="shared" si="88"/>
        <v>#VALUE!</v>
      </c>
      <c r="Y226" s="62">
        <f t="shared" si="89"/>
        <v>2.3668999999999998</v>
      </c>
      <c r="Z226" s="62">
        <f t="shared" si="77"/>
        <v>1.49E-2</v>
      </c>
      <c r="AA226" s="62">
        <f t="shared" si="78"/>
        <v>2.3519999999999999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9"/>
        <v>50-03</v>
      </c>
      <c r="AE226" s="85" t="str">
        <f t="shared" si="80"/>
        <v>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 &amp; 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</v>
      </c>
      <c r="AF226" s="82" t="str">
        <f t="shared" si="81"/>
        <v>"C:\Program Files (x86)\AstroGrep\AstroGrep.exe" /spath="%USERPROFILE%\AppData\Local\Temp\OnboardLogs" /stypes="app*4013*20170304*" /stext=" 01:.+((SYSTEM_STATE.+slice.+state.+changed )|(ment ac)|(multiple cpu faults)|(system.+state.+changed )|(\[timeout)|(PRM\|1\|D)|(kpr)|(kdp)|(\|lc)|(penalty))" /e /r /s</v>
      </c>
      <c r="AG226" s="1" t="str">
        <f t="shared" si="82"/>
        <v>Other</v>
      </c>
      <c r="AH226" s="86" t="str">
        <f t="shared" si="84"/>
        <v>"%USERPROFILE%\Documents\GitHub\eaglep3\Utilities\RefineRTDCRunTimes.py" --tripid 50-03 --locoid 4013 --swversion DE.1.0.9.0 --startMP 300:23669 --initTime 2017-03-03T17:41:26 --startdatetime 2017-03-03T17:51:32 --delay 10 --endMP 204:149 --enddatetime 2017-03-03T18:01:31 --enforcementcount 0 &gt;&gt;C:\Users\stu\Documents\GitHub\eaglep3-reporting\EC\2017-03-03-refined-times.txt</v>
      </c>
      <c r="AI226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{"issue":{"subject":"","project_id":79,"tracker_id":40,"status_id":1,"priority_id":2,"assigned_to_id":23,"start_date":"2017-03-03","description":"","custom_fields":[{"id":1,"name":"Subdivision","value":"Other"},{"id":4,"name":"Milepost","value":"0.0149"},{"id":17,"name":"Train ID","value":"50-03"},{"id":16,"name":"Locomotive ID","value":"4013"},{"id":130,"name":"Impact","value":""},{"id":150,"name":"Time of Event (Mountain Time)","value":"18:01:31"},{"id":151,"name":"Denver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6"/>
        <v>start /low /b %USERPROFILE%\Documents\GitHub\eaglep3\Utilities\DownloadLogsFromS3.py --loco 4013 --day 2017-03-03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"%USERPROFILE%\AppData\Local\Temp\OnboardLogs"\RTDC4013\*4013*20170304* | grep -SE "(Enforcement Action)|(\[TIMEOUT)|(CHR.+\|PRM\|1\|D.+(SWITCH|SIGNAL).+UNKNOWN)" - &gt;&gt; 2017-03-03-UncaughtWiMAX.txt</v>
      </c>
    </row>
    <row r="227" spans="1:40" x14ac:dyDescent="0.25">
      <c r="A227" s="33" t="s">
        <v>630</v>
      </c>
      <c r="B227" s="7">
        <v>4024</v>
      </c>
      <c r="C227" s="21" t="s">
        <v>251</v>
      </c>
      <c r="D227" s="21" t="s">
        <v>905</v>
      </c>
      <c r="E227" s="13">
        <v>42797.73332175926</v>
      </c>
      <c r="F227" s="13">
        <v>42797.770902777775</v>
      </c>
      <c r="G227" s="7">
        <v>34</v>
      </c>
      <c r="H227" s="21" t="s">
        <v>906</v>
      </c>
      <c r="I227" s="13">
        <v>42797.780173611114</v>
      </c>
      <c r="J227" s="7">
        <v>0</v>
      </c>
      <c r="K227" s="98" t="str">
        <f t="shared" si="72"/>
        <v>4023/4024</v>
      </c>
      <c r="L227" s="21" t="str">
        <f>VLOOKUP(A227,'Trips&amp;Operators'!$C$1:$G$99999,5,FALSE)</f>
        <v>GRASTON MATHEU</v>
      </c>
      <c r="M227" s="6">
        <f t="shared" si="73"/>
        <v>9.2708333395421505E-3</v>
      </c>
      <c r="N227" s="7">
        <f t="shared" si="87"/>
        <v>13.350000008940697</v>
      </c>
      <c r="O227" s="7"/>
      <c r="P227" s="7"/>
      <c r="Q227" s="22"/>
      <c r="R227" s="22"/>
      <c r="S227" s="31">
        <f t="shared" si="83"/>
        <v>0</v>
      </c>
      <c r="T227" s="46" t="e">
        <f t="shared" si="74"/>
        <v>#VALUE!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5"/>
        <v>https://d0f6bd738d7f1b3e5a7ca70fe4ff75f0.us-east-1.aws.found.io/app/kibana#/discover/Steve-Slow-Train-Analysis-(2080s-and-2083s)?_g=(refreshInterval:(display:Off,pause:!f,section:0,value:0),time:(from:'2017-03-03T16:35:59-0700',mode:absolute,to:'2017-03-03T19:43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7" s="197" t="str">
        <f t="shared" si="76"/>
        <v>Y</v>
      </c>
      <c r="X227" s="197" t="e">
        <f t="shared" si="88"/>
        <v>#VALUE!</v>
      </c>
      <c r="Y227" s="62">
        <f t="shared" si="89"/>
        <v>0.14810000000000001</v>
      </c>
      <c r="Z227" s="62">
        <f t="shared" si="77"/>
        <v>2.3304</v>
      </c>
      <c r="AA227" s="62">
        <f t="shared" si="78"/>
        <v>2.1823000000000001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9"/>
        <v>51-03</v>
      </c>
      <c r="AE227" s="85" t="str">
        <f t="shared" si="80"/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AF227" s="82" t="str">
        <f t="shared" si="81"/>
        <v>"C:\Program Files (x86)\AstroGrep\AstroGrep.exe" /spath="%USERPROFILE%\AppData\Local\Temp\OnboardLogs" /stypes="app*4024*20170304*" /stext=" 01:.+((SYSTEM_STATE.+slice.+state.+changed )|(ment ac)|(multiple cpu faults)|(system.+state.+changed )|(\[timeout)|(PRM\|1\|D)|(kpr)|(kdp)|(\|lc)|(penalty))" /e /r /s</v>
      </c>
      <c r="AG227" s="1" t="str">
        <f t="shared" si="82"/>
        <v>Other</v>
      </c>
      <c r="AH227" s="86" t="str">
        <f t="shared" si="84"/>
        <v>"%USERPROFILE%\Documents\GitHub\eaglep3\Utilities\RefineRTDCRunTimes.py" --tripid 51-03 --locoid 4024 --swversion DE.1.0.9.0 --startMP 204:1481 --initTime 2017-03-03T17:35:59 --startdatetime 2017-03-03T18:30:06 --delay 34 --endMP 300:23304 --enddatetime 2017-03-03T18:43:27 --enforcementcount 0 &gt;&gt;C:\Users\stu\Documents\GitHub\eaglep3-reporting\EC\2017-03-03-refined-times.txt</v>
      </c>
      <c r="AI227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{"issue":{"subject":"","project_id":79,"tracker_id":40,"status_id":1,"priority_id":2,"assigned_to_id":23,"start_date":"2017-03-03","description":"","custom_fields":[{"id":1,"name":"Subdivision","value":"Other"},{"id":4,"name":"Milepost","value":"2.3304"},{"id":17,"name":"Train ID","value":"51-03"},{"id":16,"name":"Locomotive ID","value":"4024"},{"id":130,"name":"Impact","value":""},{"id":150,"name":"Time of Event (Mountain Time)","value":"18:43:27"},{"id":151,"name":"Denver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6"/>
        <v>start /low /b %USERPROFILE%\Documents\GitHub\eaglep3\Utilities\DownloadLogsFromS3.py --loco 4024 --day 2017-03-03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"%USERPROFILE%\AppData\Local\Temp\OnboardLogs"\RTDC4024\*4024*20170304* | grep -SE "(Enforcement Action)|(\[TIMEOUT)|(CHR.+\|PRM\|1\|D.+(SWITCH|SIGNAL).+UNKNOWN)" - &gt;&gt; 2017-03-03-UncaughtWiMAX.txt</v>
      </c>
    </row>
    <row r="228" spans="1:40" x14ac:dyDescent="0.25">
      <c r="A228" s="33" t="s">
        <v>588</v>
      </c>
      <c r="B228" s="7">
        <v>4013</v>
      </c>
      <c r="C228" s="21" t="s">
        <v>251</v>
      </c>
      <c r="D228" s="21" t="s">
        <v>907</v>
      </c>
      <c r="E228" s="13">
        <v>42797.474849537037</v>
      </c>
      <c r="F228" s="13">
        <v>42797.480231481481</v>
      </c>
      <c r="G228" s="7">
        <v>7</v>
      </c>
      <c r="H228" s="21" t="s">
        <v>881</v>
      </c>
      <c r="I228" s="13">
        <v>42797.485555555555</v>
      </c>
      <c r="J228" s="7">
        <v>0</v>
      </c>
      <c r="K228" s="98" t="str">
        <f t="shared" si="72"/>
        <v>4013/4014</v>
      </c>
      <c r="L228" s="21" t="str">
        <f>VLOOKUP(A228,'Trips&amp;Operators'!$C$1:$G$99999,5,FALSE)</f>
        <v>BRANDNER MELINDA</v>
      </c>
      <c r="M228" s="6">
        <f t="shared" si="73"/>
        <v>5.324074074451346E-3</v>
      </c>
      <c r="N228" s="7">
        <f t="shared" si="87"/>
        <v>7.6666666672099382</v>
      </c>
      <c r="O228" s="7"/>
      <c r="P228" s="7"/>
      <c r="Q228" s="22"/>
      <c r="R228" s="22"/>
      <c r="S228" s="31">
        <f t="shared" si="83"/>
        <v>0</v>
      </c>
      <c r="T228" s="46" t="e">
        <f t="shared" si="74"/>
        <v>#VALUE!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75"/>
        <v>https://d0f6bd738d7f1b3e5a7ca70fe4ff75f0.us-east-1.aws.found.io/app/kibana#/discover/Steve-Slow-Train-Analysis-(2080s-and-2083s)?_g=(refreshInterval:(display:Off,pause:!f,section:0,value:0),time:(from:'2017-03-03T10:23:47-0700',mode:absolute,to:'2017-03-03T12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8" s="197" t="str">
        <f t="shared" si="76"/>
        <v>Y</v>
      </c>
      <c r="X228" s="197" t="e">
        <f t="shared" si="88"/>
        <v>#VALUE!</v>
      </c>
      <c r="Y228" s="62">
        <f t="shared" si="89"/>
        <v>2.3050000000000002</v>
      </c>
      <c r="Z228" s="62">
        <f t="shared" si="77"/>
        <v>1.2200000000000001E-2</v>
      </c>
      <c r="AA228" s="62">
        <f t="shared" si="78"/>
        <v>2.2928000000000002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9"/>
        <v>52-03</v>
      </c>
      <c r="AE228" s="85" t="str">
        <f t="shared" si="80"/>
        <v>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 &amp; 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</v>
      </c>
      <c r="AF228" s="82" t="str">
        <f t="shared" si="81"/>
        <v>"C:\Program Files (x86)\AstroGrep\AstroGrep.exe" /spath="%USERPROFILE%\AppData\Local\Temp\OnboardLogs" /stypes="app*4013*20170303*" /stext=" 18:.+((SYSTEM_STATE.+slice.+state.+changed )|(ment ac)|(multiple cpu faults)|(system.+state.+changed )|(\[timeout)|(PRM\|1\|D)|(kpr)|(kdp)|(\|lc)|(penalty))" /e /r /s</v>
      </c>
      <c r="AG228" s="1" t="str">
        <f t="shared" si="82"/>
        <v>Other</v>
      </c>
      <c r="AH228" s="86" t="str">
        <f t="shared" si="84"/>
        <v>"%USERPROFILE%\Documents\GitHub\eaglep3\Utilities\RefineRTDCRunTimes.py" --tripid 52-03 --locoid 4013 --swversion DE.1.0.9.0 --startMP 300:23050 --initTime 2017-03-03T11:23:47 --startdatetime 2017-03-03T11:31:32 --delay 7 --endMP 204:122 --enddatetime 2017-03-03T11:39:12 --enforcementcount 0 &gt;&gt;C:\Users\stu\Documents\GitHub\eaglep3-reporting\EC\2017-03-03-refined-times.txt</v>
      </c>
      <c r="AI228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{"issue":{"subject":"","project_id":79,"tracker_id":40,"status_id":1,"priority_id":2,"assigned_to_id":23,"start_date":"2017-03-03","description":"","custom_fields":[{"id":1,"name":"Subdivision","value":"Other"},{"id":4,"name":"Milepost","value":"0.0122"},{"id":17,"name":"Train ID","value":"52-03"},{"id":16,"name":"Locomotive ID","value":"4013"},{"id":130,"name":"Impact","value":""},{"id":150,"name":"Time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6"/>
        <v>start /low /b %USERPROFILE%\Documents\GitHub\eaglep3\Utilities\DownloadLogsFromS3.py --loco 4013 --day 2017-03-03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"%USERPROFILE%\AppData\Local\Temp\OnboardLogs"\RTDC4013\*4013*20170303* | grep -SE "(Enforcement Action)|(\[TIMEOUT)|(CHR.+\|PRM\|1\|D.+(SWITCH|SIGNAL).+UNKNOWN)" - &gt;&gt; 2017-03-03-UncaughtWiMAX.txt</v>
      </c>
    </row>
    <row r="229" spans="1:40" x14ac:dyDescent="0.25">
      <c r="A229" s="33" t="s">
        <v>699</v>
      </c>
      <c r="B229" s="7">
        <v>4014</v>
      </c>
      <c r="C229" s="21" t="s">
        <v>251</v>
      </c>
      <c r="D229" s="21" t="s">
        <v>908</v>
      </c>
      <c r="E229" s="13">
        <v>42797.508206018516</v>
      </c>
      <c r="F229" s="13">
        <v>42797.509675925925</v>
      </c>
      <c r="G229" s="7">
        <v>1</v>
      </c>
      <c r="H229" s="21" t="s">
        <v>909</v>
      </c>
      <c r="I229" s="13">
        <v>42797.515787037039</v>
      </c>
      <c r="J229" s="7">
        <v>0</v>
      </c>
      <c r="K229" s="98" t="str">
        <f t="shared" si="72"/>
        <v>4013/4014</v>
      </c>
      <c r="L229" s="21" t="str">
        <f>VLOOKUP(A229,'Trips&amp;Operators'!$C$1:$G$99999,5,FALSE)</f>
        <v>BEAM ROSS</v>
      </c>
      <c r="M229" s="6">
        <f t="shared" si="73"/>
        <v>6.1111111135687679E-3</v>
      </c>
      <c r="N229" s="7">
        <f t="shared" si="87"/>
        <v>8.8000000035390258</v>
      </c>
      <c r="O229" s="7"/>
      <c r="P229" s="7"/>
      <c r="Q229" s="22"/>
      <c r="R229" s="22"/>
      <c r="S229" s="31">
        <f t="shared" si="83"/>
        <v>0</v>
      </c>
      <c r="T229" s="46" t="e">
        <f t="shared" si="74"/>
        <v>#VALUE!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5"/>
        <v>https://d0f6bd738d7f1b3e5a7ca70fe4ff75f0.us-east-1.aws.found.io/app/kibana#/discover/Steve-Slow-Train-Analysis-(2080s-and-2083s)?_g=(refreshInterval:(display:Off,pause:!f,section:0,value:0),time:(from:'2017-03-03T11:11:49-0700',mode:absolute,to:'2017-03-03T13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9" s="197" t="str">
        <f t="shared" si="76"/>
        <v>Y</v>
      </c>
      <c r="X229" s="197" t="e">
        <f t="shared" si="88"/>
        <v>#VALUE!</v>
      </c>
      <c r="Y229" s="62">
        <f t="shared" si="89"/>
        <v>4.2599999999999999E-2</v>
      </c>
      <c r="Z229" s="62">
        <f t="shared" si="77"/>
        <v>2.4230999999999998</v>
      </c>
      <c r="AA229" s="62">
        <f t="shared" si="78"/>
        <v>2.3804999999999996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9"/>
        <v>53-03</v>
      </c>
      <c r="AE229" s="85" t="str">
        <f t="shared" si="80"/>
        <v>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 &amp; 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</v>
      </c>
      <c r="AF229" s="82" t="str">
        <f t="shared" si="81"/>
        <v>"C:\Program Files (x86)\AstroGrep\AstroGrep.exe" /spath="%USERPROFILE%\AppData\Local\Temp\OnboardLogs" /stypes="app*4014*20170303*" /stext=" 19:.+((SYSTEM_STATE.+slice.+state.+changed )|(ment ac)|(multiple cpu faults)|(system.+state.+changed )|(\[timeout)|(PRM\|1\|D)|(kpr)|(kdp)|(\|lc)|(penalty))" /e /r /s</v>
      </c>
      <c r="AG229" s="1" t="str">
        <f t="shared" si="82"/>
        <v>Other</v>
      </c>
      <c r="AH229" s="86" t="str">
        <f t="shared" si="84"/>
        <v>"%USERPROFILE%\Documents\GitHub\eaglep3\Utilities\RefineRTDCRunTimes.py" --tripid 53-03 --locoid 4014 --swversion DE.1.0.9.0 --startMP 204:426 --initTime 2017-03-03T12:11:49 --startdatetime 2017-03-03T12:13:56 --delay 1 --endMP 300:24231 --enddatetime 2017-03-03T12:22:44 --enforcementcount 0 &gt;&gt;C:\Users\stu\Documents\GitHub\eaglep3-reporting\EC\2017-03-03-refined-times.txt</v>
      </c>
      <c r="AI229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{"issue":{"subject":"","project_id":79,"tracker_id":40,"status_id":1,"priority_id":2,"assigned_to_id":23,"start_date":"2017-03-03","description":"","custom_fields":[{"id":1,"name":"Subdivision","value":"Other"},{"id":4,"name":"Milepost","value":"2.4231"},{"id":17,"name":"Train ID","value":"53-03"},{"id":16,"name":"Locomotive ID","value":"4014"},{"id":130,"name":"Impact","value":""},{"id":150,"name":"Time of Event (Mountain Time)","value":"12:22:44"},{"id":151,"name":"Denver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6"/>
        <v>start /low /b %USERPROFILE%\Documents\GitHub\eaglep3\Utilities\DownloadLogsFromS3.py --loco 4014 --day 2017-03-03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"%USERPROFILE%\AppData\Local\Temp\OnboardLogs"\RTDC4014\*4014*20170303* | grep -SE "(Enforcement Action)|(\[TIMEOUT)|(CHR.+\|PRM\|1\|D.+(SWITCH|SIGNAL).+UNKNOWN)" - &gt;&gt; 2017-03-03-UncaughtWiMAX.txt</v>
      </c>
    </row>
    <row r="230" spans="1:40" x14ac:dyDescent="0.25">
      <c r="A230" s="33" t="s">
        <v>762</v>
      </c>
      <c r="B230" s="7">
        <v>4014</v>
      </c>
      <c r="C230" s="21" t="s">
        <v>251</v>
      </c>
      <c r="D230" s="21" t="s">
        <v>547</v>
      </c>
      <c r="E230" s="13">
        <v>42797.761782407404</v>
      </c>
      <c r="F230" s="13">
        <v>42797.767766203702</v>
      </c>
      <c r="G230" s="7">
        <v>3</v>
      </c>
      <c r="H230" s="21" t="s">
        <v>355</v>
      </c>
      <c r="I230" s="13">
        <v>42797.776041666664</v>
      </c>
      <c r="J230" s="7">
        <v>0</v>
      </c>
      <c r="K230" s="98" t="str">
        <f t="shared" si="72"/>
        <v>4013/4014</v>
      </c>
      <c r="L230" s="21" t="str">
        <f>VLOOKUP(A230,'Trips&amp;Operators'!$C$1:$G$99999,5,FALSE)</f>
        <v>ROMERO CHAD</v>
      </c>
      <c r="M230" s="6">
        <f t="shared" si="73"/>
        <v>8.2754629620467313E-3</v>
      </c>
      <c r="N230" s="7">
        <f t="shared" si="87"/>
        <v>11.916666665347293</v>
      </c>
      <c r="O230" s="7"/>
      <c r="P230" s="7"/>
      <c r="Q230" s="22"/>
      <c r="R230" s="22"/>
      <c r="S230" s="31">
        <f t="shared" si="83"/>
        <v>0</v>
      </c>
      <c r="T230" s="46" t="e">
        <f t="shared" si="74"/>
        <v>#VALUE!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75"/>
        <v>https://d0f6bd738d7f1b3e5a7ca70fe4ff75f0.us-east-1.aws.found.io/app/kibana#/discover/Steve-Slow-Train-Analysis-(2080s-and-2083s)?_g=(refreshInterval:(display:Off,pause:!f,section:0,value:0),time:(from:'2017-03-03T17:16:58-0700',mode:absolute,to:'2017-03-03T19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0" s="197" t="str">
        <f t="shared" si="76"/>
        <v>Y</v>
      </c>
      <c r="X230" s="197" t="e">
        <f t="shared" si="88"/>
        <v>#VALUE!</v>
      </c>
      <c r="Y230" s="62">
        <f t="shared" si="89"/>
        <v>4.3900000000000002E-2</v>
      </c>
      <c r="Z230" s="62">
        <f t="shared" si="77"/>
        <v>2.3306</v>
      </c>
      <c r="AA230" s="62">
        <f t="shared" si="78"/>
        <v>2.2867000000000002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9"/>
        <v>55-03</v>
      </c>
      <c r="AE230" s="85" t="str">
        <f t="shared" si="80"/>
        <v>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 &amp; aws s3 cp s3://rtdc.mdm.uploadarchive.raw/RTDC4014/ "%USERPROFILE%\AppData\Local\Temp\OnboardLogs"\RTDC4014\2017-03-04 --exclude "*" --recursive --include "*20170304*" &amp; "%USERPROFILE%\Documents\GitHub\mrs-test-scripts\Headless Mode &amp; Sideloading\WalkAndUnGZ.bat" "%USERPROFILE%\AppData\Local\Temp\OnboardLogs"\RTDC4014\2017-03-04</v>
      </c>
      <c r="AF230" s="82" t="str">
        <f t="shared" si="81"/>
        <v>"C:\Program Files (x86)\AstroGrep\AstroGrep.exe" /spath="%USERPROFILE%\AppData\Local\Temp\OnboardLogs" /stypes="app*4014*20170304*" /stext=" 01:.+((SYSTEM_STATE.+slice.+state.+changed )|(ment ac)|(multiple cpu faults)|(system.+state.+changed )|(\[timeout)|(PRM\|1\|D)|(kpr)|(kdp)|(\|lc)|(penalty))" /e /r /s</v>
      </c>
      <c r="AG230" s="1" t="str">
        <f t="shared" si="82"/>
        <v>Other</v>
      </c>
      <c r="AH230" s="86" t="str">
        <f t="shared" si="84"/>
        <v>"%USERPROFILE%\Documents\GitHub\eaglep3\Utilities\RefineRTDCRunTimes.py" --tripid 55-03 --locoid 4014 --swversion DE.1.0.9.0 --startMP 204:439 --initTime 2017-03-03T18:16:58 --startdatetime 2017-03-03T18:25:35 --delay 3 --endMP 300:23306 --enddatetime 2017-03-03T18:37:30 --enforcementcount 0 &gt;&gt;C:\Users\stu\Documents\GitHub\eaglep3-reporting\EC\2017-03-03-refined-times.txt</v>
      </c>
      <c r="AI230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{"issue":{"subject":"","project_id":79,"tracker_id":40,"status_id":1,"priority_id":2,"assigned_to_id":23,"start_date":"2017-03-03","description":"","custom_fields":[{"id":1,"name":"Subdivision","value":"Other"},{"id":4,"name":"Milepost","value":"2.3306"},{"id":17,"name":"Train ID","value":"55-03"},{"id":16,"name":"Locomotive ID","value":"4014"},{"id":130,"name":"Impact","value":""},{"id":150,"name":"Time of Event (Mountain Time)","value":"18:37:30"},{"id":151,"name":"Denver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6"/>
        <v>start /low /b %USERPROFILE%\Documents\GitHub\eaglep3\Utilities\DownloadLogsFromS3.py --loco 4014 --day 2017-03-03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"%USERPROFILE%\AppData\Local\Temp\OnboardLogs"\RTDC4014\*4014*20170304* | grep -SE "(Enforcement Action)|(\[TIMEOUT)|(CHR.+\|PRM\|1\|D.+(SWITCH|SIGNAL).+UNKNOWN)" - &gt;&gt; 2017-03-03-UncaughtWiMAX.txt</v>
      </c>
    </row>
    <row r="231" spans="1:40" x14ac:dyDescent="0.25">
      <c r="A231" s="33" t="s">
        <v>516</v>
      </c>
      <c r="B231" s="7">
        <v>4066</v>
      </c>
      <c r="C231" s="21" t="s">
        <v>251</v>
      </c>
      <c r="D231" s="21" t="s">
        <v>923</v>
      </c>
      <c r="E231" s="13">
        <v>42797.142638888887</v>
      </c>
      <c r="F231" s="13">
        <v>42797.144050925926</v>
      </c>
      <c r="G231" s="7">
        <v>1</v>
      </c>
      <c r="H231" s="21" t="s">
        <v>924</v>
      </c>
      <c r="I231" s="13">
        <v>42797.163310185184</v>
      </c>
      <c r="J231" s="7">
        <v>0</v>
      </c>
      <c r="K231" s="98" t="str">
        <f t="shared" si="72"/>
        <v>4065/4066</v>
      </c>
      <c r="L231" s="21" t="str">
        <f>VLOOKUP(A231,'Trips&amp;Operators'!$C$1:$G$99999,5,FALSE)</f>
        <v>YANG JAN</v>
      </c>
      <c r="M231" s="6">
        <f t="shared" si="73"/>
        <v>1.9259259257523809E-2</v>
      </c>
      <c r="N231" s="7">
        <f t="shared" si="87"/>
        <v>27.733333330834284</v>
      </c>
      <c r="O231" s="7"/>
      <c r="P231" s="7"/>
      <c r="Q231" s="22"/>
      <c r="R231" s="22"/>
      <c r="S231" s="31">
        <f t="shared" si="83"/>
        <v>0</v>
      </c>
      <c r="T231" s="46" t="e">
        <f t="shared" si="74"/>
        <v>#VALUE!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75"/>
        <v>https://d0f6bd738d7f1b3e5a7ca70fe4ff75f0.us-east-1.aws.found.io/app/kibana#/discover/Steve-Slow-Train-Analysis-(2080s-and-2083s)?_g=(refreshInterval:(display:Off,pause:!f,section:0,value:0),time:(from:'2017-03-03T02:25:24-0700',mode:absolute,to:'2017-03-03T04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1" s="197" t="str">
        <f t="shared" si="76"/>
        <v>N</v>
      </c>
      <c r="X231" s="197" t="e">
        <f t="shared" si="88"/>
        <v>#VALUE!</v>
      </c>
      <c r="Y231" s="62">
        <f t="shared" si="89"/>
        <v>1.0427999999999999</v>
      </c>
      <c r="Z231" s="62">
        <f t="shared" si="77"/>
        <v>12.8279</v>
      </c>
      <c r="AA231" s="62">
        <f t="shared" si="78"/>
        <v>11.7851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9"/>
        <v>81-02</v>
      </c>
      <c r="AE231" s="85" t="str">
        <f t="shared" si="80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31" s="82" t="str">
        <f t="shared" si="81"/>
        <v>"C:\Program Files (x86)\AstroGrep\AstroGrep.exe" /spath="%USERPROFILE%\AppData\Local\Temp\OnboardLogs" /stypes="app*4066*20170303*" /stext=" 10:.+((SYSTEM_STATE.+slice.+state.+changed )|(ment ac)|(multiple cpu faults)|(system.+state.+changed )|(\[timeout)|(PRM\|1\|D)|(kpr)|(kdp)|(\|lc)|(penalty))" /e /r /s</v>
      </c>
      <c r="AG231" s="1" t="str">
        <f t="shared" si="82"/>
        <v>Other</v>
      </c>
      <c r="AH231" s="86" t="str">
        <f t="shared" si="84"/>
        <v>"%USERPROFILE%\Documents\GitHub\eaglep3\Utilities\RefineRTDCRunTimes.py" --tripid 81-02 --locoid 4066 --swversion DE.1.0.9.0 --startMP 204:10428 --initTime 2017-03-03T03:25:24 --startdatetime 2017-03-03T03:27:26 --delay 1 --endMP 204:128279 --enddatetime 2017-03-03T03:55:10 --enforcementcount 0 &gt;&gt;C:\Users\stu\Documents\GitHub\eaglep3-reporting\EC\2017-03-03-refined-times.txt</v>
      </c>
      <c r="AI231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{"issue":{"subject":"","project_id":79,"tracker_id":40,"status_id":1,"priority_id":2,"assigned_to_id":23,"start_date":"2017-03-03","description":"","custom_fields":[{"id":1,"name":"Subdivision","value":"Other"},{"id":4,"name":"Milepost","value":"12.8279"},{"id":17,"name":"Train ID","value":"81-02"},{"id":16,"name":"Locomotive ID","value":"4066"},{"id":130,"name":"Impact","value":""},{"id":150,"name":"Time of Event (Mountain Time)","value":"03:55:10"},{"id":151,"name":"Denver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6"/>
        <v>start /low /b %USERPROFILE%\Documents\GitHub\eaglep3\Utilities\DownloadLogsFromS3.py --loco 4066 --day 2017-03-03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2017-03-03-UncaughtWiMAX.txt</v>
      </c>
    </row>
    <row r="232" spans="1:40" x14ac:dyDescent="0.25">
      <c r="A232" s="33" t="s">
        <v>516</v>
      </c>
      <c r="B232" s="7">
        <v>4066</v>
      </c>
      <c r="C232" s="21" t="s">
        <v>251</v>
      </c>
      <c r="D232" s="21" t="s">
        <v>245</v>
      </c>
      <c r="E232" s="13">
        <v>42797.101979166669</v>
      </c>
      <c r="F232" s="13">
        <v>42797.103854166664</v>
      </c>
      <c r="G232" s="7">
        <v>1</v>
      </c>
      <c r="H232" s="21" t="s">
        <v>548</v>
      </c>
      <c r="I232" s="13">
        <v>42797.121481481481</v>
      </c>
      <c r="J232" s="7">
        <v>0</v>
      </c>
      <c r="K232" s="98" t="str">
        <f t="shared" si="72"/>
        <v>4065/4066</v>
      </c>
      <c r="L232" s="21" t="str">
        <f>VLOOKUP(A232,'Trips&amp;Operators'!$C$1:$G$99999,5,FALSE)</f>
        <v>YANG JAN</v>
      </c>
      <c r="M232" s="6">
        <f t="shared" si="73"/>
        <v>1.7627314817218576E-2</v>
      </c>
      <c r="N232" s="7">
        <f t="shared" si="87"/>
        <v>25.383333336794749</v>
      </c>
      <c r="O232" s="7"/>
      <c r="P232" s="7"/>
      <c r="Q232" s="22"/>
      <c r="R232" s="22"/>
      <c r="S232" s="31">
        <f t="shared" si="83"/>
        <v>0</v>
      </c>
      <c r="T232" s="46" t="e">
        <f t="shared" si="74"/>
        <v>#VALUE!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75"/>
        <v>https://d0f6bd738d7f1b3e5a7ca70fe4ff75f0.us-east-1.aws.found.io/app/kibana#/discover/Steve-Slow-Train-Analysis-(2080s-and-2083s)?_g=(refreshInterval:(display:Off,pause:!f,section:0,value:0),time:(from:'2017-03-03T01:26:51-0700',mode:absolute,to:'2017-03-03T03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2" s="197" t="str">
        <f t="shared" si="76"/>
        <v>N</v>
      </c>
      <c r="X232" s="197" t="e">
        <f t="shared" si="88"/>
        <v>#VALUE!</v>
      </c>
      <c r="Y232" s="62">
        <f t="shared" si="89"/>
        <v>4.4699999999999997E-2</v>
      </c>
      <c r="Z232" s="62">
        <f t="shared" si="77"/>
        <v>12.827299999999999</v>
      </c>
      <c r="AA232" s="62">
        <f t="shared" si="78"/>
        <v>12.782599999999999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9"/>
        <v>81-02</v>
      </c>
      <c r="AE232" s="85" t="str">
        <f t="shared" si="80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32" s="82" t="str">
        <f t="shared" si="81"/>
        <v>"C:\Program Files (x86)\AstroGrep\AstroGrep.exe" /spath="%USERPROFILE%\AppData\Local\Temp\OnboardLogs" /stypes="app*4066*20170303*" /stext=" 09:.+((SYSTEM_STATE.+slice.+state.+changed )|(ment ac)|(multiple cpu faults)|(system.+state.+changed )|(\[timeout)|(PRM\|1\|D)|(kpr)|(kdp)|(\|lc)|(penalty))" /e /r /s</v>
      </c>
      <c r="AG232" s="1" t="str">
        <f t="shared" si="82"/>
        <v>Other</v>
      </c>
      <c r="AH232" s="86" t="str">
        <f t="shared" si="84"/>
        <v>"%USERPROFILE%\Documents\GitHub\eaglep3\Utilities\RefineRTDCRunTimes.py" --tripid 81-02 --locoid 4066 --swversion DE.1.0.9.0 --startMP 204:447 --initTime 2017-03-03T02:26:51 --startdatetime 2017-03-03T02:29:33 --delay 1 --endMP 204:128273 --enddatetime 2017-03-03T02:54:56 --enforcementcount 0 &gt;&gt;C:\Users\stu\Documents\GitHub\eaglep3-reporting\EC\2017-03-03-refined-times.txt</v>
      </c>
      <c r="AI232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{"issue":{"subject":"","project_id":79,"tracker_id":40,"status_id":1,"priority_id":2,"assigned_to_id":23,"start_date":"2017-03-03","description":"","custom_fields":[{"id":1,"name":"Subdivision","value":"Other"},{"id":4,"name":"Milepost","value":"12.8273"},{"id":17,"name":"Train ID","value":"81-02"},{"id":16,"name":"Locomotive ID","value":"4066"},{"id":130,"name":"Impact","value":""},{"id":150,"name":"Time of Event (Mountain Time)","value":"02:54:56"},{"id":151,"name":"Denver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6"/>
        <v>start /low /b %USERPROFILE%\Documents\GitHub\eaglep3\Utilities\DownloadLogsFromS3.py --loco 4066 --day 2017-03-03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2017-03-03-UncaughtWiMAX.txt</v>
      </c>
    </row>
    <row r="233" spans="1:40" x14ac:dyDescent="0.25">
      <c r="A233" s="33" t="s">
        <v>516</v>
      </c>
      <c r="B233" s="7">
        <v>4066</v>
      </c>
      <c r="C233" s="21" t="s">
        <v>251</v>
      </c>
      <c r="D233" s="21" t="s">
        <v>925</v>
      </c>
      <c r="E233" s="13">
        <v>42797.186736111114</v>
      </c>
      <c r="F233" s="13">
        <v>42797.188368055555</v>
      </c>
      <c r="G233" s="7">
        <v>1</v>
      </c>
      <c r="H233" s="21" t="s">
        <v>926</v>
      </c>
      <c r="I233" s="13">
        <v>42797.193877314814</v>
      </c>
      <c r="J233" s="7">
        <v>0</v>
      </c>
      <c r="K233" s="98" t="str">
        <f t="shared" si="72"/>
        <v>4065/4066</v>
      </c>
      <c r="L233" s="21" t="str">
        <f>VLOOKUP(A233,'Trips&amp;Operators'!$C$1:$G$99999,5,FALSE)</f>
        <v>YANG JAN</v>
      </c>
      <c r="M233" s="6">
        <f t="shared" si="73"/>
        <v>5.5092592592700385E-3</v>
      </c>
      <c r="N233" s="7">
        <f t="shared" si="87"/>
        <v>7.9333333333488554</v>
      </c>
      <c r="O233" s="7"/>
      <c r="P233" s="7"/>
      <c r="Q233" s="22"/>
      <c r="R233" s="22"/>
      <c r="S233" s="31">
        <f t="shared" si="83"/>
        <v>0</v>
      </c>
      <c r="T233" s="46" t="e">
        <f t="shared" si="74"/>
        <v>#VALUE!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75"/>
        <v>https://d0f6bd738d7f1b3e5a7ca70fe4ff75f0.us-east-1.aws.found.io/app/kibana#/discover/Steve-Slow-Train-Analysis-(2080s-and-2083s)?_g=(refreshInterval:(display:Off,pause:!f,section:0,value:0),time:(from:'2017-03-03T03:28:54-0700',mode:absolute,to:'2017-03-03T05:39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3" s="197" t="str">
        <f t="shared" si="76"/>
        <v>Y</v>
      </c>
      <c r="X233" s="197" t="e">
        <f t="shared" si="88"/>
        <v>#VALUE!</v>
      </c>
      <c r="Y233" s="62">
        <f t="shared" si="89"/>
        <v>5.5599999999999997E-2</v>
      </c>
      <c r="Z233" s="62">
        <f t="shared" si="77"/>
        <v>2.3302</v>
      </c>
      <c r="AA233" s="62">
        <f t="shared" si="78"/>
        <v>2.2746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9"/>
        <v>81-02</v>
      </c>
      <c r="AE233" s="85" t="str">
        <f t="shared" si="80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33" s="82" t="str">
        <f t="shared" si="81"/>
        <v>"C:\Program Files (x86)\AstroGrep\AstroGrep.exe" /spath="%USERPROFILE%\AppData\Local\Temp\OnboardLogs" /stypes="app*4066*20170303*" /stext=" 11:.+((SYSTEM_STATE.+slice.+state.+changed )|(ment ac)|(multiple cpu faults)|(system.+state.+changed )|(\[timeout)|(PRM\|1\|D)|(kpr)|(kdp)|(\|lc)|(penalty))" /e /r /s</v>
      </c>
      <c r="AG233" s="1" t="str">
        <f t="shared" si="82"/>
        <v>Other</v>
      </c>
      <c r="AH233" s="86" t="str">
        <f t="shared" si="84"/>
        <v>"%USERPROFILE%\Documents\GitHub\eaglep3\Utilities\RefineRTDCRunTimes.py" --tripid 81-02 --locoid 4066 --swversion DE.1.0.9.0 --startMP 204:556 --initTime 2017-03-03T04:28:54 --startdatetime 2017-03-03T04:31:15 --delay 1 --endMP 300:23302 --enddatetime 2017-03-03T04:39:11 --enforcementcount 0 &gt;&gt;C:\Users\stu\Documents\GitHub\eaglep3-reporting\EC\2017-03-03-refined-times.txt</v>
      </c>
      <c r="AI233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{"issue":{"subject":"","project_id":79,"tracker_id":40,"status_id":1,"priority_id":2,"assigned_to_id":23,"start_date":"2017-03-03","description":"","custom_fields":[{"id":1,"name":"Subdivision","value":"Other"},{"id":4,"name":"Milepost","value":"2.3302"},{"id":17,"name":"Train ID","value":"81-02"},{"id":16,"name":"Locomotive ID","value":"4066"},{"id":130,"name":"Impact","value":""},{"id":150,"name":"Time of Event (Mountain Time)","value":"04:39:11"},{"id":151,"name":"Denver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6"/>
        <v>start /low /b %USERPROFILE%\Documents\GitHub\eaglep3\Utilities\DownloadLogsFromS3.py --loco 4066 --day 2017-03-03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2017-03-03-UncaughtWiMAX.txt</v>
      </c>
    </row>
    <row r="234" spans="1:40" x14ac:dyDescent="0.25">
      <c r="A234" s="33" t="s">
        <v>519</v>
      </c>
      <c r="B234" s="7">
        <v>4065</v>
      </c>
      <c r="C234" s="21" t="s">
        <v>251</v>
      </c>
      <c r="D234" s="21" t="s">
        <v>961</v>
      </c>
      <c r="E234" s="13">
        <v>42797.122164351851</v>
      </c>
      <c r="F234" s="13">
        <v>42797.123784722222</v>
      </c>
      <c r="G234" s="7">
        <v>2</v>
      </c>
      <c r="H234" s="21" t="s">
        <v>962</v>
      </c>
      <c r="I234" s="13">
        <v>42797.141736111109</v>
      </c>
      <c r="J234" s="7">
        <v>0</v>
      </c>
      <c r="K234" s="98" t="str">
        <f t="shared" si="72"/>
        <v>4065/4066</v>
      </c>
      <c r="L234" s="21" t="str">
        <f>VLOOKUP(A234,'Trips&amp;Operators'!$C$1:$G$99999,5,FALSE)</f>
        <v>MCREYNOLDS KYLE</v>
      </c>
      <c r="M234" s="6">
        <f t="shared" si="73"/>
        <v>1.7951388887013309E-2</v>
      </c>
      <c r="N234" s="7">
        <f t="shared" si="87"/>
        <v>25.849999997299165</v>
      </c>
      <c r="O234" s="7"/>
      <c r="P234" s="7"/>
      <c r="Q234" s="22"/>
      <c r="R234" s="22"/>
      <c r="S234" s="31">
        <f t="shared" si="83"/>
        <v>0</v>
      </c>
      <c r="T234" s="46" t="e">
        <f t="shared" si="74"/>
        <v>#VALUE!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75"/>
        <v>https://d0f6bd738d7f1b3e5a7ca70fe4ff75f0.us-east-1.aws.found.io/app/kibana#/discover/Steve-Slow-Train-Analysis-(2080s-and-2083s)?_g=(refreshInterval:(display:Off,pause:!f,section:0,value:0),time:(from:'2017-03-03T01:55:55-0700',mode:absolute,to:'2017-03-03T04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4" s="197" t="str">
        <f t="shared" si="76"/>
        <v>N</v>
      </c>
      <c r="X234" s="197" t="e">
        <f t="shared" si="88"/>
        <v>#VALUE!</v>
      </c>
      <c r="Y234" s="62">
        <f t="shared" si="89"/>
        <v>12.7714</v>
      </c>
      <c r="Z234" s="62">
        <f t="shared" si="77"/>
        <v>1.0193000000000001</v>
      </c>
      <c r="AA234" s="62">
        <f t="shared" si="78"/>
        <v>11.7521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9"/>
        <v>88-02</v>
      </c>
      <c r="AE234" s="85" t="str">
        <f t="shared" si="80"/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AF234" s="82" t="str">
        <f t="shared" si="81"/>
        <v>"C:\Program Files (x86)\AstroGrep\AstroGrep.exe" /spath="%USERPROFILE%\AppData\Local\Temp\OnboardLogs" /stypes="app*4065*20170303*" /stext=" 10:.+((SYSTEM_STATE.+slice.+state.+changed )|(ment ac)|(multiple cpu faults)|(system.+state.+changed )|(\[timeout)|(PRM\|1\|D)|(kpr)|(kdp)|(\|lc)|(penalty))" /e /r /s</v>
      </c>
      <c r="AG234" s="1" t="str">
        <f t="shared" si="82"/>
        <v>Other</v>
      </c>
      <c r="AH234" s="86" t="str">
        <f t="shared" si="84"/>
        <v>"%USERPROFILE%\Documents\GitHub\eaglep3\Utilities\RefineRTDCRunTimes.py" --tripid 88-02 --locoid 4065 --swversion DE.1.0.9.0 --startMP 204:127714 --initTime 2017-03-03T02:55:55 --startdatetime 2017-03-03T02:58:15 --delay 2 --endMP 204:10193 --enddatetime 2017-03-03T03:24:06 --enforcementcount 0 &gt;&gt;C:\Users\stu\Documents\GitHub\eaglep3-reporting\EC\2017-03-03-refined-times.txt</v>
      </c>
      <c r="AI234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{"issue":{"subject":"","project_id":79,"tracker_id":40,"status_id":1,"priority_id":2,"assigned_to_id":23,"start_date":"2017-03-03","description":"","custom_fields":[{"id":1,"name":"Subdivision","value":"Other"},{"id":4,"name":"Milepost","value":"1.0193"},{"id":17,"name":"Train ID","value":"88-02"},{"id":16,"name":"Locomotive ID","value":"4065"},{"id":130,"name":"Impact","value":""},{"id":150,"name":"Time of Event (Mountain Time)","value":"03:24:06"},{"id":151,"name":"Denver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6"/>
        <v>start /low /b %USERPROFILE%\Documents\GitHub\eaglep3\Utilities\DownloadLogsFromS3.py --loco 4065 --day 2017-03-03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2017-03-03-UncaughtWiMAX.txt</v>
      </c>
    </row>
    <row r="235" spans="1:40" x14ac:dyDescent="0.25">
      <c r="A235" s="33" t="s">
        <v>519</v>
      </c>
      <c r="B235" s="7">
        <v>4065</v>
      </c>
      <c r="C235" s="21" t="s">
        <v>251</v>
      </c>
      <c r="D235" s="21" t="s">
        <v>560</v>
      </c>
      <c r="E235" s="13">
        <v>42797.072754629633</v>
      </c>
      <c r="F235" s="13">
        <v>42797.075092592589</v>
      </c>
      <c r="G235" s="7">
        <v>1</v>
      </c>
      <c r="H235" s="21" t="s">
        <v>535</v>
      </c>
      <c r="I235" s="13">
        <v>42797.095092592594</v>
      </c>
      <c r="J235" s="7">
        <v>0</v>
      </c>
      <c r="K235" s="98" t="str">
        <f t="shared" si="72"/>
        <v>4065/4066</v>
      </c>
      <c r="L235" s="21" t="str">
        <f>VLOOKUP(A235,'Trips&amp;Operators'!$C$1:$G$99999,5,FALSE)</f>
        <v>MCREYNOLDS KYLE</v>
      </c>
      <c r="M235" s="6">
        <f t="shared" si="73"/>
        <v>2.0000000004074536E-2</v>
      </c>
      <c r="N235" s="7">
        <f t="shared" si="87"/>
        <v>28.800000005867332</v>
      </c>
      <c r="O235" s="7"/>
      <c r="P235" s="7"/>
      <c r="Q235" s="22"/>
      <c r="R235" s="22"/>
      <c r="S235" s="31">
        <f t="shared" si="83"/>
        <v>0</v>
      </c>
      <c r="T235" s="46" t="e">
        <f t="shared" si="74"/>
        <v>#VALUE!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5"/>
        <v>https://d0f6bd738d7f1b3e5a7ca70fe4ff75f0.us-east-1.aws.found.io/app/kibana#/discover/Steve-Slow-Train-Analysis-(2080s-and-2083s)?_g=(refreshInterval:(display:Off,pause:!f,section:0,value:0),time:(from:'2017-03-03T00:44:46-0700',mode:absolute,to:'2017-03-03T03:16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197" t="str">
        <f t="shared" si="76"/>
        <v>N</v>
      </c>
      <c r="X235" s="197" t="e">
        <f t="shared" si="88"/>
        <v>#VALUE!</v>
      </c>
      <c r="Y235" s="62">
        <f t="shared" si="89"/>
        <v>12.801</v>
      </c>
      <c r="Z235" s="62">
        <f t="shared" si="77"/>
        <v>1.43E-2</v>
      </c>
      <c r="AA235" s="62">
        <f t="shared" si="78"/>
        <v>12.7867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9"/>
        <v>88-02</v>
      </c>
      <c r="AE235" s="85" t="str">
        <f t="shared" si="80"/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AF235" s="82" t="str">
        <f t="shared" si="81"/>
        <v>"C:\Program Files (x86)\AstroGrep\AstroGrep.exe" /spath="%USERPROFILE%\AppData\Local\Temp\OnboardLogs" /stypes="app*4065*20170303*" /stext=" 09:.+((SYSTEM_STATE.+slice.+state.+changed )|(ment ac)|(multiple cpu faults)|(system.+state.+changed )|(\[timeout)|(PRM\|1\|D)|(kpr)|(kdp)|(\|lc)|(penalty))" /e /r /s</v>
      </c>
      <c r="AG235" s="1" t="str">
        <f t="shared" si="82"/>
        <v>Other</v>
      </c>
      <c r="AH235" s="86" t="str">
        <f t="shared" si="84"/>
        <v>"%USERPROFILE%\Documents\GitHub\eaglep3\Utilities\RefineRTDCRunTimes.py" --tripid 88-02 --locoid 4065 --swversion DE.1.0.9.0 --startMP 204:128010 --initTime 2017-03-03T01:44:46 --startdatetime 2017-03-03T01:48:08 --delay 1 --endMP 204:143 --enddatetime 2017-03-03T02:16:56 --enforcementcount 0 &gt;&gt;C:\Users\stu\Documents\GitHub\eaglep3-reporting\EC\2017-03-03-refined-times.txt</v>
      </c>
      <c r="AI235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{"issue":{"subject":"","project_id":79,"tracker_id":40,"status_id":1,"priority_id":2,"assigned_to_id":23,"start_date":"2017-03-03","description":"","custom_fields":[{"id":1,"name":"Subdivision","value":"Other"},{"id":4,"name":"Milepost","value":"0.0143"},{"id":17,"name":"Train ID","value":"88-02"},{"id":16,"name":"Locomotive ID","value":"4065"},{"id":130,"name":"Impact","value":""},{"id":150,"name":"Time of Event (Mountain Time)","value":"02:16:56"},{"id":151,"name":"Denver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6"/>
        <v>start /low /b %USERPROFILE%\Documents\GitHub\eaglep3\Utilities\DownloadLogsFromS3.py --loco 4065 --day 2017-03-03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2017-03-03-UncaughtWiMAX.txt</v>
      </c>
    </row>
    <row r="236" spans="1:40" x14ac:dyDescent="0.25">
      <c r="A236" s="33" t="s">
        <v>519</v>
      </c>
      <c r="B236" s="7">
        <v>4065</v>
      </c>
      <c r="C236" s="21" t="s">
        <v>251</v>
      </c>
      <c r="D236" s="21" t="s">
        <v>963</v>
      </c>
      <c r="E236" s="13">
        <v>42797.164027777777</v>
      </c>
      <c r="F236" s="13">
        <v>42797.165381944447</v>
      </c>
      <c r="G236" s="7">
        <v>1</v>
      </c>
      <c r="H236" s="21" t="s">
        <v>964</v>
      </c>
      <c r="I236" s="13">
        <v>42797.185868055552</v>
      </c>
      <c r="J236" s="7">
        <v>0</v>
      </c>
      <c r="K236" s="98" t="str">
        <f t="shared" si="72"/>
        <v>4065/4066</v>
      </c>
      <c r="L236" s="21" t="str">
        <f>VLOOKUP(A236,'Trips&amp;Operators'!$C$1:$G$99999,5,FALSE)</f>
        <v>MCREYNOLDS KYLE</v>
      </c>
      <c r="M236" s="6">
        <f t="shared" si="73"/>
        <v>2.0486111105128657E-2</v>
      </c>
      <c r="N236" s="7">
        <f t="shared" si="87"/>
        <v>29.499999991385266</v>
      </c>
      <c r="O236" s="7"/>
      <c r="P236" s="7"/>
      <c r="Q236" s="22"/>
      <c r="R236" s="22"/>
      <c r="S236" s="31">
        <f t="shared" si="83"/>
        <v>0</v>
      </c>
      <c r="T236" s="46" t="e">
        <f t="shared" si="74"/>
        <v>#VALUE!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75"/>
        <v>https://d0f6bd738d7f1b3e5a7ca70fe4ff75f0.us-east-1.aws.found.io/app/kibana#/discover/Steve-Slow-Train-Analysis-(2080s-and-2083s)?_g=(refreshInterval:(display:Off,pause:!f,section:0,value:0),time:(from:'2017-03-03T02:56:12-0700',mode:absolute,to:'2017-03-03T05:27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6" s="197" t="str">
        <f t="shared" si="76"/>
        <v>N</v>
      </c>
      <c r="X236" s="197" t="e">
        <f t="shared" si="88"/>
        <v>#VALUE!</v>
      </c>
      <c r="Y236" s="62">
        <f t="shared" si="89"/>
        <v>12.801500000000001</v>
      </c>
      <c r="Z236" s="62">
        <f t="shared" si="77"/>
        <v>2.5999999999999999E-2</v>
      </c>
      <c r="AA236" s="62">
        <f t="shared" si="78"/>
        <v>12.775500000000001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9"/>
        <v>88-02</v>
      </c>
      <c r="AE236" s="85" t="str">
        <f t="shared" si="80"/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AF236" s="82" t="str">
        <f t="shared" si="81"/>
        <v>"C:\Program Files (x86)\AstroGrep\AstroGrep.exe" /spath="%USERPROFILE%\AppData\Local\Temp\OnboardLogs" /stypes="app*4065*20170303*" /stext=" 11:.+((SYSTEM_STATE.+slice.+state.+changed )|(ment ac)|(multiple cpu faults)|(system.+state.+changed )|(\[timeout)|(PRM\|1\|D)|(kpr)|(kdp)|(\|lc)|(penalty))" /e /r /s</v>
      </c>
      <c r="AG236" s="1" t="str">
        <f t="shared" si="82"/>
        <v>Other</v>
      </c>
      <c r="AH236" s="86" t="str">
        <f t="shared" si="84"/>
        <v>"%USERPROFILE%\Documents\GitHub\eaglep3\Utilities\RefineRTDCRunTimes.py" --tripid 88-02 --locoid 4065 --swversion DE.1.0.9.0 --startMP 204:128015 --initTime 2017-03-03T03:56:12 --startdatetime 2017-03-03T03:58:09 --delay 1 --endMP 204:260 --enddatetime 2017-03-03T04:27:39 --enforcementcount 0 &gt;&gt;C:\Users\stu\Documents\GitHub\eaglep3-reporting\EC\2017-03-03-refined-times.txt</v>
      </c>
      <c r="AI236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{"issue":{"subject":"","project_id":79,"tracker_id":40,"status_id":1,"priority_id":2,"assigned_to_id":23,"start_date":"2017-03-03","description":"","custom_fields":[{"id":1,"name":"Subdivision","value":"Other"},{"id":4,"name":"Milepost","value":"0.026"},{"id":17,"name":"Train ID","value":"88-02"},{"id":16,"name":"Locomotive ID","value":"4065"},{"id":130,"name":"Impact","value":""},{"id":150,"name":"Time of Event (Mountain Time)","value":"04:27:39"},{"id":151,"name":"Denver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6"/>
        <v>start /low /b %USERPROFILE%\Documents\GitHub\eaglep3\Utilities\DownloadLogsFromS3.py --loco 4065 --day 2017-03-03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2017-03-03-UncaughtWiMAX.txt</v>
      </c>
    </row>
    <row r="237" spans="1:40" x14ac:dyDescent="0.25">
      <c r="A237" s="33" t="s">
        <v>600</v>
      </c>
      <c r="B237" s="7">
        <v>4065</v>
      </c>
      <c r="C237" s="21" t="s">
        <v>251</v>
      </c>
      <c r="D237" s="21" t="s">
        <v>850</v>
      </c>
      <c r="E237" s="13">
        <v>42797.961076388892</v>
      </c>
      <c r="F237" s="13">
        <v>42798.006655092591</v>
      </c>
      <c r="G237" s="7">
        <v>1</v>
      </c>
      <c r="H237" s="21" t="s">
        <v>965</v>
      </c>
      <c r="I237" s="13">
        <v>42798.034016203703</v>
      </c>
      <c r="J237" s="7">
        <v>0</v>
      </c>
      <c r="K237" s="98" t="str">
        <f t="shared" si="72"/>
        <v>4065/4066</v>
      </c>
      <c r="L237" s="21" t="str">
        <f>VLOOKUP(A237,'Trips&amp;Operators'!$C$1:$G$99999,5,FALSE)</f>
        <v>MAGEE KENYA</v>
      </c>
      <c r="M237" s="6">
        <f t="shared" si="73"/>
        <v>2.73611111115315E-2</v>
      </c>
      <c r="N237" s="7">
        <f t="shared" si="87"/>
        <v>39.40000000060536</v>
      </c>
      <c r="O237" s="7"/>
      <c r="P237" s="7"/>
      <c r="Q237" s="22"/>
      <c r="R237" s="22"/>
      <c r="S237" s="31">
        <f t="shared" si="83"/>
        <v>0</v>
      </c>
      <c r="T237" s="46" t="e">
        <f t="shared" si="74"/>
        <v>#VALUE!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75"/>
        <v>https://d0f6bd738d7f1b3e5a7ca70fe4ff75f0.us-east-1.aws.found.io/app/kibana#/discover/Steve-Slow-Train-Analysis-(2080s-and-2083s)?_g=(refreshInterval:(display:Off,pause:!f,section:0,value:0),time:(from:'2017-03-03T22:03:57-0700',mode:absolute,to:'2017-03-04T01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7" s="197" t="str">
        <f t="shared" si="76"/>
        <v>N</v>
      </c>
      <c r="X237" s="197" t="e">
        <f t="shared" si="88"/>
        <v>#VALUE!</v>
      </c>
      <c r="Y237" s="62">
        <f t="shared" si="89"/>
        <v>23.297999999999998</v>
      </c>
      <c r="Z237" s="62">
        <f t="shared" si="77"/>
        <v>0.1201</v>
      </c>
      <c r="AA237" s="62">
        <f t="shared" si="78"/>
        <v>23.177899999999998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9"/>
        <v>88-03</v>
      </c>
      <c r="AE237" s="85" t="str">
        <f t="shared" si="80"/>
        <v>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 &amp; 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</v>
      </c>
      <c r="AF237" s="82" t="str">
        <f t="shared" si="81"/>
        <v>"C:\Program Files (x86)\AstroGrep\AstroGrep.exe" /spath="%USERPROFILE%\AppData\Local\Temp\OnboardLogs" /stypes="app*4065*20170304*" /stext=" 07:.+((SYSTEM_STATE.+slice.+state.+changed )|(ment ac)|(multiple cpu faults)|(system.+state.+changed )|(\[timeout)|(PRM\|1\|D)|(kpr)|(kdp)|(\|lc)|(penalty))" /e /r /s</v>
      </c>
      <c r="AG237" s="1" t="str">
        <f t="shared" si="82"/>
        <v>Other</v>
      </c>
      <c r="AH237" s="86" t="str">
        <f t="shared" si="84"/>
        <v>"%USERPROFILE%\Documents\GitHub\eaglep3\Utilities\RefineRTDCRunTimes.py" --tripid 88-03 --locoid 4065 --swversion DE.1.0.9.0 --startMP 204:232980 --initTime 2017-03-03T23:03:57 --startdatetime 2017-03-04T00:09:35 --delay 1 --endMP 204:1201 --enddatetime 2017-03-04T00:48:59 --enforcementcount 0 &gt;&gt;C:\Users\stu\Documents\GitHub\eaglep3-reporting\EC\2017-03-03-refined-times.txt</v>
      </c>
      <c r="AI237" s="108" t="str">
        <f t="shared" si="85"/>
        <v>echo {"issue":{"subject":"","project_id":79,"tracker_id":40,"status_id":1,"priority_id":2,"assigned_to_id":23,"start_date":"2017-03-04","description":"","custom_fields":[{"id":1,"name":"Subdivision","value":"Other"},{"id":4,"name":"Milepost","value":"0.1201"},{"id":17,"name":"Train ID","value":"88-03"},{"id":16,"name":"Locomotive ID","value":"4065"},{"id":130,"name":"Impact","value":""},{"id":150,"name":"Time of Event (Mountain Time)","value":"00:48:59"},{"id":151,"name":"Denver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86"/>
        <v>start /low /b %USERPROFILE%\Documents\GitHub\eaglep3\Utilities\DownloadLogsFromS3.py --loco 4065 --day 2017-03-04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"%USERPROFILE%\AppData\Local\Temp\OnboardLogs"\RTDC4065\*4065*20170304* | grep -SE "(Enforcement Action)|(\[TIMEOUT)|(CHR.+\|PRM\|1\|D.+(SWITCH|SIGNAL).+UNKNOWN)" - &gt;&gt; 2017-03-03-UncaughtWiMAX.txt</v>
      </c>
    </row>
    <row r="238" spans="1:40" x14ac:dyDescent="0.25">
      <c r="A238" s="33" t="s">
        <v>600</v>
      </c>
      <c r="B238" s="7">
        <v>4065</v>
      </c>
      <c r="C238" s="21" t="s">
        <v>251</v>
      </c>
      <c r="D238" s="21" t="s">
        <v>850</v>
      </c>
      <c r="E238" s="13">
        <v>42798.035810185182</v>
      </c>
      <c r="F238" s="13">
        <v>42798.091527777775</v>
      </c>
      <c r="G238" s="7">
        <v>1</v>
      </c>
      <c r="H238" s="21" t="s">
        <v>304</v>
      </c>
      <c r="I238" s="13">
        <v>42798.115636574075</v>
      </c>
      <c r="J238" s="7">
        <v>0</v>
      </c>
      <c r="K238" s="98" t="str">
        <f t="shared" si="72"/>
        <v>4065/4066</v>
      </c>
      <c r="L238" s="21" t="str">
        <f>VLOOKUP(A238,'Trips&amp;Operators'!$C$1:$G$99999,5,FALSE)</f>
        <v>MAGEE KENYA</v>
      </c>
      <c r="M238" s="6">
        <f t="shared" si="73"/>
        <v>2.4108796300424729E-2</v>
      </c>
      <c r="N238" s="7">
        <f t="shared" si="87"/>
        <v>34.716666672611609</v>
      </c>
      <c r="O238" s="7"/>
      <c r="P238" s="7"/>
      <c r="Q238" s="22"/>
      <c r="R238" s="22"/>
      <c r="S238" s="31">
        <f t="shared" si="83"/>
        <v>0</v>
      </c>
      <c r="T238" s="46" t="e">
        <f t="shared" si="74"/>
        <v>#VALUE!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75"/>
        <v>https://d0f6bd738d7f1b3e5a7ca70fe4ff75f0.us-east-1.aws.found.io/app/kibana#/discover/Steve-Slow-Train-Analysis-(2080s-and-2083s)?_g=(refreshInterval:(display:Off,pause:!f,section:0,value:0),time:(from:'2017-03-03T23:51:34-0700',mode:absolute,to:'2017-03-04T03:46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8" s="197" t="str">
        <f t="shared" si="76"/>
        <v>N</v>
      </c>
      <c r="X238" s="197" t="e">
        <f t="shared" si="88"/>
        <v>#VALUE!</v>
      </c>
      <c r="Y238" s="62">
        <f t="shared" si="89"/>
        <v>23.297999999999998</v>
      </c>
      <c r="Z238" s="62">
        <f t="shared" si="77"/>
        <v>1.67E-2</v>
      </c>
      <c r="AA238" s="62">
        <f t="shared" si="78"/>
        <v>23.281299999999998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9"/>
        <v>88-03</v>
      </c>
      <c r="AE238" s="85" t="str">
        <f t="shared" si="80"/>
        <v>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 &amp; 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</v>
      </c>
      <c r="AF238" s="82" t="str">
        <f t="shared" si="81"/>
        <v>"C:\Program Files (x86)\AstroGrep\AstroGrep.exe" /spath="%USERPROFILE%\AppData\Local\Temp\OnboardLogs" /stypes="app*4065*20170304*" /stext=" 09:.+((SYSTEM_STATE.+slice.+state.+changed )|(ment ac)|(multiple cpu faults)|(system.+state.+changed )|(\[timeout)|(PRM\|1\|D)|(kpr)|(kdp)|(\|lc)|(penalty))" /e /r /s</v>
      </c>
      <c r="AG238" s="1" t="str">
        <f t="shared" si="82"/>
        <v>Other</v>
      </c>
      <c r="AH238" s="86" t="str">
        <f t="shared" si="84"/>
        <v>"%USERPROFILE%\Documents\GitHub\eaglep3\Utilities\RefineRTDCRunTimes.py" --tripid 88-03 --locoid 4065 --swversion DE.1.0.9.0 --startMP 204:232980 --initTime 2017-03-04T00:51:34 --startdatetime 2017-03-04T02:11:48 --delay 1 --endMP 204:167 --enddatetime 2017-03-04T02:46:31 --enforcementcount 0 &gt;&gt;C:\Users\stu\Documents\GitHub\eaglep3-reporting\EC\2017-03-03-refined-times.txt</v>
      </c>
      <c r="AI238" s="108" t="str">
        <f t="shared" si="85"/>
        <v>echo {"issue":{"subject":"","project_id":79,"tracker_id":40,"status_id":1,"priority_id":2,"assigned_to_id":23,"start_date":"2017-03-04","description":"","custom_fields":[{"id":1,"name":"Subdivision","value":"Other"},{"id":4,"name":"Milepost","value":"0.0167"},{"id":17,"name":"Train ID","value":"88-03"},{"id":16,"name":"Locomotive ID","value":"4065"},{"id":130,"name":"Impact","value":""},{"id":150,"name":"Time of Event (Mountain Time)","value":"02:46:31"},{"id":151,"name":"Denver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86"/>
        <v>start /low /b %USERPROFILE%\Documents\GitHub\eaglep3\Utilities\DownloadLogsFromS3.py --loco 4065 --day 2017-03-04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"%USERPROFILE%\AppData\Local\Temp\OnboardLogs"\RTDC4065\*4065*20170304* | grep -SE "(Enforcement Action)|(\[TIMEOUT)|(CHR.+\|PRM\|1\|D.+(SWITCH|SIGNAL).+UNKNOWN)" - &gt;&gt; 2017-03-03-UncaughtWiMAX.txt</v>
      </c>
    </row>
    <row r="239" spans="1:40" x14ac:dyDescent="0.25">
      <c r="A239" s="33" t="s">
        <v>600</v>
      </c>
      <c r="B239" s="7">
        <v>4065</v>
      </c>
      <c r="C239" s="21" t="s">
        <v>251</v>
      </c>
      <c r="D239" s="21" t="s">
        <v>879</v>
      </c>
      <c r="E239" s="13">
        <v>42797.880902777775</v>
      </c>
      <c r="F239" s="13">
        <v>42797.941076388888</v>
      </c>
      <c r="G239" s="7">
        <v>4</v>
      </c>
      <c r="H239" s="21" t="s">
        <v>966</v>
      </c>
      <c r="I239" s="13">
        <v>42797.956284722219</v>
      </c>
      <c r="J239" s="7">
        <v>0</v>
      </c>
      <c r="K239" s="98" t="str">
        <f t="shared" si="72"/>
        <v>4065/4066</v>
      </c>
      <c r="L239" s="21" t="str">
        <f>VLOOKUP(A239,'Trips&amp;Operators'!$C$1:$G$99999,5,FALSE)</f>
        <v>MAGEE KENYA</v>
      </c>
      <c r="M239" s="6">
        <f t="shared" si="73"/>
        <v>1.5208333330519963E-2</v>
      </c>
      <c r="N239" s="7">
        <f t="shared" si="87"/>
        <v>21.899999995948747</v>
      </c>
      <c r="O239" s="7"/>
      <c r="P239" s="7"/>
      <c r="Q239" s="22"/>
      <c r="R239" s="22"/>
      <c r="S239" s="31">
        <f t="shared" si="83"/>
        <v>0</v>
      </c>
      <c r="T239" s="46" t="e">
        <f t="shared" si="74"/>
        <v>#VALUE!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75"/>
        <v>https://d0f6bd738d7f1b3e5a7ca70fe4ff75f0.us-east-1.aws.found.io/app/kibana#/discover/Steve-Slow-Train-Analysis-(2080s-and-2083s)?_g=(refreshInterval:(display:Off,pause:!f,section:0,value:0),time:(from:'2017-03-03T20:08:30-0700',mode:absolute,to:'2017-03-03T23:57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9" s="197" t="str">
        <f t="shared" si="76"/>
        <v>N</v>
      </c>
      <c r="X239" s="197" t="e">
        <f t="shared" si="88"/>
        <v>#VALUE!</v>
      </c>
      <c r="Y239" s="62">
        <f t="shared" si="89"/>
        <v>23.300699999999999</v>
      </c>
      <c r="Z239" s="62">
        <f t="shared" si="77"/>
        <v>0.11899999999999999</v>
      </c>
      <c r="AA239" s="62">
        <f t="shared" si="78"/>
        <v>23.181699999999999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79"/>
        <v>88-03</v>
      </c>
      <c r="AE239" s="85" t="str">
        <f t="shared" si="80"/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AF239" s="82" t="str">
        <f t="shared" si="81"/>
        <v>"C:\Program Files (x86)\AstroGrep\AstroGrep.exe" /spath="%USERPROFILE%\AppData\Local\Temp\OnboardLogs" /stypes="app*4065*20170304*" /stext=" 05:.+((SYSTEM_STATE.+slice.+state.+changed )|(ment ac)|(multiple cpu faults)|(system.+state.+changed )|(\[timeout)|(PRM\|1\|D)|(kpr)|(kdp)|(\|lc)|(penalty))" /e /r /s</v>
      </c>
      <c r="AG239" s="1" t="str">
        <f t="shared" si="82"/>
        <v>Other</v>
      </c>
      <c r="AH239" s="86" t="str">
        <f t="shared" si="84"/>
        <v>"%USERPROFILE%\Documents\GitHub\eaglep3\Utilities\RefineRTDCRunTimes.py" --tripid 88-03 --locoid 4065 --swversion DE.1.0.9.0 --startMP 204:233007 --initTime 2017-03-03T21:08:30 --startdatetime 2017-03-03T22:35:09 --delay 4 --endMP 204:1190 --enddatetime 2017-03-03T22:57:03 --enforcementcount 0 &gt;&gt;C:\Users\stu\Documents\GitHub\eaglep3-reporting\EC\2017-03-03-refined-times.txt</v>
      </c>
      <c r="AI239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{"issue":{"subject":"","project_id":79,"tracker_id":40,"status_id":1,"priority_id":2,"assigned_to_id":23,"start_date":"2017-03-03","description":"","custom_fields":[{"id":1,"name":"Subdivision","value":"Other"},{"id":4,"name":"Milepost","value":"0.119"},{"id":17,"name":"Train ID","value":"88-03"},{"id":16,"name":"Locomotive ID","value":"4065"},{"id":130,"name":"Impact","value":""},{"id":150,"name":"Time of Event (Mountain Time)","value":"22:57:03"},{"id":151,"name":"Denver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86"/>
        <v>start /low /b %USERPROFILE%\Documents\GitHub\eaglep3\Utilities\DownloadLogsFromS3.py --loco 4065 --day 2017-03-03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"%USERPROFILE%\AppData\Local\Temp\OnboardLogs"\RTDC4065\*4065*20170304* | grep -SE "(Enforcement Action)|(\[TIMEOUT)|(CHR.+\|PRM\|1\|D.+(SWITCH|SIGNAL).+UNKNOWN)" - &gt;&gt; 2017-03-03-UncaughtWiMAX.txt</v>
      </c>
    </row>
    <row r="240" spans="1:40" x14ac:dyDescent="0.25">
      <c r="A240" s="33" t="s">
        <v>600</v>
      </c>
      <c r="B240" s="7">
        <v>4065</v>
      </c>
      <c r="C240" s="21" t="s">
        <v>251</v>
      </c>
      <c r="D240" s="21" t="s">
        <v>967</v>
      </c>
      <c r="E240" s="13">
        <v>42797.808136574073</v>
      </c>
      <c r="F240" s="13">
        <v>42797.80978009259</v>
      </c>
      <c r="G240" s="7">
        <v>1</v>
      </c>
      <c r="H240" s="21" t="s">
        <v>968</v>
      </c>
      <c r="I240" s="13">
        <v>42797.816087962965</v>
      </c>
      <c r="J240" s="7">
        <v>0</v>
      </c>
      <c r="K240" s="98" t="str">
        <f t="shared" si="72"/>
        <v>4065/4066</v>
      </c>
      <c r="L240" s="21" t="str">
        <f>VLOOKUP(A240,'Trips&amp;Operators'!$C$1:$G$99999,5,FALSE)</f>
        <v>MAGEE KENYA</v>
      </c>
      <c r="M240" s="6">
        <f t="shared" si="73"/>
        <v>6.3078703751671128E-3</v>
      </c>
      <c r="N240" s="7">
        <f t="shared" si="87"/>
        <v>9.0833333402406424</v>
      </c>
      <c r="O240" s="7"/>
      <c r="P240" s="7"/>
      <c r="Q240" s="22"/>
      <c r="R240" s="22"/>
      <c r="S240" s="31">
        <f t="shared" si="83"/>
        <v>0</v>
      </c>
      <c r="T240" s="46" t="e">
        <f t="shared" si="74"/>
        <v>#VALUE!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75"/>
        <v>https://d0f6bd738d7f1b3e5a7ca70fe4ff75f0.us-east-1.aws.found.io/app/kibana#/discover/Steve-Slow-Train-Analysis-(2080s-and-2083s)?_g=(refreshInterval:(display:Off,pause:!f,section:0,value:0),time:(from:'2017-03-03T18:23:43-0700',mode:absolute,to:'2017-03-03T20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0" s="197" t="str">
        <f t="shared" si="76"/>
        <v>Y</v>
      </c>
      <c r="X240" s="197" t="e">
        <f t="shared" si="88"/>
        <v>#VALUE!</v>
      </c>
      <c r="Y240" s="62">
        <f t="shared" si="89"/>
        <v>2.3694999999999999</v>
      </c>
      <c r="Z240" s="62">
        <f t="shared" si="77"/>
        <v>8.72E-2</v>
      </c>
      <c r="AA240" s="62">
        <f t="shared" si="78"/>
        <v>2.2822999999999998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79"/>
        <v>88-03</v>
      </c>
      <c r="AE240" s="85" t="str">
        <f t="shared" si="80"/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AF240" s="82" t="str">
        <f t="shared" si="81"/>
        <v>"C:\Program Files (x86)\AstroGrep\AstroGrep.exe" /spath="%USERPROFILE%\AppData\Local\Temp\OnboardLogs" /stypes="app*4065*20170304*" /stext=" 02:.+((SYSTEM_STATE.+slice.+state.+changed )|(ment ac)|(multiple cpu faults)|(system.+state.+changed )|(\[timeout)|(PRM\|1\|D)|(kpr)|(kdp)|(\|lc)|(penalty))" /e /r /s</v>
      </c>
      <c r="AG240" s="1" t="str">
        <f t="shared" si="82"/>
        <v>Other</v>
      </c>
      <c r="AH240" s="86" t="str">
        <f t="shared" si="84"/>
        <v>"%USERPROFILE%\Documents\GitHub\eaglep3\Utilities\RefineRTDCRunTimes.py" --tripid 88-03 --locoid 4065 --swversion DE.1.0.9.0 --startMP 300:23695 --initTime 2017-03-03T19:23:43 --startdatetime 2017-03-03T19:26:05 --delay 1 --endMP 204:872 --enddatetime 2017-03-03T19:35:10 --enforcementcount 0 &gt;&gt;C:\Users\stu\Documents\GitHub\eaglep3-reporting\EC\2017-03-03-refined-times.txt</v>
      </c>
      <c r="AI240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{"issue":{"subject":"","project_id":79,"tracker_id":40,"status_id":1,"priority_id":2,"assigned_to_id":23,"start_date":"2017-03-03","description":"","custom_fields":[{"id":1,"name":"Subdivision","value":"Other"},{"id":4,"name":"Milepost","value":"0.0872"},{"id":17,"name":"Train ID","value":"88-03"},{"id":16,"name":"Locomotive ID","value":"4065"},{"id":130,"name":"Impact","value":""},{"id":150,"name":"Time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86"/>
        <v>start /low /b %USERPROFILE%\Documents\GitHub\eaglep3\Utilities\DownloadLogsFromS3.py --loco 4065 --day 2017-03-03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"%USERPROFILE%\AppData\Local\Temp\OnboardLogs"\RTDC4065\*4065*20170304* | grep -SE "(Enforcement Action)|(\[TIMEOUT)|(CHR.+\|PRM\|1\|D.+(SWITCH|SIGNAL).+UNKNOWN)" - &gt;&gt; 2017-03-03-UncaughtWiMAX.txt</v>
      </c>
    </row>
    <row r="241" spans="1:40" x14ac:dyDescent="0.25">
      <c r="A241" s="33" t="s">
        <v>600</v>
      </c>
      <c r="B241" s="7">
        <v>4065</v>
      </c>
      <c r="C241" s="21" t="s">
        <v>251</v>
      </c>
      <c r="D241" s="21" t="s">
        <v>969</v>
      </c>
      <c r="E241" s="13">
        <v>42797.805324074077</v>
      </c>
      <c r="F241" s="13">
        <v>42797.80978009259</v>
      </c>
      <c r="G241" s="7">
        <v>3</v>
      </c>
      <c r="H241" s="21" t="s">
        <v>968</v>
      </c>
      <c r="I241" s="13">
        <v>42797.816087962965</v>
      </c>
      <c r="J241" s="7">
        <v>0</v>
      </c>
      <c r="K241" s="98" t="str">
        <f t="shared" si="72"/>
        <v>4065/4066</v>
      </c>
      <c r="L241" s="21" t="str">
        <f>VLOOKUP(A241,'Trips&amp;Operators'!$C$1:$G$99999,5,FALSE)</f>
        <v>MAGEE KENYA</v>
      </c>
      <c r="M241" s="6">
        <f t="shared" si="73"/>
        <v>6.3078703751671128E-3</v>
      </c>
      <c r="N241" s="7">
        <f t="shared" si="87"/>
        <v>9.0833333402406424</v>
      </c>
      <c r="O241" s="7"/>
      <c r="P241" s="7"/>
      <c r="Q241" s="22"/>
      <c r="R241" s="22"/>
      <c r="S241" s="31">
        <f t="shared" si="83"/>
        <v>0</v>
      </c>
      <c r="T241" s="46" t="e">
        <f t="shared" si="74"/>
        <v>#VALUE!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75"/>
        <v>https://d0f6bd738d7f1b3e5a7ca70fe4ff75f0.us-east-1.aws.found.io/app/kibana#/discover/Steve-Slow-Train-Analysis-(2080s-and-2083s)?_g=(refreshInterval:(display:Off,pause:!f,section:0,value:0),time:(from:'2017-03-03T18:19:40-0700',mode:absolute,to:'2017-03-03T20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1" s="197" t="str">
        <f t="shared" si="76"/>
        <v>Y</v>
      </c>
      <c r="X241" s="197" t="e">
        <f t="shared" si="88"/>
        <v>#VALUE!</v>
      </c>
      <c r="Y241" s="62">
        <f t="shared" si="89"/>
        <v>2.4184000000000001</v>
      </c>
      <c r="Z241" s="62">
        <f t="shared" si="77"/>
        <v>8.72E-2</v>
      </c>
      <c r="AA241" s="62">
        <f t="shared" si="78"/>
        <v>2.3311999999999999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79"/>
        <v>88-03</v>
      </c>
      <c r="AE241" s="85" t="str">
        <f t="shared" si="80"/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AF241" s="82" t="str">
        <f t="shared" si="81"/>
        <v>"C:\Program Files (x86)\AstroGrep\AstroGrep.exe" /spath="%USERPROFILE%\AppData\Local\Temp\OnboardLogs" /stypes="app*4065*20170304*" /stext=" 02:.+((SYSTEM_STATE.+slice.+state.+changed )|(ment ac)|(multiple cpu faults)|(system.+state.+changed )|(\[timeout)|(PRM\|1\|D)|(kpr)|(kdp)|(\|lc)|(penalty))" /e /r /s</v>
      </c>
      <c r="AG241" s="1" t="str">
        <f t="shared" si="82"/>
        <v>Other</v>
      </c>
      <c r="AH241" s="86" t="str">
        <f t="shared" si="84"/>
        <v>"%USERPROFILE%\Documents\GitHub\eaglep3\Utilities\RefineRTDCRunTimes.py" --tripid 88-03 --locoid 4065 --swversion DE.1.0.9.0 --startMP 300:24184 --initTime 2017-03-03T19:19:40 --startdatetime 2017-03-03T19:26:05 --delay 3 --endMP 204:872 --enddatetime 2017-03-03T19:35:10 --enforcementcount 0 &gt;&gt;C:\Users\stu\Documents\GitHub\eaglep3-reporting\EC\2017-03-03-refined-times.txt</v>
      </c>
      <c r="AI241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{"issue":{"subject":"","project_id":79,"tracker_id":40,"status_id":1,"priority_id":2,"assigned_to_id":23,"start_date":"2017-03-03","description":"","custom_fields":[{"id":1,"name":"Subdivision","value":"Other"},{"id":4,"name":"Milepost","value":"0.0872"},{"id":17,"name":"Train ID","value":"88-03"},{"id":16,"name":"Locomotive ID","value":"4065"},{"id":130,"name":"Impact","value":""},{"id":150,"name":"Time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86"/>
        <v>start /low /b %USERPROFILE%\Documents\GitHub\eaglep3\Utilities\DownloadLogsFromS3.py --loco 4065 --day 2017-03-03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"%USERPROFILE%\AppData\Local\Temp\OnboardLogs"\RTDC4065\*4065*20170304* | grep -SE "(Enforcement Action)|(\[TIMEOUT)|(CHR.+\|PRM\|1\|D.+(SWITCH|SIGNAL).+UNKNOWN)" - &gt;&gt; 2017-03-03-UncaughtWiMAX.txt</v>
      </c>
    </row>
    <row r="242" spans="1:40" x14ac:dyDescent="0.25">
      <c r="A242" s="33" t="s">
        <v>600</v>
      </c>
      <c r="B242" s="7">
        <v>4066</v>
      </c>
      <c r="C242" s="21" t="s">
        <v>251</v>
      </c>
      <c r="D242" s="21" t="s">
        <v>970</v>
      </c>
      <c r="E242" s="13">
        <v>42797.845555555556</v>
      </c>
      <c r="F242" s="13">
        <v>42797.884560185186</v>
      </c>
      <c r="G242" s="7">
        <v>1</v>
      </c>
      <c r="H242" s="21" t="s">
        <v>971</v>
      </c>
      <c r="I242" s="13">
        <v>42797.914247685185</v>
      </c>
      <c r="J242" s="7">
        <v>0</v>
      </c>
      <c r="K242" s="98" t="str">
        <f t="shared" si="72"/>
        <v>4065/4066</v>
      </c>
      <c r="L242" s="21" t="str">
        <f>VLOOKUP(A242,'Trips&amp;Operators'!$C$1:$G$99999,5,FALSE)</f>
        <v>MAGEE KENYA</v>
      </c>
      <c r="M242" s="6">
        <f t="shared" si="73"/>
        <v>2.9687499998544808E-2</v>
      </c>
      <c r="N242" s="7">
        <f t="shared" si="87"/>
        <v>42.749999997904524</v>
      </c>
      <c r="O242" s="7"/>
      <c r="P242" s="7"/>
      <c r="Q242" s="22"/>
      <c r="R242" s="22"/>
      <c r="S242" s="31">
        <f t="shared" si="83"/>
        <v>0</v>
      </c>
      <c r="T242" s="46" t="e">
        <f t="shared" si="74"/>
        <v>#VALUE!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75"/>
        <v>https://d0f6bd738d7f1b3e5a7ca70fe4ff75f0.us-east-1.aws.found.io/app/kibana#/discover/Steve-Slow-Train-Analysis-(2080s-and-2083s)?_g=(refreshInterval:(display:Off,pause:!f,section:0,value:0),time:(from:'2017-03-03T19:17:36-0700',mode:absolute,to:'2017-03-03T22:56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2" s="197" t="str">
        <f t="shared" si="76"/>
        <v>N</v>
      </c>
      <c r="X242" s="197" t="e">
        <f t="shared" si="88"/>
        <v>#VALUE!</v>
      </c>
      <c r="Y242" s="62">
        <f t="shared" si="89"/>
        <v>0.1181</v>
      </c>
      <c r="Z242" s="62">
        <f t="shared" si="77"/>
        <v>23.332999999999998</v>
      </c>
      <c r="AA242" s="62">
        <f t="shared" si="78"/>
        <v>23.2149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79"/>
        <v>88-03</v>
      </c>
      <c r="AE242" s="85" t="str">
        <f t="shared" si="80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42" s="82" t="str">
        <f t="shared" si="81"/>
        <v>"C:\Program Files (x86)\AstroGrep\AstroGrep.exe" /spath="%USERPROFILE%\AppData\Local\Temp\OnboardLogs" /stypes="app*4066*20170304*" /stext=" 04:.+((SYSTEM_STATE.+slice.+state.+changed )|(ment ac)|(multiple cpu faults)|(system.+state.+changed )|(\[timeout)|(PRM\|1\|D)|(kpr)|(kdp)|(\|lc)|(penalty))" /e /r /s</v>
      </c>
      <c r="AG242" s="1" t="str">
        <f t="shared" si="82"/>
        <v>Other</v>
      </c>
      <c r="AH242" s="86" t="str">
        <f t="shared" si="84"/>
        <v>"%USERPROFILE%\Documents\GitHub\eaglep3\Utilities\RefineRTDCRunTimes.py" --tripid 88-03 --locoid 4066 --swversion DE.1.0.9.0 --startMP 204:1181 --initTime 2017-03-03T20:17:36 --startdatetime 2017-03-03T21:13:46 --delay 1 --endMP 204:233330 --enddatetime 2017-03-03T21:56:31 --enforcementcount 0 &gt;&gt;C:\Users\stu\Documents\GitHub\eaglep3-reporting\EC\2017-03-03-refined-times.txt</v>
      </c>
      <c r="AI242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{"issue":{"subject":"","project_id":79,"tracker_id":40,"status_id":1,"priority_id":2,"assigned_to_id":23,"start_date":"2017-03-03","description":"","custom_fields":[{"id":1,"name":"Subdivision","value":"Other"},{"id":4,"name":"Milepost","value":"23.333"},{"id":17,"name":"Train ID","value":"88-03"},{"id":16,"name":"Locomotive ID","value":"4066"},{"id":130,"name":"Impact","value":""},{"id":150,"name":"Time of Event (Mountain Time)","value":"21:56:31"},{"id":151,"name":"Denver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86"/>
        <v>start /low /b %USERPROFILE%\Documents\GitHub\eaglep3\Utilities\DownloadLogsFromS3.py --loco 4066 --day 2017-03-03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"%USERPROFILE%\AppData\Local\Temp\OnboardLogs"\RTDC4066\*4066*20170304* | grep -SE "(Enforcement Action)|(\[TIMEOUT)|(CHR.+\|PRM\|1\|D.+(SWITCH|SIGNAL).+UNKNOWN)" - &gt;&gt; 2017-03-03-UncaughtWiMAX.txt</v>
      </c>
    </row>
    <row r="243" spans="1:40" x14ac:dyDescent="0.25">
      <c r="A243" s="33" t="s">
        <v>600</v>
      </c>
      <c r="B243" s="7">
        <v>4066</v>
      </c>
      <c r="C243" s="21" t="s">
        <v>251</v>
      </c>
      <c r="D243" s="21" t="s">
        <v>972</v>
      </c>
      <c r="E243" s="13">
        <v>42797.927731481483</v>
      </c>
      <c r="F243" s="13">
        <v>42797.941076388888</v>
      </c>
      <c r="G243" s="7">
        <v>0</v>
      </c>
      <c r="H243" s="21" t="s">
        <v>973</v>
      </c>
      <c r="I243" s="13">
        <v>42797.956284722219</v>
      </c>
      <c r="J243" s="7">
        <v>0</v>
      </c>
      <c r="K243" s="98" t="str">
        <f t="shared" si="72"/>
        <v>4065/4066</v>
      </c>
      <c r="L243" s="21" t="str">
        <f>VLOOKUP(A243,'Trips&amp;Operators'!$C$1:$G$99999,5,FALSE)</f>
        <v>MAGEE KENYA</v>
      </c>
      <c r="M243" s="6">
        <f t="shared" si="73"/>
        <v>1.5208333330519963E-2</v>
      </c>
      <c r="N243" s="7">
        <f t="shared" si="87"/>
        <v>21.899999995948747</v>
      </c>
      <c r="O243" s="7"/>
      <c r="P243" s="7"/>
      <c r="Q243" s="22"/>
      <c r="R243" s="22"/>
      <c r="S243" s="31">
        <f t="shared" si="83"/>
        <v>0</v>
      </c>
      <c r="T243" s="46" t="e">
        <f t="shared" si="74"/>
        <v>#VALUE!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75"/>
        <v>https://d0f6bd738d7f1b3e5a7ca70fe4ff75f0.us-east-1.aws.found.io/app/kibana#/discover/Steve-Slow-Train-Analysis-(2080s-and-2083s)?_g=(refreshInterval:(display:Off,pause:!f,section:0,value:0),time:(from:'2017-03-03T21:15:56-0700',mode:absolute,to:'2017-03-03T23:57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3" s="197" t="str">
        <f t="shared" si="76"/>
        <v>Y</v>
      </c>
      <c r="X243" s="197" t="e">
        <f t="shared" si="88"/>
        <v>#VALUE!</v>
      </c>
      <c r="Y243" s="62">
        <f t="shared" si="89"/>
        <v>0.15110000000000001</v>
      </c>
      <c r="Z243" s="62">
        <f t="shared" si="77"/>
        <v>0.1913</v>
      </c>
      <c r="AA243" s="62">
        <f t="shared" si="78"/>
        <v>4.0199999999999986E-2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79"/>
        <v>88-03</v>
      </c>
      <c r="AE243" s="85" t="str">
        <f t="shared" si="80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43" s="82" t="str">
        <f t="shared" si="81"/>
        <v>"C:\Program Files (x86)\AstroGrep\AstroGrep.exe" /spath="%USERPROFILE%\AppData\Local\Temp\OnboardLogs" /stypes="app*4066*20170304*" /stext=" 05:.+((SYSTEM_STATE.+slice.+state.+changed )|(ment ac)|(multiple cpu faults)|(system.+state.+changed )|(\[timeout)|(PRM\|1\|D)|(kpr)|(kdp)|(\|lc)|(penalty))" /e /r /s</v>
      </c>
      <c r="AG243" s="1" t="str">
        <f t="shared" si="82"/>
        <v>Other</v>
      </c>
      <c r="AH243" s="86" t="str">
        <f t="shared" si="84"/>
        <v>"%USERPROFILE%\Documents\GitHub\eaglep3\Utilities\RefineRTDCRunTimes.py" --tripid 88-03 --locoid 4066 --swversion DE.1.0.9.0 --startMP 204:1511 --initTime 2017-03-03T22:15:56 --startdatetime 2017-03-03T22:35:09 --delay 0 --endMP 204:1913 --enddatetime 2017-03-03T22:57:03 --enforcementcount 0 &gt;&gt;C:\Users\stu\Documents\GitHub\eaglep3-reporting\EC\2017-03-03-refined-times.txt</v>
      </c>
      <c r="AI243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{"issue":{"subject":"","project_id":79,"tracker_id":40,"status_id":1,"priority_id":2,"assigned_to_id":23,"start_date":"2017-03-03","description":"","custom_fields":[{"id":1,"name":"Subdivision","value":"Other"},{"id":4,"name":"Milepost","value":"0.1913"},{"id":17,"name":"Train ID","value":"88-03"},{"id":16,"name":"Locomotive ID","value":"4066"},{"id":130,"name":"Impact","value":""},{"id":150,"name":"Time of Event (Mountain Time)","value":"22:57:03"},{"id":151,"name":"Denver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86"/>
        <v>start /low /b %USERPROFILE%\Documents\GitHub\eaglep3\Utilities\DownloadLogsFromS3.py --loco 4066 --day 2017-03-03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"%USERPROFILE%\AppData\Local\Temp\OnboardLogs"\RTDC4066\*4066*20170304* | grep -SE "(Enforcement Action)|(\[TIMEOUT)|(CHR.+\|PRM\|1\|D.+(SWITCH|SIGNAL).+UNKNOWN)" - &gt;&gt; 2017-03-03-UncaughtWiMAX.txt</v>
      </c>
    </row>
    <row r="244" spans="1:40" x14ac:dyDescent="0.25">
      <c r="A244" s="33" t="s">
        <v>600</v>
      </c>
      <c r="B244" s="7">
        <v>4066</v>
      </c>
      <c r="C244" s="21" t="s">
        <v>251</v>
      </c>
      <c r="D244" s="21" t="s">
        <v>974</v>
      </c>
      <c r="E244" s="13">
        <v>42798.003148148149</v>
      </c>
      <c r="F244" s="13">
        <v>42798.041921296295</v>
      </c>
      <c r="G244" s="7">
        <v>0</v>
      </c>
      <c r="H244" s="21" t="s">
        <v>258</v>
      </c>
      <c r="I244" s="13">
        <v>42798.076562499999</v>
      </c>
      <c r="J244" s="7">
        <v>0</v>
      </c>
      <c r="K244" s="98" t="str">
        <f t="shared" si="72"/>
        <v>4065/4066</v>
      </c>
      <c r="L244" s="21" t="str">
        <f>VLOOKUP(A244,'Trips&amp;Operators'!$C$1:$G$99999,5,FALSE)</f>
        <v>MAGEE KENYA</v>
      </c>
      <c r="M244" s="6">
        <f t="shared" si="73"/>
        <v>3.4641203703358769E-2</v>
      </c>
      <c r="N244" s="7">
        <f t="shared" si="87"/>
        <v>49.883333332836628</v>
      </c>
      <c r="O244" s="7"/>
      <c r="P244" s="7"/>
      <c r="Q244" s="22"/>
      <c r="R244" s="22"/>
      <c r="S244" s="31">
        <f t="shared" si="83"/>
        <v>0</v>
      </c>
      <c r="T244" s="46" t="e">
        <f t="shared" si="74"/>
        <v>#VALUE!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75"/>
        <v>https://d0f6bd738d7f1b3e5a7ca70fe4ff75f0.us-east-1.aws.found.io/app/kibana#/discover/Steve-Slow-Train-Analysis-(2080s-and-2083s)?_g=(refreshInterval:(display:Off,pause:!f,section:0,value:0),time:(from:'2017-03-03T23:04:32-0700',mode:absolute,to:'2017-03-04T02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4" s="197" t="str">
        <f t="shared" si="76"/>
        <v>N</v>
      </c>
      <c r="X244" s="197" t="e">
        <f t="shared" si="88"/>
        <v>#VALUE!</v>
      </c>
      <c r="Y244" s="62">
        <f t="shared" si="89"/>
        <v>0.1522</v>
      </c>
      <c r="Z244" s="62">
        <f t="shared" si="77"/>
        <v>23.331399999999999</v>
      </c>
      <c r="AA244" s="62">
        <f t="shared" si="78"/>
        <v>23.179199999999998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79"/>
        <v>88-03</v>
      </c>
      <c r="AE244" s="85" t="str">
        <f t="shared" si="80"/>
        <v>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 &amp; 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</v>
      </c>
      <c r="AF244" s="82" t="str">
        <f t="shared" si="81"/>
        <v>"C:\Program Files (x86)\AstroGrep\AstroGrep.exe" /spath="%USERPROFILE%\AppData\Local\Temp\OnboardLogs" /stypes="app*4066*20170304*" /stext=" 08:.+((SYSTEM_STATE.+slice.+state.+changed )|(ment ac)|(multiple cpu faults)|(system.+state.+changed )|(\[timeout)|(PRM\|1\|D)|(kpr)|(kdp)|(\|lc)|(penalty))" /e /r /s</v>
      </c>
      <c r="AG244" s="1" t="str">
        <f t="shared" si="82"/>
        <v>Other</v>
      </c>
      <c r="AH244" s="86" t="str">
        <f t="shared" si="84"/>
        <v>"%USERPROFILE%\Documents\GitHub\eaglep3\Utilities\RefineRTDCRunTimes.py" --tripid 88-03 --locoid 4066 --swversion DE.1.0.9.0 --startMP 204:1522 --initTime 2017-03-04T00:04:32 --startdatetime 2017-03-04T01:00:22 --delay 0 --endMP 204:233314 --enddatetime 2017-03-04T01:50:15 --enforcementcount 0 &gt;&gt;C:\Users\stu\Documents\GitHub\eaglep3-reporting\EC\2017-03-03-refined-times.txt</v>
      </c>
      <c r="AI244" s="108" t="str">
        <f t="shared" si="85"/>
        <v>echo {"issue":{"subject":"","project_id":79,"tracker_id":40,"status_id":1,"priority_id":2,"assigned_to_id":23,"start_date":"2017-03-04","description":"","custom_fields":[{"id":1,"name":"Subdivision","value":"Other"},{"id":4,"name":"Milepost","value":"23.3314"},{"id":17,"name":"Train ID","value":"88-03"},{"id":16,"name":"Locomotive ID","value":"4066"},{"id":130,"name":"Impact","value":""},{"id":150,"name":"Time of Event (Mountain Time)","value":"01:50:15"},{"id":151,"name":"Denver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86"/>
        <v>start /low /b %USERPROFILE%\Documents\GitHub\eaglep3\Utilities\DownloadLogsFromS3.py --loco 4066 --day 2017-03-04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"%USERPROFILE%\AppData\Local\Temp\OnboardLogs"\RTDC4066\*4066*20170304* | grep -SE "(Enforcement Action)|(\[TIMEOUT)|(CHR.+\|PRM\|1\|D.+(SWITCH|SIGNAL).+UNKNOWN)" - &gt;&gt; 2017-03-03-UncaughtWiMAX.txt</v>
      </c>
    </row>
    <row r="245" spans="1:40" x14ac:dyDescent="0.25">
      <c r="A245" s="33" t="s">
        <v>600</v>
      </c>
      <c r="B245" s="7">
        <v>4066</v>
      </c>
      <c r="C245" s="21" t="s">
        <v>251</v>
      </c>
      <c r="D245" s="21" t="s">
        <v>277</v>
      </c>
      <c r="E245" s="13">
        <v>42798.089305555557</v>
      </c>
      <c r="F245" s="13">
        <v>42798.118935185186</v>
      </c>
      <c r="G245" s="7">
        <v>1</v>
      </c>
      <c r="H245" s="21" t="s">
        <v>528</v>
      </c>
      <c r="I245" s="13">
        <v>25568.708333333332</v>
      </c>
      <c r="J245" s="7">
        <v>0</v>
      </c>
      <c r="K245" s="98" t="str">
        <f t="shared" si="72"/>
        <v>4065/4066</v>
      </c>
      <c r="L245" s="21" t="str">
        <f>VLOOKUP(A245,'Trips&amp;Operators'!$C$1:$G$99999,5,FALSE)</f>
        <v>MAGEE KENYA</v>
      </c>
      <c r="M245" s="6">
        <f t="shared" si="73"/>
        <v>-17229.410601851854</v>
      </c>
      <c r="N245" s="7">
        <f t="shared" si="87"/>
        <v>-24810351.266666669</v>
      </c>
      <c r="O245" s="7"/>
      <c r="P245" s="7"/>
      <c r="Q245" s="22"/>
      <c r="R245" s="22"/>
      <c r="S245" s="31">
        <f t="shared" si="83"/>
        <v>0</v>
      </c>
      <c r="T245" s="46" t="e">
        <f t="shared" si="74"/>
        <v>#VALUE!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75"/>
        <v>https://d0f6bd738d7f1b3e5a7ca70fe4ff75f0.us-east-1.aws.found.io/app/kibana#/discover/Steve-Slow-Train-Analysis-(2080s-and-2083s)?_g=(refreshInterval:(display:Off,pause:!f,section:0,value:0),time:(from:'2017-03-04T01:08:36-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5" s="197" t="str">
        <f t="shared" si="76"/>
        <v>N</v>
      </c>
      <c r="X245" s="197" t="e">
        <f t="shared" si="88"/>
        <v>#VALUE!</v>
      </c>
      <c r="Y245" s="62">
        <f t="shared" si="89"/>
        <v>4.7300000000000002E-2</v>
      </c>
      <c r="Z245" s="62">
        <f t="shared" si="77"/>
        <v>23.328199999999999</v>
      </c>
      <c r="AA245" s="62">
        <f t="shared" si="78"/>
        <v>23.280899999999999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79"/>
        <v>88-03</v>
      </c>
      <c r="AE245" s="85" t="str">
        <f t="shared" si="80"/>
        <v>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 &amp; 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</v>
      </c>
      <c r="AF245" s="82" t="str">
        <f t="shared" si="81"/>
        <v>"C:\Program Files (x86)\AstroGrep\AstroGrep.exe" /spath="%USERPROFILE%\AppData\Local\Temp\OnboardLogs" /stypes="app*4066*19700101*" /stext=" 00:.+((SYSTEM_STATE.+slice.+state.+changed )|(ment ac)|(multiple cpu faults)|(system.+state.+changed )|(\[timeout)|(PRM\|1\|D)|(kpr)|(kdp)|(\|lc)|(penalty))" /e /r /s</v>
      </c>
      <c r="AG245" s="1" t="str">
        <f t="shared" si="82"/>
        <v>Other</v>
      </c>
      <c r="AH245" s="86" t="str">
        <f t="shared" si="84"/>
        <v>"%USERPROFILE%\Documents\GitHub\eaglep3\Utilities\RefineRTDCRunTimes.py" --tripid 88-03 --locoid 4066 --swversion DE.1.0.9.0 --startMP 204:473 --initTime 2017-03-04T02:08:36 --startdatetime 2017-03-04T02:51:16 --delay 1 --endMP 204:233282 --enddatetime 1969-12-31T17:00:00 --enforcementcount 0 &gt;&gt;C:\Users\stu\Documents\GitHub\eaglep3-reporting\EC\2017-03-03-refined-times.txt</v>
      </c>
      <c r="AI245" s="108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{"issue":{"subject":"","project_id":79,"tracker_id":40,"status_id":1,"priority_id":2,"assigned_to_id":23,"start_date":"1969-12-31","description":"","custom_fields":[{"id":1,"name":"Subdivision","value":"Other"},{"id":4,"name":"Milepost","value":"23.3282"},{"id":17,"name":"Train ID","value":"88-03"},{"id":16,"name":"Locomotive ID","value":"4066"},{"id":130,"name":"Impact","value":""},{"id":150,"name":"Time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86"/>
        <v>start /low /b %USERPROFILE%\Documents\GitHub\eaglep3\Utilities\DownloadLogsFromS3.py --loco 4066 --day 2017-03-04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"%USERPROFILE%\AppData\Local\Temp\OnboardLogs"\RTDC4066\*4066*19930802* | grep -SE "(Enforcement Action)|(\[TIMEOUT)|(CHR.+\|PRM\|1\|D.+(SWITCH|SIGNAL).+UNKNOWN)" - &gt;&gt; 2017-03-03-UncaughtWiMAX.txt</v>
      </c>
    </row>
    <row r="246" spans="1:40" x14ac:dyDescent="0.25">
      <c r="A246" s="33" t="s">
        <v>600</v>
      </c>
      <c r="B246" s="7">
        <v>4066</v>
      </c>
      <c r="C246" s="21" t="s">
        <v>251</v>
      </c>
      <c r="D246" s="21" t="s">
        <v>975</v>
      </c>
      <c r="E246" s="13">
        <v>42797.940138888887</v>
      </c>
      <c r="F246" s="13">
        <v>42797.962025462963</v>
      </c>
      <c r="G246" s="7">
        <v>0</v>
      </c>
      <c r="H246" s="21" t="s">
        <v>532</v>
      </c>
      <c r="I246" s="13">
        <v>42797.993437500001</v>
      </c>
      <c r="J246" s="7">
        <v>0</v>
      </c>
      <c r="K246" s="98" t="str">
        <f t="shared" si="72"/>
        <v>4065/4066</v>
      </c>
      <c r="L246" s="21" t="str">
        <f>VLOOKUP(A246,'Trips&amp;Operators'!$C$1:$G$99999,5,FALSE)</f>
        <v>MAGEE KENYA</v>
      </c>
      <c r="M246" s="6">
        <f t="shared" si="73"/>
        <v>3.1412037038535345E-2</v>
      </c>
      <c r="N246" s="7">
        <f t="shared" si="87"/>
        <v>45.233333335490897</v>
      </c>
      <c r="O246" s="7"/>
      <c r="P246" s="7"/>
      <c r="Q246" s="22"/>
      <c r="R246" s="22"/>
      <c r="S246" s="31">
        <f t="shared" si="83"/>
        <v>0</v>
      </c>
      <c r="T246" s="46" t="e">
        <f t="shared" si="74"/>
        <v>#VALUE!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75"/>
        <v>https://d0f6bd738d7f1b3e5a7ca70fe4ff75f0.us-east-1.aws.found.io/app/kibana#/discover/Steve-Slow-Train-Analysis-(2080s-and-2083s)?_g=(refreshInterval:(display:Off,pause:!f,section:0,value:0),time:(from:'2017-03-03T21:33:48-0700',mode:absolute,to:'2017-03-04T00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6" s="197" t="str">
        <f t="shared" si="76"/>
        <v>N</v>
      </c>
      <c r="X246" s="197" t="e">
        <f t="shared" si="88"/>
        <v>#VALUE!</v>
      </c>
      <c r="Y246" s="62">
        <f t="shared" si="89"/>
        <v>6.4695999999999998</v>
      </c>
      <c r="Z246" s="62">
        <f t="shared" si="77"/>
        <v>23.328600000000002</v>
      </c>
      <c r="AA246" s="62">
        <f t="shared" si="78"/>
        <v>16.859000000000002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79"/>
        <v>88-03</v>
      </c>
      <c r="AE246" s="85" t="str">
        <f t="shared" si="80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46" s="82" t="str">
        <f t="shared" si="81"/>
        <v>"C:\Program Files (x86)\AstroGrep\AstroGrep.exe" /spath="%USERPROFILE%\AppData\Local\Temp\OnboardLogs" /stypes="app*4066*20170304*" /stext=" 06:.+((SYSTEM_STATE.+slice.+state.+changed )|(ment ac)|(multiple cpu faults)|(system.+state.+changed )|(\[timeout)|(PRM\|1\|D)|(kpr)|(kdp)|(\|lc)|(penalty))" /e /r /s</v>
      </c>
      <c r="AG246" s="1" t="str">
        <f t="shared" si="82"/>
        <v>Other</v>
      </c>
      <c r="AH246" s="86" t="str">
        <f t="shared" si="84"/>
        <v>"%USERPROFILE%\Documents\GitHub\eaglep3\Utilities\RefineRTDCRunTimes.py" --tripid 88-03 --locoid 4066 --swversion DE.1.0.9.0 --startMP 204:64696 --initTime 2017-03-03T22:33:48 --startdatetime 2017-03-03T23:05:19 --delay 0 --endMP 204:233286 --enddatetime 2017-03-03T23:50:33 --enforcementcount 0 &gt;&gt;C:\Users\stu\Documents\GitHub\eaglep3-reporting\EC\2017-03-03-refined-times.txt</v>
      </c>
      <c r="AI246" s="108" t="str">
        <f t="shared" si="85"/>
        <v>echo {"issue":{"subject":"","project_id":79,"tracker_id":40,"status_id":1,"priority_id":2,"assigned_to_id":23,"start_date":"2017-03-03","description":"","custom_fields":[{"id":1,"name":"Subdivision","value":"Other"},{"id":4,"name":"Milepost","value":"23.3286"},{"id":17,"name":"Train ID","value":"88-03"},{"id":16,"name":"Locomotive ID","value":"4066"},{"id":130,"name":"Impact","value":""},{"id":150,"name":"Time of Event (Mountain Time)","value":"23:50:33"},{"id":151,"name":"Denver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86"/>
        <v>start /low /b %USERPROFILE%\Documents\GitHub\eaglep3\Utilities\DownloadLogsFromS3.py --loco 4066 --day 2017-03-03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"%USERPROFILE%\AppData\Local\Temp\OnboardLogs"\RTDC4066\*4066*20170304* | grep -SE "(Enforcement Action)|(\[TIMEOUT)|(CHR.+\|PRM\|1\|D.+(SWITCH|SIGNAL).+UNKNOWN)" - &gt;&gt; 2017-03-03-UncaughtWiMAX.txt</v>
      </c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 s="178"/>
      <c r="W247" s="178"/>
      <c r="X247" s="178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 s="178"/>
      <c r="W248" s="178"/>
      <c r="X248" s="17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 s="178"/>
      <c r="W249" s="178"/>
      <c r="X249" s="178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 s="178"/>
      <c r="W250" s="178"/>
      <c r="X250" s="178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 s="178"/>
      <c r="W251" s="178"/>
      <c r="X251" s="178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 s="178"/>
      <c r="W252" s="178"/>
      <c r="X252" s="178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 s="178"/>
      <c r="W253" s="178"/>
      <c r="X253" s="178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 s="178"/>
      <c r="W254" s="178"/>
      <c r="X254" s="178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 s="178"/>
      <c r="W255" s="178"/>
      <c r="X255" s="178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 s="178"/>
      <c r="W256" s="178"/>
      <c r="X256" s="178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 s="178"/>
      <c r="W257" s="178"/>
      <c r="X257" s="178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 s="178"/>
      <c r="W258" s="178"/>
      <c r="X258" s="17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 s="178"/>
      <c r="W259" s="178"/>
      <c r="X259" s="178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 s="178"/>
      <c r="W260" s="178"/>
      <c r="X260" s="178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 s="178"/>
      <c r="W261" s="178"/>
      <c r="X261" s="178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V262" s="178"/>
      <c r="W262" s="178"/>
      <c r="X262" s="178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V263" s="178"/>
      <c r="W263" s="178"/>
      <c r="X263" s="178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V264" s="178"/>
      <c r="W264" s="178"/>
      <c r="X264" s="178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V265" s="178"/>
      <c r="W265" s="178"/>
      <c r="X265" s="178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V266" s="178"/>
      <c r="W266" s="178"/>
      <c r="X266" s="178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V267" s="178"/>
      <c r="W267" s="178"/>
      <c r="X267" s="178"/>
      <c r="Y267"/>
      <c r="Z267"/>
      <c r="AA267"/>
      <c r="AB267"/>
      <c r="AC267"/>
      <c r="AD267"/>
      <c r="AE267"/>
      <c r="AF267"/>
      <c r="AH267"/>
      <c r="AI267"/>
      <c r="AM267"/>
    </row>
  </sheetData>
  <autoFilter ref="A12:AG249"/>
  <sortState ref="A13:AH200">
    <sortCondition ref="AG13:AG200"/>
    <sortCondition ref="AD13:AD200"/>
  </sortState>
  <mergeCells count="1">
    <mergeCell ref="A11:P11"/>
  </mergeCells>
  <conditionalFormatting sqref="W11:W12 W268:X1048576 W13:X246">
    <cfRule type="cellIs" dxfId="10" priority="356" operator="equal">
      <formula>"Y"</formula>
    </cfRule>
  </conditionalFormatting>
  <conditionalFormatting sqref="X268:X1048576 X13:X246">
    <cfRule type="cellIs" dxfId="9" priority="339" operator="greaterThan">
      <formula>1</formula>
    </cfRule>
  </conditionalFormatting>
  <conditionalFormatting sqref="X268:X1048576 X12:X246">
    <cfRule type="cellIs" dxfId="8" priority="336" operator="equal">
      <formula>0</formula>
    </cfRule>
  </conditionalFormatting>
  <conditionalFormatting sqref="A13:S246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K14" sqref="K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6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6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70">
        <f>COUNTIF($O$7:$O$313,"=Y")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71">
        <f>COUNTA($O$7:$O$313)-O2</f>
        <v>42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6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74" t="str">
        <f>"Eagle P3 Braking Events - "&amp;TEXT(Variables!$A$2,"YYYY-mm-dd")</f>
        <v>Eagle P3 Braking Events - 2017-03-03</v>
      </c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72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207</v>
      </c>
    </row>
    <row r="7" spans="1:32" s="1" customFormat="1" x14ac:dyDescent="0.25">
      <c r="A7" s="32">
        <v>42797.327407407407</v>
      </c>
      <c r="B7" s="30" t="s">
        <v>564</v>
      </c>
      <c r="C7" s="30" t="s">
        <v>579</v>
      </c>
      <c r="D7" s="30" t="s">
        <v>49</v>
      </c>
      <c r="E7" s="30" t="s">
        <v>197</v>
      </c>
      <c r="F7" s="43">
        <v>0</v>
      </c>
      <c r="G7" s="43">
        <v>181</v>
      </c>
      <c r="H7" s="43">
        <v>27000</v>
      </c>
      <c r="I7" s="43">
        <v>27194</v>
      </c>
      <c r="J7" s="30" t="s">
        <v>198</v>
      </c>
      <c r="K7" s="43">
        <v>27053</v>
      </c>
      <c r="L7" s="143" t="s">
        <v>50</v>
      </c>
      <c r="M7" s="144">
        <f t="shared" ref="M7:M49" si="0">CONVERT((I7-K7)/10000,"mi","ft")*IF(L7="Increasing Mileposts (1)",-1,1)</f>
        <v>-74.447999999999993</v>
      </c>
      <c r="N7" s="145" t="str">
        <f>VLOOKUP(C7,'Trips&amp;Operators'!$C$1:$G$99999,5,FALSE)</f>
        <v>CUSHING HARRY</v>
      </c>
      <c r="O7" s="173" t="s">
        <v>185</v>
      </c>
      <c r="P7" s="146" t="s">
        <v>284</v>
      </c>
      <c r="Q7" s="30"/>
      <c r="R7" s="89" t="str">
        <f>VLOOKUP(C7,'Train Runs'!$A$13:$AE$9937,31,0)</f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S7" s="92" t="str">
        <f>VLOOKUP(C7,'Train Runs'!$A$13:$AE$9937,22,0)</f>
        <v>https://d0f6bd738d7f1b3e5a7ca70fe4ff75f0.us-east-1.aws.found.io/app/kibana#/discover/Steve-Slow-Train-Analysis-(2080s-and-2083s)?_g=(refreshInterval:(display:Off,pause:!f,section:0,value:0),time:(from:'2017-03-03T06:42:35-0700',mode:absolute,to:'2017-03-03T09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7" s="94" t="str">
        <f t="shared" ref="T7:T4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/stypes="*4024*201703031*" /stext=" 14:.+((SYSTEM_STATE.+slice.+state.+changed )|(ment ac)|(multiple cpu faults)|(system.+state.+changed )|(\[timeout)|(PRM\|1\|D)|(kpr)|(kdp)|(\|lc)|(penalty))" /e /r /s</v>
      </c>
      <c r="U7" s="9" t="str">
        <f t="shared" ref="U7:U49" si="2">MID(B7,13,4)</f>
        <v>4024</v>
      </c>
      <c r="V7" s="32">
        <f t="shared" ref="V7:V49" si="3">A7-utc_offset/24</f>
        <v>42797.619074074071</v>
      </c>
      <c r="W7" s="46" t="str">
        <f t="shared" ref="W7:W4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9" si="5">IF(AND(E7="TRACK WARRANT AUTHORITY",G7&lt;10),"OMIT","KEEP")</f>
        <v>KEEP</v>
      </c>
      <c r="Y7" s="108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arrival","project_id":79,"tracker_id":40,"status_id":1,"priority_id":2,"assigned_to_id":23,"start_date":"2017-03-03","description":"","custom_fields":[{"id":1,"name":"Subdivision","value":"EC"},{"id":4,"name":"Milepost","value":"2.7053"},{"id":17,"name":"Train ID","value":"133-03"},{"id":16,"name":"Locomotive ID","value":"4024"},{"id":130,"name":"Impact","value":""},{"id":150,"name":"Time of Event (Mountain Time)","value":"07:51:28"},{"id":151,"name":"Denver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"%USERPROFILE%\AppData\Local\Temp\OnboardLogs"\RTDC4024\*4024*201703031*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"%USERPROFILE%\AppData\Local\Temp\OnboardLogs"\RTDC4024\*4024*201703031* &gt;&gt; 2017-03-03-SliceDisagreementCheck.txt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4024 --day 2017-03-03</v>
      </c>
    </row>
    <row r="8" spans="1:32" s="1" customFormat="1" x14ac:dyDescent="0.25">
      <c r="A8" s="32">
        <v>42797.671284722222</v>
      </c>
      <c r="B8" s="30" t="s">
        <v>569</v>
      </c>
      <c r="C8" s="30" t="s">
        <v>595</v>
      </c>
      <c r="D8" s="30" t="s">
        <v>98</v>
      </c>
      <c r="E8" s="30" t="s">
        <v>197</v>
      </c>
      <c r="F8" s="43">
        <v>0</v>
      </c>
      <c r="G8" s="43">
        <v>122</v>
      </c>
      <c r="H8" s="43">
        <v>27073</v>
      </c>
      <c r="I8" s="43">
        <v>27191</v>
      </c>
      <c r="J8" s="30" t="s">
        <v>198</v>
      </c>
      <c r="K8" s="43">
        <v>27053</v>
      </c>
      <c r="L8" s="143" t="s">
        <v>50</v>
      </c>
      <c r="M8" s="144">
        <f t="shared" si="0"/>
        <v>-72.864000000000004</v>
      </c>
      <c r="N8" s="145" t="str">
        <f>VLOOKUP(C8,'Trips&amp;Operators'!$C$1:$G$99999,5,FALSE)</f>
        <v>WHITED DUSTIN</v>
      </c>
      <c r="O8" s="173" t="s">
        <v>185</v>
      </c>
      <c r="P8" s="146" t="s">
        <v>284</v>
      </c>
      <c r="Q8" s="30"/>
      <c r="R8" s="89" t="str">
        <f>VLOOKUP(C8,'Train Runs'!$A$13:$AE$9937,31,0)</f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S8" s="92" t="str">
        <f>VLOOKUP(C8,'Train Runs'!$A$13:$AE$9937,22,0)</f>
        <v>https://d0f6bd738d7f1b3e5a7ca70fe4ff75f0.us-east-1.aws.found.io/app/kibana#/discover/Steve-Slow-Train-Analysis-(2080s-and-2083s)?_g=(refreshInterval:(display:Off,pause:!f,section:0,value:0),time:(from:'2017-03-03T14:54:50-0700',mode:absolute,to:'2017-03-03T17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94" t="str">
        <f t="shared" si="1"/>
        <v>"C:\Program Files (x86)\AstroGrep\AstroGrep.exe" /spath="%USERPROFILE%\AppData\Local\Temp\OnboardLogs" /stypes="*4029*201703032*" /stext=" 23:.+((SYSTEM_STATE.+slice.+state.+changed )|(ment ac)|(multiple cpu faults)|(system.+state.+changed )|(\[timeout)|(PRM\|1\|D)|(kpr)|(kdp)|(\|lc)|(penalty))" /e /r /s</v>
      </c>
      <c r="U8" s="9" t="str">
        <f t="shared" si="2"/>
        <v>4029</v>
      </c>
      <c r="V8" s="32">
        <f t="shared" si="3"/>
        <v>42797.962951388887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arrival","project_id":79,"tracker_id":40,"status_id":1,"priority_id":2,"assigned_to_id":23,"start_date":"2017-03-03","description":"","custom_fields":[{"id":1,"name":"Subdivision","value":"EC"},{"id":4,"name":"Milepost","value":"2.7053"},{"id":17,"name":"Train ID","value":"199-03"},{"id":16,"name":"Locomotive ID","value":"4029"},{"id":130,"name":"Impact","value":""},{"id":150,"name":"Time of Event (Mountain Time)","value":"16:06:39"},{"id":151,"name":"Denver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"%USERPROFILE%\AppData\Local\Temp\OnboardLogs"\RTDC4029\*4029*201703032*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"%USERPROFILE%\AppData\Local\Temp\OnboardLogs"\RTDC4029\*4029*201703032* &gt;&gt; 2017-03-03-SliceDisagreementCheck.txt</v>
      </c>
      <c r="AE8" s="157" t="str">
        <f t="shared" ref="AE8:AE49" si="9">"start /low /b "&amp;dls3logs&amp;" --loco "&amp;U8&amp;" --day "&amp;TEXT(V8,"YYYY-MM-DD")</f>
        <v>start /low /b %USERPROFILE%\Documents\GitHub\eaglep3\Utilities\DownloadLogsFromS3.py --loco 4029 --day 2017-03-03</v>
      </c>
    </row>
    <row r="9" spans="1:32" s="1" customFormat="1" x14ac:dyDescent="0.25">
      <c r="A9" s="32">
        <v>42797.317199074074</v>
      </c>
      <c r="B9" s="30" t="s">
        <v>577</v>
      </c>
      <c r="C9" s="30" t="s">
        <v>578</v>
      </c>
      <c r="D9" s="30" t="s">
        <v>49</v>
      </c>
      <c r="E9" s="30" t="s">
        <v>197</v>
      </c>
      <c r="F9" s="43">
        <v>170</v>
      </c>
      <c r="G9" s="43">
        <v>232</v>
      </c>
      <c r="H9" s="43">
        <v>26654</v>
      </c>
      <c r="I9" s="43">
        <v>27092</v>
      </c>
      <c r="J9" s="30" t="s">
        <v>198</v>
      </c>
      <c r="K9" s="43">
        <v>27053</v>
      </c>
      <c r="L9" s="143" t="s">
        <v>50</v>
      </c>
      <c r="M9" s="144">
        <f t="shared" si="0"/>
        <v>-20.591999999999999</v>
      </c>
      <c r="N9" s="145" t="str">
        <f>VLOOKUP(C9,'Trips&amp;Operators'!$C$1:$G$99999,5,FALSE)</f>
        <v>DAVIS WENDY</v>
      </c>
      <c r="O9" s="173" t="s">
        <v>185</v>
      </c>
      <c r="P9" s="146" t="s">
        <v>284</v>
      </c>
      <c r="Q9" s="30"/>
      <c r="R9" s="89" t="str">
        <f>VLOOKUP(C9,'Train Runs'!$A$13:$AE$9937,31,0)</f>
        <v>aws s3 cp s3://rtdc.mdm.uploadarchive.raw/RTDC4031/ "%USERPROFILE%\AppData\Local\Temp\OnboardLogs"\RTDC4031\2017-03-03 --exclude "*" --recursive --include "*20170303*" &amp; "%USERPROFILE%\Documents\GitHub\mrs-test-scripts\Headless Mode &amp; Sideloading\WalkAndUnGZ.bat" "%USERPROFILE%\AppData\Local\Temp\OnboardLogs"\RTDC4031\2017-03-03 &amp; aws s3 cp s3://rtdc.mdm.uploadarchive.raw/RTDC4031/ "%USERPROFILE%\AppData\Local\Temp\OnboardLogs"\RTDC4031\2017-03-04 --exclude "*" --recursive --include "*20170304*" &amp; "%USERPROFILE%\Documents\GitHub\mrs-test-scripts\Headless Mode &amp; Sideloading\WalkAndUnGZ.bat" "%USERPROFILE%\AppData\Local\Temp\OnboardLogs"\RTDC4031\2017-03-04</v>
      </c>
      <c r="S9" s="92" t="str">
        <f>VLOOKUP(C9,'Train Runs'!$A$13:$AE$9937,22,0)</f>
        <v>https://d0f6bd738d7f1b3e5a7ca70fe4ff75f0.us-east-1.aws.found.io/app/kibana#/discover/Steve-Slow-Train-Analysis-(2080s-and-2083s)?_g=(refreshInterval:(display:Off,pause:!f,section:0,value:0),time:(from:'2017-03-03T06:27:22-0700',mode:absolute,to:'2017-03-03T09:10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94" t="str">
        <f t="shared" si="1"/>
        <v>"C:\Program Files (x86)\AstroGrep\AstroGrep.exe" /spath="%USERPROFILE%\AppData\Local\Temp\OnboardLogs" /stypes="*4031*201703031*" /stext=" 14:.+((SYSTEM_STATE.+slice.+state.+changed )|(ment ac)|(multiple cpu faults)|(system.+state.+changed )|(\[timeout)|(PRM\|1\|D)|(kpr)|(kdp)|(\|lc)|(penalty))" /e /r /s</v>
      </c>
      <c r="U9" s="9" t="str">
        <f t="shared" si="2"/>
        <v>4031</v>
      </c>
      <c r="V9" s="32">
        <f t="shared" si="3"/>
        <v>42797.608865740738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arrival","project_id":79,"tracker_id":40,"status_id":1,"priority_id":2,"assigned_to_id":23,"start_date":"2017-03-03","description":"","custom_fields":[{"id":1,"name":"Subdivision","value":"EC"},{"id":4,"name":"Milepost","value":"2.7053"},{"id":17,"name":"Train ID","value":"131-03"},{"id":16,"name":"Locomotive ID","value":"4031"},{"id":130,"name":"Impact","value":""},{"id":150,"name":"Time of Event (Mountain Time)","value":"07:36:46"},{"id":151,"name":"Denver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"%USERPROFILE%\AppData\Local\Temp\OnboardLogs"\RTDC4031\*4031*201703031*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"%USERPROFILE%\AppData\Local\Temp\OnboardLogs"\RTDC4031\*4031*201703031* &gt;&gt; 2017-03-03-SliceDisagreementCheck.txt</v>
      </c>
      <c r="AE9" s="157" t="str">
        <f t="shared" si="9"/>
        <v>start /low /b %USERPROFILE%\Documents\GitHub\eaglep3\Utilities\DownloadLogsFromS3.py --loco 4031 --day 2017-03-03</v>
      </c>
    </row>
    <row r="10" spans="1:32" s="1" customFormat="1" x14ac:dyDescent="0.25">
      <c r="A10" s="32">
        <v>42797.365856481483</v>
      </c>
      <c r="B10" s="30" t="s">
        <v>206</v>
      </c>
      <c r="C10" s="30" t="s">
        <v>583</v>
      </c>
      <c r="D10" s="30" t="s">
        <v>49</v>
      </c>
      <c r="E10" s="30" t="s">
        <v>197</v>
      </c>
      <c r="F10" s="43">
        <v>0</v>
      </c>
      <c r="G10" s="43">
        <v>166</v>
      </c>
      <c r="H10" s="43">
        <v>27386</v>
      </c>
      <c r="I10" s="43">
        <v>27180</v>
      </c>
      <c r="J10" s="30" t="s">
        <v>198</v>
      </c>
      <c r="K10" s="43">
        <v>27350</v>
      </c>
      <c r="L10" s="143" t="s">
        <v>51</v>
      </c>
      <c r="M10" s="144">
        <f t="shared" si="0"/>
        <v>-89.76</v>
      </c>
      <c r="N10" s="145" t="str">
        <f>VLOOKUP(C10,'Trips&amp;Operators'!$C$1:$G$99999,5,FALSE)</f>
        <v>MAYBERRY BILL</v>
      </c>
      <c r="O10" s="173" t="s">
        <v>185</v>
      </c>
      <c r="P10" s="146" t="s">
        <v>284</v>
      </c>
      <c r="Q10" s="30"/>
      <c r="R10" s="89" t="str">
        <f>VLOOKUP(C10,'Train Runs'!$A$13:$AE$9937,31,0)</f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S10" s="92" t="str">
        <f>VLOOKUP(C10,'Train Runs'!$A$13:$AE$9937,22,0)</f>
        <v>https://d0f6bd738d7f1b3e5a7ca70fe4ff75f0.us-east-1.aws.found.io/app/kibana#/discover/Steve-Slow-Train-Analysis-(2080s-and-2083s)?_g=(refreshInterval:(display:Off,pause:!f,section:0,value:0),time:(from:'2017-03-03T07:03:35-0700',mode:absolute,to:'2017-03-03T09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94" t="str">
        <f t="shared" si="1"/>
        <v>"C:\Program Files (x86)\AstroGrep\AstroGrep.exe" /spath="%USERPROFILE%\AppData\Local\Temp\OnboardLogs" /stypes="*4030*201703031*" /stext=" 15:.+((SYSTEM_STATE.+slice.+state.+changed )|(ment ac)|(multiple cpu faults)|(system.+state.+changed )|(\[timeout)|(PRM\|1\|D)|(kpr)|(kdp)|(\|lc)|(penalty))" /e /r /s</v>
      </c>
      <c r="U10" s="9" t="str">
        <f t="shared" si="2"/>
        <v>4030</v>
      </c>
      <c r="V10" s="32">
        <f t="shared" si="3"/>
        <v>42797.657523148147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arrival","project_id":79,"tracker_id":40,"status_id":1,"priority_id":2,"assigned_to_id":23,"start_date":"2017-03-03","description":"","custom_fields":[{"id":1,"name":"Subdivision","value":"EC"},{"id":4,"name":"Milepost","value":"2.735"},{"id":17,"name":"Train ID","value":"130-03"},{"id":16,"name":"Locomotive ID","value":"4030"},{"id":130,"name":"Impact","value":""},{"id":150,"name":"Time of Event (Mountain Time)","value":"08:46:50"},{"id":151,"name":"Denver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"%USERPROFILE%\AppData\Local\Temp\OnboardLogs"\RTDC4030\*4030*201703031*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"%USERPROFILE%\AppData\Local\Temp\OnboardLogs"\RTDC4030\*4030*201703031* &gt;&gt; 2017-03-03-SliceDisagreementCheck.txt</v>
      </c>
      <c r="AE10" s="157" t="str">
        <f t="shared" si="9"/>
        <v>start /low /b %USERPROFILE%\Documents\GitHub\eaglep3\Utilities\DownloadLogsFromS3.py --loco 4030 --day 2017-03-03</v>
      </c>
    </row>
    <row r="11" spans="1:32" s="1" customFormat="1" x14ac:dyDescent="0.25">
      <c r="A11" s="32">
        <v>42798.060729166667</v>
      </c>
      <c r="B11" s="30" t="s">
        <v>239</v>
      </c>
      <c r="C11" s="30" t="s">
        <v>608</v>
      </c>
      <c r="D11" s="30" t="s">
        <v>98</v>
      </c>
      <c r="E11" s="30" t="s">
        <v>197</v>
      </c>
      <c r="F11" s="43">
        <v>190</v>
      </c>
      <c r="G11" s="43">
        <v>242</v>
      </c>
      <c r="H11" s="43">
        <v>27077</v>
      </c>
      <c r="I11" s="43">
        <v>26504</v>
      </c>
      <c r="J11" s="30" t="s">
        <v>198</v>
      </c>
      <c r="K11" s="43">
        <v>27350</v>
      </c>
      <c r="L11" s="143" t="s">
        <v>51</v>
      </c>
      <c r="M11" s="144">
        <f t="shared" si="0"/>
        <v>-446.68799999999999</v>
      </c>
      <c r="N11" s="145" t="str">
        <f>VLOOKUP(C11,'Trips&amp;Operators'!$C$1:$G$99999,5,FALSE)</f>
        <v>STAMBAUGH JAMES</v>
      </c>
      <c r="O11" s="173" t="s">
        <v>185</v>
      </c>
      <c r="P11" s="146" t="s">
        <v>284</v>
      </c>
      <c r="Q11" s="30"/>
      <c r="R11" s="89" t="str">
        <f>VLOOKUP(C11,'Train Runs'!$A$13:$AE$9937,31,0)</f>
        <v>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 &amp; aws s3 cp s3://rtdc.mdm.uploadarchive.raw/RTDC4012/ "%USERPROFILE%\AppData\Local\Temp\OnboardLogs"\RTDC4012\2017-03-05 --exclude "*" --recursive --include "*20170305*" &amp; "%USERPROFILE%\Documents\GitHub\mrs-test-scripts\Headless Mode &amp; Sideloading\WalkAndUnGZ.bat" "%USERPROFILE%\AppData\Local\Temp\OnboardLogs"\RTDC4012\2017-03-05</v>
      </c>
      <c r="S11" s="92" t="str">
        <f>VLOOKUP(C11,'Train Runs'!$A$13:$AE$9937,22,0)</f>
        <v>https://d0f6bd738d7f1b3e5a7ca70fe4ff75f0.us-east-1.aws.found.io/app/kibana#/discover/Steve-Slow-Train-Analysis-(2080s-and-2083s)?_g=(refreshInterval:(display:Off,pause:!f,section:0,value:0),time:(from:'2017-03-03T23:39:09-0700',mode:absolute,to:'2017-03-04T02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94" t="str">
        <f t="shared" si="1"/>
        <v>"C:\Program Files (x86)\AstroGrep\AstroGrep.exe" /spath="%USERPROFILE%\AppData\Local\Temp\OnboardLogs" /stypes="*4012*201703040*" /stext=" 08:.+((SYSTEM_STATE.+slice.+state.+changed )|(ment ac)|(multiple cpu faults)|(system.+state.+changed )|(\[timeout)|(PRM\|1\|D)|(kpr)|(kdp)|(\|lc)|(penalty))" /e /r /s</v>
      </c>
      <c r="U11" s="9" t="str">
        <f t="shared" si="2"/>
        <v>4012</v>
      </c>
      <c r="V11" s="32">
        <f t="shared" si="3"/>
        <v>42798.352395833332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arrival","project_id":79,"tracker_id":40,"status_id":1,"priority_id":2,"assigned_to_id":23,"start_date":"2017-03-04","description":"","custom_fields":[{"id":1,"name":"Subdivision","value":"EC"},{"id":4,"name":"Milepost","value":"2.735"},{"id":17,"name":"Train ID","value":"242-03"},{"id":16,"name":"Locomotive ID","value":"4012"},{"id":130,"name":"Impact","value":""},{"id":150,"name":"Time of Event (Mountain Time)","value":"01:27:27"},{"id":151,"name":"Denver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"%USERPROFILE%\AppData\Local\Temp\OnboardLogs"\RTDC4012\*4012*201703040*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"%USERPROFILE%\AppData\Local\Temp\OnboardLogs"\RTDC4012\*4012*201703040* &gt;&gt; 2017-03-03-SliceDisagreementCheck.txt</v>
      </c>
      <c r="AE11" s="157" t="str">
        <f t="shared" si="9"/>
        <v>start /low /b %USERPROFILE%\Documents\GitHub\eaglep3\Utilities\DownloadLogsFromS3.py --loco 4012 --day 2017-03-04</v>
      </c>
    </row>
    <row r="12" spans="1:32" s="1" customFormat="1" x14ac:dyDescent="0.25">
      <c r="A12" s="32">
        <v>42797.183229166665</v>
      </c>
      <c r="B12" s="30" t="s">
        <v>564</v>
      </c>
      <c r="C12" s="30" t="s">
        <v>565</v>
      </c>
      <c r="D12" s="30" t="s">
        <v>49</v>
      </c>
      <c r="E12" s="30" t="s">
        <v>197</v>
      </c>
      <c r="F12" s="43">
        <v>0</v>
      </c>
      <c r="G12" s="43">
        <v>161</v>
      </c>
      <c r="H12" s="43">
        <v>30826</v>
      </c>
      <c r="I12" s="43">
        <v>30926</v>
      </c>
      <c r="J12" s="30" t="s">
        <v>198</v>
      </c>
      <c r="K12" s="43">
        <v>30830</v>
      </c>
      <c r="L12" s="143" t="s">
        <v>50</v>
      </c>
      <c r="M12" s="144">
        <f t="shared" si="0"/>
        <v>-50.688000000000002</v>
      </c>
      <c r="N12" s="145" t="str">
        <f>VLOOKUP(C12,'Trips&amp;Operators'!$C$1:$G$99999,5,FALSE)</f>
        <v>CUSHING HARRY</v>
      </c>
      <c r="O12" s="173" t="s">
        <v>185</v>
      </c>
      <c r="P12" s="146" t="s">
        <v>284</v>
      </c>
      <c r="Q12" s="30"/>
      <c r="R12" s="89" t="str">
        <f>VLOOKUP(C12,'Train Runs'!$A$13:$AE$9937,31,0)</f>
        <v>aws s3 cp s3://rtdc.mdm.uploadarchive.raw/RTDC4024/ "%USERPROFILE%\AppData\Local\Temp\OnboardLogs"\RTDC4024\2017-03-03 --exclude "*" --recursive --include "*20170303*" &amp; "%USERPROFILE%\Documents\GitHub\mrs-test-scripts\Headless Mode &amp; Sideloading\WalkAndUnGZ.bat" "%USERPROFILE%\AppData\Local\Temp\OnboardLogs"\RTDC4024\2017-03-03 &amp; aws s3 cp s3://rtdc.mdm.uploadarchive.raw/RTDC4024/ "%USERPROFILE%\AppData\Local\Temp\OnboardLogs"\RTDC4024\2017-03-04 --exclude "*" --recursive --include "*20170304*" &amp; "%USERPROFILE%\Documents\GitHub\mrs-test-scripts\Headless Mode &amp; Sideloading\WalkAndUnGZ.bat" "%USERPROFILE%\AppData\Local\Temp\OnboardLogs"\RTDC4024\2017-03-04</v>
      </c>
      <c r="S12" s="92" t="str">
        <f>VLOOKUP(C12,'Train Runs'!$A$13:$AE$9937,22,0)</f>
        <v>https://d0f6bd738d7f1b3e5a7ca70fe4ff75f0.us-east-1.aws.found.io/app/kibana#/discover/Steve-Slow-Train-Analysis-(2080s-and-2083s)?_g=(refreshInterval:(display:Off,pause:!f,section:0,value:0),time:(from:'2017-03-03T03:08:54-0700',mode:absolute,to:'2017-03-03T05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2" s="94" t="str">
        <f t="shared" si="1"/>
        <v>"C:\Program Files (x86)\AstroGrep\AstroGrep.exe" /spath="%USERPROFILE%\AppData\Local\Temp\OnboardLogs" /stypes="*4024*201703031*" /stext=" 11:.+((SYSTEM_STATE.+slice.+state.+changed )|(ment ac)|(multiple cpu faults)|(system.+state.+changed )|(\[timeout)|(PRM\|1\|D)|(kpr)|(kdp)|(\|lc)|(penalty))" /e /r /s</v>
      </c>
      <c r="U12" s="9" t="str">
        <f t="shared" si="2"/>
        <v>4024</v>
      </c>
      <c r="V12" s="32">
        <f t="shared" si="3"/>
        <v>42797.474895833329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arrival","project_id":79,"tracker_id":40,"status_id":1,"priority_id":2,"assigned_to_id":23,"start_date":"2017-03-03","description":"","custom_fields":[{"id":1,"name":"Subdivision","value":"EC"},{"id":4,"name":"Milepost","value":"3.083"},{"id":17,"name":"Train ID","value":"105-03"},{"id":16,"name":"Locomotive ID","value":"4024"},{"id":130,"name":"Impact","value":""},{"id":150,"name":"Time of Event (Mountain Time)","value":"04:23:51"},{"id":151,"name":"Denver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"%USERPROFILE%\AppData\Local\Temp\OnboardLogs"\RTDC4024\*4024*201703031*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"%USERPROFILE%\AppData\Local\Temp\OnboardLogs"\RTDC4024\*4024*201703031* &gt;&gt; 2017-03-03-SliceDisagreementCheck.txt</v>
      </c>
      <c r="AE12" s="157" t="str">
        <f t="shared" si="9"/>
        <v>start /low /b %USERPROFILE%\Documents\GitHub\eaglep3\Utilities\DownloadLogsFromS3.py --loco 4024 --day 2017-03-03</v>
      </c>
    </row>
    <row r="13" spans="1:32" s="1" customFormat="1" x14ac:dyDescent="0.25">
      <c r="A13" s="32">
        <v>42798.041354166664</v>
      </c>
      <c r="B13" s="30" t="s">
        <v>206</v>
      </c>
      <c r="C13" s="30" t="s">
        <v>607</v>
      </c>
      <c r="D13" s="30" t="s">
        <v>49</v>
      </c>
      <c r="E13" s="30" t="s">
        <v>197</v>
      </c>
      <c r="F13" s="43">
        <v>0</v>
      </c>
      <c r="G13" s="43">
        <v>186</v>
      </c>
      <c r="H13" s="43">
        <v>31060</v>
      </c>
      <c r="I13" s="43">
        <v>30861</v>
      </c>
      <c r="J13" s="30" t="s">
        <v>198</v>
      </c>
      <c r="K13" s="43">
        <v>30970</v>
      </c>
      <c r="L13" s="143" t="s">
        <v>51</v>
      </c>
      <c r="M13" s="144">
        <f t="shared" si="0"/>
        <v>-57.552</v>
      </c>
      <c r="N13" s="145" t="str">
        <f>VLOOKUP(C13,'Trips&amp;Operators'!$C$1:$G$99999,5,FALSE)</f>
        <v>STORY SAMANTHA</v>
      </c>
      <c r="O13" s="173" t="s">
        <v>185</v>
      </c>
      <c r="P13" s="146" t="s">
        <v>284</v>
      </c>
      <c r="Q13" s="30"/>
      <c r="R13" s="89" t="str">
        <f>VLOOKUP(C13,'Train Runs'!$A$13:$AE$9937,31,0)</f>
        <v>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 &amp; 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</v>
      </c>
      <c r="S13" s="92" t="str">
        <f>VLOOKUP(C13,'Train Runs'!$A$13:$AE$9937,22,0)</f>
        <v>https://d0f6bd738d7f1b3e5a7ca70fe4ff75f0.us-east-1.aws.found.io/app/kibana#/discover/Steve-Slow-Train-Analysis-(2080s-and-2083s)?_g=(refreshInterval:(display:Off,pause:!f,section:0,value:0),time:(from:'2017-03-03T23:11:39-0700',mode:absolute,to:'2017-03-04T02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94" t="str">
        <f t="shared" si="1"/>
        <v>"C:\Program Files (x86)\AstroGrep\AstroGrep.exe" /spath="%USERPROFILE%\AppData\Local\Temp\OnboardLogs" /stypes="*4030*201703040*" /stext=" 07:.+((SYSTEM_STATE.+slice.+state.+changed )|(ment ac)|(multiple cpu faults)|(system.+state.+changed )|(\[timeout)|(PRM\|1\|D)|(kpr)|(kdp)|(\|lc)|(penalty))" /e /r /s</v>
      </c>
      <c r="U13" s="9" t="str">
        <f t="shared" si="2"/>
        <v>4030</v>
      </c>
      <c r="V13" s="32">
        <f t="shared" si="3"/>
        <v>42798.333020833328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arrival","project_id":79,"tracker_id":40,"status_id":1,"priority_id":2,"assigned_to_id":23,"start_date":"2017-03-04","description":"","custom_fields":[{"id":1,"name":"Subdivision","value":"EC"},{"id":4,"name":"Milepost","value":"3.097"},{"id":17,"name":"Train ID","value":"240-03"},{"id":16,"name":"Locomotive ID","value":"4030"},{"id":130,"name":"Impact","value":""},{"id":150,"name":"Time of Event (Mountain Time)","value":"00:59:33"},{"id":151,"name":"Denver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"%USERPROFILE%\AppData\Local\Temp\OnboardLogs"\RTDC4030\*4030*201703040*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"%USERPROFILE%\AppData\Local\Temp\OnboardLogs"\RTDC4030\*4030*201703040* &gt;&gt; 2017-03-03-SliceDisagreementCheck.txt</v>
      </c>
      <c r="AE13" s="157" t="str">
        <f t="shared" si="9"/>
        <v>start /low /b %USERPROFILE%\Documents\GitHub\eaglep3\Utilities\DownloadLogsFromS3.py --loco 4030 --day 2017-03-04</v>
      </c>
    </row>
    <row r="14" spans="1:32" x14ac:dyDescent="0.25">
      <c r="A14" s="32">
        <v>42797.882476851853</v>
      </c>
      <c r="B14" s="30" t="s">
        <v>216</v>
      </c>
      <c r="C14" s="30" t="s">
        <v>603</v>
      </c>
      <c r="D14" s="30" t="s">
        <v>98</v>
      </c>
      <c r="E14" s="30" t="s">
        <v>197</v>
      </c>
      <c r="F14" s="43">
        <v>0</v>
      </c>
      <c r="G14" s="43">
        <v>2</v>
      </c>
      <c r="H14" s="43">
        <v>33311</v>
      </c>
      <c r="I14" s="43">
        <v>33305</v>
      </c>
      <c r="J14" s="30" t="s">
        <v>198</v>
      </c>
      <c r="K14" s="43">
        <v>33136</v>
      </c>
      <c r="L14" s="143" t="s">
        <v>50</v>
      </c>
      <c r="M14" s="144">
        <f t="shared" si="0"/>
        <v>-89.231999999999985</v>
      </c>
      <c r="N14" s="145" t="str">
        <f>VLOOKUP(C14,'Trips&amp;Operators'!$C$1:$G$99999,5,FALSE)</f>
        <v>PERKINS DARREN</v>
      </c>
      <c r="O14" s="173" t="s">
        <v>185</v>
      </c>
      <c r="P14" s="146" t="s">
        <v>1007</v>
      </c>
      <c r="Q14" s="30"/>
      <c r="R14" s="89" t="str">
        <f>VLOOKUP(C14,'Train Runs'!$A$13:$AE$9937,31,0)</f>
        <v>aws s3 cp s3://rtdc.mdm.uploadarchive.raw/RTDC4027/ "%USERPROFILE%\AppData\Local\Temp\OnboardLogs"\RTDC4027\2017-03-03 --exclude "*" --recursive --include "*20170303*" &amp; "%USERPROFILE%\Documents\GitHub\mrs-test-scripts\Headless Mode &amp; Sideloading\WalkAndUnGZ.bat" "%USERPROFILE%\AppData\Local\Temp\OnboardLogs"\RTDC4027\2017-03-03 &amp; aws s3 cp s3://rtdc.mdm.uploadarchive.raw/RTDC4027/ "%USERPROFILE%\AppData\Local\Temp\OnboardLogs"\RTDC4027\2017-03-04 --exclude "*" --recursive --include "*20170304*" &amp; "%USERPROFILE%\Documents\GitHub\mrs-test-scripts\Headless Mode &amp; Sideloading\WalkAndUnGZ.bat" "%USERPROFILE%\AppData\Local\Temp\OnboardLogs"\RTDC4027\2017-03-04</v>
      </c>
      <c r="S14" s="92" t="str">
        <f>VLOOKUP(C14,'Train Runs'!$A$13:$AE$9937,22,0)</f>
        <v>https://d0f6bd738d7f1b3e5a7ca70fe4ff75f0.us-east-1.aws.found.io/app/kibana#/discover/Steve-Slow-Train-Analysis-(2080s-and-2083s)?_g=(refreshInterval:(display:Off,pause:!f,section:0,value:0),time:(from:'2017-03-03T19:55:15-0700',mode:absolute,to:'2017-03-03T22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94" t="str">
        <f t="shared" si="1"/>
        <v>"C:\Program Files (x86)\AstroGrep\AstroGrep.exe" /spath="%USERPROFILE%\AppData\Local\Temp\OnboardLogs" /stypes="*4027*201703040*" /stext=" 04:.+((SYSTEM_STATE.+slice.+state.+changed )|(ment ac)|(multiple cpu faults)|(system.+state.+changed )|(\[timeout)|(PRM\|1\|D)|(kpr)|(kdp)|(\|lc)|(penalty))" /e /r /s</v>
      </c>
      <c r="U14" s="9" t="str">
        <f t="shared" si="2"/>
        <v>4027</v>
      </c>
      <c r="V14" s="32">
        <f t="shared" si="3"/>
        <v>42798.174143518518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{"issue":{"subject":"Form C","project_id":79,"tracker_id":40,"status_id":1,"priority_id":2,"assigned_to_id":23,"start_date":"2017-03-03","description":"","custom_fields":[{"id":1,"name":"Subdivision","value":"EC"},{"id":4,"name":"Milepost","value":"3.3136"},{"id":17,"name":"Train ID","value":"229-03"},{"id":16,"name":"Locomotive ID","value":"4027"},{"id":130,"name":"Impact","value":""},{"id":150,"name":"Time of Event (Mountain Time)","value":"21:10:46"},{"id":151,"name":"Denver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"%USERPROFILE%\AppData\Local\Temp\OnboardLogs"\RTDC4027\*4027*201703040*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"%USERPROFILE%\AppData\Local\Temp\OnboardLogs"\RTDC4027\*4027*201703040* &gt;&gt; 2017-03-03-SliceDisagreementCheck.txt</v>
      </c>
      <c r="AE14" s="157" t="str">
        <f t="shared" si="9"/>
        <v>start /low /b %USERPROFILE%\Documents\GitHub\eaglep3\Utilities\DownloadLogsFromS3.py --loco 4027 --day 2017-03-04</v>
      </c>
      <c r="AF14" s="1"/>
    </row>
    <row r="15" spans="1:32" x14ac:dyDescent="0.25">
      <c r="A15" s="32">
        <v>42797.268946759257</v>
      </c>
      <c r="B15" s="30" t="s">
        <v>504</v>
      </c>
      <c r="C15" s="30" t="s">
        <v>571</v>
      </c>
      <c r="D15" s="30" t="s">
        <v>49</v>
      </c>
      <c r="E15" s="30" t="s">
        <v>197</v>
      </c>
      <c r="F15" s="43">
        <v>0</v>
      </c>
      <c r="G15" s="43">
        <v>147</v>
      </c>
      <c r="H15" s="43">
        <v>42062</v>
      </c>
      <c r="I15" s="43">
        <v>42336</v>
      </c>
      <c r="J15" s="30" t="s">
        <v>198</v>
      </c>
      <c r="K15" s="43">
        <v>42779</v>
      </c>
      <c r="L15" s="143" t="s">
        <v>50</v>
      </c>
      <c r="M15" s="144">
        <f t="shared" si="0"/>
        <v>233.904</v>
      </c>
      <c r="N15" s="145" t="str">
        <f>VLOOKUP(C15,'Trips&amp;Operators'!$C$1:$G$99999,5,FALSE)</f>
        <v>STARKS ANGELINA</v>
      </c>
      <c r="O15" s="173" t="s">
        <v>185</v>
      </c>
      <c r="P15" s="146" t="s">
        <v>1007</v>
      </c>
      <c r="Q15" s="30"/>
      <c r="R15" s="89" t="str">
        <f>VLOOKUP(C15,'Train Runs'!$A$13:$AE$9937,31,0)</f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S15" s="92" t="str">
        <f>VLOOKUP(C15,'Train Runs'!$A$13:$AE$9937,22,0)</f>
        <v>https://d0f6bd738d7f1b3e5a7ca70fe4ff75f0.us-east-1.aws.found.io/app/kibana#/discover/Steve-Slow-Train-Analysis-(2080s-and-2083s)?_g=(refreshInterval:(display:Off,pause:!f,section:0,value:0),time:(from:'2017-03-03T05:13:37-0700',mode:absolute,to:'2017-03-03T08:00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5" s="94" t="str">
        <f t="shared" si="1"/>
        <v>"C:\Program Files (x86)\AstroGrep\AstroGrep.exe" /spath="%USERPROFILE%\AppData\Local\Temp\OnboardLogs" /stypes="*4051*201703031*" /stext=" 13:.+((SYSTEM_STATE.+slice.+state.+changed )|(ment ac)|(multiple cpu faults)|(system.+state.+changed )|(\[timeout)|(PRM\|1\|D)|(kpr)|(kdp)|(\|lc)|(penalty))" /e /r /s</v>
      </c>
      <c r="U15" s="9" t="str">
        <f t="shared" si="2"/>
        <v>4051</v>
      </c>
      <c r="V15" s="32">
        <f t="shared" si="3"/>
        <v>42797.560613425921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{"issue":{"subject":"Form C","project_id":79,"tracker_id":40,"status_id":1,"priority_id":2,"assigned_to_id":23,"start_date":"2017-03-03","description":"","custom_fields":[{"id":1,"name":"Subdivision","value":"EC"},{"id":4,"name":"Milepost","value":"4.2779"},{"id":17,"name":"Train ID","value":"121-03"},{"id":16,"name":"Locomotive ID","value":"4051"},{"id":130,"name":"Impact","value":""},{"id":150,"name":"Time of Event (Mountain Time)","value":"06:27:17"},{"id":151,"name":"Denver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"%USERPROFILE%\AppData\Local\Temp\OnboardLogs"\RTDC4051\*4051*201703031*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"%USERPROFILE%\AppData\Local\Temp\OnboardLogs"\RTDC4051\*4051*201703031* &gt;&gt; 2017-03-03-SliceDisagreementCheck.txt</v>
      </c>
      <c r="AE15" s="157" t="str">
        <f t="shared" si="9"/>
        <v>start /low /b %USERPROFILE%\Documents\GitHub\eaglep3\Utilities\DownloadLogsFromS3.py --loco 4051 --day 2017-03-03</v>
      </c>
      <c r="AF15" s="1"/>
    </row>
    <row r="16" spans="1:32" x14ac:dyDescent="0.25">
      <c r="A16" s="32">
        <v>42797.27820601852</v>
      </c>
      <c r="B16" s="30" t="s">
        <v>572</v>
      </c>
      <c r="C16" s="30" t="s">
        <v>573</v>
      </c>
      <c r="D16" s="30" t="s">
        <v>49</v>
      </c>
      <c r="E16" s="30" t="s">
        <v>197</v>
      </c>
      <c r="F16" s="43">
        <v>0</v>
      </c>
      <c r="G16" s="43">
        <v>47</v>
      </c>
      <c r="H16" s="43">
        <v>43366</v>
      </c>
      <c r="I16" s="43">
        <v>43336</v>
      </c>
      <c r="J16" s="30" t="s">
        <v>198</v>
      </c>
      <c r="K16" s="43">
        <v>42961</v>
      </c>
      <c r="L16" s="143" t="s">
        <v>51</v>
      </c>
      <c r="M16" s="144">
        <f t="shared" si="0"/>
        <v>198</v>
      </c>
      <c r="N16" s="145" t="str">
        <f>VLOOKUP(C16,'Trips&amp;Operators'!$C$1:$G$99999,5,FALSE)</f>
        <v>BADERTSCHER DIANE</v>
      </c>
      <c r="O16" s="173" t="s">
        <v>185</v>
      </c>
      <c r="P16" s="146" t="s">
        <v>1007</v>
      </c>
      <c r="Q16" s="30"/>
      <c r="R16" s="89" t="str">
        <f>VLOOKUP(C16,'Train Runs'!$A$13:$AE$9937,31,0)</f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S16" s="92" t="str">
        <f>VLOOKUP(C16,'Train Runs'!$A$13:$AE$9937,22,0)</f>
        <v>https://d0f6bd738d7f1b3e5a7ca70fe4ff75f0.us-east-1.aws.found.io/app/kibana#/discover/Steve-Slow-Train-Analysis-(2080s-and-2083s)?_g=(refreshInterval:(display:Off,pause:!f,section:0,value:0),time:(from:'2017-03-03T05:05:40-0700',mode:absolute,to:'2017-03-03T07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6" s="94" t="str">
        <f t="shared" si="1"/>
        <v>"C:\Program Files (x86)\AstroGrep\AstroGrep.exe" /spath="%USERPROFILE%\AppData\Local\Temp\OnboardLogs" /stypes="*4054*201703031*" /stext=" 13:.+((SYSTEM_STATE.+slice.+state.+changed )|(ment ac)|(multiple cpu faults)|(system.+state.+changed )|(\[timeout)|(PRM\|1\|D)|(kpr)|(kdp)|(\|lc)|(penalty))" /e /r /s</v>
      </c>
      <c r="U16" s="9" t="str">
        <f t="shared" si="2"/>
        <v>4054</v>
      </c>
      <c r="V16" s="32">
        <f t="shared" si="3"/>
        <v>42797.569872685184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{"issue":{"subject":"Form C","project_id":79,"tracker_id":40,"status_id":1,"priority_id":2,"assigned_to_id":23,"start_date":"2017-03-03","description":"","custom_fields":[{"id":1,"name":"Subdivision","value":"EC"},{"id":4,"name":"Milepost","value":"4.2961"},{"id":17,"name":"Train ID","value":"114-03"},{"id":16,"name":"Locomotive ID","value":"4054"},{"id":130,"name":"Impact","value":""},{"id":150,"name":"Time of Event (Mountain Time)","value":"06:40:37"},{"id":151,"name":"Denver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"%USERPROFILE%\AppData\Local\Temp\OnboardLogs"\RTDC4054\*4054*201703031*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"%USERPROFILE%\AppData\Local\Temp\OnboardLogs"\RTDC4054\*4054*201703031* &gt;&gt; 2017-03-03-SliceDisagreementCheck.txt</v>
      </c>
      <c r="AE16" s="157" t="str">
        <f t="shared" si="9"/>
        <v>start /low /b %USERPROFILE%\Documents\GitHub\eaglep3\Utilities\DownloadLogsFromS3.py --loco 4054 --day 2017-03-03</v>
      </c>
      <c r="AF16" s="1"/>
    </row>
    <row r="17" spans="1:32" x14ac:dyDescent="0.25">
      <c r="A17" s="32">
        <v>42797.44431712963</v>
      </c>
      <c r="B17" s="30" t="s">
        <v>332</v>
      </c>
      <c r="C17" s="30" t="s">
        <v>587</v>
      </c>
      <c r="D17" s="30" t="s">
        <v>49</v>
      </c>
      <c r="E17" s="30" t="s">
        <v>197</v>
      </c>
      <c r="F17" s="43">
        <v>470</v>
      </c>
      <c r="G17" s="43">
        <v>556</v>
      </c>
      <c r="H17" s="43">
        <v>49014</v>
      </c>
      <c r="I17" s="43">
        <v>46897</v>
      </c>
      <c r="J17" s="30" t="s">
        <v>198</v>
      </c>
      <c r="K17" s="43">
        <v>48048</v>
      </c>
      <c r="L17" s="143" t="s">
        <v>51</v>
      </c>
      <c r="M17" s="144">
        <f t="shared" si="0"/>
        <v>-607.72799999999995</v>
      </c>
      <c r="N17" s="145" t="str">
        <f>VLOOKUP(C17,'Trips&amp;Operators'!$C$1:$G$99999,5,FALSE)</f>
        <v>DAVIS WENDY</v>
      </c>
      <c r="O17" s="173" t="s">
        <v>185</v>
      </c>
      <c r="P17" s="146" t="s">
        <v>284</v>
      </c>
      <c r="Q17" s="30"/>
      <c r="R17" s="89" t="str">
        <f>VLOOKUP(C17,'Train Runs'!$A$13:$AE$9937,31,0)</f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S17" s="92" t="str">
        <f>VLOOKUP(C17,'Train Runs'!$A$13:$AE$9937,22,0)</f>
        <v>https://d0f6bd738d7f1b3e5a7ca70fe4ff75f0.us-east-1.aws.found.io/app/kibana#/discover/Steve-Slow-Train-Analysis-(2080s-and-2083s)?_g=(refreshInterval:(display:Off,pause:!f,section:0,value:0),time:(from:'2017-03-03T09:05:29-0700',mode:absolute,to:'2017-03-03T11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7" s="94" t="str">
        <f t="shared" si="1"/>
        <v>"C:\Program Files (x86)\AstroGrep\AstroGrep.exe" /spath="%USERPROFILE%\AppData\Local\Temp\OnboardLogs" /stypes="*4032*201703031*" /stext=" 17:.+((SYSTEM_STATE.+slice.+state.+changed )|(ment ac)|(multiple cpu faults)|(system.+state.+changed )|(\[timeout)|(PRM\|1\|D)|(kpr)|(kdp)|(\|lc)|(penalty))" /e /r /s</v>
      </c>
      <c r="U17" s="9" t="str">
        <f t="shared" si="2"/>
        <v>4032</v>
      </c>
      <c r="V17" s="32">
        <f t="shared" si="3"/>
        <v>42797.735983796294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arrival","project_id":79,"tracker_id":40,"status_id":1,"priority_id":2,"assigned_to_id":23,"start_date":"2017-03-03","description":"","custom_fields":[{"id":1,"name":"Subdivision","value":"EC"},{"id":4,"name":"Milepost","value":"4.8048"},{"id":17,"name":"Train ID","value":"146-03"},{"id":16,"name":"Locomotive ID","value":"4032"},{"id":130,"name":"Impact","value":""},{"id":150,"name":"Time of Event (Mountain Time)","value":"10:39:49"},{"id":151,"name":"Denver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"%USERPROFILE%\AppData\Local\Temp\OnboardLogs"\RTDC4032\*4032*201703031*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"%USERPROFILE%\AppData\Local\Temp\OnboardLogs"\RTDC4032\*4032*201703031* &gt;&gt; 2017-03-03-SliceDisagreementCheck.txt</v>
      </c>
      <c r="AE17" s="157" t="str">
        <f t="shared" si="9"/>
        <v>start /low /b %USERPROFILE%\Documents\GitHub\eaglep3\Utilities\DownloadLogsFromS3.py --loco 4032 --day 2017-03-03</v>
      </c>
      <c r="AF17" s="1"/>
    </row>
    <row r="18" spans="1:32" ht="15" customHeight="1" x14ac:dyDescent="0.25">
      <c r="A18" s="32">
        <v>42797.34337962963</v>
      </c>
      <c r="B18" s="30" t="s">
        <v>504</v>
      </c>
      <c r="C18" s="30" t="s">
        <v>581</v>
      </c>
      <c r="D18" s="30" t="s">
        <v>49</v>
      </c>
      <c r="E18" s="30" t="s">
        <v>197</v>
      </c>
      <c r="F18" s="43">
        <v>0</v>
      </c>
      <c r="G18" s="43">
        <v>292</v>
      </c>
      <c r="H18" s="43">
        <v>57816</v>
      </c>
      <c r="I18" s="43">
        <v>58584</v>
      </c>
      <c r="J18" s="30" t="s">
        <v>198</v>
      </c>
      <c r="K18" s="43">
        <v>58118</v>
      </c>
      <c r="L18" s="143" t="s">
        <v>50</v>
      </c>
      <c r="M18" s="144">
        <f t="shared" si="0"/>
        <v>-246.048</v>
      </c>
      <c r="N18" s="145" t="str">
        <f>VLOOKUP(C18,'Trips&amp;Operators'!$C$1:$G$99999,5,FALSE)</f>
        <v>STARKS ANGELINA</v>
      </c>
      <c r="O18" s="173" t="s">
        <v>185</v>
      </c>
      <c r="P18" s="146" t="s">
        <v>284</v>
      </c>
      <c r="Q18" s="30"/>
      <c r="R18" s="89" t="str">
        <f>VLOOKUP(C18,'Train Runs'!$A$13:$AE$9937,31,0)</f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S18" s="92" t="str">
        <f>VLOOKUP(C18,'Train Runs'!$A$13:$AE$9937,22,0)</f>
        <v>https://d0f6bd738d7f1b3e5a7ca70fe4ff75f0.us-east-1.aws.found.io/app/kibana#/discover/Steve-Slow-Train-Analysis-(2080s-and-2083s)?_g=(refreshInterval:(display:Off,pause:!f,section:0,value:0),time:(from:'2017-03-03T06:59:10-0700',mode:absolute,to:'2017-03-03T09:41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8" s="94" t="str">
        <f t="shared" si="1"/>
        <v>"C:\Program Files (x86)\AstroGrep\AstroGrep.exe" /spath="%USERPROFILE%\AppData\Local\Temp\OnboardLogs" /stypes="*4051*201703031*" /stext=" 15:.+((SYSTEM_STATE.+slice.+state.+changed )|(ment ac)|(multiple cpu faults)|(system.+state.+changed )|(\[timeout)|(PRM\|1\|D)|(kpr)|(kdp)|(\|lc)|(penalty))" /e /r /s</v>
      </c>
      <c r="U18" s="9" t="str">
        <f t="shared" si="2"/>
        <v>4051</v>
      </c>
      <c r="V18" s="32">
        <f t="shared" si="3"/>
        <v>42797.635046296295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arrival","project_id":79,"tracker_id":40,"status_id":1,"priority_id":2,"assigned_to_id":23,"start_date":"2017-03-03","description":"","custom_fields":[{"id":1,"name":"Subdivision","value":"EC"},{"id":4,"name":"Milepost","value":"5.8118"},{"id":17,"name":"Train ID","value":"135-03"},{"id":16,"name":"Locomotive ID","value":"4051"},{"id":130,"name":"Impact","value":""},{"id":150,"name":"Time of Event (Mountain Time)","value":"08:14:28"},{"id":151,"name":"Denver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"%USERPROFILE%\AppData\Local\Temp\OnboardLogs"\RTDC4051\*4051*201703031*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"%USERPROFILE%\AppData\Local\Temp\OnboardLogs"\RTDC4051\*4051*201703031* &gt;&gt; 2017-03-03-SliceDisagreementCheck.txt</v>
      </c>
      <c r="AE18" s="157" t="str">
        <f t="shared" si="9"/>
        <v>start /low /b %USERPROFILE%\Documents\GitHub\eaglep3\Utilities\DownloadLogsFromS3.py --loco 4051 --day 2017-03-03</v>
      </c>
      <c r="AF18" s="1"/>
    </row>
    <row r="19" spans="1:32" x14ac:dyDescent="0.25">
      <c r="A19" s="32">
        <v>42797.740393518521</v>
      </c>
      <c r="B19" s="30" t="s">
        <v>501</v>
      </c>
      <c r="C19" s="30" t="s">
        <v>596</v>
      </c>
      <c r="D19" s="30" t="s">
        <v>49</v>
      </c>
      <c r="E19" s="30" t="s">
        <v>197</v>
      </c>
      <c r="F19" s="43">
        <v>0</v>
      </c>
      <c r="G19" s="43">
        <v>428</v>
      </c>
      <c r="H19" s="43">
        <v>62685</v>
      </c>
      <c r="I19" s="43">
        <v>63600</v>
      </c>
      <c r="J19" s="30" t="s">
        <v>198</v>
      </c>
      <c r="K19" s="43">
        <v>63069</v>
      </c>
      <c r="L19" s="143" t="s">
        <v>50</v>
      </c>
      <c r="M19" s="144">
        <f t="shared" si="0"/>
        <v>-280.36799999999999</v>
      </c>
      <c r="N19" s="145" t="str">
        <f>VLOOKUP(C19,'Trips&amp;Operators'!$C$1:$G$99999,5,FALSE)</f>
        <v>KILLION DAVID</v>
      </c>
      <c r="O19" s="173" t="s">
        <v>185</v>
      </c>
      <c r="P19" s="146" t="s">
        <v>284</v>
      </c>
      <c r="Q19" s="30"/>
      <c r="R19" s="89" t="str">
        <f>VLOOKUP(C19,'Train Runs'!$A$13:$AE$9937,31,0)</f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S19" s="92" t="str">
        <f>VLOOKUP(C19,'Train Runs'!$A$13:$AE$9937,22,0)</f>
        <v>https://d0f6bd738d7f1b3e5a7ca70fe4ff75f0.us-east-1.aws.found.io/app/kibana#/discover/Steve-Slow-Train-Analysis-(2080s-and-2083s)?_g=(refreshInterval:(display:Off,pause:!f,section:0,value:0),time:(from:'2017-03-03T16:28:07-0700',mode:absolute,to:'2017-03-03T19:12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9" s="94" t="str">
        <f t="shared" si="1"/>
        <v>"C:\Program Files (x86)\AstroGrep\AstroGrep.exe" /spath="%USERPROFILE%\AppData\Local\Temp\OnboardLogs" /stypes="*4053*201703040*" /stext=" 00:.+((SYSTEM_STATE.+slice.+state.+changed )|(ment ac)|(multiple cpu faults)|(system.+state.+changed )|(\[timeout)|(PRM\|1\|D)|(kpr)|(kdp)|(\|lc)|(penalty))" /e /r /s</v>
      </c>
      <c r="U19" s="9" t="str">
        <f t="shared" si="2"/>
        <v>4053</v>
      </c>
      <c r="V19" s="32">
        <f t="shared" si="3"/>
        <v>42798.032060185185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arrival","project_id":79,"tracker_id":40,"status_id":1,"priority_id":2,"assigned_to_id":23,"start_date":"2017-03-03","description":"","custom_fields":[{"id":1,"name":"Subdivision","value":"EC"},{"id":4,"name":"Milepost","value":"6.3069"},{"id":17,"name":"Train ID","value":"211-03"},{"id":16,"name":"Locomotive ID","value":"4053"},{"id":130,"name":"Impact","value":""},{"id":150,"name":"Time of Event (Mountain Time)","value":"17:46:10"},{"id":151,"name":"Denver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"%USERPROFILE%\AppData\Local\Temp\OnboardLogs"\RTDC4053\*4053*201703040*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"%USERPROFILE%\AppData\Local\Temp\OnboardLogs"\RTDC4053\*4053*201703040* &gt;&gt; 2017-03-03-SliceDisagreementCheck.txt</v>
      </c>
      <c r="AE19" s="157" t="str">
        <f t="shared" si="9"/>
        <v>start /low /b %USERPROFILE%\Documents\GitHub\eaglep3\Utilities\DownloadLogsFromS3.py --loco 4053 --day 2017-03-04</v>
      </c>
      <c r="AF19" s="1"/>
    </row>
    <row r="20" spans="1:32" x14ac:dyDescent="0.25">
      <c r="A20" s="32">
        <v>42797.271608796298</v>
      </c>
      <c r="B20" s="30" t="s">
        <v>504</v>
      </c>
      <c r="C20" s="30" t="s">
        <v>571</v>
      </c>
      <c r="D20" s="30" t="s">
        <v>49</v>
      </c>
      <c r="E20" s="30" t="s">
        <v>197</v>
      </c>
      <c r="F20" s="43">
        <v>390</v>
      </c>
      <c r="G20" s="43">
        <v>465</v>
      </c>
      <c r="H20" s="43">
        <v>61783</v>
      </c>
      <c r="I20" s="43">
        <v>63216</v>
      </c>
      <c r="J20" s="30" t="s">
        <v>198</v>
      </c>
      <c r="K20" s="43">
        <v>63069</v>
      </c>
      <c r="L20" s="143" t="s">
        <v>50</v>
      </c>
      <c r="M20" s="144">
        <f t="shared" si="0"/>
        <v>-77.616</v>
      </c>
      <c r="N20" s="145" t="str">
        <f>VLOOKUP(C20,'Trips&amp;Operators'!$C$1:$G$99999,5,FALSE)</f>
        <v>STARKS ANGELINA</v>
      </c>
      <c r="O20" s="173" t="s">
        <v>185</v>
      </c>
      <c r="P20" s="146" t="s">
        <v>284</v>
      </c>
      <c r="Q20" s="30"/>
      <c r="R20" s="89" t="str">
        <f>VLOOKUP(C20,'Train Runs'!$A$13:$AE$9937,31,0)</f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S20" s="92" t="str">
        <f>VLOOKUP(C20,'Train Runs'!$A$13:$AE$9937,22,0)</f>
        <v>https://d0f6bd738d7f1b3e5a7ca70fe4ff75f0.us-east-1.aws.found.io/app/kibana#/discover/Steve-Slow-Train-Analysis-(2080s-and-2083s)?_g=(refreshInterval:(display:Off,pause:!f,section:0,value:0),time:(from:'2017-03-03T05:13:37-0700',mode:absolute,to:'2017-03-03T08:00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0" s="94" t="str">
        <f t="shared" si="1"/>
        <v>"C:\Program Files (x86)\AstroGrep\AstroGrep.exe" /spath="%USERPROFILE%\AppData\Local\Temp\OnboardLogs" /stypes="*4051*201703031*" /stext=" 13:.+((SYSTEM_STATE.+slice.+state.+changed )|(ment ac)|(multiple cpu faults)|(system.+state.+changed )|(\[timeout)|(PRM\|1\|D)|(kpr)|(kdp)|(\|lc)|(penalty))" /e /r /s</v>
      </c>
      <c r="U20" s="9" t="str">
        <f t="shared" si="2"/>
        <v>4051</v>
      </c>
      <c r="V20" s="32">
        <f t="shared" si="3"/>
        <v>42797.563275462962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arrival","project_id":79,"tracker_id":40,"status_id":1,"priority_id":2,"assigned_to_id":23,"start_date":"2017-03-03","description":"","custom_fields":[{"id":1,"name":"Subdivision","value":"EC"},{"id":4,"name":"Milepost","value":"6.3069"},{"id":17,"name":"Train ID","value":"121-03"},{"id":16,"name":"Locomotive ID","value":"4051"},{"id":130,"name":"Impact","value":""},{"id":150,"name":"Time of Event (Mountain Time)","value":"06:31:07"},{"id":151,"name":"Denver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"%USERPROFILE%\AppData\Local\Temp\OnboardLogs"\RTDC4051\*4051*201703031*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"%USERPROFILE%\AppData\Local\Temp\OnboardLogs"\RTDC4051\*4051*201703031* &gt;&gt; 2017-03-03-SliceDisagreementCheck.txt</v>
      </c>
      <c r="AE20" s="157" t="str">
        <f t="shared" si="9"/>
        <v>start /low /b %USERPROFILE%\Documents\GitHub\eaglep3\Utilities\DownloadLogsFromS3.py --loco 4051 --day 2017-03-03</v>
      </c>
      <c r="AF20" s="1"/>
    </row>
    <row r="21" spans="1:32" x14ac:dyDescent="0.25">
      <c r="A21" s="32">
        <v>42797.408645833333</v>
      </c>
      <c r="B21" s="30" t="s">
        <v>585</v>
      </c>
      <c r="C21" s="30" t="s">
        <v>586</v>
      </c>
      <c r="D21" s="30" t="s">
        <v>49</v>
      </c>
      <c r="E21" s="30" t="s">
        <v>197</v>
      </c>
      <c r="F21" s="43">
        <v>0</v>
      </c>
      <c r="G21" s="43">
        <v>589</v>
      </c>
      <c r="H21" s="43">
        <v>78862</v>
      </c>
      <c r="I21" s="43">
        <v>76694</v>
      </c>
      <c r="J21" s="30" t="s">
        <v>198</v>
      </c>
      <c r="K21" s="43">
        <v>78469</v>
      </c>
      <c r="L21" s="143" t="s">
        <v>51</v>
      </c>
      <c r="M21" s="144">
        <f t="shared" si="0"/>
        <v>-937.2</v>
      </c>
      <c r="N21" s="145" t="str">
        <f>VLOOKUP(C21,'Trips&amp;Operators'!$C$1:$G$99999,5,FALSE)</f>
        <v>LOCKLEAR TRAVIS</v>
      </c>
      <c r="O21" s="173" t="s">
        <v>185</v>
      </c>
      <c r="P21" s="146" t="s">
        <v>284</v>
      </c>
      <c r="Q21" s="30"/>
      <c r="R21" s="89" t="str">
        <f>VLOOKUP(C21,'Train Runs'!$A$13:$AE$9937,31,0)</f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S21" s="92" t="str">
        <f>VLOOKUP(C21,'Train Runs'!$A$13:$AE$9937,22,0)</f>
        <v>https://d0f6bd738d7f1b3e5a7ca70fe4ff75f0.us-east-1.aws.found.io/app/kibana#/discover/Steve-Slow-Train-Analysis-(2080s-and-2083s)?_g=(refreshInterval:(display:Off,pause:!f,section:0,value:0),time:(from:'2017-03-03T08:21:25-0700',mode:absolute,to:'2017-03-03T11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94" t="str">
        <f t="shared" si="1"/>
        <v>"C:\Program Files (x86)\AstroGrep\AstroGrep.exe" /spath="%USERPROFILE%\AppData\Local\Temp\OnboardLogs" /stypes="*4028*201703031*" /stext=" 16:.+((SYSTEM_STATE.+slice.+state.+changed )|(ment ac)|(multiple cpu faults)|(system.+state.+changed )|(\[timeout)|(PRM\|1\|D)|(kpr)|(kdp)|(\|lc)|(penalty))" /e /r /s</v>
      </c>
      <c r="U21" s="9" t="str">
        <f t="shared" si="2"/>
        <v>4028</v>
      </c>
      <c r="V21" s="32">
        <f t="shared" si="3"/>
        <v>42797.700312499997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arrival","project_id":79,"tracker_id":40,"status_id":1,"priority_id":2,"assigned_to_id":23,"start_date":"2017-03-03","description":"","custom_fields":[{"id":1,"name":"Subdivision","value":"EC"},{"id":4,"name":"Milepost","value":"7.8469"},{"id":17,"name":"Train ID","value":"140-03"},{"id":16,"name":"Locomotive ID","value":"4028"},{"id":130,"name":"Impact","value":""},{"id":150,"name":"Time of Event (Mountain Time)","value":"09:48:27"},{"id":151,"name":"Denver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"%USERPROFILE%\AppData\Local\Temp\OnboardLogs"\RTDC4028\*4028*201703031*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"%USERPROFILE%\AppData\Local\Temp\OnboardLogs"\RTDC4028\*4028*201703031* &gt;&gt; 2017-03-03-SliceDisagreementCheck.txt</v>
      </c>
      <c r="AE21" s="157" t="str">
        <f t="shared" si="9"/>
        <v>start /low /b %USERPROFILE%\Documents\GitHub\eaglep3\Utilities\DownloadLogsFromS3.py --loco 4028 --day 2017-03-03</v>
      </c>
      <c r="AF21" s="1"/>
    </row>
    <row r="22" spans="1:32" x14ac:dyDescent="0.25">
      <c r="A22" s="32">
        <v>42797.241354166668</v>
      </c>
      <c r="B22" s="30" t="s">
        <v>491</v>
      </c>
      <c r="C22" s="30" t="s">
        <v>567</v>
      </c>
      <c r="D22" s="30" t="s">
        <v>49</v>
      </c>
      <c r="E22" s="30" t="s">
        <v>197</v>
      </c>
      <c r="F22" s="43">
        <v>520</v>
      </c>
      <c r="G22" s="43">
        <v>611</v>
      </c>
      <c r="H22" s="43">
        <v>105142</v>
      </c>
      <c r="I22" s="43">
        <v>101928</v>
      </c>
      <c r="J22" s="30" t="s">
        <v>198</v>
      </c>
      <c r="K22" s="43">
        <v>103800</v>
      </c>
      <c r="L22" s="143" t="s">
        <v>51</v>
      </c>
      <c r="M22" s="144">
        <f t="shared" si="0"/>
        <v>-988.41600000000005</v>
      </c>
      <c r="N22" s="145" t="str">
        <f>VLOOKUP(C22,'Trips&amp;Operators'!$C$1:$G$99999,5,FALSE)</f>
        <v>STARKS ANGELINA</v>
      </c>
      <c r="O22" s="173" t="s">
        <v>185</v>
      </c>
      <c r="P22" s="146" t="s">
        <v>284</v>
      </c>
      <c r="Q22" s="30"/>
      <c r="R22" s="89" t="str">
        <f>VLOOKUP(C22,'Train Runs'!$A$13:$AE$9937,31,0)</f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S22" s="92" t="str">
        <f>VLOOKUP(C22,'Train Runs'!$A$13:$AE$9937,22,0)</f>
        <v>https://d0f6bd738d7f1b3e5a7ca70fe4ff75f0.us-east-1.aws.found.io/app/kibana#/discover/Steve-Slow-Train-Analysis-(2080s-and-2083s)?_g=(refreshInterval:(display:Off,pause:!f,section:0,value:0),time:(from:'2017-03-03T04:23:26-0700',mode:absolute,to:'2017-03-03T07:12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2" s="94" t="str">
        <f t="shared" si="1"/>
        <v>"C:\Program Files (x86)\AstroGrep\AstroGrep.exe" /spath="%USERPROFILE%\AppData\Local\Temp\OnboardLogs" /stypes="*4052*201703031*" /stext=" 12:.+((SYSTEM_STATE.+slice.+state.+changed )|(ment ac)|(multiple cpu faults)|(system.+state.+changed )|(\[timeout)|(PRM\|1\|D)|(kpr)|(kdp)|(\|lc)|(penalty))" /e /r /s</v>
      </c>
      <c r="U22" s="9" t="str">
        <f t="shared" si="2"/>
        <v>4052</v>
      </c>
      <c r="V22" s="32">
        <f t="shared" si="3"/>
        <v>42797.533020833333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arrival","project_id":79,"tracker_id":40,"status_id":1,"priority_id":2,"assigned_to_id":23,"start_date":"2017-03-03","description":"","custom_fields":[{"id":1,"name":"Subdivision","value":"EC"},{"id":4,"name":"Milepost","value":"10.38"},{"id":17,"name":"Train ID","value":"108-03"},{"id":16,"name":"Locomotive ID","value":"4052"},{"id":130,"name":"Impact","value":""},{"id":150,"name":"Time of Event (Mountain Time)","value":"05:47:33"},{"id":151,"name":"Denver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"%USERPROFILE%\AppData\Local\Temp\OnboardLogs"\RTDC4052\*4052*201703031*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"%USERPROFILE%\AppData\Local\Temp\OnboardLogs"\RTDC4052\*4052*201703031* &gt;&gt; 2017-03-03-SliceDisagreementCheck.txt</v>
      </c>
      <c r="AE22" s="157" t="str">
        <f t="shared" si="9"/>
        <v>start /low /b %USERPROFILE%\Documents\GitHub\eaglep3\Utilities\DownloadLogsFromS3.py --loco 4052 --day 2017-03-03</v>
      </c>
      <c r="AF22" s="1"/>
    </row>
    <row r="23" spans="1:32" x14ac:dyDescent="0.25">
      <c r="A23" s="32">
        <v>42797.313900462963</v>
      </c>
      <c r="B23" s="30" t="s">
        <v>491</v>
      </c>
      <c r="C23" s="30" t="s">
        <v>576</v>
      </c>
      <c r="D23" s="30" t="s">
        <v>49</v>
      </c>
      <c r="E23" s="30" t="s">
        <v>197</v>
      </c>
      <c r="F23" s="43">
        <v>0</v>
      </c>
      <c r="G23" s="43">
        <v>459</v>
      </c>
      <c r="H23" s="43">
        <v>109617</v>
      </c>
      <c r="I23" s="43">
        <v>108214</v>
      </c>
      <c r="J23" s="30" t="s">
        <v>198</v>
      </c>
      <c r="K23" s="43">
        <v>109135</v>
      </c>
      <c r="L23" s="143" t="s">
        <v>51</v>
      </c>
      <c r="M23" s="144">
        <f t="shared" si="0"/>
        <v>-486.28800000000001</v>
      </c>
      <c r="N23" s="145" t="str">
        <f>VLOOKUP(C23,'Trips&amp;Operators'!$C$1:$G$99999,5,FALSE)</f>
        <v>STARKS ANGELINA</v>
      </c>
      <c r="O23" s="173" t="s">
        <v>185</v>
      </c>
      <c r="P23" s="146" t="s">
        <v>284</v>
      </c>
      <c r="Q23" s="30"/>
      <c r="R23" s="89" t="str">
        <f>VLOOKUP(C23,'Train Runs'!$A$13:$AE$9937,31,0)</f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S23" s="92" t="str">
        <f>VLOOKUP(C23,'Train Runs'!$A$13:$AE$9937,22,0)</f>
        <v>https://d0f6bd738d7f1b3e5a7ca70fe4ff75f0.us-east-1.aws.found.io/app/kibana#/discover/Steve-Slow-Train-Analysis-(2080s-and-2083s)?_g=(refreshInterval:(display:Off,pause:!f,section:0,value:0),time:(from:'2017-03-03T06:04:21-0700',mode:absolute,to:'2017-03-03T08:57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94" t="str">
        <f t="shared" si="1"/>
        <v>"C:\Program Files (x86)\AstroGrep\AstroGrep.exe" /spath="%USERPROFILE%\AppData\Local\Temp\OnboardLogs" /stypes="*4052*201703031*" /stext=" 14:.+((SYSTEM_STATE.+slice.+state.+changed )|(ment ac)|(multiple cpu faults)|(system.+state.+changed )|(\[timeout)|(PRM\|1\|D)|(kpr)|(kdp)|(\|lc)|(penalty))" /e /r /s</v>
      </c>
      <c r="U23" s="9" t="str">
        <f t="shared" si="2"/>
        <v>4052</v>
      </c>
      <c r="V23" s="32">
        <f t="shared" si="3"/>
        <v>42797.605567129627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arrival","project_id":79,"tracker_id":40,"status_id":1,"priority_id":2,"assigned_to_id":23,"start_date":"2017-03-03","description":"","custom_fields":[{"id":1,"name":"Subdivision","value":"EC"},{"id":4,"name":"Milepost","value":"10.9135"},{"id":17,"name":"Train ID","value":"122-03"},{"id":16,"name":"Locomotive ID","value":"4052"},{"id":130,"name":"Impact","value":""},{"id":150,"name":"Time of Event (Mountain Time)","value":"07:32:01"},{"id":151,"name":"Denver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"%USERPROFILE%\AppData\Local\Temp\OnboardLogs"\RTDC4052\*4052*201703031*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"%USERPROFILE%\AppData\Local\Temp\OnboardLogs"\RTDC4052\*4052*201703031* &gt;&gt; 2017-03-03-SliceDisagreementCheck.txt</v>
      </c>
      <c r="AE23" s="157" t="str">
        <f t="shared" si="9"/>
        <v>start /low /b %USERPROFILE%\Documents\GitHub\eaglep3\Utilities\DownloadLogsFromS3.py --loco 4052 --day 2017-03-03</v>
      </c>
      <c r="AF23" s="1"/>
    </row>
    <row r="24" spans="1:32" x14ac:dyDescent="0.25">
      <c r="A24" s="32">
        <v>42797.624803240738</v>
      </c>
      <c r="B24" s="30" t="s">
        <v>585</v>
      </c>
      <c r="C24" s="30" t="s">
        <v>593</v>
      </c>
      <c r="D24" s="30" t="s">
        <v>49</v>
      </c>
      <c r="E24" s="30" t="s">
        <v>197</v>
      </c>
      <c r="F24" s="43">
        <v>0</v>
      </c>
      <c r="G24" s="43">
        <v>467</v>
      </c>
      <c r="H24" s="43">
        <v>109506</v>
      </c>
      <c r="I24" s="43">
        <v>108024</v>
      </c>
      <c r="J24" s="30" t="s">
        <v>198</v>
      </c>
      <c r="K24" s="43">
        <v>109135</v>
      </c>
      <c r="L24" s="143" t="s">
        <v>51</v>
      </c>
      <c r="M24" s="144">
        <f t="shared" si="0"/>
        <v>-586.60799999999995</v>
      </c>
      <c r="N24" s="145" t="str">
        <f>VLOOKUP(C24,'Trips&amp;Operators'!$C$1:$G$99999,5,FALSE)</f>
        <v>HELVIE ADAM</v>
      </c>
      <c r="O24" s="173" t="s">
        <v>185</v>
      </c>
      <c r="P24" s="146" t="s">
        <v>284</v>
      </c>
      <c r="Q24" s="30"/>
      <c r="R24" s="89" t="str">
        <f>VLOOKUP(C24,'Train Runs'!$A$13:$AE$9937,31,0)</f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S24" s="92" t="str">
        <f>VLOOKUP(C24,'Train Runs'!$A$13:$AE$9937,22,0)</f>
        <v>https://d0f6bd738d7f1b3e5a7ca70fe4ff75f0.us-east-1.aws.found.io/app/kibana#/discover/Steve-Slow-Train-Analysis-(2080s-and-2083s)?_g=(refreshInterval:(display:Off,pause:!f,section:0,value:0),time:(from:'2017-03-03T13:36:39-0700',mode:absolute,to:'2017-03-03T16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94" t="str">
        <f t="shared" si="1"/>
        <v>"C:\Program Files (x86)\AstroGrep\AstroGrep.exe" /spath="%USERPROFILE%\AppData\Local\Temp\OnboardLogs" /stypes="*4028*201703032*" /stext=" 21:.+((SYSTEM_STATE.+slice.+state.+changed )|(ment ac)|(multiple cpu faults)|(system.+state.+changed )|(\[timeout)|(PRM\|1\|D)|(kpr)|(kdp)|(\|lc)|(penalty))" /e /r /s</v>
      </c>
      <c r="U24" s="9" t="str">
        <f t="shared" si="2"/>
        <v>4028</v>
      </c>
      <c r="V24" s="32">
        <f t="shared" si="3"/>
        <v>42797.916469907403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arrival","project_id":79,"tracker_id":40,"status_id":1,"priority_id":2,"assigned_to_id":23,"start_date":"2017-03-03","description":"","custom_fields":[{"id":1,"name":"Subdivision","value":"EC"},{"id":4,"name":"Milepost","value":"10.9135"},{"id":17,"name":"Train ID","value":"182-03"},{"id":16,"name":"Locomotive ID","value":"4028"},{"id":130,"name":"Impact","value":""},{"id":150,"name":"Time of Event (Mountain Time)","value":"14:59:43"},{"id":151,"name":"Denver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"%USERPROFILE%\AppData\Local\Temp\OnboardLogs"\RTDC4028\*4028*201703032*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"%USERPROFILE%\AppData\Local\Temp\OnboardLogs"\RTDC4028\*4028*201703032* &gt;&gt; 2017-03-03-SliceDisagreementCheck.txt</v>
      </c>
      <c r="AE24" s="157" t="str">
        <f t="shared" si="9"/>
        <v>start /low /b %USERPROFILE%\Documents\GitHub\eaglep3\Utilities\DownloadLogsFromS3.py --loco 4028 --day 2017-03-03</v>
      </c>
      <c r="AF24" s="1"/>
    </row>
    <row r="25" spans="1:32" x14ac:dyDescent="0.25">
      <c r="A25" s="32">
        <v>42797.928287037037</v>
      </c>
      <c r="B25" s="30" t="s">
        <v>585</v>
      </c>
      <c r="C25" s="30" t="s">
        <v>605</v>
      </c>
      <c r="D25" s="30" t="s">
        <v>49</v>
      </c>
      <c r="E25" s="30" t="s">
        <v>197</v>
      </c>
      <c r="F25" s="43">
        <v>390</v>
      </c>
      <c r="G25" s="43">
        <v>458</v>
      </c>
      <c r="H25" s="43">
        <v>110267</v>
      </c>
      <c r="I25" s="43">
        <v>108972</v>
      </c>
      <c r="J25" s="30" t="s">
        <v>198</v>
      </c>
      <c r="K25" s="43">
        <v>109135</v>
      </c>
      <c r="L25" s="143" t="s">
        <v>51</v>
      </c>
      <c r="M25" s="144">
        <f t="shared" si="0"/>
        <v>-86.063999999999993</v>
      </c>
      <c r="N25" s="145" t="str">
        <f>VLOOKUP(C25,'Trips&amp;Operators'!$C$1:$G$99999,5,FALSE)</f>
        <v>PERKINS DARREN</v>
      </c>
      <c r="O25" s="173" t="s">
        <v>185</v>
      </c>
      <c r="P25" s="146" t="s">
        <v>284</v>
      </c>
      <c r="Q25" s="30"/>
      <c r="R25" s="89" t="str">
        <f>VLOOKUP(C25,'Train Runs'!$A$13:$AE$9937,31,0)</f>
        <v>aws s3 cp s3://rtdc.mdm.uploadarchive.raw/RTDC4028/ "%USERPROFILE%\AppData\Local\Temp\OnboardLogs"\RTDC4028\2017-03-03 --exclude "*" --recursive --include "*20170303*" &amp; "%USERPROFILE%\Documents\GitHub\mrs-test-scripts\Headless Mode &amp; Sideloading\WalkAndUnGZ.bat" "%USERPROFILE%\AppData\Local\Temp\OnboardLogs"\RTDC4028\2017-03-03 &amp; aws s3 cp s3://rtdc.mdm.uploadarchive.raw/RTDC4028/ "%USERPROFILE%\AppData\Local\Temp\OnboardLogs"\RTDC4028\2017-03-04 --exclude "*" --recursive --include "*20170304*" &amp; "%USERPROFILE%\Documents\GitHub\mrs-test-scripts\Headless Mode &amp; Sideloading\WalkAndUnGZ.bat" "%USERPROFILE%\AppData\Local\Temp\OnboardLogs"\RTDC4028\2017-03-04</v>
      </c>
      <c r="S25" s="92" t="str">
        <f>VLOOKUP(C25,'Train Runs'!$A$13:$AE$9937,22,0)</f>
        <v>https://d0f6bd738d7f1b3e5a7ca70fe4ff75f0.us-east-1.aws.found.io/app/kibana#/discover/Steve-Slow-Train-Analysis-(2080s-and-2083s)?_g=(refreshInterval:(display:Off,pause:!f,section:0,value:0),time:(from:'2017-03-03T20:48:11-0700',mode:absolute,to:'2017-03-03T23:41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/spath="%USERPROFILE%\AppData\Local\Temp\OnboardLogs" /stypes="*4028*201703040*" /stext=" 05:.+((SYSTEM_STATE.+slice.+state.+changed )|(ment ac)|(multiple cpu faults)|(system.+state.+changed )|(\[timeout)|(PRM\|1\|D)|(kpr)|(kdp)|(\|lc)|(penalty))" /e /r /s</v>
      </c>
      <c r="U25" s="9" t="str">
        <f t="shared" si="2"/>
        <v>4028</v>
      </c>
      <c r="V25" s="32">
        <f t="shared" si="3"/>
        <v>42798.219953703701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arrival","project_id":79,"tracker_id":40,"status_id":1,"priority_id":2,"assigned_to_id":23,"start_date":"2017-03-03","description":"","custom_fields":[{"id":1,"name":"Subdivision","value":"EC"},{"id":4,"name":"Milepost","value":"10.9135"},{"id":17,"name":"Train ID","value":"230-03"},{"id":16,"name":"Locomotive ID","value":"4028"},{"id":130,"name":"Impact","value":""},{"id":150,"name":"Time of Event (Mountain Time)","value":"22:16:44"},{"id":151,"name":"Denver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"%USERPROFILE%\AppData\Local\Temp\OnboardLogs"\RTDC4028\*4028*201703040*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"%USERPROFILE%\AppData\Local\Temp\OnboardLogs"\RTDC4028\*4028*201703040* &gt;&gt; 2017-03-03-SliceDisagreementCheck.txt</v>
      </c>
      <c r="AE25" s="157" t="str">
        <f t="shared" si="9"/>
        <v>start /low /b %USERPROFILE%\Documents\GitHub\eaglep3\Utilities\DownloadLogsFromS3.py --loco 4028 --day 2017-03-04</v>
      </c>
      <c r="AF25" s="1"/>
    </row>
    <row r="26" spans="1:32" x14ac:dyDescent="0.25">
      <c r="A26" s="32">
        <v>42797.807002314818</v>
      </c>
      <c r="B26" s="30" t="s">
        <v>206</v>
      </c>
      <c r="C26" s="30" t="s">
        <v>599</v>
      </c>
      <c r="D26" s="30" t="s">
        <v>49</v>
      </c>
      <c r="E26" s="30" t="s">
        <v>247</v>
      </c>
      <c r="F26" s="43">
        <v>300</v>
      </c>
      <c r="G26" s="43">
        <v>461</v>
      </c>
      <c r="H26" s="43">
        <v>23504</v>
      </c>
      <c r="I26" s="43">
        <v>21928</v>
      </c>
      <c r="J26" s="30" t="s">
        <v>248</v>
      </c>
      <c r="K26" s="43">
        <v>21848</v>
      </c>
      <c r="L26" s="143" t="s">
        <v>51</v>
      </c>
      <c r="M26" s="144">
        <f t="shared" si="0"/>
        <v>42.24</v>
      </c>
      <c r="N26" s="145" t="str">
        <f>VLOOKUP(C26,'Trips&amp;Operators'!$C$1:$G$99999,5,FALSE)</f>
        <v>STORY SAMANTHA</v>
      </c>
      <c r="O26" s="173" t="s">
        <v>185</v>
      </c>
      <c r="P26" s="146"/>
      <c r="Q26" s="30"/>
      <c r="R26" s="89" t="str">
        <f>VLOOKUP(C26,'Train Runs'!$A$13:$AE$9937,31,0)</f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S26" s="92" t="str">
        <f>VLOOKUP(C26,'Train Runs'!$A$13:$AE$9937,22,0)</f>
        <v>https://d0f6bd738d7f1b3e5a7ca70fe4ff75f0.us-east-1.aws.found.io/app/kibana#/discover/Steve-Slow-Train-Analysis-(2080s-and-2083s)?_g=(refreshInterval:(display:Off,pause:!f,section:0,value:0),time:(from:'2017-03-03T17:35:55-0700',mode:absolute,to:'2017-03-03T20:29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94" t="str">
        <f t="shared" si="1"/>
        <v>"C:\Program Files (x86)\AstroGrep\AstroGrep.exe" /spath="%USERPROFILE%\AppData\Local\Temp\OnboardLogs" /stypes="*4030*201703040*" /stext=" 02:.+((SYSTEM_STATE.+slice.+state.+changed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2">
        <f t="shared" si="3"/>
        <v>42798.098668981482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{"issue":{"subject":"","project_id":79,"tracker_id":40,"status_id":1,"priority_id":2,"assigned_to_id":23,"start_date":"2017-03-03","description":"","custom_fields":[{"id":1,"name":"Subdivision","value":"EC"},{"id":4,"name":"Milepost","value":"2.1848"},{"id":17,"name":"Train ID","value":"214-03"},{"id":16,"name":"Locomotive ID","value":"4030"},{"id":130,"name":"Impact","value":""},{"id":150,"name":"Time of Event (Mountain Time)","value":"19:22:05"},{"id":151,"name":"Denver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"%USERPROFILE%\AppData\Local\Temp\OnboardLogs"\RTDC4030\*4030*201703040*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"%USERPROFILE%\AppData\Local\Temp\OnboardLogs"\RTDC4030\*4030*201703040* &gt;&gt; 2017-03-03-SliceDisagreementCheck.txt</v>
      </c>
      <c r="AE26" s="157" t="str">
        <f t="shared" si="9"/>
        <v>start /low /b %USERPROFILE%\Documents\GitHub\eaglep3\Utilities\DownloadLogsFromS3.py --loco 4030 --day 2017-03-04</v>
      </c>
      <c r="AF26" s="1"/>
    </row>
    <row r="27" spans="1:32" x14ac:dyDescent="0.25">
      <c r="A27" s="32">
        <v>42797.962534722225</v>
      </c>
      <c r="B27" s="30" t="s">
        <v>239</v>
      </c>
      <c r="C27" s="30" t="s">
        <v>606</v>
      </c>
      <c r="D27" s="30" t="s">
        <v>98</v>
      </c>
      <c r="E27" s="30" t="s">
        <v>247</v>
      </c>
      <c r="F27" s="43">
        <v>600</v>
      </c>
      <c r="G27" s="43">
        <v>659</v>
      </c>
      <c r="H27" s="43">
        <v>183799</v>
      </c>
      <c r="I27" s="43">
        <v>176476</v>
      </c>
      <c r="J27" s="30" t="s">
        <v>248</v>
      </c>
      <c r="K27" s="43">
        <v>191104</v>
      </c>
      <c r="L27" s="143" t="s">
        <v>51</v>
      </c>
      <c r="M27" s="144">
        <f t="shared" si="0"/>
        <v>-7723.5839999999998</v>
      </c>
      <c r="N27" s="145" t="str">
        <f>VLOOKUP(C27,'Trips&amp;Operators'!$C$1:$G$99999,5,FALSE)</f>
        <v>STAMBAUGH JAMES</v>
      </c>
      <c r="O27" s="173" t="s">
        <v>185</v>
      </c>
      <c r="P27" s="146"/>
      <c r="Q27" s="30"/>
      <c r="R27" s="89" t="str">
        <f>VLOOKUP(C27,'Train Runs'!$A$13:$AE$9937,31,0)</f>
        <v>aws s3 cp s3://rtdc.mdm.uploadarchive.raw/RTDC4012/ "%USERPROFILE%\AppData\Local\Temp\OnboardLogs"\RTDC4012\2017-03-03 --exclude "*" --recursive --include "*20170303*" &amp; "%USERPROFILE%\Documents\GitHub\mrs-test-scripts\Headless Mode &amp; Sideloading\WalkAndUnGZ.bat" "%USERPROFILE%\AppData\Local\Temp\OnboardLogs"\RTDC4012\2017-03-03 &amp; aws s3 cp s3://rtdc.mdm.uploadarchive.raw/RTDC4012/ "%USERPROFILE%\AppData\Local\Temp\OnboardLogs"\RTDC4012\2017-03-04 --exclude "*" --recursive --include "*20170304*" &amp; "%USERPROFILE%\Documents\GitHub\mrs-test-scripts\Headless Mode &amp; Sideloading\WalkAndUnGZ.bat" "%USERPROFILE%\AppData\Local\Temp\OnboardLogs"\RTDC4012\2017-03-04</v>
      </c>
      <c r="S27" s="92" t="str">
        <f>VLOOKUP(C27,'Train Runs'!$A$13:$AE$9937,22,0)</f>
        <v>https://d0f6bd738d7f1b3e5a7ca70fe4ff75f0.us-east-1.aws.found.io/app/kibana#/discover/Steve-Slow-Train-Analysis-(2080s-and-2083s)?_g=(refreshInterval:(display:Off,pause:!f,section:0,value:0),time:(from:'2017-03-03T21:40:42-0700',mode:absolute,to:'2017-03-04T00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7" s="94" t="str">
        <f t="shared" si="1"/>
        <v>"C:\Program Files (x86)\AstroGrep\AstroGrep.exe" /spath="%USERPROFILE%\AppData\Local\Temp\OnboardLogs" /stypes="*4012*201703040*" /stext=" 06:.+((SYSTEM_STATE.+slice.+state.+changed )|(ment ac)|(multiple cpu faults)|(system.+state.+changed )|(\[timeout)|(PRM\|1\|D)|(kpr)|(kdp)|(\|lc)|(penalty))" /e /r /s</v>
      </c>
      <c r="U27" s="9" t="str">
        <f t="shared" si="2"/>
        <v>4012</v>
      </c>
      <c r="V27" s="32">
        <f t="shared" si="3"/>
        <v>42798.254201388889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{"issue":{"subject":"","project_id":79,"tracker_id":40,"status_id":1,"priority_id":2,"assigned_to_id":23,"start_date":"2017-03-03","description":"","custom_fields":[{"id":1,"name":"Subdivision","value":"EC"},{"id":4,"name":"Milepost","value":"19.1104"},{"id":17,"name":"Train ID","value":"234-03"},{"id":16,"name":"Locomotive ID","value":"4012"},{"id":130,"name":"Impact","value":""},{"id":150,"name":"Time of Event (Mountain Time)","value":"23:06:03"},{"id":151,"name":"Denver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"%USERPROFILE%\AppData\Local\Temp\OnboardLogs"\RTDC4012\*4012*201703040*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"%USERPROFILE%\AppData\Local\Temp\OnboardLogs"\RTDC4012\*4012*201703040* &gt;&gt; 2017-03-03-SliceDisagreementCheck.txt</v>
      </c>
      <c r="AE27" s="157" t="str">
        <f t="shared" si="9"/>
        <v>start /low /b %USERPROFILE%\Documents\GitHub\eaglep3\Utilities\DownloadLogsFromS3.py --loco 4012 --day 2017-03-04</v>
      </c>
      <c r="AF27" s="1"/>
    </row>
    <row r="28" spans="1:32" x14ac:dyDescent="0.25">
      <c r="A28" s="32">
        <v>42797.187974537039</v>
      </c>
      <c r="B28" s="30" t="s">
        <v>504</v>
      </c>
      <c r="C28" s="30" t="s">
        <v>566</v>
      </c>
      <c r="D28" s="30" t="s">
        <v>49</v>
      </c>
      <c r="E28" s="30" t="s">
        <v>186</v>
      </c>
      <c r="F28" s="43">
        <v>0</v>
      </c>
      <c r="G28" s="43">
        <v>115</v>
      </c>
      <c r="H28" s="43">
        <v>903</v>
      </c>
      <c r="I28" s="43">
        <v>1085</v>
      </c>
      <c r="J28" s="30" t="s">
        <v>187</v>
      </c>
      <c r="K28" s="43">
        <v>1692</v>
      </c>
      <c r="L28" s="143" t="s">
        <v>50</v>
      </c>
      <c r="M28" s="144">
        <f t="shared" si="0"/>
        <v>320.49599999999998</v>
      </c>
      <c r="N28" s="145" t="str">
        <f>VLOOKUP(C28,'Trips&amp;Operators'!$C$1:$G$99999,5,FALSE)</f>
        <v>STARKS ANGELINA</v>
      </c>
      <c r="O28" s="173" t="s">
        <v>185</v>
      </c>
      <c r="P28" s="146" t="s">
        <v>1006</v>
      </c>
      <c r="Q28" s="30"/>
      <c r="R28" s="89" t="str">
        <f>VLOOKUP(C28,'Train Runs'!$A$13:$AE$9937,31,0)</f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S28" s="92" t="str">
        <f>VLOOKUP(C28,'Train Runs'!$A$13:$AE$9937,22,0)</f>
        <v>https://d0f6bd738d7f1b3e5a7ca70fe4ff75f0.us-east-1.aws.found.io/app/kibana#/discover/Steve-Slow-Train-Analysis-(2080s-and-2083s)?_g=(refreshInterval:(display:Off,pause:!f,section:0,value:0),time:(from:'2017-03-03T03:25:07-0700',mode:absolute,to:'2017-03-03T06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8" s="94" t="str">
        <f t="shared" si="1"/>
        <v>"C:\Program Files (x86)\AstroGrep\AstroGrep.exe" /spath="%USERPROFILE%\AppData\Local\Temp\OnboardLogs" /stypes="*4051*201703031*" /stext=" 11:.+((SYSTEM_STATE.+slice.+state.+changed )|(ment ac)|(multiple cpu faults)|(system.+state.+changed )|(\[timeout)|(PRM\|1\|D)|(kpr)|(kdp)|(\|lc)|(penalty))" /e /r /s</v>
      </c>
      <c r="U28" s="9" t="str">
        <f t="shared" si="2"/>
        <v>4051</v>
      </c>
      <c r="V28" s="32">
        <f t="shared" si="3"/>
        <v>42797.479641203703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{"issue":{"subject":"Selected wrong track","project_id":79,"tracker_id":40,"status_id":1,"priority_id":2,"assigned_to_id":23,"start_date":"2017-03-03","description":"","custom_fields":[{"id":1,"name":"Subdivision","value":"EC"},{"id":4,"name":"Milepost","value":"0.1692"},{"id":17,"name":"Train ID","value":"107-03"},{"id":16,"name":"Locomotive ID","value":"4051"},{"id":130,"name":"Impact","value":""},{"id":150,"name":"Time of Event (Mountain Time)","value":"04:30:41"},{"id":151,"name":"Denver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"%USERPROFILE%\AppData\Local\Temp\OnboardLogs"\RTDC4051\*4051*201703031*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"%USERPROFILE%\AppData\Local\Temp\OnboardLogs"\RTDC4051\*4051*201703031* &gt;&gt; 2017-03-03-SliceDisagreementCheck.txt</v>
      </c>
      <c r="AE28" s="157" t="str">
        <f t="shared" si="9"/>
        <v>start /low /b %USERPROFILE%\Documents\GitHub\eaglep3\Utilities\DownloadLogsFromS3.py --loco 4051 --day 2017-03-03</v>
      </c>
      <c r="AF28" s="1"/>
    </row>
    <row r="29" spans="1:32" x14ac:dyDescent="0.25">
      <c r="A29" s="32">
        <v>42797.287476851852</v>
      </c>
      <c r="B29" s="30" t="s">
        <v>206</v>
      </c>
      <c r="C29" s="30" t="s">
        <v>574</v>
      </c>
      <c r="D29" s="30" t="s">
        <v>98</v>
      </c>
      <c r="E29" s="30" t="s">
        <v>495</v>
      </c>
      <c r="F29" s="43">
        <v>150</v>
      </c>
      <c r="G29" s="43">
        <v>207</v>
      </c>
      <c r="H29" s="43">
        <v>62830</v>
      </c>
      <c r="I29" s="43">
        <v>62469</v>
      </c>
      <c r="J29" s="30" t="s">
        <v>198</v>
      </c>
      <c r="K29" s="43">
        <v>63300</v>
      </c>
      <c r="L29" s="143" t="s">
        <v>51</v>
      </c>
      <c r="M29" s="144">
        <f t="shared" si="0"/>
        <v>-438.76799999999997</v>
      </c>
      <c r="N29" s="145" t="str">
        <f>VLOOKUP(C29,'Trips&amp;Operators'!$C$1:$G$99999,5,FALSE)</f>
        <v>MAYBERRY BILL</v>
      </c>
      <c r="O29" s="173" t="s">
        <v>185</v>
      </c>
      <c r="P29" s="146"/>
      <c r="Q29" s="30"/>
      <c r="R29" s="89" t="str">
        <f>VLOOKUP(C29,'Train Runs'!$A$13:$AE$9937,31,0)</f>
        <v>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 &amp; aws s3 cp s3://rtdc.mdm.uploadarchive.raw/RTDC4030/ "%USERPROFILE%\AppData\Local\Temp\OnboardLogs"\RTDC4030\2017-03-04 --exclude "*" --recursive --include "*20170304*" &amp; "%USERPROFILE%\Documents\GitHub\mrs-test-scripts\Headless Mode &amp; Sideloading\WalkAndUnGZ.bat" "%USERPROFILE%\AppData\Local\Temp\OnboardLogs"\RTDC4030\2017-03-04</v>
      </c>
      <c r="S29" s="92" t="str">
        <f>VLOOKUP(C29,'Train Runs'!$A$13:$AE$9937,22,0)</f>
        <v>https://d0f6bd738d7f1b3e5a7ca70fe4ff75f0.us-east-1.aws.found.io/app/kibana#/discover/Steve-Slow-Train-Analysis-(2080s-and-2083s)?_g=(refreshInterval:(display:Off,pause:!f,section:0,value:0),time:(from:'2017-03-03T05:26:36-0700',mode:absolute,to:'2017-03-03T08:11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94" t="str">
        <f t="shared" si="1"/>
        <v>"C:\Program Files (x86)\AstroGrep\AstroGrep.exe" /spath="%USERPROFILE%\AppData\Local\Temp\OnboardLogs" /stypes="*4030*201703031*" /stext=" 13:.+((SYSTEM_STATE.+slice.+state.+changed )|(ment ac)|(multiple cpu faults)|(system.+state.+changed )|(\[timeout)|(PRM\|1\|D)|(kpr)|(kdp)|(\|lc)|(penalty))" /e /r /s</v>
      </c>
      <c r="U29" s="9" t="str">
        <f t="shared" si="2"/>
        <v>4030</v>
      </c>
      <c r="V29" s="32">
        <f t="shared" si="3"/>
        <v>42797.579143518517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{"issue":{"subject":"","project_id":79,"tracker_id":40,"status_id":1,"priority_id":2,"assigned_to_id":23,"start_date":"2017-03-03","description":"","custom_fields":[{"id":1,"name":"Subdivision","value":"EC"},{"id":4,"name":"Milepost","value":"6.33"},{"id":17,"name":"Train ID","value":"116-03"},{"id":16,"name":"Locomotive ID","value":"4030"},{"id":130,"name":"Impact","value":""},{"id":150,"name":"Time of Event (Mountain Time)","value":"06:53:58"},{"id":151,"name":"Denver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"%USERPROFILE%\AppData\Local\Temp\OnboardLogs"\RTDC4030\*4030*201703031*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"%USERPROFILE%\AppData\Local\Temp\OnboardLogs"\RTDC4030\*4030*201703031* &gt;&gt; 2017-03-03-SliceDisagreementCheck.txt</v>
      </c>
      <c r="AE29" s="157" t="str">
        <f t="shared" si="9"/>
        <v>start /low /b %USERPROFILE%\Documents\GitHub\eaglep3\Utilities\DownloadLogsFromS3.py --loco 4030 --day 2017-03-03</v>
      </c>
      <c r="AF29" s="1"/>
    </row>
    <row r="30" spans="1:32" x14ac:dyDescent="0.25">
      <c r="A30" s="32">
        <v>42797.252268518518</v>
      </c>
      <c r="B30" s="30" t="s">
        <v>497</v>
      </c>
      <c r="C30" s="30" t="s">
        <v>568</v>
      </c>
      <c r="D30" s="30" t="s">
        <v>49</v>
      </c>
      <c r="E30" s="30" t="s">
        <v>188</v>
      </c>
      <c r="F30" s="43">
        <v>0</v>
      </c>
      <c r="G30" s="43">
        <v>55</v>
      </c>
      <c r="H30" s="43">
        <v>216</v>
      </c>
      <c r="I30" s="43">
        <v>174</v>
      </c>
      <c r="J30" s="30" t="s">
        <v>189</v>
      </c>
      <c r="K30" s="43">
        <v>1</v>
      </c>
      <c r="L30" s="143" t="s">
        <v>51</v>
      </c>
      <c r="M30" s="144">
        <f t="shared" si="0"/>
        <v>91.343999999999994</v>
      </c>
      <c r="N30" s="145" t="str">
        <f>VLOOKUP(C30,'Trips&amp;Operators'!$C$1:$G$99999,5,FALSE)</f>
        <v>CUSHING HARRY</v>
      </c>
      <c r="O30" s="173" t="s">
        <v>185</v>
      </c>
      <c r="P30" s="146"/>
      <c r="Q30" s="30"/>
      <c r="R30" s="89" t="str">
        <f>VLOOKUP(C30,'Train Runs'!$A$13:$AE$9937,31,0)</f>
        <v>aws s3 cp s3://rtdc.mdm.uploadarchive.raw/RTDC4008/ "%USERPROFILE%\AppData\Local\Temp\OnboardLogs"\RTDC4008\2017-03-03 --exclude "*" --recursive --include "*20170303*" &amp; "%USERPROFILE%\Documents\GitHub\mrs-test-scripts\Headless Mode &amp; Sideloading\WalkAndUnGZ.bat" "%USERPROFILE%\AppData\Local\Temp\OnboardLogs"\RTDC4008\2017-03-03 &amp; aws s3 cp s3://rtdc.mdm.uploadarchive.raw/RTDC4008/ "%USERPROFILE%\AppData\Local\Temp\OnboardLogs"\RTDC4008\2017-03-04 --exclude "*" --recursive --include "*20170304*" &amp; "%USERPROFILE%\Documents\GitHub\mrs-test-scripts\Headless Mode &amp; Sideloading\WalkAndUnGZ.bat" "%USERPROFILE%\AppData\Local\Temp\OnboardLogs"\RTDC4008\2017-03-04</v>
      </c>
      <c r="S30" s="92" t="str">
        <f>VLOOKUP(C30,'Train Runs'!$A$13:$AE$9937,22,0)</f>
        <v>https://d0f6bd738d7f1b3e5a7ca70fe4ff75f0.us-east-1.aws.found.io/app/kibana#/discover/Steve-Slow-Train-Analysis-(2080s-and-2083s)?_g=(refreshInterval:(display:Off,pause:!f,section:0,value:0),time:(from:'2017-03-03T04:03:02-0700',mode:absolute,to:'2017-03-03T07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0" s="94" t="str">
        <f t="shared" si="1"/>
        <v>"C:\Program Files (x86)\AstroGrep\AstroGrep.exe" /spath="%USERPROFILE%\AppData\Local\Temp\OnboardLogs" /stypes="*4008*201703031*" /stext=" 13:.+((SYSTEM_STATE.+slice.+state.+changed )|(ment ac)|(multiple cpu faults)|(system.+state.+changed )|(\[timeout)|(PRM\|1\|D)|(kpr)|(kdp)|(\|lc)|(penalty))" /e /r /s</v>
      </c>
      <c r="U30" s="9" t="str">
        <f t="shared" si="2"/>
        <v>4008</v>
      </c>
      <c r="V30" s="32">
        <f t="shared" si="3"/>
        <v>42797.543935185182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{"issue":{"subject":"","project_id":79,"tracker_id":40,"status_id":1,"priority_id":2,"assigned_to_id":23,"start_date":"2017-03-03","description":"","custom_fields":[{"id":1,"name":"Subdivision","value":"EC"},{"id":4,"name":"Milepost","value":"0.0001"},{"id":17,"name":"Train ID","value":"106-03"},{"id":16,"name":"Locomotive ID","value":"4008"},{"id":130,"name":"Impact","value":""},{"id":150,"name":"Time of Event (Mountain Time)","value":"06:03:16"},{"id":151,"name":"Denver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"%USERPROFILE%\AppData\Local\Temp\OnboardLogs"\RTDC4008\*4008*201703031*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"%USERPROFILE%\AppData\Local\Temp\OnboardLogs"\RTDC4008\*4008*201703031* &gt;&gt; 2017-03-03-SliceDisagreementCheck.txt</v>
      </c>
      <c r="AE30" s="157" t="str">
        <f t="shared" si="9"/>
        <v>start /low /b %USERPROFILE%\Documents\GitHub\eaglep3\Utilities\DownloadLogsFromS3.py --loco 4008 --day 2017-03-03</v>
      </c>
      <c r="AF30" s="1"/>
    </row>
    <row r="31" spans="1:32" x14ac:dyDescent="0.25">
      <c r="A31" s="32">
        <v>42797.258414351854</v>
      </c>
      <c r="B31" s="30" t="s">
        <v>491</v>
      </c>
      <c r="C31" s="30" t="s">
        <v>567</v>
      </c>
      <c r="D31" s="30" t="s">
        <v>49</v>
      </c>
      <c r="E31" s="30" t="s">
        <v>188</v>
      </c>
      <c r="F31" s="43">
        <v>0</v>
      </c>
      <c r="G31" s="43">
        <v>52</v>
      </c>
      <c r="H31" s="43">
        <v>178</v>
      </c>
      <c r="I31" s="43">
        <v>132</v>
      </c>
      <c r="J31" s="30" t="s">
        <v>189</v>
      </c>
      <c r="K31" s="43">
        <v>1</v>
      </c>
      <c r="L31" s="143" t="s">
        <v>51</v>
      </c>
      <c r="M31" s="144">
        <f t="shared" si="0"/>
        <v>69.168000000000006</v>
      </c>
      <c r="N31" s="145" t="str">
        <f>VLOOKUP(C31,'Trips&amp;Operators'!$C$1:$G$99999,5,FALSE)</f>
        <v>STARKS ANGELINA</v>
      </c>
      <c r="O31" s="173" t="s">
        <v>185</v>
      </c>
      <c r="P31" s="146"/>
      <c r="Q31" s="30"/>
      <c r="R31" s="89" t="str">
        <f>VLOOKUP(C31,'Train Runs'!$A$13:$AE$9937,31,0)</f>
        <v>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 &amp; aws s3 cp s3://rtdc.mdm.uploadarchive.raw/RTDC4052/ "%USERPROFILE%\AppData\Local\Temp\OnboardLogs"\RTDC4052\2017-03-04 --exclude "*" --recursive --include "*20170304*" &amp; "%USERPROFILE%\Documents\GitHub\mrs-test-scripts\Headless Mode &amp; Sideloading\WalkAndUnGZ.bat" "%USERPROFILE%\AppData\Local\Temp\OnboardLogs"\RTDC4052\2017-03-04</v>
      </c>
      <c r="S31" s="92" t="str">
        <f>VLOOKUP(C31,'Train Runs'!$A$13:$AE$9937,22,0)</f>
        <v>https://d0f6bd738d7f1b3e5a7ca70fe4ff75f0.us-east-1.aws.found.io/app/kibana#/discover/Steve-Slow-Train-Analysis-(2080s-and-2083s)?_g=(refreshInterval:(display:Off,pause:!f,section:0,value:0),time:(from:'2017-03-03T04:23:26-0700',mode:absolute,to:'2017-03-03T07:12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1" s="94" t="str">
        <f t="shared" si="1"/>
        <v>"C:\Program Files (x86)\AstroGrep\AstroGrep.exe" /spath="%USERPROFILE%\AppData\Local\Temp\OnboardLogs" /stypes="*4052*201703031*" /stext=" 13:.+((SYSTEM_STATE.+slice.+state.+changed )|(ment ac)|(multiple cpu faults)|(system.+state.+changed )|(\[timeout)|(PRM\|1\|D)|(kpr)|(kdp)|(\|lc)|(penalty))" /e /r /s</v>
      </c>
      <c r="U31" s="9" t="str">
        <f t="shared" si="2"/>
        <v>4052</v>
      </c>
      <c r="V31" s="32">
        <f t="shared" si="3"/>
        <v>42797.550081018519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{"issue":{"subject":"","project_id":79,"tracker_id":40,"status_id":1,"priority_id":2,"assigned_to_id":23,"start_date":"2017-03-03","description":"","custom_fields":[{"id":1,"name":"Subdivision","value":"EC"},{"id":4,"name":"Milepost","value":"0.0001"},{"id":17,"name":"Train ID","value":"108-03"},{"id":16,"name":"Locomotive ID","value":"4052"},{"id":130,"name":"Impact","value":""},{"id":150,"name":"Time of Event (Mountain Time)","value":"06:12:07"},{"id":151,"name":"Denver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"%USERPROFILE%\AppData\Local\Temp\OnboardLogs"\RTDC4052\*4052*201703031*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"%USERPROFILE%\AppData\Local\Temp\OnboardLogs"\RTDC4052\*4052*201703031* &gt;&gt; 2017-03-03-SliceDisagreementCheck.txt</v>
      </c>
      <c r="AE31" s="157" t="str">
        <f t="shared" si="9"/>
        <v>start /low /b %USERPROFILE%\Documents\GitHub\eaglep3\Utilities\DownloadLogsFromS3.py --loco 4052 --day 2017-03-03</v>
      </c>
      <c r="AF31" s="1"/>
    </row>
    <row r="32" spans="1:32" x14ac:dyDescent="0.25">
      <c r="A32" s="32">
        <v>42797.360474537039</v>
      </c>
      <c r="B32" s="30" t="s">
        <v>572</v>
      </c>
      <c r="C32" s="30" t="s">
        <v>582</v>
      </c>
      <c r="D32" s="30" t="s">
        <v>49</v>
      </c>
      <c r="E32" s="30" t="s">
        <v>188</v>
      </c>
      <c r="F32" s="43">
        <v>0</v>
      </c>
      <c r="G32" s="43">
        <v>46</v>
      </c>
      <c r="H32" s="43">
        <v>216</v>
      </c>
      <c r="I32" s="43">
        <v>149</v>
      </c>
      <c r="J32" s="30" t="s">
        <v>189</v>
      </c>
      <c r="K32" s="43">
        <v>1</v>
      </c>
      <c r="L32" s="143" t="s">
        <v>51</v>
      </c>
      <c r="M32" s="144">
        <f t="shared" si="0"/>
        <v>78.144000000000005</v>
      </c>
      <c r="N32" s="145" t="str">
        <f>VLOOKUP(C32,'Trips&amp;Operators'!$C$1:$G$99999,5,FALSE)</f>
        <v>BADERTSCHER DIANE</v>
      </c>
      <c r="O32" s="173" t="s">
        <v>185</v>
      </c>
      <c r="P32" s="146"/>
      <c r="Q32" s="30"/>
      <c r="R32" s="89" t="str">
        <f>VLOOKUP(C32,'Train Runs'!$A$13:$AE$9937,31,0)</f>
        <v>aws s3 cp s3://rtdc.mdm.uploadarchive.raw/RTDC4054/ "%USERPROFILE%\AppData\Local\Temp\OnboardLogs"\RTDC4054\2017-03-03 --exclude "*" --recursive --include "*20170303*" &amp; "%USERPROFILE%\Documents\GitHub\mrs-test-scripts\Headless Mode &amp; Sideloading\WalkAndUnGZ.bat" "%USERPROFILE%\AppData\Local\Temp\OnboardLogs"\RTDC4054\2017-03-03 &amp; aws s3 cp s3://rtdc.mdm.uploadarchive.raw/RTDC4054/ "%USERPROFILE%\AppData\Local\Temp\OnboardLogs"\RTDC4054\2017-03-04 --exclude "*" --recursive --include "*20170304*" &amp; "%USERPROFILE%\Documents\GitHub\mrs-test-scripts\Headless Mode &amp; Sideloading\WalkAndUnGZ.bat" "%USERPROFILE%\AppData\Local\Temp\OnboardLogs"\RTDC4054\2017-03-04</v>
      </c>
      <c r="S32" s="92" t="str">
        <f>VLOOKUP(C32,'Train Runs'!$A$13:$AE$9937,22,0)</f>
        <v>https://d0f6bd738d7f1b3e5a7ca70fe4ff75f0.us-east-1.aws.found.io/app/kibana#/discover/Steve-Slow-Train-Analysis-(2080s-and-2083s)?_g=(refreshInterval:(display:Off,pause:!f,section:0,value:0),time:(from:'2017-03-03T06:44:23-0700',mode:absolute,to:'2017-03-03T09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2" s="94" t="str">
        <f t="shared" si="1"/>
        <v>"C:\Program Files (x86)\AstroGrep\AstroGrep.exe" /spath="%USERPROFILE%\AppData\Local\Temp\OnboardLogs" /stypes="*4054*201703031*" /stext=" 15:.+((SYSTEM_STATE.+slice.+state.+changed )|(ment ac)|(multiple cpu faults)|(system.+state.+changed )|(\[timeout)|(PRM\|1\|D)|(kpr)|(kdp)|(\|lc)|(penalty))" /e /r /s</v>
      </c>
      <c r="U32" s="9" t="str">
        <f t="shared" si="2"/>
        <v>4054</v>
      </c>
      <c r="V32" s="32">
        <f t="shared" si="3"/>
        <v>42797.652141203704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{"issue":{"subject":"","project_id":79,"tracker_id":40,"status_id":1,"priority_id":2,"assigned_to_id":23,"start_date":"2017-03-03","description":"","custom_fields":[{"id":1,"name":"Subdivision","value":"EC"},{"id":4,"name":"Milepost","value":"0.0001"},{"id":17,"name":"Train ID","value":"128-03"},{"id":16,"name":"Locomotive ID","value":"4054"},{"id":130,"name":"Impact","value":""},{"id":150,"name":"Time of Event (Mountain Time)","value":"08:39:05"},{"id":151,"name":"Denver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"%USERPROFILE%\AppData\Local\Temp\OnboardLogs"\RTDC4054\*4054*201703031*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"%USERPROFILE%\AppData\Local\Temp\OnboardLogs"\RTDC4054\*4054*201703031* &gt;&gt; 2017-03-03-SliceDisagreementCheck.txt</v>
      </c>
      <c r="AE32" s="157" t="str">
        <f t="shared" si="9"/>
        <v>start /low /b %USERPROFILE%\Documents\GitHub\eaglep3\Utilities\DownloadLogsFromS3.py --loco 4054 --day 2017-03-03</v>
      </c>
      <c r="AF32" s="1"/>
    </row>
    <row r="33" spans="1:32" x14ac:dyDescent="0.25">
      <c r="A33" s="32">
        <v>42797.59915509259</v>
      </c>
      <c r="B33" s="30" t="s">
        <v>332</v>
      </c>
      <c r="C33" s="30" t="s">
        <v>589</v>
      </c>
      <c r="D33" s="30" t="s">
        <v>49</v>
      </c>
      <c r="E33" s="30" t="s">
        <v>188</v>
      </c>
      <c r="F33" s="43">
        <v>0</v>
      </c>
      <c r="G33" s="43">
        <v>70</v>
      </c>
      <c r="H33" s="43">
        <v>245</v>
      </c>
      <c r="I33" s="43">
        <v>198</v>
      </c>
      <c r="J33" s="30" t="s">
        <v>189</v>
      </c>
      <c r="K33" s="43">
        <v>1</v>
      </c>
      <c r="L33" s="143" t="s">
        <v>51</v>
      </c>
      <c r="M33" s="144">
        <f t="shared" si="0"/>
        <v>104.01600000000001</v>
      </c>
      <c r="N33" s="145" t="str">
        <f>VLOOKUP(C33,'Trips&amp;Operators'!$C$1:$G$99999,5,FALSE)</f>
        <v>STRICKLAND EVAN</v>
      </c>
      <c r="O33" s="173" t="s">
        <v>185</v>
      </c>
      <c r="P33" s="146"/>
      <c r="Q33" s="30"/>
      <c r="R33" s="89" t="str">
        <f>VLOOKUP(C33,'Train Runs'!$A$13:$AE$9937,31,0)</f>
        <v>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 &amp; aws s3 cp s3://rtdc.mdm.uploadarchive.raw/RTDC4032/ "%USERPROFILE%\AppData\Local\Temp\OnboardLogs"\RTDC4032\2017-03-04 --exclude "*" --recursive --include "*20170304*" &amp; "%USERPROFILE%\Documents\GitHub\mrs-test-scripts\Headless Mode &amp; Sideloading\WalkAndUnGZ.bat" "%USERPROFILE%\AppData\Local\Temp\OnboardLogs"\RTDC4032\2017-03-04</v>
      </c>
      <c r="S33" s="92" t="str">
        <f>VLOOKUP(C33,'Train Runs'!$A$13:$AE$9937,22,0)</f>
        <v>https://d0f6bd738d7f1b3e5a7ca70fe4ff75f0.us-east-1.aws.found.io/app/kibana#/discover/Steve-Slow-Train-Analysis-(2080s-and-2083s)?_g=(refreshInterval:(display:Off,pause:!f,section:0,value:0),time:(from:'2017-03-03T12:25:48-0700',mode:absolute,to:'2017-03-03T15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3" s="94" t="str">
        <f t="shared" si="1"/>
        <v>"C:\Program Files (x86)\AstroGrep\AstroGrep.exe" /spath="%USERPROFILE%\AppData\Local\Temp\OnboardLogs" /stypes="*4032*201703032*" /stext=" 21:.+((SYSTEM_STATE.+slice.+state.+changed )|(ment ac)|(multiple cpu faults)|(system.+state.+changed )|(\[timeout)|(PRM\|1\|D)|(kpr)|(kdp)|(\|lc)|(penalty))" /e /r /s</v>
      </c>
      <c r="U33" s="9" t="str">
        <f t="shared" si="2"/>
        <v>4032</v>
      </c>
      <c r="V33" s="32">
        <f t="shared" si="3"/>
        <v>42797.890821759254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{"issue":{"subject":"","project_id":79,"tracker_id":40,"status_id":1,"priority_id":2,"assigned_to_id":23,"start_date":"2017-03-03","description":"","custom_fields":[{"id":1,"name":"Subdivision","value":"EC"},{"id":4,"name":"Milepost","value":"0.0001"},{"id":17,"name":"Train ID","value":"174-03"},{"id":16,"name":"Locomotive ID","value":"4032"},{"id":130,"name":"Impact","value":""},{"id":150,"name":"Time of Event (Mountain Time)","value":"14:22:47"},{"id":151,"name":"Denver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"%USERPROFILE%\AppData\Local\Temp\OnboardLogs"\RTDC4032\*4032*201703032*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"%USERPROFILE%\AppData\Local\Temp\OnboardLogs"\RTDC4032\*4032*201703032* &gt;&gt; 2017-03-03-SliceDisagreementCheck.txt</v>
      </c>
      <c r="AE33" s="157" t="str">
        <f t="shared" si="9"/>
        <v>start /low /b %USERPROFILE%\Documents\GitHub\eaglep3\Utilities\DownloadLogsFromS3.py --loco 4032 --day 2017-03-03</v>
      </c>
      <c r="AF33" s="1"/>
    </row>
    <row r="34" spans="1:32" x14ac:dyDescent="0.25">
      <c r="A34" s="32">
        <v>42797.607083333336</v>
      </c>
      <c r="B34" s="30" t="s">
        <v>591</v>
      </c>
      <c r="C34" s="30" t="s">
        <v>592</v>
      </c>
      <c r="D34" s="30" t="s">
        <v>49</v>
      </c>
      <c r="E34" s="30" t="s">
        <v>188</v>
      </c>
      <c r="F34" s="43">
        <v>0</v>
      </c>
      <c r="G34" s="43">
        <v>55</v>
      </c>
      <c r="H34" s="43">
        <v>200</v>
      </c>
      <c r="I34" s="43">
        <v>154</v>
      </c>
      <c r="J34" s="30" t="s">
        <v>189</v>
      </c>
      <c r="K34" s="43">
        <v>1</v>
      </c>
      <c r="L34" s="143" t="s">
        <v>51</v>
      </c>
      <c r="M34" s="144">
        <f t="shared" si="0"/>
        <v>80.784000000000006</v>
      </c>
      <c r="N34" s="145" t="str">
        <f>VLOOKUP(C34,'Trips&amp;Operators'!$C$1:$G$99999,5,FALSE)</f>
        <v>ROMERO CHAD</v>
      </c>
      <c r="O34" s="173" t="s">
        <v>185</v>
      </c>
      <c r="P34" s="146"/>
      <c r="Q34" s="30"/>
      <c r="R34" s="89" t="str">
        <f>VLOOKUP(C34,'Train Runs'!$A$13:$AE$9937,31,0)</f>
        <v>aws s3 cp s3://rtdc.mdm.uploadarchive.raw/RTDC4023/ "%USERPROFILE%\AppData\Local\Temp\OnboardLogs"\RTDC4023\2017-03-03 --exclude "*" --recursive --include "*20170303*" &amp; "%USERPROFILE%\Documents\GitHub\mrs-test-scripts\Headless Mode &amp; Sideloading\WalkAndUnGZ.bat" "%USERPROFILE%\AppData\Local\Temp\OnboardLogs"\RTDC4023\2017-03-03 &amp; aws s3 cp s3://rtdc.mdm.uploadarchive.raw/RTDC4023/ "%USERPROFILE%\AppData\Local\Temp\OnboardLogs"\RTDC4023\2017-03-04 --exclude "*" --recursive --include "*20170304*" &amp; "%USERPROFILE%\Documents\GitHub\mrs-test-scripts\Headless Mode &amp; Sideloading\WalkAndUnGZ.bat" "%USERPROFILE%\AppData\Local\Temp\OnboardLogs"\RTDC4023\2017-03-04</v>
      </c>
      <c r="S34" s="92" t="str">
        <f>VLOOKUP(C34,'Train Runs'!$A$13:$AE$9937,22,0)</f>
        <v>https://d0f6bd738d7f1b3e5a7ca70fe4ff75f0.us-east-1.aws.found.io/app/kibana#/discover/Steve-Slow-Train-Analysis-(2080s-and-2083s)?_g=(refreshInterval:(display:Off,pause:!f,section:0,value:0),time:(from:'2017-03-03T12:45:51-0700',mode:absolute,to:'2017-03-03T15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4" s="94" t="str">
        <f t="shared" si="1"/>
        <v>"C:\Program Files (x86)\AstroGrep\AstroGrep.exe" /spath="%USERPROFILE%\AppData\Local\Temp\OnboardLogs" /stypes="*4023*201703032*" /stext=" 21:.+((SYSTEM_STATE.+slice.+state.+changed )|(ment ac)|(multiple cpu faults)|(system.+state.+changed )|(\[timeout)|(PRM\|1\|D)|(kpr)|(kdp)|(\|lc)|(penalty))" /e /r /s</v>
      </c>
      <c r="U34" s="9" t="str">
        <f t="shared" si="2"/>
        <v>4023</v>
      </c>
      <c r="V34" s="32">
        <f t="shared" si="3"/>
        <v>42797.89875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{"issue":{"subject":"","project_id":79,"tracker_id":40,"status_id":1,"priority_id":2,"assigned_to_id":23,"start_date":"2017-03-03","description":"","custom_fields":[{"id":1,"name":"Subdivision","value":"EC"},{"id":4,"name":"Milepost","value":"0.0001"},{"id":17,"name":"Train ID","value":"176-03"},{"id":16,"name":"Locomotive ID","value":"4023"},{"id":130,"name":"Impact","value":""},{"id":150,"name":"Time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"%USERPROFILE%\AppData\Local\Temp\OnboardLogs"\RTDC4023\*4023*201703032*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"%USERPROFILE%\AppData\Local\Temp\OnboardLogs"\RTDC4023\*4023*201703032* &gt;&gt; 2017-03-03-SliceDisagreementCheck.txt</v>
      </c>
      <c r="AE34" s="157" t="str">
        <f t="shared" si="9"/>
        <v>start /low /b %USERPROFILE%\Documents\GitHub\eaglep3\Utilities\DownloadLogsFromS3.py --loco 4023 --day 2017-03-03</v>
      </c>
      <c r="AF34" s="1"/>
    </row>
    <row r="35" spans="1:32" x14ac:dyDescent="0.25">
      <c r="A35" s="32">
        <v>42797.264780092592</v>
      </c>
      <c r="B35" s="30" t="s">
        <v>569</v>
      </c>
      <c r="C35" s="30" t="s">
        <v>570</v>
      </c>
      <c r="D35" s="30" t="s">
        <v>49</v>
      </c>
      <c r="E35" s="30" t="s">
        <v>188</v>
      </c>
      <c r="F35" s="43">
        <v>0</v>
      </c>
      <c r="G35" s="43">
        <v>89</v>
      </c>
      <c r="H35" s="43">
        <v>233142</v>
      </c>
      <c r="I35" s="43">
        <v>233247</v>
      </c>
      <c r="J35" s="30" t="s">
        <v>189</v>
      </c>
      <c r="K35" s="43">
        <v>233491</v>
      </c>
      <c r="L35" s="143" t="s">
        <v>50</v>
      </c>
      <c r="M35" s="144">
        <f t="shared" si="0"/>
        <v>128.83199999999999</v>
      </c>
      <c r="N35" s="145" t="str">
        <f>VLOOKUP(C35,'Trips&amp;Operators'!$C$1:$G$99999,5,FALSE)</f>
        <v>MAYBERRY BILL</v>
      </c>
      <c r="O35" s="173" t="s">
        <v>185</v>
      </c>
      <c r="P35" s="146"/>
      <c r="Q35" s="30"/>
      <c r="R35" s="89" t="str">
        <f>VLOOKUP(C35,'Train Runs'!$A$13:$AE$9937,31,0)</f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S35" s="92" t="str">
        <f>VLOOKUP(C35,'Train Runs'!$A$13:$AE$9937,22,0)</f>
        <v>https://d0f6bd738d7f1b3e5a7ca70fe4ff75f0.us-east-1.aws.found.io/app/kibana#/discover/Steve-Slow-Train-Analysis-(2080s-and-2083s)?_g=(refreshInterval:(display:Off,pause:!f,section:0,value:0),time:(from:'2017-03-03T04:38:12-0700',mode:absolute,to:'2017-03-03T07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94" t="str">
        <f t="shared" si="1"/>
        <v>"C:\Program Files (x86)\AstroGrep\AstroGrep.exe" /spath="%USERPROFILE%\AppData\Local\Temp\OnboardLogs" /stypes="*4029*201703031*" /stext=" 13:.+((SYSTEM_STATE.+slice.+state.+changed )|(ment ac)|(multiple cpu faults)|(system.+state.+changed )|(\[timeout)|(PRM\|1\|D)|(kpr)|(kdp)|(\|lc)|(penalty))" /e /r /s</v>
      </c>
      <c r="U35" s="9" t="str">
        <f t="shared" si="2"/>
        <v>4029</v>
      </c>
      <c r="V35" s="32">
        <f t="shared" si="3"/>
        <v>42797.556446759256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{"issue":{"subject":"","project_id":79,"tracker_id":40,"status_id":1,"priority_id":2,"assigned_to_id":23,"start_date":"2017-03-03","description":"","custom_fields":[{"id":1,"name":"Subdivision","value":"EC"},{"id":4,"name":"Milepost","value":"23.3491"},{"id":17,"name":"Train ID","value":"115-03"},{"id":16,"name":"Locomotive ID","value":"4029"},{"id":130,"name":"Impact","value":""},{"id":150,"name":"Time of Event (Mountain Time)","value":"06:21:17"},{"id":151,"name":"Denver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"%USERPROFILE%\AppData\Local\Temp\OnboardLogs"\RTDC4029\*4029*201703031*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"%USERPROFILE%\AppData\Local\Temp\OnboardLogs"\RTDC4029\*4029*201703031* &gt;&gt; 2017-03-03-SliceDisagreementCheck.txt</v>
      </c>
      <c r="AE35" s="157" t="str">
        <f t="shared" si="9"/>
        <v>start /low /b %USERPROFILE%\Documents\GitHub\eaglep3\Utilities\DownloadLogsFromS3.py --loco 4029 --day 2017-03-03</v>
      </c>
      <c r="AF35" s="1"/>
    </row>
    <row r="36" spans="1:32" x14ac:dyDescent="0.25">
      <c r="A36" s="32">
        <v>42797.390011574076</v>
      </c>
      <c r="B36" s="30" t="s">
        <v>501</v>
      </c>
      <c r="C36" s="30" t="s">
        <v>584</v>
      </c>
      <c r="D36" s="30" t="s">
        <v>49</v>
      </c>
      <c r="E36" s="30" t="s">
        <v>188</v>
      </c>
      <c r="F36" s="43">
        <v>0</v>
      </c>
      <c r="G36" s="43">
        <v>53</v>
      </c>
      <c r="H36" s="43">
        <v>233224</v>
      </c>
      <c r="I36" s="43">
        <v>233299</v>
      </c>
      <c r="J36" s="30" t="s">
        <v>189</v>
      </c>
      <c r="K36" s="43">
        <v>233491</v>
      </c>
      <c r="L36" s="143" t="s">
        <v>50</v>
      </c>
      <c r="M36" s="144">
        <f t="shared" si="0"/>
        <v>101.376</v>
      </c>
      <c r="N36" s="145" t="str">
        <f>VLOOKUP(C36,'Trips&amp;Operators'!$C$1:$G$99999,5,FALSE)</f>
        <v>BADERTSCHER DIANE</v>
      </c>
      <c r="O36" s="173" t="s">
        <v>185</v>
      </c>
      <c r="P36" s="146"/>
      <c r="Q36" s="30"/>
      <c r="R36" s="89" t="str">
        <f>VLOOKUP(C36,'Train Runs'!$A$13:$AE$9937,31,0)</f>
        <v>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 &amp; aws s3 cp s3://rtdc.mdm.uploadarchive.raw/RTDC4053/ "%USERPROFILE%\AppData\Local\Temp\OnboardLogs"\RTDC4053\2017-03-04 --exclude "*" --recursive --include "*20170304*" &amp; "%USERPROFILE%\Documents\GitHub\mrs-test-scripts\Headless Mode &amp; Sideloading\WalkAndUnGZ.bat" "%USERPROFILE%\AppData\Local\Temp\OnboardLogs"\RTDC4053\2017-03-04</v>
      </c>
      <c r="S36" s="92" t="str">
        <f>VLOOKUP(C36,'Train Runs'!$A$13:$AE$9937,22,0)</f>
        <v>https://d0f6bd738d7f1b3e5a7ca70fe4ff75f0.us-east-1.aws.found.io/app/kibana#/discover/Steve-Slow-Train-Analysis-(2080s-and-2083s)?_g=(refreshInterval:(display:Off,pause:!f,section:0,value:0),time:(from:'2017-03-03T07:43:42-0700',mode:absolute,to:'2017-03-03T10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6" s="94" t="str">
        <f t="shared" si="1"/>
        <v>"C:\Program Files (x86)\AstroGrep\AstroGrep.exe" /spath="%USERPROFILE%\AppData\Local\Temp\OnboardLogs" /stypes="*4053*201703031*" /stext=" 16:.+((SYSTEM_STATE.+slice.+state.+changed )|(ment ac)|(multiple cpu faults)|(system.+state.+changed )|(\[timeout)|(PRM\|1\|D)|(kpr)|(kdp)|(\|lc)|(penalty))" /e /r /s</v>
      </c>
      <c r="U36" s="9" t="str">
        <f t="shared" si="2"/>
        <v>4053</v>
      </c>
      <c r="V36" s="32">
        <f t="shared" si="3"/>
        <v>42797.68167824074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{"issue":{"subject":"","project_id":79,"tracker_id":40,"status_id":1,"priority_id":2,"assigned_to_id":23,"start_date":"2017-03-03","description":"","custom_fields":[{"id":1,"name":"Subdivision","value":"EC"},{"id":4,"name":"Milepost","value":"23.3491"},{"id":17,"name":"Train ID","value":"141-03"},{"id":16,"name":"Locomotive ID","value":"4053"},{"id":130,"name":"Impact","value":""},{"id":150,"name":"Time of Event (Mountain Time)","value":"09:21:37"},{"id":151,"name":"Denver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"%USERPROFILE%\AppData\Local\Temp\OnboardLogs"\RTDC4053\*4053*201703031*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"%USERPROFILE%\AppData\Local\Temp\OnboardLogs"\RTDC4053\*4053*201703031* &gt;&gt; 2017-03-03-SliceDisagreementCheck.txt</v>
      </c>
      <c r="AE36" s="157" t="str">
        <f t="shared" si="9"/>
        <v>start /low /b %USERPROFILE%\Documents\GitHub\eaglep3\Utilities\DownloadLogsFromS3.py --loco 4053 --day 2017-03-03</v>
      </c>
      <c r="AF36" s="1"/>
    </row>
    <row r="37" spans="1:32" x14ac:dyDescent="0.25">
      <c r="A37" s="32">
        <v>42797.652129629627</v>
      </c>
      <c r="B37" s="30" t="s">
        <v>504</v>
      </c>
      <c r="C37" s="30" t="s">
        <v>594</v>
      </c>
      <c r="D37" s="30" t="s">
        <v>49</v>
      </c>
      <c r="E37" s="30" t="s">
        <v>188</v>
      </c>
      <c r="F37" s="43">
        <v>0</v>
      </c>
      <c r="G37" s="43">
        <v>133</v>
      </c>
      <c r="H37" s="43">
        <v>232921</v>
      </c>
      <c r="I37" s="43">
        <v>233076</v>
      </c>
      <c r="J37" s="30" t="s">
        <v>189</v>
      </c>
      <c r="K37" s="43">
        <v>233491</v>
      </c>
      <c r="L37" s="143" t="s">
        <v>50</v>
      </c>
      <c r="M37" s="144">
        <f t="shared" si="0"/>
        <v>219.12</v>
      </c>
      <c r="N37" s="145" t="str">
        <f>VLOOKUP(C37,'Trips&amp;Operators'!$C$1:$G$99999,5,FALSE)</f>
        <v>CLARK KATHLEEN</v>
      </c>
      <c r="O37" s="173" t="s">
        <v>185</v>
      </c>
      <c r="P37" s="146"/>
      <c r="Q37" s="30"/>
      <c r="R37" s="89" t="str">
        <f>VLOOKUP(C37,'Train Runs'!$A$13:$AE$9937,31,0)</f>
        <v>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 &amp; aws s3 cp s3://rtdc.mdm.uploadarchive.raw/RTDC4051/ "%USERPROFILE%\AppData\Local\Temp\OnboardLogs"\RTDC4051\2017-03-04 --exclude "*" --recursive --include "*20170304*" &amp; "%USERPROFILE%\Documents\GitHub\mrs-test-scripts\Headless Mode &amp; Sideloading\WalkAndUnGZ.bat" "%USERPROFILE%\AppData\Local\Temp\OnboardLogs"\RTDC4051\2017-03-04</v>
      </c>
      <c r="S37" s="92" t="str">
        <f>VLOOKUP(C37,'Train Runs'!$A$13:$AE$9937,22,0)</f>
        <v>https://d0f6bd738d7f1b3e5a7ca70fe4ff75f0.us-east-1.aws.found.io/app/kibana#/discover/Steve-Slow-Train-Analysis-(2080s-and-2083s)?_g=(refreshInterval:(display:Off,pause:!f,section:0,value:0),time:(from:'2017-03-03T13:56:34-0700',mode:absolute,to:'2017-03-03T16:41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7" s="94" t="str">
        <f t="shared" si="1"/>
        <v>"C:\Program Files (x86)\AstroGrep\AstroGrep.exe" /spath="%USERPROFILE%\AppData\Local\Temp\OnboardLogs" /stypes="*4051*201703032*" /stext=" 22:.+((SYSTEM_STATE.+slice.+state.+changed )|(ment ac)|(multiple cpu faults)|(system.+state.+changed )|(\[timeout)|(PRM\|1\|D)|(kpr)|(kdp)|(\|lc)|(penalty))" /e /r /s</v>
      </c>
      <c r="U37" s="9" t="str">
        <f t="shared" si="2"/>
        <v>4051</v>
      </c>
      <c r="V37" s="32">
        <f t="shared" si="3"/>
        <v>42797.943796296291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{"issue":{"subject":"","project_id":79,"tracker_id":40,"status_id":1,"priority_id":2,"assigned_to_id":23,"start_date":"2017-03-03","description":"","custom_fields":[{"id":1,"name":"Subdivision","value":"EC"},{"id":4,"name":"Milepost","value":"23.3491"},{"id":17,"name":"Train ID","value":"191-03"},{"id":16,"name":"Locomotive ID","value":"4051"},{"id":130,"name":"Impact","value":""},{"id":150,"name":"Time of Event (Mountain Time)","value":"15:39:04"},{"id":151,"name":"Denver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"%USERPROFILE%\AppData\Local\Temp\OnboardLogs"\RTDC4051\*4051*201703032*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"%USERPROFILE%\AppData\Local\Temp\OnboardLogs"\RTDC4051\*4051*201703032* &gt;&gt; 2017-03-03-SliceDisagreementCheck.txt</v>
      </c>
      <c r="AE37" s="157" t="str">
        <f t="shared" si="9"/>
        <v>start /low /b %USERPROFILE%\Documents\GitHub\eaglep3\Utilities\DownloadLogsFromS3.py --loco 4051 --day 2017-03-03</v>
      </c>
      <c r="AF37" s="1"/>
    </row>
    <row r="38" spans="1:32" x14ac:dyDescent="0.25">
      <c r="A38" s="32">
        <v>42797.76971064815</v>
      </c>
      <c r="B38" s="30" t="s">
        <v>569</v>
      </c>
      <c r="C38" s="30" t="s">
        <v>597</v>
      </c>
      <c r="D38" s="30" t="s">
        <v>49</v>
      </c>
      <c r="E38" s="30" t="s">
        <v>188</v>
      </c>
      <c r="F38" s="43">
        <v>0</v>
      </c>
      <c r="G38" s="43">
        <v>106</v>
      </c>
      <c r="H38" s="43">
        <v>233086</v>
      </c>
      <c r="I38" s="43">
        <v>233205</v>
      </c>
      <c r="J38" s="30" t="s">
        <v>189</v>
      </c>
      <c r="K38" s="43">
        <v>233491</v>
      </c>
      <c r="L38" s="143" t="s">
        <v>50</v>
      </c>
      <c r="M38" s="144">
        <f t="shared" si="0"/>
        <v>151.00800000000001</v>
      </c>
      <c r="N38" s="145" t="str">
        <f>VLOOKUP(C38,'Trips&amp;Operators'!$C$1:$G$99999,5,FALSE)</f>
        <v>STORY SAMANTHA</v>
      </c>
      <c r="O38" s="173" t="s">
        <v>185</v>
      </c>
      <c r="P38" s="146"/>
      <c r="Q38" s="30"/>
      <c r="R38" s="89" t="str">
        <f>VLOOKUP(C38,'Train Runs'!$A$13:$AE$9937,31,0)</f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S38" s="92" t="str">
        <f>VLOOKUP(C38,'Train Runs'!$A$13:$AE$9937,22,0)</f>
        <v>https://d0f6bd738d7f1b3e5a7ca70fe4ff75f0.us-east-1.aws.found.io/app/kibana#/discover/Steve-Slow-Train-Analysis-(2080s-and-2083s)?_g=(refreshInterval:(display:Off,pause:!f,section:0,value:0),time:(from:'2017-03-03T16:46:23-0700',mode:absolute,to:'2017-03-03T19:29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8" s="94" t="str">
        <f t="shared" si="1"/>
        <v>"C:\Program Files (x86)\AstroGrep\AstroGrep.exe" /spath="%USERPROFILE%\AppData\Local\Temp\OnboardLogs" /stypes="*4029*201703040*" /stext=" 01:.+((SYSTEM_STATE.+slice.+state.+changed )|(ment ac)|(multiple cpu faults)|(system.+state.+changed )|(\[timeout)|(PRM\|1\|D)|(kpr)|(kdp)|(\|lc)|(penalty))" /e /r /s</v>
      </c>
      <c r="U38" s="9" t="str">
        <f t="shared" si="2"/>
        <v>4029</v>
      </c>
      <c r="V38" s="32">
        <f t="shared" si="3"/>
        <v>42798.061377314814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{"issue":{"subject":"","project_id":79,"tracker_id":40,"status_id":1,"priority_id":2,"assigned_to_id":23,"start_date":"2017-03-03","description":"","custom_fields":[{"id":1,"name":"Subdivision","value":"EC"},{"id":4,"name":"Milepost","value":"23.3491"},{"id":17,"name":"Train ID","value":"213-03"},{"id":16,"name":"Locomotive ID","value":"4029"},{"id":130,"name":"Impact","value":""},{"id":150,"name":"Time of Event (Mountain Time)","value":"18:28:23"},{"id":151,"name":"Denver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"%USERPROFILE%\AppData\Local\Temp\OnboardLogs"\RTDC4029\*4029*201703040*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"%USERPROFILE%\AppData\Local\Temp\OnboardLogs"\RTDC4029\*4029*201703040* &gt;&gt; 2017-03-03-SliceDisagreementCheck.txt</v>
      </c>
      <c r="AE38" s="157" t="str">
        <f t="shared" si="9"/>
        <v>start /low /b %USERPROFILE%\Documents\GitHub\eaglep3\Utilities\DownloadLogsFromS3.py --loco 4029 --day 2017-03-04</v>
      </c>
      <c r="AF38" s="1"/>
    </row>
    <row r="39" spans="1:32" x14ac:dyDescent="0.25">
      <c r="A39" s="32">
        <v>42797.923379629632</v>
      </c>
      <c r="B39" s="30" t="s">
        <v>569</v>
      </c>
      <c r="C39" s="30" t="s">
        <v>604</v>
      </c>
      <c r="D39" s="30" t="s">
        <v>49</v>
      </c>
      <c r="E39" s="30" t="s">
        <v>188</v>
      </c>
      <c r="F39" s="43">
        <v>0</v>
      </c>
      <c r="G39" s="43">
        <v>150</v>
      </c>
      <c r="H39" s="43">
        <v>232885</v>
      </c>
      <c r="I39" s="43">
        <v>233094</v>
      </c>
      <c r="J39" s="30" t="s">
        <v>189</v>
      </c>
      <c r="K39" s="43">
        <v>233491</v>
      </c>
      <c r="L39" s="143" t="s">
        <v>50</v>
      </c>
      <c r="M39" s="144">
        <f t="shared" si="0"/>
        <v>209.61600000000001</v>
      </c>
      <c r="N39" s="145" t="str">
        <f>VLOOKUP(C39,'Trips&amp;Operators'!$C$1:$G$99999,5,FALSE)</f>
        <v>MACDONALD THOMAS</v>
      </c>
      <c r="O39" s="173" t="s">
        <v>185</v>
      </c>
      <c r="P39" s="146"/>
      <c r="Q39" s="30"/>
      <c r="R39" s="89" t="str">
        <f>VLOOKUP(C39,'Train Runs'!$A$13:$AE$9937,31,0)</f>
        <v>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 &amp; aws s3 cp s3://rtdc.mdm.uploadarchive.raw/RTDC4029/ "%USERPROFILE%\AppData\Local\Temp\OnboardLogs"\RTDC4029\2017-03-04 --exclude "*" --recursive --include "*20170304*" &amp; "%USERPROFILE%\Documents\GitHub\mrs-test-scripts\Headless Mode &amp; Sideloading\WalkAndUnGZ.bat" "%USERPROFILE%\AppData\Local\Temp\OnboardLogs"\RTDC4029\2017-03-04</v>
      </c>
      <c r="S39" s="92" t="str">
        <f>VLOOKUP(C39,'Train Runs'!$A$13:$AE$9937,22,0)</f>
        <v>https://d0f6bd738d7f1b3e5a7ca70fe4ff75f0.us-east-1.aws.found.io/app/kibana#/discover/Steve-Slow-Train-Analysis-(2080s-and-2083s)?_g=(refreshInterval:(display:Off,pause:!f,section:0,value:0),time:(from:'2017-03-03T20:14:51-0700',mode:absolute,to:'2017-03-03T23:09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9" s="94" t="str">
        <f t="shared" si="1"/>
        <v>"C:\Program Files (x86)\AstroGrep\AstroGrep.exe" /spath="%USERPROFILE%\AppData\Local\Temp\OnboardLogs" /stypes="*4029*201703040*" /stext=" 05:.+((SYSTEM_STATE.+slice.+state.+changed )|(ment ac)|(multiple cpu faults)|(system.+state.+changed )|(\[timeout)|(PRM\|1\|D)|(kpr)|(kdp)|(\|lc)|(penalty))" /e /r /s</v>
      </c>
      <c r="U39" s="9" t="str">
        <f t="shared" si="2"/>
        <v>4029</v>
      </c>
      <c r="V39" s="32">
        <f t="shared" si="3"/>
        <v>42798.215046296296</v>
      </c>
      <c r="W39" s="46" t="str">
        <f t="shared" si="4"/>
        <v>EC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{"issue":{"subject":"","project_id":79,"tracker_id":40,"status_id":1,"priority_id":2,"assigned_to_id":23,"start_date":"2017-03-03","description":"","custom_fields":[{"id":1,"name":"Subdivision","value":"EC"},{"id":4,"name":"Milepost","value":"23.3491"},{"id":17,"name":"Train ID","value":"231-03"},{"id":16,"name":"Locomotive ID","value":"4029"},{"id":130,"name":"Impact","value":""},{"id":150,"name":"Time of Event (Mountain Time)","value":"22:09:40"},{"id":151,"name":"Denver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"%USERPROFILE%\AppData\Local\Temp\OnboardLogs"\RTDC4029\*4029*201703040*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"%USERPROFILE%\AppData\Local\Temp\OnboardLogs"\RTDC4029\*4029*201703040* &gt;&gt; 2017-03-03-SliceDisagreementCheck.txt</v>
      </c>
      <c r="AE39" s="157" t="str">
        <f t="shared" si="9"/>
        <v>start /low /b %USERPROFILE%\Documents\GitHub\eaglep3\Utilities\DownloadLogsFromS3.py --loco 4029 --day 2017-03-04</v>
      </c>
      <c r="AF39" s="1"/>
    </row>
    <row r="40" spans="1:32" x14ac:dyDescent="0.25">
      <c r="A40" s="32">
        <v>42797.602893518517</v>
      </c>
      <c r="B40" s="30" t="s">
        <v>236</v>
      </c>
      <c r="C40" s="30" t="s">
        <v>590</v>
      </c>
      <c r="D40" s="30" t="s">
        <v>49</v>
      </c>
      <c r="E40" s="30" t="s">
        <v>186</v>
      </c>
      <c r="F40" s="43">
        <v>0</v>
      </c>
      <c r="G40" s="43">
        <v>301</v>
      </c>
      <c r="H40" s="43">
        <v>35330</v>
      </c>
      <c r="I40" s="43">
        <v>36265</v>
      </c>
      <c r="J40" s="30" t="s">
        <v>187</v>
      </c>
      <c r="K40" s="43">
        <v>37575</v>
      </c>
      <c r="L40" s="143" t="s">
        <v>50</v>
      </c>
      <c r="M40" s="144">
        <f t="shared" si="0"/>
        <v>691.68</v>
      </c>
      <c r="N40" s="145" t="str">
        <f>VLOOKUP(C40,'Trips&amp;Operators'!$C$1:$G$99999,5,FALSE)</f>
        <v>LEVERE CRAIG</v>
      </c>
      <c r="O40" s="173" t="s">
        <v>286</v>
      </c>
      <c r="P40" s="146" t="s">
        <v>307</v>
      </c>
      <c r="Q40" s="30"/>
      <c r="R40" s="89" t="str">
        <f>VLOOKUP(C40,'Train Runs'!$A$13:$AE$9937,31,0)</f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S40" s="92" t="str">
        <f>VLOOKUP(C40,'Train Runs'!$A$13:$AE$9937,22,0)</f>
        <v>https://d0f6bd738d7f1b3e5a7ca70fe4ff75f0.us-east-1.aws.found.io/app/kibana#/discover/Steve-Slow-Train-Analysis-(2080s-and-2083s)?_g=(refreshInterval:(display:Off,pause:!f,section:0,value:0),time:(from:'2017-03-03T13:05:42-0700',mode:absolute,to:'2017-03-03T15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0" s="94" t="str">
        <f t="shared" si="1"/>
        <v>"C:\Program Files (x86)\AstroGrep\AstroGrep.exe" /spath="%USERPROFILE%\AppData\Local\Temp\OnboardLogs" /stypes="*4044*201703032*" /stext=" 21:.+((SYSTEM_STATE.+slice.+state.+changed )|(ment ac)|(multiple cpu faults)|(system.+state.+changed )|(\[timeout)|(PRM\|1\|D)|(kpr)|(kdp)|(\|lc)|(penalty))" /e /r /s</v>
      </c>
      <c r="U40" s="9" t="str">
        <f t="shared" si="2"/>
        <v>4044</v>
      </c>
      <c r="V40" s="32">
        <f t="shared" si="3"/>
        <v>42797.894560185181</v>
      </c>
      <c r="W40" s="46" t="str">
        <f t="shared" si="4"/>
        <v>NW</v>
      </c>
      <c r="X40" s="46" t="str">
        <f t="shared" si="5"/>
        <v>KEEP</v>
      </c>
      <c r="Y40" s="108" t="str">
        <f t="shared" si="6"/>
        <v>echo {"issue":{"subject":"Wi-MAX data drop","project_id":79,"tracker_id":40,"status_id":1,"priority_id":2,"assigned_to_id":23,"start_date":"2017-03-03","description":"http://stevetu21.github.io/eaglep3/load_kml.html?kml=http://rtdc.gmaps-snips.s3.amazonaws.com/7de263de-08b2-4478-b544-ce1234415549.kml","custom_fields":[{"id":1,"name":"Subdivision","value":"NW"},{"id":4,"name":"Milepost","value":"3.7575"},{"id":17,"name":"Train ID","value":"823-03"},{"id":16,"name":"Locomotive ID","value":"4044"},{"id":130,"name":"Impact","value":"Enforcement"},{"id":150,"name":"Time of Event (Mountain Time)","value":"14:28:10"},{"id":151,"name":"Denver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0" t="s">
        <v>1008</v>
      </c>
      <c r="AA40" s="48" t="s">
        <v>124</v>
      </c>
      <c r="AB40" s="48" t="s">
        <v>137</v>
      </c>
      <c r="AC40" s="127" t="str">
        <f t="shared" si="7"/>
        <v>grep -hSE -A400 "Enforcement Action" "%USERPROFILE%\AppData\Local\Temp\OnboardLogs"\RTDC4044\*4044*201703032*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"%USERPROFILE%\AppData\Local\Temp\OnboardLogs"\RTDC4044\*4044*201703032* &gt;&gt; 2017-03-03-SliceDisagreementCheck.txt</v>
      </c>
      <c r="AE40" s="157" t="str">
        <f t="shared" si="9"/>
        <v>start /low /b %USERPROFILE%\Documents\GitHub\eaglep3\Utilities\DownloadLogsFromS3.py --loco 4044 --day 2017-03-03</v>
      </c>
      <c r="AF40" s="1"/>
    </row>
    <row r="41" spans="1:32" x14ac:dyDescent="0.25">
      <c r="A41" s="32">
        <v>42797.294999999998</v>
      </c>
      <c r="B41" s="30" t="s">
        <v>326</v>
      </c>
      <c r="C41" s="30" t="s">
        <v>575</v>
      </c>
      <c r="D41" s="30" t="s">
        <v>49</v>
      </c>
      <c r="E41" s="30" t="s">
        <v>188</v>
      </c>
      <c r="F41" s="43">
        <v>0</v>
      </c>
      <c r="G41" s="43">
        <v>24</v>
      </c>
      <c r="H41" s="43">
        <v>59037</v>
      </c>
      <c r="I41" s="43">
        <v>59044</v>
      </c>
      <c r="J41" s="30" t="s">
        <v>189</v>
      </c>
      <c r="K41" s="43">
        <v>59048</v>
      </c>
      <c r="L41" s="143" t="s">
        <v>50</v>
      </c>
      <c r="M41" s="144">
        <f t="shared" si="0"/>
        <v>2.1120000000000001</v>
      </c>
      <c r="N41" s="145" t="str">
        <f>VLOOKUP(C41,'Trips&amp;Operators'!$C$1:$G$99999,5,FALSE)</f>
        <v>GEBRETEKLE DAGNEW</v>
      </c>
      <c r="O41" s="173" t="s">
        <v>185</v>
      </c>
      <c r="P41" s="146"/>
      <c r="Q41" s="30"/>
      <c r="R41" s="89" t="str">
        <f>VLOOKUP(C41,'Train Runs'!$A$13:$AE$9937,31,0)</f>
        <v>aws s3 cp s3://rtdc.mdm.uploadarchive.raw/RTDC4002/ "%USERPROFILE%\AppData\Local\Temp\OnboardLogs"\RTDC4002\2017-03-03 --exclude "*" --recursive --include "*20170303*" &amp; "%USERPROFILE%\Documents\GitHub\mrs-test-scripts\Headless Mode &amp; Sideloading\WalkAndUnGZ.bat" "%USERPROFILE%\AppData\Local\Temp\OnboardLogs"\RTDC4002\2017-03-03 &amp; aws s3 cp s3://rtdc.mdm.uploadarchive.raw/RTDC4002/ "%USERPROFILE%\AppData\Local\Temp\OnboardLogs"\RTDC4002\2017-03-04 --exclude "*" --recursive --include "*20170304*" &amp; "%USERPROFILE%\Documents\GitHub\mrs-test-scripts\Headless Mode &amp; Sideloading\WalkAndUnGZ.bat" "%USERPROFILE%\AppData\Local\Temp\OnboardLogs"\RTDC4002\2017-03-04</v>
      </c>
      <c r="S41" s="92" t="str">
        <f>VLOOKUP(C41,'Train Runs'!$A$13:$AE$9937,22,0)</f>
        <v>https://d0f6bd738d7f1b3e5a7ca70fe4ff75f0.us-east-1.aws.found.io/app/kibana#/discover/Steve-Slow-Train-Analysis-(2080s-and-2083s)?_g=(refreshInterval:(display:Off,pause:!f,section:0,value:0),time:(from:'2017-03-03T05:28:54-0700',mode:absolute,to:'2017-03-03T08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1" s="94" t="str">
        <f t="shared" si="1"/>
        <v>"C:\Program Files (x86)\AstroGrep\AstroGrep.exe" /spath="%USERPROFILE%\AppData\Local\Temp\OnboardLogs" /stypes="*4002*201703031*" /stext=" 14:.+((SYSTEM_STATE.+slice.+state.+changed )|(ment ac)|(multiple cpu faults)|(system.+state.+changed )|(\[timeout)|(PRM\|1\|D)|(kpr)|(kdp)|(\|lc)|(penalty))" /e /r /s</v>
      </c>
      <c r="U41" s="9" t="str">
        <f t="shared" si="2"/>
        <v>4002</v>
      </c>
      <c r="V41" s="32">
        <f t="shared" si="3"/>
        <v>42797.586666666662</v>
      </c>
      <c r="W41" s="46" t="str">
        <f t="shared" si="4"/>
        <v>NW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{"issue":{"subject":"","project_id":79,"tracker_id":40,"status_id":1,"priority_id":2,"assigned_to_id":23,"start_date":"2017-03-03","description":"","custom_fields":[{"id":1,"name":"Subdivision","value":"NW"},{"id":4,"name":"Milepost","value":"5.9048"},{"id":17,"name":"Train ID","value":"805-03"},{"id":16,"name":"Locomotive ID","value":"4002"},{"id":130,"name":"Impact","value":""},{"id":150,"name":"Time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"%USERPROFILE%\AppData\Local\Temp\OnboardLogs"\RTDC4002\*4002*201703031*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"%USERPROFILE%\AppData\Local\Temp\OnboardLogs"\RTDC4002\*4002*201703031* &gt;&gt; 2017-03-03-SliceDisagreementCheck.txt</v>
      </c>
      <c r="AE41" s="157" t="str">
        <f t="shared" si="9"/>
        <v>start /low /b %USERPROFILE%\Documents\GitHub\eaglep3\Utilities\DownloadLogsFromS3.py --loco 4002 --day 2017-03-03</v>
      </c>
      <c r="AF41" s="1"/>
    </row>
    <row r="42" spans="1:32" x14ac:dyDescent="0.25">
      <c r="A42" s="32">
        <v>42797.336226851854</v>
      </c>
      <c r="B42" s="30" t="s">
        <v>326</v>
      </c>
      <c r="C42" s="30" t="s">
        <v>580</v>
      </c>
      <c r="D42" s="30" t="s">
        <v>49</v>
      </c>
      <c r="E42" s="30" t="s">
        <v>188</v>
      </c>
      <c r="F42" s="43">
        <v>0</v>
      </c>
      <c r="G42" s="43">
        <v>7</v>
      </c>
      <c r="H42" s="43">
        <v>59022</v>
      </c>
      <c r="I42" s="43">
        <v>59024</v>
      </c>
      <c r="J42" s="30" t="s">
        <v>189</v>
      </c>
      <c r="K42" s="43">
        <v>59048</v>
      </c>
      <c r="L42" s="143" t="s">
        <v>50</v>
      </c>
      <c r="M42" s="144">
        <f t="shared" si="0"/>
        <v>12.672000000000001</v>
      </c>
      <c r="N42" s="145" t="str">
        <f>VLOOKUP(C42,'Trips&amp;Operators'!$C$1:$G$99999,5,FALSE)</f>
        <v>GEBRETEKLE DAGNEW</v>
      </c>
      <c r="O42" s="173" t="s">
        <v>185</v>
      </c>
      <c r="P42" s="146"/>
      <c r="Q42" s="30"/>
      <c r="R42" s="89" t="str">
        <f>VLOOKUP(C42,'Train Runs'!$A$13:$AE$9937,31,0)</f>
        <v>aws s3 cp s3://rtdc.mdm.uploadarchive.raw/RTDC4002/ "%USERPROFILE%\AppData\Local\Temp\OnboardLogs"\RTDC4002\2017-03-03 --exclude "*" --recursive --include "*20170303*" &amp; "%USERPROFILE%\Documents\GitHub\mrs-test-scripts\Headless Mode &amp; Sideloading\WalkAndUnGZ.bat" "%USERPROFILE%\AppData\Local\Temp\OnboardLogs"\RTDC4002\2017-03-03 &amp; aws s3 cp s3://rtdc.mdm.uploadarchive.raw/RTDC4002/ "%USERPROFILE%\AppData\Local\Temp\OnboardLogs"\RTDC4002\2017-03-04 --exclude "*" --recursive --include "*20170304*" &amp; "%USERPROFILE%\Documents\GitHub\mrs-test-scripts\Headless Mode &amp; Sideloading\WalkAndUnGZ.bat" "%USERPROFILE%\AppData\Local\Temp\OnboardLogs"\RTDC4002\2017-03-04</v>
      </c>
      <c r="S42" s="92" t="str">
        <f>VLOOKUP(C42,'Train Runs'!$A$13:$AE$9937,22,0)</f>
        <v>https://d0f6bd738d7f1b3e5a7ca70fe4ff75f0.us-east-1.aws.found.io/app/kibana#/discover/Steve-Slow-Train-Analysis-(2080s-and-2083s)?_g=(refreshInterval:(display:Off,pause:!f,section:0,value:0),time:(from:'2017-03-03T06:26:51-0700',mode:absolute,to:'2017-03-03T09:04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2" s="94" t="str">
        <f t="shared" si="1"/>
        <v>"C:\Program Files (x86)\AstroGrep\AstroGrep.exe" /spath="%USERPROFILE%\AppData\Local\Temp\OnboardLogs" /stypes="*4002*201703031*" /stext=" 15:.+((SYSTEM_STATE.+slice.+state.+changed )|(ment ac)|(multiple cpu faults)|(system.+state.+changed )|(\[timeout)|(PRM\|1\|D)|(kpr)|(kdp)|(\|lc)|(penalty))" /e /r /s</v>
      </c>
      <c r="U42" s="9" t="str">
        <f t="shared" si="2"/>
        <v>4002</v>
      </c>
      <c r="V42" s="32">
        <f t="shared" si="3"/>
        <v>42797.627893518518</v>
      </c>
      <c r="W42" s="46" t="str">
        <f t="shared" si="4"/>
        <v>NW</v>
      </c>
      <c r="X42" s="46" t="str">
        <f t="shared" si="5"/>
        <v>OMIT</v>
      </c>
      <c r="Y42" s="108" t="str">
        <f t="shared" si="6"/>
        <v>echo {"issue":{"subject":"","project_id":79,"tracker_id":40,"status_id":1,"priority_id":2,"assigned_to_id":23,"start_date":"2017-03-03","description":"","custom_fields":[{"id":1,"name":"Subdivision","value":"NW"},{"id":4,"name":"Milepost","value":"5.9048"},{"id":17,"name":"Train ID","value":"809-03"},{"id":16,"name":"Locomotive ID","value":"4002"},{"id":130,"name":"Impact","value":""},{"id":150,"name":"Time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"%USERPROFILE%\AppData\Local\Temp\OnboardLogs"\RTDC4002\*4002*201703031*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"%USERPROFILE%\AppData\Local\Temp\OnboardLogs"\RTDC4002\*4002*201703031* &gt;&gt; 2017-03-03-SliceDisagreementCheck.txt</v>
      </c>
      <c r="AE42" s="157" t="str">
        <f t="shared" si="9"/>
        <v>start /low /b %USERPROFILE%\Documents\GitHub\eaglep3\Utilities\DownloadLogsFromS3.py --loco 4002 --day 2017-03-03</v>
      </c>
      <c r="AF42" s="1"/>
    </row>
    <row r="43" spans="1:32" x14ac:dyDescent="0.25">
      <c r="A43" s="32">
        <v>42797.608182870368</v>
      </c>
      <c r="B43" s="30" t="s">
        <v>236</v>
      </c>
      <c r="C43" s="30" t="s">
        <v>590</v>
      </c>
      <c r="D43" s="30" t="s">
        <v>49</v>
      </c>
      <c r="E43" s="30" t="s">
        <v>188</v>
      </c>
      <c r="F43" s="43">
        <v>0</v>
      </c>
      <c r="G43" s="43">
        <v>50</v>
      </c>
      <c r="H43" s="43">
        <v>58939</v>
      </c>
      <c r="I43" s="43">
        <v>58993</v>
      </c>
      <c r="J43" s="30" t="s">
        <v>189</v>
      </c>
      <c r="K43" s="43">
        <v>59048</v>
      </c>
      <c r="L43" s="143" t="s">
        <v>50</v>
      </c>
      <c r="M43" s="144">
        <f t="shared" si="0"/>
        <v>29.04</v>
      </c>
      <c r="N43" s="145" t="str">
        <f>VLOOKUP(C43,'Trips&amp;Operators'!$C$1:$G$99999,5,FALSE)</f>
        <v>LEVERE CRAIG</v>
      </c>
      <c r="O43" s="173" t="s">
        <v>185</v>
      </c>
      <c r="P43" s="146"/>
      <c r="Q43" s="30"/>
      <c r="R43" s="89" t="str">
        <f>VLOOKUP(C43,'Train Runs'!$A$13:$AE$9937,31,0)</f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S43" s="92" t="str">
        <f>VLOOKUP(C43,'Train Runs'!$A$13:$AE$9937,22,0)</f>
        <v>https://d0f6bd738d7f1b3e5a7ca70fe4ff75f0.us-east-1.aws.found.io/app/kibana#/discover/Steve-Slow-Train-Analysis-(2080s-and-2083s)?_g=(refreshInterval:(display:Off,pause:!f,section:0,value:0),time:(from:'2017-03-03T13:05:42-0700',mode:absolute,to:'2017-03-03T15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3" s="94" t="str">
        <f t="shared" si="1"/>
        <v>"C:\Program Files (x86)\AstroGrep\AstroGrep.exe" /spath="%USERPROFILE%\AppData\Local\Temp\OnboardLogs" /stypes="*4044*201703032*" /stext=" 21:.+((SYSTEM_STATE.+slice.+state.+changed )|(ment ac)|(multiple cpu faults)|(system.+state.+changed )|(\[timeout)|(PRM\|1\|D)|(kpr)|(kdp)|(\|lc)|(penalty))" /e /r /s</v>
      </c>
      <c r="U43" s="9" t="str">
        <f t="shared" si="2"/>
        <v>4044</v>
      </c>
      <c r="V43" s="32">
        <f t="shared" si="3"/>
        <v>42797.899849537032</v>
      </c>
      <c r="W43" s="46" t="str">
        <f t="shared" si="4"/>
        <v>NW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{"issue":{"subject":"","project_id":79,"tracker_id":40,"status_id":1,"priority_id":2,"assigned_to_id":23,"start_date":"2017-03-03","description":"","custom_fields":[{"id":1,"name":"Subdivision","value":"NW"},{"id":4,"name":"Milepost","value":"5.9048"},{"id":17,"name":"Train ID","value":"823-03"},{"id":16,"name":"Locomotive ID","value":"4044"},{"id":130,"name":"Impact","value":""},{"id":150,"name":"Time of Event (Mountain Time)","value":"14:35:47"},{"id":151,"name":"Denver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"%USERPROFILE%\AppData\Local\Temp\OnboardLogs"\RTDC4044\*4044*201703032*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"%USERPROFILE%\AppData\Local\Temp\OnboardLogs"\RTDC4044\*4044*201703032* &gt;&gt; 2017-03-03-SliceDisagreementCheck.txt</v>
      </c>
      <c r="AE43" s="157" t="str">
        <f t="shared" si="9"/>
        <v>start /low /b %USERPROFILE%\Documents\GitHub\eaglep3\Utilities\DownloadLogsFromS3.py --loco 4044 --day 2017-03-03</v>
      </c>
      <c r="AF43" s="1"/>
    </row>
    <row r="44" spans="1:32" x14ac:dyDescent="0.25">
      <c r="A44" s="32">
        <v>42797.857986111114</v>
      </c>
      <c r="B44" s="30" t="s">
        <v>236</v>
      </c>
      <c r="C44" s="30" t="s">
        <v>602</v>
      </c>
      <c r="D44" s="30" t="s">
        <v>49</v>
      </c>
      <c r="E44" s="30" t="s">
        <v>188</v>
      </c>
      <c r="F44" s="43">
        <v>0</v>
      </c>
      <c r="G44" s="43">
        <v>19</v>
      </c>
      <c r="H44" s="43">
        <v>58990</v>
      </c>
      <c r="I44" s="43">
        <v>58999</v>
      </c>
      <c r="J44" s="30" t="s">
        <v>189</v>
      </c>
      <c r="K44" s="43">
        <v>59048</v>
      </c>
      <c r="L44" s="143" t="s">
        <v>50</v>
      </c>
      <c r="M44" s="144">
        <f t="shared" si="0"/>
        <v>25.872</v>
      </c>
      <c r="N44" s="145" t="str">
        <f>VLOOKUP(C44,'Trips&amp;Operators'!$C$1:$G$99999,5,FALSE)</f>
        <v>LEVERE CRAIG</v>
      </c>
      <c r="O44" s="173" t="s">
        <v>185</v>
      </c>
      <c r="P44" s="146"/>
      <c r="Q44" s="30"/>
      <c r="R44" s="89" t="str">
        <f>VLOOKUP(C44,'Train Runs'!$A$13:$AE$9937,31,0)</f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S44" s="92" t="str">
        <f>VLOOKUP(C44,'Train Runs'!$A$13:$AE$9937,22,0)</f>
        <v>https://d0f6bd738d7f1b3e5a7ca70fe4ff75f0.us-east-1.aws.found.io/app/kibana#/discover/Steve-Slow-Train-Analysis-(2080s-and-2083s)?_g=(refreshInterval:(display:Off,pause:!f,section:0,value:0),time:(from:'2017-03-03T19:07:13-0700',mode:absolute,to:'2017-03-03T21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4" s="94" t="str">
        <f t="shared" si="1"/>
        <v>"C:\Program Files (x86)\AstroGrep\AstroGrep.exe" /spath="%USERPROFILE%\AppData\Local\Temp\OnboardLogs" /stypes="*4044*201703040*" /stext=" 03:.+((SYSTEM_STATE.+slice.+state.+changed )|(ment ac)|(multiple cpu faults)|(system.+state.+changed )|(\[timeout)|(PRM\|1\|D)|(kpr)|(kdp)|(\|lc)|(penalty))" /e /r /s</v>
      </c>
      <c r="U44" s="9" t="str">
        <f t="shared" si="2"/>
        <v>4044</v>
      </c>
      <c r="V44" s="32">
        <f t="shared" si="3"/>
        <v>42798.149652777778</v>
      </c>
      <c r="W44" s="46" t="str">
        <f t="shared" si="4"/>
        <v>NW</v>
      </c>
      <c r="X44" s="46" t="str">
        <f t="shared" si="5"/>
        <v>KEEP</v>
      </c>
      <c r="Y44" s="108" t="str">
        <f t="shared" si="6"/>
        <v>echo {"issue":{"subject":"","project_id":79,"tracker_id":40,"status_id":1,"priority_id":2,"assigned_to_id":23,"start_date":"2017-03-03","description":"","custom_fields":[{"id":1,"name":"Subdivision","value":"NW"},{"id":4,"name":"Milepost","value":"5.9048"},{"id":17,"name":"Train ID","value":"843-03"},{"id":16,"name":"Locomotive ID","value":"4044"},{"id":130,"name":"Impact","value":""},{"id":150,"name":"Time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7"/>
        <v>grep -hSE -A400 "Enforcement Action" "%USERPROFILE%\AppData\Local\Temp\OnboardLogs"\RTDC4044\*4044*201703040*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"%USERPROFILE%\AppData\Local\Temp\OnboardLogs"\RTDC4044\*4044*201703040* &gt;&gt; 2017-03-03-SliceDisagreementCheck.txt</v>
      </c>
      <c r="AE44" s="157" t="str">
        <f t="shared" si="9"/>
        <v>start /low /b %USERPROFILE%\Documents\GitHub\eaglep3\Utilities\DownloadLogsFromS3.py --loco 4044 --day 2017-03-04</v>
      </c>
      <c r="AF44" s="1"/>
    </row>
    <row r="45" spans="1:32" x14ac:dyDescent="0.25">
      <c r="A45" s="32">
        <v>42797.929178240738</v>
      </c>
      <c r="B45" s="30" t="s">
        <v>339</v>
      </c>
      <c r="C45" s="30" t="s">
        <v>600</v>
      </c>
      <c r="D45" s="30" t="s">
        <v>98</v>
      </c>
      <c r="E45" s="30" t="s">
        <v>186</v>
      </c>
      <c r="F45" s="43">
        <v>0</v>
      </c>
      <c r="G45" s="43">
        <v>73</v>
      </c>
      <c r="H45" s="43">
        <v>1871</v>
      </c>
      <c r="I45" s="43">
        <v>1930</v>
      </c>
      <c r="J45" s="30" t="s">
        <v>187</v>
      </c>
      <c r="K45" s="43">
        <v>1692</v>
      </c>
      <c r="L45" s="143" t="s">
        <v>50</v>
      </c>
      <c r="M45" s="144">
        <f t="shared" si="0"/>
        <v>-125.664</v>
      </c>
      <c r="N45" s="145" t="str">
        <f>VLOOKUP(C45,'Trips&amp;Operators'!$C$1:$G$99999,5,FALSE)</f>
        <v>MAGEE KENYA</v>
      </c>
      <c r="O45" s="173" t="s">
        <v>185</v>
      </c>
      <c r="P45" s="146"/>
      <c r="Q45" s="30"/>
      <c r="R45" s="89" t="str">
        <f>VLOOKUP(C45,'Train Runs'!$A$13:$AE$9937,31,0)</f>
        <v>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 &amp; 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</v>
      </c>
      <c r="S45" s="92" t="str">
        <f>VLOOKUP(C45,'Train Runs'!$A$13:$AE$9937,22,0)</f>
        <v>https://d0f6bd738d7f1b3e5a7ca70fe4ff75f0.us-east-1.aws.found.io/app/kibana#/discover/Steve-Slow-Train-Analysis-(2080s-and-2083s)?_g=(refreshInterval:(display:Off,pause:!f,section:0,value:0),time:(from:'2017-03-03T22:03:57-0700',mode:absolute,to:'2017-03-04T01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5" s="94" t="str">
        <f t="shared" si="1"/>
        <v>"C:\Program Files (x86)\AstroGrep\AstroGrep.exe" /spath="%USERPROFILE%\AppData\Local\Temp\OnboardLogs" /stypes="*4066*201703040*" /stext=" 05:.+((SYSTEM_STATE.+slice.+state.+changed )|(ment ac)|(multiple cpu faults)|(system.+state.+changed )|(\[timeout)|(PRM\|1\|D)|(kpr)|(kdp)|(\|lc)|(penalty))" /e /r /s</v>
      </c>
      <c r="U45" s="9" t="str">
        <f t="shared" si="2"/>
        <v>4066</v>
      </c>
      <c r="V45" s="32">
        <f t="shared" si="3"/>
        <v>42798.220844907402</v>
      </c>
      <c r="W45" s="46" t="str">
        <f t="shared" si="4"/>
        <v>Other</v>
      </c>
      <c r="X45" s="46" t="str">
        <f t="shared" si="5"/>
        <v>KEEP</v>
      </c>
      <c r="Y45" s="108" t="str">
        <f t="shared" si="6"/>
        <v>echo {"issue":{"subject":"","project_id":79,"tracker_id":40,"status_id":1,"priority_id":2,"assigned_to_id":23,"start_date":"2017-03-03","description":"","custom_fields":[{"id":1,"name":"Subdivision","value":"Other"},{"id":4,"name":"Milepost","value":"0.1692"},{"id":17,"name":"Train ID","value":"88-03"},{"id":16,"name":"Locomotive ID","value":"4066"},{"id":130,"name":"Impact","value":""},{"id":150,"name":"Time of Event (Mountain Time)","value":"22:18:01"},{"id":151,"name":"Denver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7"/>
        <v>grep -hSE -A400 "Enforcement Action" "%USERPROFILE%\AppData\Local\Temp\OnboardLogs"\RTDC4066\*4066*201703040*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"%USERPROFILE%\AppData\Local\Temp\OnboardLogs"\RTDC4066\*4066*201703040* &gt;&gt; 2017-03-03-SliceDisagreementCheck.txt</v>
      </c>
      <c r="AE45" s="157" t="str">
        <f t="shared" si="9"/>
        <v>start /low /b %USERPROFILE%\Documents\GitHub\eaglep3\Utilities\DownloadLogsFromS3.py --loco 4066 --day 2017-03-04</v>
      </c>
      <c r="AF45" s="1"/>
    </row>
    <row r="46" spans="1:32" x14ac:dyDescent="0.25">
      <c r="A46" s="32">
        <v>42797.807916666665</v>
      </c>
      <c r="B46" s="30" t="s">
        <v>338</v>
      </c>
      <c r="C46" s="30" t="s">
        <v>600</v>
      </c>
      <c r="D46" s="30" t="s">
        <v>98</v>
      </c>
      <c r="E46" s="30" t="s">
        <v>601</v>
      </c>
      <c r="F46" s="43">
        <v>0</v>
      </c>
      <c r="G46" s="43">
        <v>105</v>
      </c>
      <c r="H46" s="43">
        <v>23811</v>
      </c>
      <c r="I46" s="43">
        <v>23652</v>
      </c>
      <c r="J46" s="30" t="s">
        <v>493</v>
      </c>
      <c r="K46" s="43">
        <v>24235</v>
      </c>
      <c r="L46" s="143" t="s">
        <v>51</v>
      </c>
      <c r="M46" s="144">
        <f t="shared" si="0"/>
        <v>-307.82400000000001</v>
      </c>
      <c r="N46" s="145" t="str">
        <f>VLOOKUP(C46,'Trips&amp;Operators'!$C$1:$G$99999,5,FALSE)</f>
        <v>MAGEE KENYA</v>
      </c>
      <c r="O46" s="173" t="s">
        <v>185</v>
      </c>
      <c r="P46" s="146"/>
      <c r="Q46" s="30"/>
      <c r="R46" s="89" t="str">
        <f>VLOOKUP(C46,'Train Runs'!$A$13:$AE$9937,31,0)</f>
        <v>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 &amp; 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</v>
      </c>
      <c r="S46" s="92" t="str">
        <f>VLOOKUP(C46,'Train Runs'!$A$13:$AE$9937,22,0)</f>
        <v>https://d0f6bd738d7f1b3e5a7ca70fe4ff75f0.us-east-1.aws.found.io/app/kibana#/discover/Steve-Slow-Train-Analysis-(2080s-and-2083s)?_g=(refreshInterval:(display:Off,pause:!f,section:0,value:0),time:(from:'2017-03-03T22:03:57-0700',mode:absolute,to:'2017-03-04T01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6" s="94" t="str">
        <f t="shared" si="1"/>
        <v>"C:\Program Files (x86)\AstroGrep\AstroGrep.exe" /spath="%USERPROFILE%\AppData\Local\Temp\OnboardLogs" /stypes="*4065*201703040*" /stext=" 02:.+((SYSTEM_STATE.+slice.+state.+changed )|(ment ac)|(multiple cpu faults)|(system.+state.+changed )|(\[timeout)|(PRM\|1\|D)|(kpr)|(kdp)|(\|lc)|(penalty))" /e /r /s</v>
      </c>
      <c r="U46" s="9" t="str">
        <f t="shared" si="2"/>
        <v>4065</v>
      </c>
      <c r="V46" s="32">
        <f t="shared" si="3"/>
        <v>42798.099583333329</v>
      </c>
      <c r="W46" s="46" t="str">
        <f t="shared" si="4"/>
        <v>Other</v>
      </c>
      <c r="X46" s="46" t="str">
        <f t="shared" si="5"/>
        <v>KEEP</v>
      </c>
      <c r="Y46" s="108" t="str">
        <f t="shared" si="6"/>
        <v>echo {"issue":{"subject":"","project_id":79,"tracker_id":40,"status_id":1,"priority_id":2,"assigned_to_id":23,"start_date":"2017-03-03","description":"","custom_fields":[{"id":1,"name":"Subdivision","value":"Other"},{"id":4,"name":"Milepost","value":"2.4235"},{"id":17,"name":"Train ID","value":"88-03"},{"id":16,"name":"Locomotive ID","value":"4065"},{"id":130,"name":"Impact","value":""},{"id":150,"name":"Time of Event (Mountain Time)","value":"19:23:24"},{"id":151,"name":"Denver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7"/>
        <v>grep -hSE -A400 "Enforcement Action" "%USERPROFILE%\AppData\Local\Temp\OnboardLogs"\RTDC4065\*4065*201703040*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"%USERPROFILE%\AppData\Local\Temp\OnboardLogs"\RTDC4065\*4065*201703040* &gt;&gt; 2017-03-03-SliceDisagreementCheck.txt</v>
      </c>
      <c r="AE46" s="157" t="str">
        <f t="shared" si="9"/>
        <v>start /low /b %USERPROFILE%\Documents\GitHub\eaglep3\Utilities\DownloadLogsFromS3.py --loco 4065 --day 2017-03-04</v>
      </c>
      <c r="AF46" s="1"/>
    </row>
    <row r="47" spans="1:32" x14ac:dyDescent="0.25">
      <c r="A47" s="32">
        <v>42797.171064814815</v>
      </c>
      <c r="B47" s="30" t="s">
        <v>338</v>
      </c>
      <c r="C47" s="30" t="s">
        <v>519</v>
      </c>
      <c r="D47" s="30" t="s">
        <v>49</v>
      </c>
      <c r="E47" s="30" t="s">
        <v>492</v>
      </c>
      <c r="F47" s="43">
        <v>0</v>
      </c>
      <c r="G47" s="43">
        <v>717</v>
      </c>
      <c r="H47" s="43">
        <v>73427</v>
      </c>
      <c r="I47" s="43">
        <v>70218</v>
      </c>
      <c r="J47" s="30" t="s">
        <v>493</v>
      </c>
      <c r="K47" s="43">
        <v>69363</v>
      </c>
      <c r="L47" s="143" t="s">
        <v>51</v>
      </c>
      <c r="M47" s="144">
        <f t="shared" si="0"/>
        <v>451.44</v>
      </c>
      <c r="N47" s="145" t="str">
        <f>VLOOKUP(C47,'Trips&amp;Operators'!$C$1:$G$99999,5,FALSE)</f>
        <v>MCREYNOLDS KYLE</v>
      </c>
      <c r="O47" s="173" t="s">
        <v>185</v>
      </c>
      <c r="P47" s="146"/>
      <c r="Q47" s="30"/>
      <c r="R47" s="89" t="str">
        <f>VLOOKUP(C47,'Train Runs'!$A$13:$AE$9937,31,0)</f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S47" s="92" t="str">
        <f>VLOOKUP(C47,'Train Runs'!$A$13:$AE$9937,22,0)</f>
        <v>https://d0f6bd738d7f1b3e5a7ca70fe4ff75f0.us-east-1.aws.found.io/app/kibana#/discover/Steve-Slow-Train-Analysis-(2080s-and-2083s)?_g=(refreshInterval:(display:Off,pause:!f,section:0,value:0),time:(from:'2017-03-03T01:55:55-0700',mode:absolute,to:'2017-03-03T04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7" s="94" t="str">
        <f t="shared" si="1"/>
        <v>"C:\Program Files (x86)\AstroGrep\AstroGrep.exe" /spath="%USERPROFILE%\AppData\Local\Temp\OnboardLogs" /stypes="*4065*201703031*" /stext=" 11:.+((SYSTEM_STATE.+slice.+state.+changed )|(ment ac)|(multiple cpu faults)|(system.+state.+changed )|(\[timeout)|(PRM\|1\|D)|(kpr)|(kdp)|(\|lc)|(penalty))" /e /r /s</v>
      </c>
      <c r="U47" s="9" t="str">
        <f t="shared" si="2"/>
        <v>4065</v>
      </c>
      <c r="V47" s="32">
        <f t="shared" si="3"/>
        <v>42797.462731481479</v>
      </c>
      <c r="W47" s="46" t="str">
        <f t="shared" si="4"/>
        <v>Other</v>
      </c>
      <c r="X47" s="46" t="str">
        <f t="shared" si="5"/>
        <v>KEEP</v>
      </c>
      <c r="Y47" s="108" t="str">
        <f t="shared" si="6"/>
        <v>echo {"issue":{"subject":"","project_id":79,"tracker_id":40,"status_id":1,"priority_id":2,"assigned_to_id":23,"start_date":"2017-03-03","description":"","custom_fields":[{"id":1,"name":"Subdivision","value":"Other"},{"id":4,"name":"Milepost","value":"6.9363"},{"id":17,"name":"Train ID","value":"88-02"},{"id":16,"name":"Locomotive ID","value":"4065"},{"id":130,"name":"Impact","value":""},{"id":150,"name":"Time of Event (Mountain Time)","value":"04:06:20"},{"id":151,"name":"Denver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7"/>
        <v>grep -hSE -A400 "Enforcement Action" "%USERPROFILE%\AppData\Local\Temp\OnboardLogs"\RTDC4065\*4065*201703031*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"%USERPROFILE%\AppData\Local\Temp\OnboardLogs"\RTDC4065\*4065*201703031* &gt;&gt; 2017-03-03-SliceDisagreementCheck.txt</v>
      </c>
      <c r="AE47" s="157" t="str">
        <f t="shared" si="9"/>
        <v>start /low /b %USERPROFILE%\Documents\GitHub\eaglep3\Utilities\DownloadLogsFromS3.py --loco 4065 --day 2017-03-03</v>
      </c>
      <c r="AF47" s="1"/>
    </row>
    <row r="48" spans="1:32" x14ac:dyDescent="0.25">
      <c r="A48" s="32">
        <v>42797.485555555555</v>
      </c>
      <c r="B48" s="30" t="s">
        <v>264</v>
      </c>
      <c r="C48" s="30" t="s">
        <v>588</v>
      </c>
      <c r="D48" s="30" t="s">
        <v>49</v>
      </c>
      <c r="E48" s="30" t="s">
        <v>188</v>
      </c>
      <c r="F48" s="43">
        <v>0</v>
      </c>
      <c r="G48" s="43">
        <v>46</v>
      </c>
      <c r="H48" s="43">
        <v>131</v>
      </c>
      <c r="I48" s="43">
        <v>95</v>
      </c>
      <c r="J48" s="30" t="s">
        <v>189</v>
      </c>
      <c r="K48" s="43">
        <v>1</v>
      </c>
      <c r="L48" s="143" t="s">
        <v>51</v>
      </c>
      <c r="M48" s="144">
        <f t="shared" si="0"/>
        <v>49.631999999999998</v>
      </c>
      <c r="N48" s="145" t="str">
        <f>VLOOKUP(C48,'Trips&amp;Operators'!$C$1:$G$99999,5,FALSE)</f>
        <v>BRANDNER MELINDA</v>
      </c>
      <c r="O48" s="173" t="s">
        <v>185</v>
      </c>
      <c r="P48" s="146"/>
      <c r="Q48" s="30"/>
      <c r="R48" s="89" t="str">
        <f>VLOOKUP(C48,'Train Runs'!$A$13:$AE$9937,31,0)</f>
        <v>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 &amp; 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</v>
      </c>
      <c r="S48" s="92" t="str">
        <f>VLOOKUP(C48,'Train Runs'!$A$13:$AE$9937,22,0)</f>
        <v>https://d0f6bd738d7f1b3e5a7ca70fe4ff75f0.us-east-1.aws.found.io/app/kibana#/discover/Steve-Slow-Train-Analysis-(2080s-and-2083s)?_g=(refreshInterval:(display:Off,pause:!f,section:0,value:0),time:(from:'2017-03-03T10:23:47-0700',mode:absolute,to:'2017-03-03T12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8" s="94" t="str">
        <f t="shared" si="1"/>
        <v>"C:\Program Files (x86)\AstroGrep\AstroGrep.exe" /spath="%USERPROFILE%\AppData\Local\Temp\OnboardLogs" /stypes="*4013*201703031*" /stext=" 18:.+((SYSTEM_STATE.+slice.+state.+changed )|(ment ac)|(multiple cpu faults)|(system.+state.+changed )|(\[timeout)|(PRM\|1\|D)|(kpr)|(kdp)|(\|lc)|(penalty))" /e /r /s</v>
      </c>
      <c r="U48" s="9" t="str">
        <f t="shared" si="2"/>
        <v>4013</v>
      </c>
      <c r="V48" s="32">
        <f t="shared" si="3"/>
        <v>42797.777222222219</v>
      </c>
      <c r="W48" s="46" t="str">
        <f t="shared" si="4"/>
        <v>Other</v>
      </c>
      <c r="X48" s="46" t="str">
        <f t="shared" si="5"/>
        <v>KEEP</v>
      </c>
      <c r="Y48" s="108" t="str">
        <f t="shared" si="6"/>
        <v>echo {"issue":{"subject":"","project_id":79,"tracker_id":40,"status_id":1,"priority_id":2,"assigned_to_id":23,"start_date":"2017-03-03","description":"","custom_fields":[{"id":1,"name":"Subdivision","value":"Other"},{"id":4,"name":"Milepost","value":"0.0001"},{"id":17,"name":"Train ID","value":"52-03"},{"id":16,"name":"Locomotive ID","value":"4013"},{"id":130,"name":"Impact","value":""},{"id":150,"name":"Time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7"/>
        <v>grep -hSE -A400 "Enforcement Action" "%USERPROFILE%\AppData\Local\Temp\OnboardLogs"\RTDC4013\*4013*201703031*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"%USERPROFILE%\AppData\Local\Temp\OnboardLogs"\RTDC4013\*4013*201703031* &gt;&gt; 2017-03-03-SliceDisagreementCheck.txt</v>
      </c>
      <c r="AE48" s="157" t="str">
        <f t="shared" si="9"/>
        <v>start /low /b %USERPROFILE%\Documents\GitHub\eaglep3\Utilities\DownloadLogsFromS3.py --loco 4013 --day 2017-03-03</v>
      </c>
      <c r="AF48" s="1"/>
    </row>
    <row r="49" spans="1:32" x14ac:dyDescent="0.25">
      <c r="A49" s="32">
        <v>42797.788078703707</v>
      </c>
      <c r="B49" s="30" t="s">
        <v>494</v>
      </c>
      <c r="C49" s="30" t="s">
        <v>598</v>
      </c>
      <c r="D49" s="30" t="s">
        <v>49</v>
      </c>
      <c r="E49" s="30" t="s">
        <v>188</v>
      </c>
      <c r="F49" s="43">
        <v>0</v>
      </c>
      <c r="G49" s="43">
        <v>14</v>
      </c>
      <c r="H49" s="43">
        <v>864</v>
      </c>
      <c r="I49" s="43">
        <v>852</v>
      </c>
      <c r="J49" s="30" t="s">
        <v>189</v>
      </c>
      <c r="K49" s="43">
        <v>839</v>
      </c>
      <c r="L49" s="143" t="s">
        <v>51</v>
      </c>
      <c r="M49" s="144">
        <f t="shared" si="0"/>
        <v>6.8639999999999999</v>
      </c>
      <c r="N49" s="145" t="str">
        <f>VLOOKUP(C49,'Trips&amp;Operators'!$C$1:$G$99999,5,FALSE)</f>
        <v>PERKINS DARREN</v>
      </c>
      <c r="O49" s="173" t="s">
        <v>185</v>
      </c>
      <c r="P49" s="146"/>
      <c r="Q49" s="30"/>
      <c r="R49" s="89" t="e">
        <f>VLOOKUP(C49,'Train Runs'!$A$13:$AE$9937,31,0)</f>
        <v>#N/A</v>
      </c>
      <c r="S49" s="92" t="e">
        <f>VLOOKUP(C49,'Train Runs'!$A$13:$AE$9937,22,0)</f>
        <v>#N/A</v>
      </c>
      <c r="T49" s="94" t="str">
        <f t="shared" si="1"/>
        <v>"C:\Program Files (x86)\AstroGrep\AstroGrep.exe" /spath="%USERPROFILE%\AppData\Local\Temp\OnboardLogs" /stypes="*4019*201703040*" /stext=" 01:.+((SYSTEM_STATE.+slice.+state.+changed )|(ment ac)|(multiple cpu faults)|(system.+state.+changed )|(\[timeout)|(PRM\|1\|D)|(kpr)|(kdp)|(\|lc)|(penalty))" /e /r /s</v>
      </c>
      <c r="U49" s="9" t="str">
        <f t="shared" si="2"/>
        <v>4019</v>
      </c>
      <c r="V49" s="32">
        <f t="shared" si="3"/>
        <v>42798.079745370371</v>
      </c>
      <c r="W49" s="46" t="str">
        <f t="shared" si="4"/>
        <v>Other</v>
      </c>
      <c r="X49" s="46" t="str">
        <f t="shared" si="5"/>
        <v>KEEP</v>
      </c>
      <c r="Y49" s="108" t="str">
        <f t="shared" si="6"/>
        <v>echo {"issue":{"subject":"","project_id":79,"tracker_id":40,"status_id":1,"priority_id":2,"assigned_to_id":23,"start_date":"2017-03-03","description":"","custom_fields":[{"id":1,"name":"Subdivision","value":"Other"},{"id":4,"name":"Milepost","value":"0.0839"},{"id":17,"name":"Train ID","value":"58-03"},{"id":16,"name":"Locomotive ID","value":"4019"},{"id":130,"name":"Impact","value":""},{"id":150,"name":"Time of Event (Mountain Time)","value":"18:54:50"},{"id":151,"name":"Denver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7"/>
        <v>grep -hSE -A400 "Enforcement Action" "%USERPROFILE%\AppData\Local\Temp\OnboardLogs"\RTDC4019\*4019*201703040*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"%USERPROFILE%\AppData\Local\Temp\OnboardLogs"\RTDC4019\*4019*201703040* &gt;&gt; 2017-03-03-SliceDisagreementCheck.txt</v>
      </c>
      <c r="AE49" s="157" t="str">
        <f t="shared" si="9"/>
        <v>start /low /b %USERPROFILE%\Documents\GitHub\eaglep3\Utilities\DownloadLogsFromS3.py --loco 4019 --day 2017-03-04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2"/>
  <sheetViews>
    <sheetView workbookViewId="0">
      <selection activeCell="A3" sqref="A3:XFD3"/>
    </sheetView>
  </sheetViews>
  <sheetFormatPr defaultRowHeight="15" x14ac:dyDescent="0.25"/>
  <cols>
    <col min="1" max="1" width="9.140625" style="166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6"/>
      <c r="B1" s="175" t="str">
        <f>"Trips that did not appear in PTC Data "&amp;TEXT(Variables!$A$2,"YYYY-mm-dd")</f>
        <v>Trips that did not appear in PTC Data 2017-03-03</v>
      </c>
      <c r="C1" s="175"/>
      <c r="D1" s="175"/>
      <c r="E1" s="175"/>
      <c r="F1" s="175"/>
    </row>
    <row r="2" spans="1:10" s="23" customFormat="1" ht="45" x14ac:dyDescent="0.25">
      <c r="A2" s="168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67"/>
      <c r="B3" s="43" t="str">
        <f>A3&amp;"-"&amp;IF(DAY(Variables!$A$2)&lt;10,0,"")&amp;DAY(Variables!$A$2)</f>
        <v>-03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Runs'!$A$13:$A$99934,1,FALSE)</f>
        <v>#N/A</v>
      </c>
    </row>
    <row r="4" spans="1:10" x14ac:dyDescent="0.25">
      <c r="A4" s="167"/>
      <c r="B4" s="43" t="str">
        <f>A4&amp;"-"&amp;IF(DAY(Variables!$A$2)&lt;10,0,"")&amp;DAY(Variables!$A$2)</f>
        <v>-03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Runs'!$A$13:$A$99934,1,FALSE)</f>
        <v>#N/A</v>
      </c>
    </row>
    <row r="5" spans="1:10" x14ac:dyDescent="0.25">
      <c r="A5" s="167"/>
      <c r="B5" s="43" t="str">
        <f>A5&amp;"-"&amp;IF(DAY(Variables!$A$2)&lt;10,0,"")&amp;DAY(Variables!$A$2)</f>
        <v>-03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Runs'!$A$13:$A$99934,1,FALSE)</f>
        <v>#N/A</v>
      </c>
    </row>
    <row r="6" spans="1:10" x14ac:dyDescent="0.25">
      <c r="A6" s="167"/>
      <c r="B6" s="43" t="str">
        <f>A6&amp;"-"&amp;IF(DAY(Variables!$A$2)&lt;10,0,"")&amp;DAY(Variables!$A$2)</f>
        <v>-03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Runs'!$A$13:$A$99934,1,FALSE)</f>
        <v>#N/A</v>
      </c>
    </row>
    <row r="7" spans="1:10" x14ac:dyDescent="0.25">
      <c r="A7" s="167"/>
      <c r="B7" s="43" t="str">
        <f>A7&amp;"-"&amp;IF(DAY(Variables!$A$2)&lt;10,0,"")&amp;DAY(Variables!$A$2)</f>
        <v>-03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Runs'!$A$13:$A$99934,1,FALSE)</f>
        <v>#N/A</v>
      </c>
    </row>
    <row r="8" spans="1:10" x14ac:dyDescent="0.25">
      <c r="A8" s="167"/>
      <c r="B8" s="43" t="str">
        <f>A8&amp;"-"&amp;IF(DAY(Variables!$A$2)&lt;10,0,"")&amp;DAY(Variables!$A$2)</f>
        <v>-03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Runs'!$A$13:$A$99934,1,FALSE)</f>
        <v>#N/A</v>
      </c>
    </row>
    <row r="9" spans="1:10" x14ac:dyDescent="0.25">
      <c r="A9" s="167"/>
      <c r="B9" s="43" t="str">
        <f>A9&amp;"-"&amp;IF(DAY(Variables!$A$2)&lt;10,0,"")&amp;DAY(Variables!$A$2)</f>
        <v>-03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Runs'!$A$13:$A$99934,1,FALSE)</f>
        <v>#N/A</v>
      </c>
    </row>
    <row r="10" spans="1:10" x14ac:dyDescent="0.25">
      <c r="A10" s="167"/>
      <c r="B10" s="43" t="str">
        <f>A10&amp;"-"&amp;IF(DAY(Variables!$A$2)&lt;10,0,"")&amp;DAY(Variables!$A$2)</f>
        <v>-03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Runs'!$A$13:$A$99934,1,FALSE)</f>
        <v>#N/A</v>
      </c>
    </row>
    <row r="11" spans="1:10" x14ac:dyDescent="0.25">
      <c r="A11" s="167"/>
      <c r="B11" s="43" t="str">
        <f>A11&amp;"-"&amp;IF(DAY(Variables!$A$2)&lt;10,0,"")&amp;DAY(Variables!$A$2)</f>
        <v>-03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Runs'!$A$13:$A$99934,1,FALSE)</f>
        <v>#N/A</v>
      </c>
    </row>
    <row r="12" spans="1:10" x14ac:dyDescent="0.25">
      <c r="A12" s="167"/>
      <c r="B12" s="43" t="str">
        <f>A12&amp;"-"&amp;IF(DAY(Variables!$A$2)&lt;10,0,"")&amp;DAY(Variables!$A$2)</f>
        <v>-03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Runs'!$A$13:$A$99934,1,FALSE)</f>
        <v>#N/A</v>
      </c>
    </row>
    <row r="13" spans="1:10" x14ac:dyDescent="0.25">
      <c r="A13" s="167"/>
      <c r="B13" s="43" t="str">
        <f>A13&amp;"-"&amp;IF(DAY(Variables!$A$2)&lt;10,0,"")&amp;DAY(Variables!$A$2)</f>
        <v>-03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Runs'!$A$13:$A$99934,1,FALSE)</f>
        <v>#N/A</v>
      </c>
    </row>
    <row r="14" spans="1:10" x14ac:dyDescent="0.25">
      <c r="A14" s="167"/>
      <c r="B14" s="43" t="str">
        <f>A14&amp;"-"&amp;IF(DAY(Variables!$A$2)&lt;10,0,"")&amp;DAY(Variables!$A$2)</f>
        <v>-03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Runs'!$A$13:$A$99934,1,FALSE)</f>
        <v>#N/A</v>
      </c>
    </row>
    <row r="15" spans="1:10" x14ac:dyDescent="0.25">
      <c r="A15" s="167"/>
      <c r="B15" s="43" t="str">
        <f>A15&amp;"-"&amp;IF(DAY(Variables!$A$2)&lt;10,0,"")&amp;DAY(Variables!$A$2)</f>
        <v>-03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Runs'!$A$13:$A$99934,1,FALSE)</f>
        <v>#N/A</v>
      </c>
    </row>
    <row r="16" spans="1:10" x14ac:dyDescent="0.25">
      <c r="A16" s="167"/>
      <c r="B16" s="43" t="str">
        <f>A16&amp;"-"&amp;IF(DAY(Variables!$A$2)&lt;10,0,"")&amp;DAY(Variables!$A$2)</f>
        <v>-03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Runs'!$A$13:$A$99934,1,FALSE)</f>
        <v>#N/A</v>
      </c>
    </row>
    <row r="17" spans="1:10" x14ac:dyDescent="0.25">
      <c r="A17" s="167"/>
      <c r="B17" s="43" t="str">
        <f>A17&amp;"-"&amp;IF(DAY(Variables!$A$2)&lt;10,0,"")&amp;DAY(Variables!$A$2)</f>
        <v>-03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Runs'!$A$13:$A$99934,1,FALSE)</f>
        <v>#N/A</v>
      </c>
    </row>
    <row r="18" spans="1:10" x14ac:dyDescent="0.25">
      <c r="A18" s="167"/>
      <c r="B18" s="43" t="str">
        <f>A18&amp;"-"&amp;IF(DAY(Variables!$A$2)&lt;10,0,"")&amp;DAY(Variables!$A$2)</f>
        <v>-03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Runs'!$A$13:$A$99934,1,FALSE)</f>
        <v>#N/A</v>
      </c>
    </row>
    <row r="19" spans="1:10" x14ac:dyDescent="0.25">
      <c r="A19" s="167"/>
      <c r="B19" s="43" t="str">
        <f>A19&amp;"-"&amp;IF(DAY(Variables!$A$2)&lt;10,0,"")&amp;DAY(Variables!$A$2)</f>
        <v>-03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9" s="30" t="e">
        <f>VLOOKUP(B19,'Train Runs'!$A$13:$A$99934,1,FALSE)</f>
        <v>#N/A</v>
      </c>
    </row>
    <row r="20" spans="1:10" x14ac:dyDescent="0.25">
      <c r="A20" s="167"/>
      <c r="B20" s="43" t="str">
        <f>A20&amp;"-"&amp;IF(DAY(Variables!$A$2)&lt;10,0,"")&amp;DAY(Variables!$A$2)</f>
        <v>-03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0" s="30" t="e">
        <f>VLOOKUP(B20,'Train Runs'!$A$13:$A$99934,1,FALSE)</f>
        <v>#N/A</v>
      </c>
    </row>
    <row r="21" spans="1:10" x14ac:dyDescent="0.25">
      <c r="A21" s="167"/>
      <c r="B21" s="43" t="str">
        <f>A21&amp;"-"&amp;IF(DAY(Variables!$A$2)&lt;10,0,"")&amp;DAY(Variables!$A$2)</f>
        <v>-03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1" s="30" t="e">
        <f>VLOOKUP(B21,'Train Runs'!$A$13:$A$99934,1,FALSE)</f>
        <v>#N/A</v>
      </c>
    </row>
    <row r="22" spans="1:10" x14ac:dyDescent="0.25">
      <c r="A22" s="167"/>
      <c r="B22" s="43" t="str">
        <f>A22&amp;"-"&amp;IF(DAY(Variables!$A$2)&lt;10,0,"")&amp;DAY(Variables!$A$2)</f>
        <v>-03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2" s="30" t="e">
        <f>VLOOKUP(B22,'Train Runs'!$A$13:$A$99934,1,FALSE)</f>
        <v>#N/A</v>
      </c>
    </row>
    <row r="23" spans="1:10" x14ac:dyDescent="0.25">
      <c r="A23" s="167"/>
      <c r="B23" s="43" t="str">
        <f>A23&amp;"-"&amp;IF(DAY(Variables!$A$2)&lt;10,0,"")&amp;DAY(Variables!$A$2)</f>
        <v>-03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3" s="30" t="e">
        <f>VLOOKUP(B23,'Train Runs'!$A$13:$A$99934,1,FALSE)</f>
        <v>#N/A</v>
      </c>
    </row>
    <row r="24" spans="1:10" x14ac:dyDescent="0.25">
      <c r="A24" s="167"/>
      <c r="B24" s="43" t="str">
        <f>A24&amp;"-"&amp;IF(DAY(Variables!$A$2)&lt;10,0,"")&amp;DAY(Variables!$A$2)</f>
        <v>-03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4" s="30" t="e">
        <f>VLOOKUP(B24,'Train Runs'!$A$13:$A$99934,1,FALSE)</f>
        <v>#N/A</v>
      </c>
    </row>
    <row r="25" spans="1:10" x14ac:dyDescent="0.25">
      <c r="A25" s="167"/>
      <c r="B25" s="43" t="str">
        <f>A25&amp;"-"&amp;IF(DAY(Variables!$A$2)&lt;10,0,"")&amp;DAY(Variables!$A$2)</f>
        <v>-03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5" s="30" t="e">
        <f>VLOOKUP(B25,'Train Runs'!$A$13:$A$99934,1,FALSE)</f>
        <v>#N/A</v>
      </c>
    </row>
    <row r="26" spans="1:10" x14ac:dyDescent="0.25">
      <c r="A26" s="167"/>
      <c r="B26" s="43" t="str">
        <f>A26&amp;"-"&amp;IF(DAY(Variables!$A$2)&lt;10,0,"")&amp;DAY(Variables!$A$2)</f>
        <v>-03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6" s="30" t="e">
        <f>VLOOKUP(B26,'Train Runs'!$A$13:$A$99934,1,FALSE)</f>
        <v>#N/A</v>
      </c>
    </row>
    <row r="27" spans="1:10" x14ac:dyDescent="0.25">
      <c r="A27" s="167"/>
      <c r="B27" s="43" t="str">
        <f>A27&amp;"-"&amp;IF(DAY(Variables!$A$2)&lt;10,0,"")&amp;DAY(Variables!$A$2)</f>
        <v>-03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ref="I27:I5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7" s="30" t="e">
        <f>VLOOKUP(B27,'Train Runs'!$A$13:$A$99934,1,FALSE)</f>
        <v>#N/A</v>
      </c>
    </row>
    <row r="28" spans="1:10" x14ac:dyDescent="0.25">
      <c r="A28" s="167"/>
      <c r="B28" s="43" t="str">
        <f>A28&amp;"-"&amp;IF(DAY(Variables!$A$2)&lt;10,0,"")&amp;DAY(Variables!$A$2)</f>
        <v>-03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8" s="30" t="e">
        <f>VLOOKUP(B28,'Train Runs'!$A$13:$A$99934,1,FALSE)</f>
        <v>#N/A</v>
      </c>
    </row>
    <row r="29" spans="1:10" x14ac:dyDescent="0.25">
      <c r="A29" s="167"/>
      <c r="B29" s="43" t="str">
        <f>A29&amp;"-"&amp;IF(DAY(Variables!$A$2)&lt;10,0,"")&amp;DAY(Variables!$A$2)</f>
        <v>-03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9" s="30" t="e">
        <f>VLOOKUP(B29,'Train Runs'!$A$13:$A$99934,1,FALSE)</f>
        <v>#N/A</v>
      </c>
    </row>
    <row r="30" spans="1:10" x14ac:dyDescent="0.25">
      <c r="A30" s="167"/>
      <c r="B30" s="43" t="str">
        <f>A30&amp;"-"&amp;IF(DAY(Variables!$A$2)&lt;10,0,"")&amp;DAY(Variables!$A$2)</f>
        <v>-03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0" s="30" t="e">
        <f>VLOOKUP(B30,'Train Runs'!$A$13:$A$99934,1,FALSE)</f>
        <v>#N/A</v>
      </c>
    </row>
    <row r="31" spans="1:10" x14ac:dyDescent="0.25">
      <c r="A31" s="167"/>
      <c r="B31" s="43" t="str">
        <f>A31&amp;"-"&amp;IF(DAY(Variables!$A$2)&lt;10,0,"")&amp;DAY(Variables!$A$2)</f>
        <v>-03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1" s="30" t="e">
        <f>VLOOKUP(B31,'Train Runs'!$A$13:$A$99934,1,FALSE)</f>
        <v>#N/A</v>
      </c>
    </row>
    <row r="32" spans="1:10" x14ac:dyDescent="0.25">
      <c r="A32" s="167"/>
      <c r="B32" s="43" t="str">
        <f>A32&amp;"-"&amp;IF(DAY(Variables!$A$2)&lt;10,0,"")&amp;DAY(Variables!$A$2)</f>
        <v>-03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2" s="30" t="e">
        <f>VLOOKUP(B32,'Train Runs'!$A$13:$A$99934,1,FALSE)</f>
        <v>#N/A</v>
      </c>
    </row>
    <row r="33" spans="1:10" x14ac:dyDescent="0.25">
      <c r="A33" s="167"/>
      <c r="B33" s="43" t="str">
        <f>A33&amp;"-"&amp;IF(DAY(Variables!$A$2)&lt;10,0,"")&amp;DAY(Variables!$A$2)</f>
        <v>-03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3" s="30" t="e">
        <f>VLOOKUP(B33,'Train Runs'!$A$13:$A$99934,1,FALSE)</f>
        <v>#N/A</v>
      </c>
    </row>
    <row r="34" spans="1:10" x14ac:dyDescent="0.25">
      <c r="A34" s="167"/>
      <c r="B34" s="43" t="str">
        <f>A34&amp;"-"&amp;IF(DAY(Variables!$A$2)&lt;10,0,"")&amp;DAY(Variables!$A$2)</f>
        <v>-03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4" s="30" t="e">
        <f>VLOOKUP(B34,'Train Runs'!$A$13:$A$99934,1,FALSE)</f>
        <v>#N/A</v>
      </c>
    </row>
    <row r="35" spans="1:10" x14ac:dyDescent="0.25">
      <c r="A35" s="167"/>
      <c r="B35" s="43" t="str">
        <f>A35&amp;"-"&amp;IF(DAY(Variables!$A$2)&lt;10,0,"")&amp;DAY(Variables!$A$2)</f>
        <v>-03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5" s="30" t="e">
        <f>VLOOKUP(B35,'Train Runs'!$A$13:$A$99934,1,FALSE)</f>
        <v>#N/A</v>
      </c>
    </row>
    <row r="36" spans="1:10" x14ac:dyDescent="0.25">
      <c r="A36" s="167"/>
      <c r="B36" s="43" t="str">
        <f>A36&amp;"-"&amp;IF(DAY(Variables!$A$2)&lt;10,0,"")&amp;DAY(Variables!$A$2)</f>
        <v>-03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6" s="30" t="e">
        <f>VLOOKUP(B36,'Train Runs'!$A$13:$A$99934,1,FALSE)</f>
        <v>#N/A</v>
      </c>
    </row>
    <row r="37" spans="1:10" x14ac:dyDescent="0.25">
      <c r="A37" s="167"/>
      <c r="B37" s="43" t="str">
        <f>A37&amp;"-"&amp;IF(DAY(Variables!$A$2)&lt;10,0,"")&amp;DAY(Variables!$A$2)</f>
        <v>-03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7" s="30" t="e">
        <f>VLOOKUP(B37,'Train Runs'!$A$13:$A$99934,1,FALSE)</f>
        <v>#N/A</v>
      </c>
    </row>
    <row r="38" spans="1:10" x14ac:dyDescent="0.25">
      <c r="A38" s="167"/>
      <c r="B38" s="43" t="str">
        <f>A38&amp;"-"&amp;IF(DAY(Variables!$A$2)&lt;10,0,"")&amp;DAY(Variables!$A$2)</f>
        <v>-03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8" s="30" t="e">
        <f>VLOOKUP(B38,'Train Runs'!$A$13:$A$99934,1,FALSE)</f>
        <v>#N/A</v>
      </c>
    </row>
    <row r="39" spans="1:10" x14ac:dyDescent="0.25">
      <c r="A39" s="167"/>
      <c r="B39" s="43" t="str">
        <f>A39&amp;"-"&amp;IF(DAY(Variables!$A$2)&lt;10,0,"")&amp;DAY(Variables!$A$2)</f>
        <v>-03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9" s="30" t="e">
        <f>VLOOKUP(B39,'Train Runs'!$A$13:$A$99934,1,FALSE)</f>
        <v>#N/A</v>
      </c>
    </row>
    <row r="40" spans="1:10" x14ac:dyDescent="0.25">
      <c r="A40" s="167"/>
      <c r="B40" s="43" t="str">
        <f>A40&amp;"-"&amp;IF(DAY(Variables!$A$2)&lt;10,0,"")&amp;DAY(Variables!$A$2)</f>
        <v>-03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0" s="30" t="e">
        <f>VLOOKUP(B40,'Train Runs'!$A$13:$A$99934,1,FALSE)</f>
        <v>#N/A</v>
      </c>
    </row>
    <row r="41" spans="1:10" x14ac:dyDescent="0.25">
      <c r="A41" s="167"/>
      <c r="B41" s="43" t="str">
        <f>A41&amp;"-"&amp;IF(DAY(Variables!$A$2)&lt;10,0,"")&amp;DAY(Variables!$A$2)</f>
        <v>-03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1" s="30" t="e">
        <f>VLOOKUP(B41,'Train Runs'!$A$13:$A$99934,1,FALSE)</f>
        <v>#N/A</v>
      </c>
    </row>
    <row r="42" spans="1:10" x14ac:dyDescent="0.25">
      <c r="A42" s="167"/>
      <c r="B42" s="43" t="str">
        <f>A42&amp;"-"&amp;IF(DAY(Variables!$A$2)&lt;10,0,"")&amp;DAY(Variables!$A$2)</f>
        <v>-03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2" s="30" t="e">
        <f>VLOOKUP(B42,'Train Runs'!$A$13:$A$99934,1,FALSE)</f>
        <v>#N/A</v>
      </c>
    </row>
    <row r="43" spans="1:10" x14ac:dyDescent="0.25">
      <c r="A43" s="167"/>
      <c r="B43" s="43" t="str">
        <f>A43&amp;"-"&amp;IF(DAY(Variables!$A$2)&lt;10,0,"")&amp;DAY(Variables!$A$2)</f>
        <v>-03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3" s="30" t="e">
        <f>VLOOKUP(B43,'Train Runs'!$A$13:$A$99934,1,FALSE)</f>
        <v>#N/A</v>
      </c>
    </row>
    <row r="44" spans="1:10" x14ac:dyDescent="0.25">
      <c r="A44" s="167"/>
      <c r="B44" s="43" t="str">
        <f>A44&amp;"-"&amp;IF(DAY(Variables!$A$2)&lt;10,0,"")&amp;DAY(Variables!$A$2)</f>
        <v>-03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4" s="30" t="e">
        <f>VLOOKUP(B44,'Train Runs'!$A$13:$A$99934,1,FALSE)</f>
        <v>#N/A</v>
      </c>
    </row>
    <row r="45" spans="1:10" x14ac:dyDescent="0.25">
      <c r="A45" s="167"/>
      <c r="B45" s="43" t="str">
        <f>A45&amp;"-"&amp;IF(DAY(Variables!$A$2)&lt;10,0,"")&amp;DAY(Variables!$A$2)</f>
        <v>-03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5" s="30" t="e">
        <f>VLOOKUP(B45,'Train Runs'!$A$13:$A$99934,1,FALSE)</f>
        <v>#N/A</v>
      </c>
    </row>
    <row r="46" spans="1:10" x14ac:dyDescent="0.25">
      <c r="A46" s="167"/>
      <c r="B46" s="43" t="str">
        <f>A46&amp;"-"&amp;IF(DAY(Variables!$A$2)&lt;10,0,"")&amp;DAY(Variables!$A$2)</f>
        <v>-03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6" s="30" t="e">
        <f>VLOOKUP(B46,'Train Runs'!$A$13:$A$99934,1,FALSE)</f>
        <v>#N/A</v>
      </c>
    </row>
    <row r="47" spans="1:10" x14ac:dyDescent="0.25">
      <c r="A47" s="167"/>
      <c r="B47" s="43" t="str">
        <f>A47&amp;"-"&amp;IF(DAY(Variables!$A$2)&lt;10,0,"")&amp;DAY(Variables!$A$2)</f>
        <v>-03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7" s="30" t="e">
        <f>VLOOKUP(B47,'Train Runs'!$A$13:$A$99934,1,FALSE)</f>
        <v>#N/A</v>
      </c>
    </row>
    <row r="48" spans="1:10" x14ac:dyDescent="0.25">
      <c r="A48" s="167"/>
      <c r="B48" s="43" t="str">
        <f>A48&amp;"-"&amp;IF(DAY(Variables!$A$2)&lt;10,0,"")&amp;DAY(Variables!$A$2)</f>
        <v>-03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8" s="30" t="e">
        <f>VLOOKUP(B48,'Train Runs'!$A$13:$A$99934,1,FALSE)</f>
        <v>#N/A</v>
      </c>
    </row>
    <row r="49" spans="1:10" x14ac:dyDescent="0.25">
      <c r="A49" s="167"/>
      <c r="B49" s="43" t="str">
        <f>A49&amp;"-"&amp;IF(DAY(Variables!$A$2)&lt;10,0,"")&amp;DAY(Variables!$A$2)</f>
        <v>-03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9" s="30" t="e">
        <f>VLOOKUP(B49,'Train Runs'!$A$13:$A$99934,1,FALSE)</f>
        <v>#N/A</v>
      </c>
    </row>
    <row r="50" spans="1:10" x14ac:dyDescent="0.25">
      <c r="A50" s="167"/>
      <c r="B50" s="43" t="str">
        <f>A50&amp;"-"&amp;IF(DAY(Variables!$A$2)&lt;10,0,"")&amp;DAY(Variables!$A$2)</f>
        <v>-03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0" s="30" t="e">
        <f>VLOOKUP(B50,'Train Runs'!$A$13:$A$99934,1,FALSE)</f>
        <v>#N/A</v>
      </c>
    </row>
    <row r="51" spans="1:10" x14ac:dyDescent="0.25">
      <c r="A51" s="167"/>
      <c r="B51" s="43" t="str">
        <f>A51&amp;"-"&amp;IF(DAY(Variables!$A$2)&lt;10,0,"")&amp;DAY(Variables!$A$2)</f>
        <v>-03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1" s="30" t="e">
        <f>VLOOKUP(B51,'Train Runs'!$A$13:$A$99934,1,FALSE)</f>
        <v>#N/A</v>
      </c>
    </row>
    <row r="52" spans="1:10" x14ac:dyDescent="0.25">
      <c r="A52" s="167"/>
      <c r="B52" s="43" t="str">
        <f>A52&amp;"-"&amp;IF(DAY(Variables!$A$2)&lt;10,0,"")&amp;DAY(Variables!$A$2)</f>
        <v>-03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2" s="30" t="e">
        <f>VLOOKUP(B52,'Train Runs'!$A$13:$A$99934,1,FALSE)</f>
        <v>#N/A</v>
      </c>
    </row>
    <row r="53" spans="1:10" x14ac:dyDescent="0.25">
      <c r="A53" s="167"/>
      <c r="B53" s="43" t="str">
        <f>A53&amp;"-"&amp;IF(DAY(Variables!$A$2)&lt;10,0,"")&amp;DAY(Variables!$A$2)</f>
        <v>-03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3" s="30" t="e">
        <f>VLOOKUP(B53,'Train Runs'!$A$13:$A$99934,1,FALSE)</f>
        <v>#N/A</v>
      </c>
    </row>
    <row r="54" spans="1:10" x14ac:dyDescent="0.25">
      <c r="A54" s="167"/>
      <c r="B54" s="43" t="str">
        <f>A54&amp;"-"&amp;IF(DAY(Variables!$A$2)&lt;10,0,"")&amp;DAY(Variables!$A$2)</f>
        <v>-03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4" s="30" t="e">
        <f>VLOOKUP(B54,'Train Runs'!$A$13:$A$99934,1,FALSE)</f>
        <v>#N/A</v>
      </c>
    </row>
    <row r="55" spans="1:10" x14ac:dyDescent="0.25">
      <c r="A55" s="167"/>
      <c r="B55" s="43" t="str">
        <f>A55&amp;"-"&amp;IF(DAY(Variables!$A$2)&lt;10,0,"")&amp;DAY(Variables!$A$2)</f>
        <v>-03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5" s="30" t="e">
        <f>VLOOKUP(B55,'Train Runs'!$A$13:$A$99934,1,FALSE)</f>
        <v>#N/A</v>
      </c>
    </row>
    <row r="56" spans="1:10" x14ac:dyDescent="0.25">
      <c r="A56" s="167"/>
      <c r="B56" s="43" t="str">
        <f>A56&amp;"-"&amp;IF(DAY(Variables!$A$2)&lt;10,0,"")&amp;DAY(Variables!$A$2)</f>
        <v>-03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6" s="30" t="e">
        <f>VLOOKUP(B56,'Train Runs'!$A$13:$A$99934,1,FALSE)</f>
        <v>#N/A</v>
      </c>
    </row>
    <row r="57" spans="1:10" x14ac:dyDescent="0.25">
      <c r="A57" s="167"/>
      <c r="B57" s="43" t="str">
        <f>A57&amp;"-"&amp;IF(DAY(Variables!$A$2)&lt;10,0,"")&amp;DAY(Variables!$A$2)</f>
        <v>-03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7" s="30" t="e">
        <f>VLOOKUP(B57,'Train Runs'!$A$13:$A$99934,1,FALSE)</f>
        <v>#N/A</v>
      </c>
    </row>
    <row r="58" spans="1:10" x14ac:dyDescent="0.25">
      <c r="A58" s="167"/>
      <c r="B58" s="43" t="str">
        <f>A58&amp;"-"&amp;IF(DAY(Variables!$A$2)&lt;10,0,"")&amp;DAY(Variables!$A$2)</f>
        <v>-03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8" s="30" t="e">
        <f>VLOOKUP(B58,'Train Runs'!$A$13:$A$99934,1,FALSE)</f>
        <v>#N/A</v>
      </c>
    </row>
    <row r="59" spans="1:10" x14ac:dyDescent="0.25">
      <c r="A59" s="167"/>
      <c r="B59" s="43" t="str">
        <f>A59&amp;"-"&amp;IF(DAY(Variables!$A$2)&lt;10,0,"")&amp;DAY(Variables!$A$2)</f>
        <v>-03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ref="I59:I9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9" s="30" t="e">
        <f>VLOOKUP(B59,'Train Runs'!$A$13:$A$99934,1,FALSE)</f>
        <v>#N/A</v>
      </c>
    </row>
    <row r="60" spans="1:10" x14ac:dyDescent="0.25">
      <c r="A60" s="167"/>
      <c r="B60" s="43" t="str">
        <f>A60&amp;"-"&amp;IF(DAY(Variables!$A$2)&lt;10,0,"")&amp;DAY(Variables!$A$2)</f>
        <v>-03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0" s="30" t="e">
        <f>VLOOKUP(B60,'Train Runs'!$A$13:$A$99934,1,FALSE)</f>
        <v>#N/A</v>
      </c>
    </row>
    <row r="61" spans="1:10" x14ac:dyDescent="0.25">
      <c r="A61" s="167"/>
      <c r="B61" s="43" t="str">
        <f>A61&amp;"-"&amp;IF(DAY(Variables!$A$2)&lt;10,0,"")&amp;DAY(Variables!$A$2)</f>
        <v>-03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1" s="30" t="e">
        <f>VLOOKUP(B61,'Train Runs'!$A$13:$A$99934,1,FALSE)</f>
        <v>#N/A</v>
      </c>
    </row>
    <row r="62" spans="1:10" x14ac:dyDescent="0.25">
      <c r="A62" s="167"/>
      <c r="B62" s="43" t="str">
        <f>A62&amp;"-"&amp;IF(DAY(Variables!$A$2)&lt;10,0,"")&amp;DAY(Variables!$A$2)</f>
        <v>-03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2" s="30" t="e">
        <f>VLOOKUP(B62,'Train Runs'!$A$13:$A$99934,1,FALSE)</f>
        <v>#N/A</v>
      </c>
    </row>
    <row r="63" spans="1:10" x14ac:dyDescent="0.25">
      <c r="A63" s="167"/>
      <c r="B63" s="43" t="str">
        <f>A63&amp;"-"&amp;IF(DAY(Variables!$A$2)&lt;10,0,"")&amp;DAY(Variables!$A$2)</f>
        <v>-03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3" s="30" t="e">
        <f>VLOOKUP(B63,'Train Runs'!$A$13:$A$99934,1,FALSE)</f>
        <v>#N/A</v>
      </c>
    </row>
    <row r="64" spans="1:10" x14ac:dyDescent="0.25">
      <c r="A64" s="167"/>
      <c r="B64" s="43" t="str">
        <f>A64&amp;"-"&amp;IF(DAY(Variables!$A$2)&lt;10,0,"")&amp;DAY(Variables!$A$2)</f>
        <v>-03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4" s="30" t="e">
        <f>VLOOKUP(B64,'Train Runs'!$A$13:$A$99934,1,FALSE)</f>
        <v>#N/A</v>
      </c>
    </row>
    <row r="65" spans="1:10" x14ac:dyDescent="0.25">
      <c r="A65" s="167"/>
      <c r="B65" s="43" t="str">
        <f>A65&amp;"-"&amp;IF(DAY(Variables!$A$2)&lt;10,0,"")&amp;DAY(Variables!$A$2)</f>
        <v>-03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5" s="30" t="e">
        <f>VLOOKUP(B65,'Train Runs'!$A$13:$A$99934,1,FALSE)</f>
        <v>#N/A</v>
      </c>
    </row>
    <row r="66" spans="1:10" x14ac:dyDescent="0.25">
      <c r="A66" s="167"/>
      <c r="B66" s="43" t="str">
        <f>A66&amp;"-"&amp;IF(DAY(Variables!$A$2)&lt;10,0,"")&amp;DAY(Variables!$A$2)</f>
        <v>-03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6" s="30" t="e">
        <f>VLOOKUP(B66,'Train Runs'!$A$13:$A$99934,1,FALSE)</f>
        <v>#N/A</v>
      </c>
    </row>
    <row r="67" spans="1:10" x14ac:dyDescent="0.25">
      <c r="A67" s="167"/>
      <c r="B67" s="43" t="str">
        <f>A67&amp;"-"&amp;IF(DAY(Variables!$A$2)&lt;10,0,"")&amp;DAY(Variables!$A$2)</f>
        <v>-03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7" s="30" t="e">
        <f>VLOOKUP(B67,'Train Runs'!$A$13:$A$99934,1,FALSE)</f>
        <v>#N/A</v>
      </c>
    </row>
    <row r="68" spans="1:10" x14ac:dyDescent="0.25">
      <c r="A68" s="167"/>
      <c r="B68" s="43" t="str">
        <f>A68&amp;"-"&amp;IF(DAY(Variables!$A$2)&lt;10,0,"")&amp;DAY(Variables!$A$2)</f>
        <v>-03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8" s="30" t="e">
        <f>VLOOKUP(B68,'Train Runs'!$A$13:$A$99934,1,FALSE)</f>
        <v>#N/A</v>
      </c>
    </row>
    <row r="69" spans="1:10" x14ac:dyDescent="0.25">
      <c r="A69" s="167"/>
      <c r="B69" s="43" t="str">
        <f>A69&amp;"-"&amp;IF(DAY(Variables!$A$2)&lt;10,0,"")&amp;DAY(Variables!$A$2)</f>
        <v>-03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9" s="30" t="e">
        <f>VLOOKUP(B69,'Train Runs'!$A$13:$A$99934,1,FALSE)</f>
        <v>#N/A</v>
      </c>
    </row>
    <row r="70" spans="1:10" x14ac:dyDescent="0.25">
      <c r="A70" s="167"/>
      <c r="B70" s="43" t="str">
        <f>A70&amp;"-"&amp;IF(DAY(Variables!$A$2)&lt;10,0,"")&amp;DAY(Variables!$A$2)</f>
        <v>-03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0" s="30" t="e">
        <f>VLOOKUP(B70,'Train Runs'!$A$13:$A$99934,1,FALSE)</f>
        <v>#N/A</v>
      </c>
    </row>
    <row r="71" spans="1:10" x14ac:dyDescent="0.25">
      <c r="A71" s="167"/>
      <c r="B71" s="43" t="str">
        <f>A71&amp;"-"&amp;IF(DAY(Variables!$A$2)&lt;10,0,"")&amp;DAY(Variables!$A$2)</f>
        <v>-03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1" s="30" t="e">
        <f>VLOOKUP(B71,'Train Runs'!$A$13:$A$99934,1,FALSE)</f>
        <v>#N/A</v>
      </c>
    </row>
    <row r="72" spans="1:10" x14ac:dyDescent="0.25">
      <c r="A72" s="167"/>
      <c r="B72" s="43" t="str">
        <f>A72&amp;"-"&amp;IF(DAY(Variables!$A$2)&lt;10,0,"")&amp;DAY(Variables!$A$2)</f>
        <v>-03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2" s="30" t="e">
        <f>VLOOKUP(B72,'Train Runs'!$A$13:$A$99934,1,FALSE)</f>
        <v>#N/A</v>
      </c>
    </row>
    <row r="73" spans="1:10" x14ac:dyDescent="0.25">
      <c r="A73" s="167"/>
      <c r="B73" s="43" t="str">
        <f>A73&amp;"-"&amp;IF(DAY(Variables!$A$2)&lt;10,0,"")&amp;DAY(Variables!$A$2)</f>
        <v>-03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3" s="30" t="e">
        <f>VLOOKUP(B73,'Train Runs'!$A$13:$A$99934,1,FALSE)</f>
        <v>#N/A</v>
      </c>
    </row>
    <row r="74" spans="1:10" x14ac:dyDescent="0.25">
      <c r="A74" s="167"/>
      <c r="B74" s="43" t="str">
        <f>A74&amp;"-"&amp;IF(DAY(Variables!$A$2)&lt;10,0,"")&amp;DAY(Variables!$A$2)</f>
        <v>-03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4" s="30" t="e">
        <f>VLOOKUP(B74,'Train Runs'!$A$13:$A$99934,1,FALSE)</f>
        <v>#N/A</v>
      </c>
    </row>
    <row r="75" spans="1:10" x14ac:dyDescent="0.25">
      <c r="A75" s="167"/>
      <c r="B75" s="43" t="str">
        <f>A75&amp;"-"&amp;IF(DAY(Variables!$A$2)&lt;10,0,"")&amp;DAY(Variables!$A$2)</f>
        <v>-03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5" s="30" t="e">
        <f>VLOOKUP(B75,'Train Runs'!$A$13:$A$99934,1,FALSE)</f>
        <v>#N/A</v>
      </c>
    </row>
    <row r="76" spans="1:10" x14ac:dyDescent="0.25">
      <c r="A76" s="167"/>
      <c r="B76" s="43" t="str">
        <f>A76&amp;"-"&amp;IF(DAY(Variables!$A$2)&lt;10,0,"")&amp;DAY(Variables!$A$2)</f>
        <v>-03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6" s="30" t="e">
        <f>VLOOKUP(B76,'Train Runs'!$A$13:$A$99934,1,FALSE)</f>
        <v>#N/A</v>
      </c>
    </row>
    <row r="77" spans="1:10" x14ac:dyDescent="0.25">
      <c r="A77" s="167"/>
      <c r="B77" s="43" t="str">
        <f>A77&amp;"-"&amp;IF(DAY(Variables!$A$2)&lt;10,0,"")&amp;DAY(Variables!$A$2)</f>
        <v>-03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7" s="30" t="e">
        <f>VLOOKUP(B77,'Train Runs'!$A$13:$A$99934,1,FALSE)</f>
        <v>#N/A</v>
      </c>
    </row>
    <row r="78" spans="1:10" x14ac:dyDescent="0.25">
      <c r="A78" s="167"/>
      <c r="B78" s="43" t="str">
        <f>A78&amp;"-"&amp;IF(DAY(Variables!$A$2)&lt;10,0,"")&amp;DAY(Variables!$A$2)</f>
        <v>-03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8" s="30" t="e">
        <f>VLOOKUP(B78,'Train Runs'!$A$13:$A$99934,1,FALSE)</f>
        <v>#N/A</v>
      </c>
    </row>
    <row r="79" spans="1:10" x14ac:dyDescent="0.25">
      <c r="A79" s="167"/>
      <c r="B79" s="43" t="str">
        <f>A79&amp;"-"&amp;IF(DAY(Variables!$A$2)&lt;10,0,"")&amp;DAY(Variables!$A$2)</f>
        <v>-03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9" s="30" t="e">
        <f>VLOOKUP(B79,'Train Runs'!$A$13:$A$99934,1,FALSE)</f>
        <v>#N/A</v>
      </c>
    </row>
    <row r="80" spans="1:10" x14ac:dyDescent="0.25">
      <c r="A80" s="167"/>
      <c r="B80" s="43" t="str">
        <f>A80&amp;"-"&amp;IF(DAY(Variables!$A$2)&lt;10,0,"")&amp;DAY(Variables!$A$2)</f>
        <v>-03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0" s="30" t="e">
        <f>VLOOKUP(B80,'Train Runs'!$A$13:$A$99934,1,FALSE)</f>
        <v>#N/A</v>
      </c>
    </row>
    <row r="81" spans="1:10" x14ac:dyDescent="0.25">
      <c r="A81" s="167"/>
      <c r="B81" s="43" t="str">
        <f>A81&amp;"-"&amp;IF(DAY(Variables!$A$2)&lt;10,0,"")&amp;DAY(Variables!$A$2)</f>
        <v>-03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1" s="30" t="e">
        <f>VLOOKUP(B81,'Train Runs'!$A$13:$A$99934,1,FALSE)</f>
        <v>#N/A</v>
      </c>
    </row>
    <row r="82" spans="1:10" x14ac:dyDescent="0.25">
      <c r="A82" s="167"/>
      <c r="B82" s="43" t="str">
        <f>A82&amp;"-"&amp;IF(DAY(Variables!$A$2)&lt;10,0,"")&amp;DAY(Variables!$A$2)</f>
        <v>-03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2" s="30" t="e">
        <f>VLOOKUP(B82,'Train Runs'!$A$13:$A$99934,1,FALSE)</f>
        <v>#N/A</v>
      </c>
    </row>
    <row r="83" spans="1:10" x14ac:dyDescent="0.25">
      <c r="A83" s="167"/>
      <c r="B83" s="43" t="str">
        <f>A83&amp;"-"&amp;IF(DAY(Variables!$A$2)&lt;10,0,"")&amp;DAY(Variables!$A$2)</f>
        <v>-03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3" s="30" t="e">
        <f>VLOOKUP(B83,'Train Runs'!$A$13:$A$99934,1,FALSE)</f>
        <v>#N/A</v>
      </c>
    </row>
    <row r="84" spans="1:10" x14ac:dyDescent="0.25">
      <c r="A84" s="167"/>
      <c r="B84" s="43" t="str">
        <f>A84&amp;"-"&amp;IF(DAY(Variables!$A$2)&lt;10,0,"")&amp;DAY(Variables!$A$2)</f>
        <v>-03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4" s="30" t="e">
        <f>VLOOKUP(B84,'Train Runs'!$A$13:$A$99934,1,FALSE)</f>
        <v>#N/A</v>
      </c>
    </row>
    <row r="85" spans="1:10" x14ac:dyDescent="0.25">
      <c r="A85" s="167"/>
      <c r="B85" s="43" t="str">
        <f>A85&amp;"-"&amp;IF(DAY(Variables!$A$2)&lt;10,0,"")&amp;DAY(Variables!$A$2)</f>
        <v>-03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5" s="30" t="e">
        <f>VLOOKUP(B85,'Train Runs'!$A$13:$A$99934,1,FALSE)</f>
        <v>#N/A</v>
      </c>
    </row>
    <row r="86" spans="1:10" x14ac:dyDescent="0.25">
      <c r="A86" s="167"/>
      <c r="B86" s="43" t="str">
        <f>A86&amp;"-"&amp;IF(DAY(Variables!$A$2)&lt;10,0,"")&amp;DAY(Variables!$A$2)</f>
        <v>-03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6" s="30" t="e">
        <f>VLOOKUP(B86,'Train Runs'!$A$13:$A$99934,1,FALSE)</f>
        <v>#N/A</v>
      </c>
    </row>
    <row r="87" spans="1:10" x14ac:dyDescent="0.25">
      <c r="A87" s="167"/>
      <c r="B87" s="43" t="str">
        <f>A87&amp;"-"&amp;IF(DAY(Variables!$A$2)&lt;10,0,"")&amp;DAY(Variables!$A$2)</f>
        <v>-03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7" s="30" t="e">
        <f>VLOOKUP(B87,'Train Runs'!$A$13:$A$99934,1,FALSE)</f>
        <v>#N/A</v>
      </c>
    </row>
    <row r="88" spans="1:10" x14ac:dyDescent="0.25">
      <c r="A88" s="167"/>
      <c r="B88" s="43" t="str">
        <f>A88&amp;"-"&amp;IF(DAY(Variables!$A$2)&lt;10,0,"")&amp;DAY(Variables!$A$2)</f>
        <v>-03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8" s="30" t="e">
        <f>VLOOKUP(B88,'Train Runs'!$A$13:$A$99934,1,FALSE)</f>
        <v>#N/A</v>
      </c>
    </row>
    <row r="89" spans="1:10" x14ac:dyDescent="0.25">
      <c r="A89" s="167"/>
      <c r="B89" s="43" t="str">
        <f>A89&amp;"-"&amp;IF(DAY(Variables!$A$2)&lt;10,0,"")&amp;DAY(Variables!$A$2)</f>
        <v>-03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9" s="30" t="e">
        <f>VLOOKUP(B89,'Train Runs'!$A$13:$A$99934,1,FALSE)</f>
        <v>#N/A</v>
      </c>
    </row>
    <row r="90" spans="1:10" x14ac:dyDescent="0.25">
      <c r="A90" s="167"/>
      <c r="B90" s="43" t="str">
        <f>A90&amp;"-"&amp;IF(DAY(Variables!$A$2)&lt;10,0,"")&amp;DAY(Variables!$A$2)</f>
        <v>-03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0" s="30" t="e">
        <f>VLOOKUP(B90,'Train Runs'!$A$13:$A$99934,1,FALSE)</f>
        <v>#N/A</v>
      </c>
    </row>
    <row r="91" spans="1:10" x14ac:dyDescent="0.25">
      <c r="A91" s="167"/>
      <c r="B91" s="43" t="str">
        <f>A91&amp;"-"&amp;IF(DAY(Variables!$A$2)&lt;10,0,"")&amp;DAY(Variables!$A$2)</f>
        <v>-03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ref="I91:I112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1" s="30" t="e">
        <f>VLOOKUP(B91,'Train Runs'!$A$13:$A$99934,1,FALSE)</f>
        <v>#N/A</v>
      </c>
    </row>
    <row r="92" spans="1:10" x14ac:dyDescent="0.25">
      <c r="A92" s="167"/>
      <c r="B92" s="43" t="str">
        <f>A92&amp;"-"&amp;IF(DAY(Variables!$A$2)&lt;10,0,"")&amp;DAY(Variables!$A$2)</f>
        <v>-03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2" s="30" t="e">
        <f>VLOOKUP(B92,'Train Runs'!$A$13:$A$99934,1,FALSE)</f>
        <v>#N/A</v>
      </c>
    </row>
    <row r="93" spans="1:10" x14ac:dyDescent="0.25">
      <c r="A93" s="167"/>
      <c r="B93" s="43" t="str">
        <f>A93&amp;"-"&amp;IF(DAY(Variables!$A$2)&lt;10,0,"")&amp;DAY(Variables!$A$2)</f>
        <v>-03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3" s="30" t="e">
        <f>VLOOKUP(B93,'Train Runs'!$A$13:$A$99934,1,FALSE)</f>
        <v>#N/A</v>
      </c>
    </row>
    <row r="94" spans="1:10" x14ac:dyDescent="0.25">
      <c r="A94" s="167"/>
      <c r="B94" s="43" t="str">
        <f>A94&amp;"-"&amp;IF(DAY(Variables!$A$2)&lt;10,0,"")&amp;DAY(Variables!$A$2)</f>
        <v>-03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4" s="30" t="e">
        <f>VLOOKUP(B94,'Train Runs'!$A$13:$A$99934,1,FALSE)</f>
        <v>#N/A</v>
      </c>
    </row>
    <row r="95" spans="1:10" x14ac:dyDescent="0.25">
      <c r="A95" s="167"/>
      <c r="B95" s="43" t="str">
        <f>A95&amp;"-"&amp;IF(DAY(Variables!$A$2)&lt;10,0,"")&amp;DAY(Variables!$A$2)</f>
        <v>-03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5" s="30" t="e">
        <f>VLOOKUP(B95,'Train Runs'!$A$13:$A$99934,1,FALSE)</f>
        <v>#N/A</v>
      </c>
    </row>
    <row r="96" spans="1:10" x14ac:dyDescent="0.25">
      <c r="A96" s="167"/>
      <c r="B96" s="43" t="str">
        <f>A96&amp;"-"&amp;IF(DAY(Variables!$A$2)&lt;10,0,"")&amp;DAY(Variables!$A$2)</f>
        <v>-03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6" s="30" t="e">
        <f>VLOOKUP(B96,'Train Runs'!$A$13:$A$99934,1,FALSE)</f>
        <v>#N/A</v>
      </c>
    </row>
    <row r="97" spans="1:10" x14ac:dyDescent="0.25">
      <c r="A97" s="167"/>
      <c r="B97" s="43" t="str">
        <f>A97&amp;"-"&amp;IF(DAY(Variables!$A$2)&lt;10,0,"")&amp;DAY(Variables!$A$2)</f>
        <v>-03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7" s="30" t="e">
        <f>VLOOKUP(B97,'Train Runs'!$A$13:$A$99934,1,FALSE)</f>
        <v>#N/A</v>
      </c>
    </row>
    <row r="98" spans="1:10" x14ac:dyDescent="0.25">
      <c r="A98" s="167"/>
      <c r="B98" s="43" t="str">
        <f>A98&amp;"-"&amp;IF(DAY(Variables!$A$2)&lt;10,0,"")&amp;DAY(Variables!$A$2)</f>
        <v>-03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8" s="30" t="e">
        <f>VLOOKUP(B98,'Train Runs'!$A$13:$A$99934,1,FALSE)</f>
        <v>#N/A</v>
      </c>
    </row>
    <row r="99" spans="1:10" x14ac:dyDescent="0.25">
      <c r="A99" s="167"/>
      <c r="B99" s="43" t="str">
        <f>A99&amp;"-"&amp;IF(DAY(Variables!$A$2)&lt;10,0,"")&amp;DAY(Variables!$A$2)</f>
        <v>-03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9" s="30" t="e">
        <f>VLOOKUP(B99,'Train Runs'!$A$13:$A$99934,1,FALSE)</f>
        <v>#N/A</v>
      </c>
    </row>
    <row r="100" spans="1:10" x14ac:dyDescent="0.25">
      <c r="A100" s="167"/>
      <c r="B100" s="43" t="str">
        <f>A100&amp;"-"&amp;IF(DAY(Variables!$A$2)&lt;10,0,"")&amp;DAY(Variables!$A$2)</f>
        <v>-03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0" s="30" t="e">
        <f>VLOOKUP(B100,'Train Runs'!$A$13:$A$99934,1,FALSE)</f>
        <v>#N/A</v>
      </c>
    </row>
    <row r="101" spans="1:10" x14ac:dyDescent="0.25">
      <c r="A101" s="167"/>
      <c r="B101" s="43" t="str">
        <f>A101&amp;"-"&amp;IF(DAY(Variables!$A$2)&lt;10,0,"")&amp;DAY(Variables!$A$2)</f>
        <v>-03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1" s="30" t="e">
        <f>VLOOKUP(B101,'Train Runs'!$A$13:$A$99934,1,FALSE)</f>
        <v>#N/A</v>
      </c>
    </row>
    <row r="102" spans="1:10" x14ac:dyDescent="0.25">
      <c r="A102" s="167"/>
      <c r="B102" s="43" t="str">
        <f>A102&amp;"-"&amp;IF(DAY(Variables!$A$2)&lt;10,0,"")&amp;DAY(Variables!$A$2)</f>
        <v>-03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2" s="30" t="e">
        <f>VLOOKUP(B102,'Train Runs'!$A$13:$A$99934,1,FALSE)</f>
        <v>#N/A</v>
      </c>
    </row>
    <row r="103" spans="1:10" x14ac:dyDescent="0.25">
      <c r="A103" s="167"/>
      <c r="B103" s="43" t="str">
        <f>A103&amp;"-"&amp;IF(DAY(Variables!$A$2)&lt;10,0,"")&amp;DAY(Variables!$A$2)</f>
        <v>-03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3" s="30" t="e">
        <f>VLOOKUP(B103,'Train Runs'!$A$13:$A$99934,1,FALSE)</f>
        <v>#N/A</v>
      </c>
    </row>
    <row r="104" spans="1:10" x14ac:dyDescent="0.25">
      <c r="A104" s="167"/>
      <c r="B104" s="43" t="str">
        <f>A104&amp;"-"&amp;IF(DAY(Variables!$A$2)&lt;10,0,"")&amp;DAY(Variables!$A$2)</f>
        <v>-03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4" s="30" t="e">
        <f>VLOOKUP(B104,'Train Runs'!$A$13:$A$99934,1,FALSE)</f>
        <v>#N/A</v>
      </c>
    </row>
    <row r="105" spans="1:10" x14ac:dyDescent="0.25">
      <c r="A105" s="167"/>
      <c r="B105" s="43" t="str">
        <f>A105&amp;"-"&amp;IF(DAY(Variables!$A$2)&lt;10,0,"")&amp;DAY(Variables!$A$2)</f>
        <v>-03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5" s="30" t="e">
        <f>VLOOKUP(B105,'Train Runs'!$A$13:$A$99934,1,FALSE)</f>
        <v>#N/A</v>
      </c>
    </row>
    <row r="106" spans="1:10" x14ac:dyDescent="0.25">
      <c r="A106" s="167"/>
      <c r="B106" s="43" t="str">
        <f>A106&amp;"-"&amp;IF(DAY(Variables!$A$2)&lt;10,0,"")&amp;DAY(Variables!$A$2)</f>
        <v>-03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6" s="30" t="e">
        <f>VLOOKUP(B106,'Train Runs'!$A$13:$A$99934,1,FALSE)</f>
        <v>#N/A</v>
      </c>
    </row>
    <row r="107" spans="1:10" x14ac:dyDescent="0.25">
      <c r="A107" s="167"/>
      <c r="B107" s="43" t="str">
        <f>A107&amp;"-"&amp;IF(DAY(Variables!$A$2)&lt;10,0,"")&amp;DAY(Variables!$A$2)</f>
        <v>-03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7" s="30" t="e">
        <f>VLOOKUP(B107,'Train Runs'!$A$13:$A$99934,1,FALSE)</f>
        <v>#N/A</v>
      </c>
    </row>
    <row r="108" spans="1:10" x14ac:dyDescent="0.25">
      <c r="A108" s="167"/>
      <c r="B108" s="43" t="str">
        <f>A108&amp;"-"&amp;IF(DAY(Variables!$A$2)&lt;10,0,"")&amp;DAY(Variables!$A$2)</f>
        <v>-03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8" s="30" t="e">
        <f>VLOOKUP(B108,'Train Runs'!$A$13:$A$99934,1,FALSE)</f>
        <v>#N/A</v>
      </c>
    </row>
    <row r="109" spans="1:10" x14ac:dyDescent="0.25">
      <c r="A109" s="167"/>
      <c r="B109" s="43" t="str">
        <f>A109&amp;"-"&amp;IF(DAY(Variables!$A$2)&lt;10,0,"")&amp;DAY(Variables!$A$2)</f>
        <v>-03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9" s="30" t="e">
        <f>VLOOKUP(B109,'Train Runs'!$A$13:$A$99934,1,FALSE)</f>
        <v>#N/A</v>
      </c>
    </row>
    <row r="110" spans="1:10" x14ac:dyDescent="0.25">
      <c r="A110" s="167"/>
      <c r="B110" s="43" t="str">
        <f>A110&amp;"-"&amp;IF(DAY(Variables!$A$2)&lt;10,0,"")&amp;DAY(Variables!$A$2)</f>
        <v>-03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0" s="30" t="e">
        <f>VLOOKUP(B110,'Train Runs'!$A$13:$A$99934,1,FALSE)</f>
        <v>#N/A</v>
      </c>
    </row>
    <row r="111" spans="1:10" x14ac:dyDescent="0.25">
      <c r="A111" s="167"/>
      <c r="B111" s="43" t="str">
        <f>A111&amp;"-"&amp;IF(DAY(Variables!$A$2)&lt;10,0,"")&amp;DAY(Variables!$A$2)</f>
        <v>-03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1" s="30" t="e">
        <f>VLOOKUP(B111,'Train Runs'!$A$13:$A$99934,1,FALSE)</f>
        <v>#N/A</v>
      </c>
    </row>
    <row r="112" spans="1:10" x14ac:dyDescent="0.25">
      <c r="A112" s="167"/>
      <c r="B112" s="43" t="str">
        <f>A112&amp;"-"&amp;IF(DAY(Variables!$A$2)&lt;10,0,"")&amp;DAY(Variables!$A$2)</f>
        <v>-03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2" s="30" t="e">
        <f>VLOOKUP(B112,'Train Runs'!$A$13:$A$99934,1,FALSE)</f>
        <v>#N/A</v>
      </c>
    </row>
  </sheetData>
  <autoFilter ref="A2:J11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42797.033449074072</v>
      </c>
      <c r="B2" s="20" t="s">
        <v>338</v>
      </c>
      <c r="C2" s="20" t="s">
        <v>519</v>
      </c>
      <c r="D2" s="150">
        <v>2540000</v>
      </c>
      <c r="E2" s="20" t="s">
        <v>217</v>
      </c>
      <c r="F2" s="20" t="s">
        <v>218</v>
      </c>
      <c r="G2" s="8" t="str">
        <f>E2&amp;" "&amp;F2</f>
        <v>MCREYNOLDS KYLE</v>
      </c>
    </row>
    <row r="3" spans="1:7" x14ac:dyDescent="0.25">
      <c r="A3" s="8">
        <v>42797.033472222225</v>
      </c>
      <c r="B3" s="20" t="s">
        <v>494</v>
      </c>
      <c r="C3" s="20" t="s">
        <v>498</v>
      </c>
      <c r="D3" s="150">
        <v>2270000</v>
      </c>
      <c r="E3" s="20" t="s">
        <v>224</v>
      </c>
      <c r="F3" s="20" t="s">
        <v>225</v>
      </c>
      <c r="G3" s="8" t="str">
        <f t="shared" ref="G3:G66" si="0">E3&amp;" "&amp;F3</f>
        <v>BROWN JACOB</v>
      </c>
    </row>
    <row r="4" spans="1:7" x14ac:dyDescent="0.25">
      <c r="A4" s="8">
        <v>42797.051585648151</v>
      </c>
      <c r="B4" s="20" t="s">
        <v>266</v>
      </c>
      <c r="C4" s="20" t="s">
        <v>520</v>
      </c>
      <c r="D4" s="150">
        <v>1810000</v>
      </c>
      <c r="E4" s="20" t="s">
        <v>204</v>
      </c>
      <c r="F4" s="20" t="s">
        <v>199</v>
      </c>
      <c r="G4" s="8" t="str">
        <f t="shared" si="0"/>
        <v>NEWELL JAMES</v>
      </c>
    </row>
    <row r="5" spans="1:7" x14ac:dyDescent="0.25">
      <c r="A5" s="8">
        <v>42797.054583333331</v>
      </c>
      <c r="B5" s="20" t="s">
        <v>339</v>
      </c>
      <c r="C5" s="20" t="s">
        <v>516</v>
      </c>
      <c r="D5" s="150">
        <v>2730000</v>
      </c>
      <c r="E5" s="20" t="s">
        <v>249</v>
      </c>
      <c r="F5" s="20" t="s">
        <v>250</v>
      </c>
      <c r="G5" s="8" t="str">
        <f t="shared" si="0"/>
        <v>YANG JAN</v>
      </c>
    </row>
    <row r="6" spans="1:7" x14ac:dyDescent="0.25">
      <c r="A6" s="8">
        <v>42797.055914351855</v>
      </c>
      <c r="B6" s="20" t="s">
        <v>327</v>
      </c>
      <c r="C6" s="20" t="s">
        <v>521</v>
      </c>
      <c r="D6" s="150">
        <v>2620000</v>
      </c>
      <c r="E6" s="20" t="s">
        <v>514</v>
      </c>
      <c r="F6" s="20" t="s">
        <v>515</v>
      </c>
      <c r="G6" s="8" t="str">
        <f t="shared" si="0"/>
        <v>PERKINS DARREN</v>
      </c>
    </row>
    <row r="7" spans="1:7" x14ac:dyDescent="0.25">
      <c r="A7" s="8">
        <v>42797.073148148149</v>
      </c>
      <c r="B7" s="20" t="s">
        <v>338</v>
      </c>
      <c r="C7" s="20" t="s">
        <v>519</v>
      </c>
      <c r="D7" s="150">
        <v>2540000</v>
      </c>
      <c r="E7" s="20" t="s">
        <v>217</v>
      </c>
      <c r="F7" s="20" t="s">
        <v>218</v>
      </c>
      <c r="G7" s="8" t="str">
        <f t="shared" si="0"/>
        <v>MCREYNOLDS KYLE</v>
      </c>
    </row>
    <row r="8" spans="1:7" x14ac:dyDescent="0.25">
      <c r="A8" s="8">
        <v>42797.073425925926</v>
      </c>
      <c r="B8" s="20" t="s">
        <v>330</v>
      </c>
      <c r="C8" s="20" t="s">
        <v>522</v>
      </c>
      <c r="D8" s="150">
        <v>2270000</v>
      </c>
      <c r="E8" s="20" t="s">
        <v>224</v>
      </c>
      <c r="F8" s="20" t="s">
        <v>225</v>
      </c>
      <c r="G8" s="8" t="str">
        <f t="shared" si="0"/>
        <v>BROWN JACOB</v>
      </c>
    </row>
    <row r="9" spans="1:7" ht="15.75" thickBot="1" x14ac:dyDescent="0.3">
      <c r="A9" s="24">
        <v>42797.093206018515</v>
      </c>
      <c r="B9" s="20" t="s">
        <v>331</v>
      </c>
      <c r="C9" s="20" t="s">
        <v>523</v>
      </c>
      <c r="D9" s="150">
        <v>2620000</v>
      </c>
      <c r="E9" s="20" t="s">
        <v>514</v>
      </c>
      <c r="F9" s="20" t="s">
        <v>515</v>
      </c>
      <c r="G9" s="8" t="str">
        <f t="shared" si="0"/>
        <v>PERKINS DARREN</v>
      </c>
    </row>
    <row r="10" spans="1:7" x14ac:dyDescent="0.25">
      <c r="A10" s="8">
        <v>42797.102326388886</v>
      </c>
      <c r="B10" s="20" t="s">
        <v>339</v>
      </c>
      <c r="C10" s="20" t="s">
        <v>516</v>
      </c>
      <c r="D10" s="150">
        <v>2730000</v>
      </c>
      <c r="E10" s="20" t="s">
        <v>249</v>
      </c>
      <c r="F10" s="20" t="s">
        <v>250</v>
      </c>
      <c r="G10" s="8" t="str">
        <f t="shared" si="0"/>
        <v>YANG JAN</v>
      </c>
    </row>
    <row r="11" spans="1:7" x14ac:dyDescent="0.25">
      <c r="A11" s="8">
        <v>42797.117025462961</v>
      </c>
      <c r="B11" s="20" t="s">
        <v>572</v>
      </c>
      <c r="C11" s="20" t="s">
        <v>609</v>
      </c>
      <c r="D11" s="150">
        <v>2550000</v>
      </c>
      <c r="E11" s="20" t="s">
        <v>328</v>
      </c>
      <c r="F11" s="20" t="s">
        <v>329</v>
      </c>
      <c r="G11" s="8" t="str">
        <f t="shared" si="0"/>
        <v>BADERTSCHER DIANE</v>
      </c>
    </row>
    <row r="12" spans="1:7" x14ac:dyDescent="0.25">
      <c r="A12" s="8">
        <v>42797.122534722221</v>
      </c>
      <c r="B12" s="20" t="s">
        <v>338</v>
      </c>
      <c r="C12" s="20" t="s">
        <v>519</v>
      </c>
      <c r="D12" s="150">
        <v>2540000</v>
      </c>
      <c r="E12" s="20" t="s">
        <v>217</v>
      </c>
      <c r="F12" s="20" t="s">
        <v>218</v>
      </c>
      <c r="G12" s="8" t="str">
        <f t="shared" si="0"/>
        <v>MCREYNOLDS KYLE</v>
      </c>
    </row>
    <row r="13" spans="1:7" x14ac:dyDescent="0.25">
      <c r="A13" s="8">
        <v>42797.129421296297</v>
      </c>
      <c r="B13" s="20" t="s">
        <v>216</v>
      </c>
      <c r="C13" s="20" t="s">
        <v>610</v>
      </c>
      <c r="D13" s="150">
        <v>2550000</v>
      </c>
      <c r="E13" s="20" t="s">
        <v>328</v>
      </c>
      <c r="F13" s="20" t="s">
        <v>329</v>
      </c>
      <c r="G13" s="8" t="str">
        <f t="shared" si="0"/>
        <v>BADERTSCHER DIANE</v>
      </c>
    </row>
    <row r="14" spans="1:7" x14ac:dyDescent="0.25">
      <c r="A14" s="8">
        <v>42797.133981481478</v>
      </c>
      <c r="B14" s="20" t="s">
        <v>332</v>
      </c>
      <c r="C14" s="20" t="s">
        <v>611</v>
      </c>
      <c r="D14" s="150">
        <v>1230000</v>
      </c>
      <c r="E14" s="20" t="s">
        <v>505</v>
      </c>
      <c r="F14" s="20" t="s">
        <v>506</v>
      </c>
      <c r="G14" s="8" t="str">
        <f t="shared" si="0"/>
        <v>YANAI IAN</v>
      </c>
    </row>
    <row r="15" spans="1:7" x14ac:dyDescent="0.25">
      <c r="A15" s="8">
        <v>42797.143009259256</v>
      </c>
      <c r="B15" s="20" t="s">
        <v>339</v>
      </c>
      <c r="C15" s="20" t="s">
        <v>516</v>
      </c>
      <c r="D15" s="150">
        <v>2730000</v>
      </c>
      <c r="E15" s="20" t="s">
        <v>249</v>
      </c>
      <c r="F15" s="20" t="s">
        <v>250</v>
      </c>
      <c r="G15" s="8" t="str">
        <f t="shared" si="0"/>
        <v>YANG JAN</v>
      </c>
    </row>
    <row r="16" spans="1:7" x14ac:dyDescent="0.25">
      <c r="A16" s="8">
        <v>42797.146122685182</v>
      </c>
      <c r="B16" s="20" t="s">
        <v>569</v>
      </c>
      <c r="C16" s="20" t="s">
        <v>612</v>
      </c>
      <c r="D16" s="150">
        <v>1990000</v>
      </c>
      <c r="E16" s="20" t="s">
        <v>613</v>
      </c>
      <c r="F16" s="20" t="s">
        <v>614</v>
      </c>
      <c r="G16" s="8" t="str">
        <f t="shared" si="0"/>
        <v>DAVIS WENDY</v>
      </c>
    </row>
    <row r="17" spans="1:7" x14ac:dyDescent="0.25">
      <c r="A17" s="8">
        <v>42797.157488425924</v>
      </c>
      <c r="B17" s="20" t="s">
        <v>497</v>
      </c>
      <c r="C17" s="20" t="s">
        <v>615</v>
      </c>
      <c r="D17" s="150">
        <v>1200000</v>
      </c>
      <c r="E17" s="20" t="s">
        <v>616</v>
      </c>
      <c r="F17" s="20" t="s">
        <v>617</v>
      </c>
      <c r="G17" s="8" t="str">
        <f t="shared" si="0"/>
        <v>CUSHING HARRY</v>
      </c>
    </row>
    <row r="18" spans="1:7" x14ac:dyDescent="0.25">
      <c r="A18" s="8">
        <v>42797.164398148147</v>
      </c>
      <c r="B18" s="20" t="s">
        <v>338</v>
      </c>
      <c r="C18" s="20" t="s">
        <v>519</v>
      </c>
      <c r="D18" s="150">
        <v>2540000</v>
      </c>
      <c r="E18" s="20" t="s">
        <v>217</v>
      </c>
      <c r="F18" s="20" t="s">
        <v>218</v>
      </c>
      <c r="G18" s="8" t="str">
        <f t="shared" si="0"/>
        <v>MCREYNOLDS KYLE</v>
      </c>
    </row>
    <row r="19" spans="1:7" x14ac:dyDescent="0.25">
      <c r="A19" s="8">
        <v>42797.170613425929</v>
      </c>
      <c r="B19" s="20" t="s">
        <v>491</v>
      </c>
      <c r="C19" s="20" t="s">
        <v>618</v>
      </c>
      <c r="D19" s="150">
        <v>1110000</v>
      </c>
      <c r="E19" s="20" t="s">
        <v>287</v>
      </c>
      <c r="F19" s="20" t="s">
        <v>288</v>
      </c>
      <c r="G19" s="8" t="str">
        <f t="shared" si="0"/>
        <v>STARKS ANGELINA</v>
      </c>
    </row>
    <row r="20" spans="1:7" x14ac:dyDescent="0.25">
      <c r="A20" s="8">
        <v>42797.17082175926</v>
      </c>
      <c r="B20" s="20" t="s">
        <v>572</v>
      </c>
      <c r="C20" s="20" t="s">
        <v>619</v>
      </c>
      <c r="D20" s="150">
        <v>2550000</v>
      </c>
      <c r="E20" s="20" t="s">
        <v>328</v>
      </c>
      <c r="F20" s="20" t="s">
        <v>329</v>
      </c>
      <c r="G20" s="8" t="str">
        <f t="shared" si="0"/>
        <v>BADERTSCHER DIANE</v>
      </c>
    </row>
    <row r="21" spans="1:7" x14ac:dyDescent="0.25">
      <c r="A21" s="8">
        <v>42797.173541666663</v>
      </c>
      <c r="B21" s="20" t="s">
        <v>564</v>
      </c>
      <c r="C21" s="20" t="s">
        <v>565</v>
      </c>
      <c r="D21" s="150">
        <v>1200000</v>
      </c>
      <c r="E21" s="20" t="s">
        <v>616</v>
      </c>
      <c r="F21" s="20" t="s">
        <v>617</v>
      </c>
      <c r="G21" s="8" t="str">
        <f t="shared" si="0"/>
        <v>CUSHING HARRY</v>
      </c>
    </row>
    <row r="22" spans="1:7" x14ac:dyDescent="0.25">
      <c r="A22" s="26">
        <v>42797.184305555558</v>
      </c>
      <c r="B22" s="20" t="s">
        <v>214</v>
      </c>
      <c r="C22" s="20" t="s">
        <v>620</v>
      </c>
      <c r="D22" s="150">
        <v>890000</v>
      </c>
      <c r="E22" s="20" t="s">
        <v>308</v>
      </c>
      <c r="F22" s="20" t="s">
        <v>309</v>
      </c>
      <c r="G22" s="8" t="str">
        <f t="shared" si="0"/>
        <v>LOZA FIDEL</v>
      </c>
    </row>
    <row r="23" spans="1:7" x14ac:dyDescent="0.25">
      <c r="A23" s="8">
        <v>42797.184953703705</v>
      </c>
      <c r="B23" s="20" t="s">
        <v>504</v>
      </c>
      <c r="C23" s="20" t="s">
        <v>566</v>
      </c>
      <c r="D23" s="150">
        <v>1110000</v>
      </c>
      <c r="E23" s="20" t="s">
        <v>287</v>
      </c>
      <c r="F23" s="20" t="s">
        <v>288</v>
      </c>
      <c r="G23" s="8" t="str">
        <f t="shared" si="0"/>
        <v>STARKS ANGELINA</v>
      </c>
    </row>
    <row r="24" spans="1:7" x14ac:dyDescent="0.25">
      <c r="A24" s="8">
        <v>42797.185810185183</v>
      </c>
      <c r="B24" s="20" t="s">
        <v>214</v>
      </c>
      <c r="C24" s="20" t="s">
        <v>620</v>
      </c>
      <c r="D24" s="150">
        <v>890000</v>
      </c>
      <c r="E24" s="20" t="s">
        <v>308</v>
      </c>
      <c r="F24" s="20" t="s">
        <v>309</v>
      </c>
      <c r="G24" s="8" t="str">
        <f t="shared" si="0"/>
        <v>LOZA FIDEL</v>
      </c>
    </row>
    <row r="25" spans="1:7" x14ac:dyDescent="0.25">
      <c r="A25" s="8">
        <v>42797.1871875</v>
      </c>
      <c r="B25" s="20" t="s">
        <v>339</v>
      </c>
      <c r="C25" s="20" t="s">
        <v>516</v>
      </c>
      <c r="D25" s="150">
        <v>2730000</v>
      </c>
      <c r="E25" s="20" t="s">
        <v>249</v>
      </c>
      <c r="F25" s="20" t="s">
        <v>250</v>
      </c>
      <c r="G25" s="8" t="str">
        <f t="shared" si="0"/>
        <v>YANG JAN</v>
      </c>
    </row>
    <row r="26" spans="1:7" x14ac:dyDescent="0.25">
      <c r="A26" s="8">
        <v>42797.192476851851</v>
      </c>
      <c r="B26" s="20" t="s">
        <v>332</v>
      </c>
      <c r="C26" s="20" t="s">
        <v>621</v>
      </c>
      <c r="D26" s="150">
        <v>1990000</v>
      </c>
      <c r="E26" s="20" t="s">
        <v>613</v>
      </c>
      <c r="F26" s="20" t="s">
        <v>614</v>
      </c>
      <c r="G26" s="8" t="str">
        <f t="shared" si="0"/>
        <v>DAVIS WENDY</v>
      </c>
    </row>
    <row r="27" spans="1:7" x14ac:dyDescent="0.25">
      <c r="A27" s="8">
        <v>42797.197233796294</v>
      </c>
      <c r="B27" s="20" t="s">
        <v>213</v>
      </c>
      <c r="C27" s="20" t="s">
        <v>622</v>
      </c>
      <c r="D27" s="150">
        <v>890000</v>
      </c>
      <c r="E27" s="20" t="s">
        <v>308</v>
      </c>
      <c r="F27" s="20" t="s">
        <v>309</v>
      </c>
      <c r="G27" s="8" t="str">
        <f t="shared" si="0"/>
        <v>LOZA FIDEL</v>
      </c>
    </row>
    <row r="28" spans="1:7" x14ac:dyDescent="0.25">
      <c r="A28" s="8">
        <v>42797.198738425926</v>
      </c>
      <c r="B28" s="20" t="s">
        <v>213</v>
      </c>
      <c r="C28" s="20" t="s">
        <v>622</v>
      </c>
      <c r="D28" s="150">
        <v>890000</v>
      </c>
      <c r="E28" s="20" t="s">
        <v>308</v>
      </c>
      <c r="F28" s="20" t="s">
        <v>309</v>
      </c>
      <c r="G28" s="8" t="str">
        <f t="shared" si="0"/>
        <v>LOZA FIDEL</v>
      </c>
    </row>
    <row r="29" spans="1:7" x14ac:dyDescent="0.25">
      <c r="A29" s="8">
        <v>42797.201041666667</v>
      </c>
      <c r="B29" s="20" t="s">
        <v>226</v>
      </c>
      <c r="C29" s="20" t="s">
        <v>623</v>
      </c>
      <c r="D29" s="150">
        <v>1100000</v>
      </c>
      <c r="E29" s="20" t="s">
        <v>624</v>
      </c>
      <c r="F29" s="20" t="s">
        <v>625</v>
      </c>
      <c r="G29" s="8" t="str">
        <f t="shared" si="0"/>
        <v>GEBRETEKLE DAGNEW</v>
      </c>
    </row>
    <row r="30" spans="1:7" x14ac:dyDescent="0.25">
      <c r="A30" s="8">
        <v>42797.205752314818</v>
      </c>
      <c r="B30" s="20" t="s">
        <v>216</v>
      </c>
      <c r="C30" s="20" t="s">
        <v>626</v>
      </c>
      <c r="D30" s="150">
        <v>1340000</v>
      </c>
      <c r="E30" s="20" t="s">
        <v>499</v>
      </c>
      <c r="F30" s="20" t="s">
        <v>500</v>
      </c>
      <c r="G30" s="8" t="str">
        <f t="shared" si="0"/>
        <v>BEAM ROSS</v>
      </c>
    </row>
    <row r="31" spans="1:7" x14ac:dyDescent="0.25">
      <c r="A31" s="8">
        <v>42797.208032407405</v>
      </c>
      <c r="B31" s="20" t="s">
        <v>501</v>
      </c>
      <c r="C31" s="20" t="s">
        <v>627</v>
      </c>
      <c r="D31" s="150">
        <v>2550000</v>
      </c>
      <c r="E31" s="20" t="s">
        <v>328</v>
      </c>
      <c r="F31" s="20" t="s">
        <v>329</v>
      </c>
      <c r="G31" s="8" t="str">
        <f t="shared" si="0"/>
        <v>BADERTSCHER DIANE</v>
      </c>
    </row>
    <row r="32" spans="1:7" x14ac:dyDescent="0.25">
      <c r="A32" s="8">
        <v>42797.210775462961</v>
      </c>
      <c r="B32" s="20" t="s">
        <v>497</v>
      </c>
      <c r="C32" s="20" t="s">
        <v>568</v>
      </c>
      <c r="D32" s="150">
        <v>1200000</v>
      </c>
      <c r="E32" s="20" t="s">
        <v>616</v>
      </c>
      <c r="F32" s="20" t="s">
        <v>617</v>
      </c>
      <c r="G32" s="8" t="str">
        <f t="shared" si="0"/>
        <v>CUSHING HARRY</v>
      </c>
    </row>
    <row r="33" spans="1:7" x14ac:dyDescent="0.25">
      <c r="A33" s="8">
        <v>42797.218206018515</v>
      </c>
      <c r="B33" s="20" t="s">
        <v>326</v>
      </c>
      <c r="C33" s="20" t="s">
        <v>623</v>
      </c>
      <c r="D33" s="150">
        <v>1100000</v>
      </c>
      <c r="E33" s="20" t="s">
        <v>624</v>
      </c>
      <c r="F33" s="20" t="s">
        <v>625</v>
      </c>
      <c r="G33" s="8" t="str">
        <f t="shared" si="0"/>
        <v>GEBRETEKLE DAGNEW</v>
      </c>
    </row>
    <row r="34" spans="1:7" x14ac:dyDescent="0.25">
      <c r="A34" s="8">
        <v>42797.219247685185</v>
      </c>
      <c r="B34" s="20" t="s">
        <v>326</v>
      </c>
      <c r="C34" s="20" t="s">
        <v>623</v>
      </c>
      <c r="D34" s="150">
        <v>1100000</v>
      </c>
      <c r="E34" s="20" t="s">
        <v>624</v>
      </c>
      <c r="F34" s="20" t="s">
        <v>625</v>
      </c>
      <c r="G34" s="8" t="str">
        <f t="shared" si="0"/>
        <v>GEBRETEKLE DAGNEW</v>
      </c>
    </row>
    <row r="35" spans="1:7" x14ac:dyDescent="0.25">
      <c r="A35" s="8">
        <v>42797.225138888891</v>
      </c>
      <c r="B35" s="20" t="s">
        <v>491</v>
      </c>
      <c r="C35" s="20" t="s">
        <v>567</v>
      </c>
      <c r="D35" s="150">
        <v>1110000</v>
      </c>
      <c r="E35" s="20" t="s">
        <v>287</v>
      </c>
      <c r="F35" s="20" t="s">
        <v>288</v>
      </c>
      <c r="G35" s="8" t="str">
        <f t="shared" si="0"/>
        <v>STARKS ANGELINA</v>
      </c>
    </row>
    <row r="36" spans="1:7" x14ac:dyDescent="0.25">
      <c r="A36" s="8">
        <v>42797.229548611111</v>
      </c>
      <c r="B36" s="20" t="s">
        <v>628</v>
      </c>
      <c r="C36" s="20" t="s">
        <v>629</v>
      </c>
      <c r="D36" s="150">
        <v>1100000</v>
      </c>
      <c r="E36" s="20" t="s">
        <v>624</v>
      </c>
      <c r="F36" s="20" t="s">
        <v>625</v>
      </c>
      <c r="G36" s="8" t="str">
        <f t="shared" si="0"/>
        <v>GEBRETEKLE DAGNEW</v>
      </c>
    </row>
    <row r="37" spans="1:7" x14ac:dyDescent="0.25">
      <c r="A37" s="8">
        <v>42797.2340625</v>
      </c>
      <c r="B37" s="20" t="s">
        <v>226</v>
      </c>
      <c r="C37" s="20" t="s">
        <v>630</v>
      </c>
      <c r="D37" s="150">
        <v>1240000</v>
      </c>
      <c r="E37" s="20" t="s">
        <v>631</v>
      </c>
      <c r="F37" s="20" t="s">
        <v>632</v>
      </c>
      <c r="G37" s="8" t="str">
        <f t="shared" si="0"/>
        <v>GRASTON MATHEU</v>
      </c>
    </row>
    <row r="38" spans="1:7" x14ac:dyDescent="0.25">
      <c r="A38" s="8">
        <v>42797.234502314815</v>
      </c>
      <c r="B38" s="20" t="s">
        <v>569</v>
      </c>
      <c r="C38" s="20" t="s">
        <v>570</v>
      </c>
      <c r="D38" s="150">
        <v>1520000</v>
      </c>
      <c r="E38" s="20" t="s">
        <v>312</v>
      </c>
      <c r="F38" s="20" t="s">
        <v>313</v>
      </c>
      <c r="G38" s="8" t="str">
        <f t="shared" si="0"/>
        <v>MAYBERRY BILL</v>
      </c>
    </row>
    <row r="39" spans="1:7" x14ac:dyDescent="0.25">
      <c r="A39" s="8">
        <v>42797.235185185185</v>
      </c>
      <c r="B39" s="20" t="s">
        <v>569</v>
      </c>
      <c r="C39" s="20" t="s">
        <v>570</v>
      </c>
      <c r="D39" s="150">
        <v>1520000</v>
      </c>
      <c r="E39" s="20" t="s">
        <v>312</v>
      </c>
      <c r="F39" s="20" t="s">
        <v>313</v>
      </c>
      <c r="G39" s="8" t="str">
        <f t="shared" si="0"/>
        <v>MAYBERRY BILL</v>
      </c>
    </row>
    <row r="40" spans="1:7" x14ac:dyDescent="0.25">
      <c r="A40" s="8">
        <v>42797.235567129632</v>
      </c>
      <c r="B40" s="25" t="s">
        <v>214</v>
      </c>
      <c r="C40" s="20" t="s">
        <v>633</v>
      </c>
      <c r="D40" s="150">
        <v>890000</v>
      </c>
      <c r="E40" s="20" t="s">
        <v>308</v>
      </c>
      <c r="F40" s="20" t="s">
        <v>309</v>
      </c>
      <c r="G40" s="8" t="str">
        <f t="shared" si="0"/>
        <v>LOZA FIDEL</v>
      </c>
    </row>
    <row r="41" spans="1:7" x14ac:dyDescent="0.25">
      <c r="A41" s="8">
        <v>42797.239444444444</v>
      </c>
      <c r="B41" s="20" t="s">
        <v>577</v>
      </c>
      <c r="C41" s="20" t="s">
        <v>634</v>
      </c>
      <c r="D41" s="150">
        <v>1990000</v>
      </c>
      <c r="E41" s="20" t="s">
        <v>613</v>
      </c>
      <c r="F41" s="20" t="s">
        <v>614</v>
      </c>
      <c r="G41" s="8" t="str">
        <f t="shared" si="0"/>
        <v>DAVIS WENDY</v>
      </c>
    </row>
    <row r="42" spans="1:7" x14ac:dyDescent="0.25">
      <c r="A42" s="8">
        <v>42797.240219907406</v>
      </c>
      <c r="B42" s="20" t="s">
        <v>577</v>
      </c>
      <c r="C42" s="20" t="s">
        <v>634</v>
      </c>
      <c r="D42" s="150">
        <v>1990000</v>
      </c>
      <c r="E42" s="20" t="s">
        <v>613</v>
      </c>
      <c r="F42" s="20" t="s">
        <v>614</v>
      </c>
      <c r="G42" s="8" t="str">
        <f t="shared" si="0"/>
        <v>DAVIS WENDY</v>
      </c>
    </row>
    <row r="43" spans="1:7" x14ac:dyDescent="0.25">
      <c r="A43" s="8">
        <v>42797.241122685184</v>
      </c>
      <c r="B43" s="20" t="s">
        <v>577</v>
      </c>
      <c r="C43" s="20" t="s">
        <v>634</v>
      </c>
      <c r="D43" s="150">
        <v>1990000</v>
      </c>
      <c r="E43" s="20" t="s">
        <v>613</v>
      </c>
      <c r="F43" s="20" t="s">
        <v>614</v>
      </c>
      <c r="G43" s="8" t="str">
        <f t="shared" si="0"/>
        <v>DAVIS WENDY</v>
      </c>
    </row>
    <row r="44" spans="1:7" x14ac:dyDescent="0.25">
      <c r="A44" s="8">
        <v>42797.241354166668</v>
      </c>
      <c r="B44" s="20" t="s">
        <v>326</v>
      </c>
      <c r="C44" s="20" t="s">
        <v>635</v>
      </c>
      <c r="D44" s="150">
        <v>1100000</v>
      </c>
      <c r="E44" s="20" t="s">
        <v>624</v>
      </c>
      <c r="F44" s="20" t="s">
        <v>625</v>
      </c>
      <c r="G44" s="8" t="str">
        <f t="shared" si="0"/>
        <v>GEBRETEKLE DAGNEW</v>
      </c>
    </row>
    <row r="45" spans="1:7" x14ac:dyDescent="0.25">
      <c r="A45" s="8">
        <v>42797.2419212963</v>
      </c>
      <c r="B45" s="20" t="s">
        <v>229</v>
      </c>
      <c r="C45" s="20" t="s">
        <v>636</v>
      </c>
      <c r="D45" s="150">
        <v>2020000</v>
      </c>
      <c r="E45" s="20" t="s">
        <v>502</v>
      </c>
      <c r="F45" s="20" t="s">
        <v>503</v>
      </c>
      <c r="G45" s="8" t="str">
        <f t="shared" si="0"/>
        <v>SHOOK JOHN</v>
      </c>
    </row>
    <row r="46" spans="1:7" x14ac:dyDescent="0.25">
      <c r="A46" s="8">
        <v>42797.242581018516</v>
      </c>
      <c r="B46" s="20" t="s">
        <v>229</v>
      </c>
      <c r="C46" s="20" t="s">
        <v>636</v>
      </c>
      <c r="D46" s="150">
        <v>2020000</v>
      </c>
      <c r="E46" s="20" t="s">
        <v>502</v>
      </c>
      <c r="F46" s="20" t="s">
        <v>503</v>
      </c>
      <c r="G46" s="8" t="str">
        <f t="shared" si="0"/>
        <v>SHOOK JOHN</v>
      </c>
    </row>
    <row r="47" spans="1:7" x14ac:dyDescent="0.25">
      <c r="A47" s="8">
        <v>42797.244664351849</v>
      </c>
      <c r="B47" s="20" t="s">
        <v>229</v>
      </c>
      <c r="C47" s="20" t="s">
        <v>636</v>
      </c>
      <c r="D47" s="150">
        <v>2020000</v>
      </c>
      <c r="E47" s="20" t="s">
        <v>502</v>
      </c>
      <c r="F47" s="20" t="s">
        <v>503</v>
      </c>
      <c r="G47" s="8" t="str">
        <f t="shared" si="0"/>
        <v>SHOOK JOHN</v>
      </c>
    </row>
    <row r="48" spans="1:7" x14ac:dyDescent="0.25">
      <c r="A48" s="8">
        <v>42797.24560185185</v>
      </c>
      <c r="B48" s="20" t="s">
        <v>585</v>
      </c>
      <c r="C48" s="20" t="s">
        <v>637</v>
      </c>
      <c r="D48" s="150">
        <v>1340000</v>
      </c>
      <c r="E48" s="20" t="s">
        <v>499</v>
      </c>
      <c r="F48" s="20" t="s">
        <v>500</v>
      </c>
      <c r="G48" s="8" t="str">
        <f t="shared" si="0"/>
        <v>BEAM ROSS</v>
      </c>
    </row>
    <row r="49" spans="1:7" x14ac:dyDescent="0.25">
      <c r="A49" s="8">
        <v>42797.254629629628</v>
      </c>
      <c r="B49" s="20" t="s">
        <v>572</v>
      </c>
      <c r="C49" s="20" t="s">
        <v>573</v>
      </c>
      <c r="D49" s="150">
        <v>2550000</v>
      </c>
      <c r="E49" s="20" t="s">
        <v>328</v>
      </c>
      <c r="F49" s="20" t="s">
        <v>329</v>
      </c>
      <c r="G49" s="8" t="str">
        <f t="shared" si="0"/>
        <v>BADERTSCHER DIANE</v>
      </c>
    </row>
    <row r="50" spans="1:7" x14ac:dyDescent="0.25">
      <c r="A50" s="8">
        <v>42797.255057870374</v>
      </c>
      <c r="B50" s="20" t="s">
        <v>564</v>
      </c>
      <c r="C50" s="20" t="s">
        <v>638</v>
      </c>
      <c r="D50" s="150">
        <v>1200000</v>
      </c>
      <c r="E50" s="20" t="s">
        <v>616</v>
      </c>
      <c r="F50" s="20" t="s">
        <v>617</v>
      </c>
      <c r="G50" s="8" t="str">
        <f t="shared" si="0"/>
        <v>CUSHING HARRY</v>
      </c>
    </row>
    <row r="51" spans="1:7" x14ac:dyDescent="0.25">
      <c r="A51" s="8">
        <v>42797.255277777775</v>
      </c>
      <c r="B51" s="20" t="s">
        <v>628</v>
      </c>
      <c r="C51" s="20" t="s">
        <v>639</v>
      </c>
      <c r="D51" s="150">
        <v>1100000</v>
      </c>
      <c r="E51" s="20" t="s">
        <v>624</v>
      </c>
      <c r="F51" s="20" t="s">
        <v>625</v>
      </c>
      <c r="G51" s="8" t="str">
        <f t="shared" si="0"/>
        <v>GEBRETEKLE DAGNEW</v>
      </c>
    </row>
    <row r="52" spans="1:7" x14ac:dyDescent="0.25">
      <c r="A52" s="8">
        <v>42797.257280092592</v>
      </c>
      <c r="B52" s="20" t="s">
        <v>236</v>
      </c>
      <c r="C52" s="20" t="s">
        <v>640</v>
      </c>
      <c r="D52" s="150">
        <v>2020000</v>
      </c>
      <c r="E52" s="20" t="s">
        <v>502</v>
      </c>
      <c r="F52" s="20" t="s">
        <v>503</v>
      </c>
      <c r="G52" s="8" t="str">
        <f t="shared" si="0"/>
        <v>SHOOK JOHN</v>
      </c>
    </row>
    <row r="53" spans="1:7" x14ac:dyDescent="0.25">
      <c r="A53" s="8">
        <v>42797.260011574072</v>
      </c>
      <c r="B53" s="20" t="s">
        <v>504</v>
      </c>
      <c r="C53" s="20" t="s">
        <v>571</v>
      </c>
      <c r="D53" s="150">
        <v>1110000</v>
      </c>
      <c r="E53" s="20" t="s">
        <v>287</v>
      </c>
      <c r="F53" s="20" t="s">
        <v>288</v>
      </c>
      <c r="G53" s="8" t="str">
        <f t="shared" si="0"/>
        <v>STARKS ANGELINA</v>
      </c>
    </row>
    <row r="54" spans="1:7" x14ac:dyDescent="0.25">
      <c r="A54" s="8">
        <v>42797.26898148148</v>
      </c>
      <c r="B54" s="20" t="s">
        <v>213</v>
      </c>
      <c r="C54" s="20" t="s">
        <v>641</v>
      </c>
      <c r="D54" s="150">
        <v>890000</v>
      </c>
      <c r="E54" s="20" t="s">
        <v>308</v>
      </c>
      <c r="F54" s="20" t="s">
        <v>309</v>
      </c>
      <c r="G54" s="8" t="str">
        <f t="shared" si="0"/>
        <v>LOZA FIDEL</v>
      </c>
    </row>
    <row r="55" spans="1:7" x14ac:dyDescent="0.25">
      <c r="A55" s="8">
        <v>42797.269050925926</v>
      </c>
      <c r="B55" s="20" t="s">
        <v>206</v>
      </c>
      <c r="C55" s="20" t="s">
        <v>574</v>
      </c>
      <c r="D55" s="150">
        <v>1520000</v>
      </c>
      <c r="E55" s="20" t="s">
        <v>312</v>
      </c>
      <c r="F55" s="20" t="s">
        <v>313</v>
      </c>
      <c r="G55" s="8" t="str">
        <f t="shared" si="0"/>
        <v>MAYBERRY BILL</v>
      </c>
    </row>
    <row r="56" spans="1:7" x14ac:dyDescent="0.25">
      <c r="A56" s="8">
        <v>42797.27039351852</v>
      </c>
      <c r="B56" s="20" t="s">
        <v>326</v>
      </c>
      <c r="C56" s="20" t="s">
        <v>575</v>
      </c>
      <c r="D56" s="150">
        <v>1100000</v>
      </c>
      <c r="E56" s="20" t="s">
        <v>624</v>
      </c>
      <c r="F56" s="20" t="s">
        <v>625</v>
      </c>
      <c r="G56" s="8" t="str">
        <f t="shared" si="0"/>
        <v>GEBRETEKLE DAGNEW</v>
      </c>
    </row>
    <row r="57" spans="1:7" x14ac:dyDescent="0.25">
      <c r="A57" s="8">
        <v>42797.275300925925</v>
      </c>
      <c r="B57" s="20" t="s">
        <v>332</v>
      </c>
      <c r="C57" s="20" t="s">
        <v>642</v>
      </c>
      <c r="D57" s="150">
        <v>1990000</v>
      </c>
      <c r="E57" s="20" t="s">
        <v>613</v>
      </c>
      <c r="F57" s="20" t="s">
        <v>614</v>
      </c>
      <c r="G57" s="8" t="str">
        <f t="shared" si="0"/>
        <v>DAVIS WENDY</v>
      </c>
    </row>
    <row r="58" spans="1:7" x14ac:dyDescent="0.25">
      <c r="A58" s="8">
        <v>42797.27753472222</v>
      </c>
      <c r="B58" s="20" t="s">
        <v>229</v>
      </c>
      <c r="C58" s="20" t="s">
        <v>643</v>
      </c>
      <c r="D58" s="150">
        <v>2020000</v>
      </c>
      <c r="E58" s="20" t="s">
        <v>502</v>
      </c>
      <c r="F58" s="20" t="s">
        <v>503</v>
      </c>
      <c r="G58" s="8" t="str">
        <f t="shared" si="0"/>
        <v>SHOOK JOHN</v>
      </c>
    </row>
    <row r="59" spans="1:7" x14ac:dyDescent="0.25">
      <c r="A59" s="8">
        <v>42797.279965277776</v>
      </c>
      <c r="B59" s="20" t="s">
        <v>216</v>
      </c>
      <c r="C59" s="20" t="s">
        <v>644</v>
      </c>
      <c r="D59" s="150">
        <v>1120000</v>
      </c>
      <c r="E59" s="20" t="s">
        <v>291</v>
      </c>
      <c r="F59" s="20" t="s">
        <v>292</v>
      </c>
      <c r="G59" s="8" t="str">
        <f t="shared" si="0"/>
        <v>LOCKLEAR TRAVIS</v>
      </c>
    </row>
    <row r="60" spans="1:7" x14ac:dyDescent="0.25">
      <c r="A60" s="8">
        <v>42797.287152777775</v>
      </c>
      <c r="B60" s="20" t="s">
        <v>591</v>
      </c>
      <c r="C60" s="20" t="s">
        <v>645</v>
      </c>
      <c r="D60" s="150">
        <v>2140000</v>
      </c>
      <c r="E60" s="20" t="s">
        <v>646</v>
      </c>
      <c r="F60" s="20" t="s">
        <v>647</v>
      </c>
      <c r="G60" s="8" t="str">
        <f t="shared" si="0"/>
        <v>ROBINSON KADDIBA</v>
      </c>
    </row>
    <row r="61" spans="1:7" x14ac:dyDescent="0.25">
      <c r="A61" s="8">
        <v>42797.290752314817</v>
      </c>
      <c r="B61" s="20" t="s">
        <v>236</v>
      </c>
      <c r="C61" s="20" t="s">
        <v>648</v>
      </c>
      <c r="D61" s="150">
        <v>2020000</v>
      </c>
      <c r="E61" s="20" t="s">
        <v>502</v>
      </c>
      <c r="F61" s="20" t="s">
        <v>503</v>
      </c>
      <c r="G61" s="8" t="str">
        <f t="shared" si="0"/>
        <v>SHOOK JOHN</v>
      </c>
    </row>
    <row r="62" spans="1:7" x14ac:dyDescent="0.25">
      <c r="A62" s="8">
        <v>42797.290810185186</v>
      </c>
      <c r="B62" s="20" t="s">
        <v>501</v>
      </c>
      <c r="C62" s="20" t="s">
        <v>649</v>
      </c>
      <c r="D62" s="150">
        <v>2550000</v>
      </c>
      <c r="E62" s="20" t="s">
        <v>328</v>
      </c>
      <c r="F62" s="20" t="s">
        <v>329</v>
      </c>
      <c r="G62" s="8" t="str">
        <f t="shared" si="0"/>
        <v>BADERTSCHER DIANE</v>
      </c>
    </row>
    <row r="63" spans="1:7" x14ac:dyDescent="0.25">
      <c r="A63" s="8">
        <v>42797.295324074075</v>
      </c>
      <c r="B63" s="20" t="s">
        <v>491</v>
      </c>
      <c r="C63" s="20" t="s">
        <v>576</v>
      </c>
      <c r="D63" s="150">
        <v>1110000</v>
      </c>
      <c r="E63" s="20" t="s">
        <v>287</v>
      </c>
      <c r="F63" s="20" t="s">
        <v>288</v>
      </c>
      <c r="G63" s="8" t="str">
        <f t="shared" si="0"/>
        <v>STARKS ANGELINA</v>
      </c>
    </row>
    <row r="64" spans="1:7" x14ac:dyDescent="0.25">
      <c r="A64" s="26">
        <v>42797.296944444446</v>
      </c>
      <c r="B64" s="20" t="s">
        <v>628</v>
      </c>
      <c r="C64" s="20" t="s">
        <v>650</v>
      </c>
      <c r="D64" s="150">
        <v>1100000</v>
      </c>
      <c r="E64" s="20" t="s">
        <v>624</v>
      </c>
      <c r="F64" s="20" t="s">
        <v>625</v>
      </c>
      <c r="G64" s="8" t="str">
        <f t="shared" si="0"/>
        <v>GEBRETEKLE DAGNEW</v>
      </c>
    </row>
    <row r="65" spans="1:7" x14ac:dyDescent="0.25">
      <c r="A65" s="8">
        <v>42797.301226851851</v>
      </c>
      <c r="B65" s="20" t="s">
        <v>569</v>
      </c>
      <c r="C65" s="20" t="s">
        <v>651</v>
      </c>
      <c r="D65" s="150">
        <v>1520000</v>
      </c>
      <c r="E65" s="20" t="s">
        <v>312</v>
      </c>
      <c r="F65" s="20" t="s">
        <v>313</v>
      </c>
      <c r="G65" s="8" t="str">
        <f t="shared" si="0"/>
        <v>MAYBERRY BILL</v>
      </c>
    </row>
    <row r="66" spans="1:7" x14ac:dyDescent="0.25">
      <c r="A66" s="8">
        <v>42797.306018518517</v>
      </c>
      <c r="B66" s="20" t="s">
        <v>214</v>
      </c>
      <c r="C66" s="20" t="s">
        <v>652</v>
      </c>
      <c r="D66" s="150">
        <v>890000</v>
      </c>
      <c r="E66" s="20" t="s">
        <v>308</v>
      </c>
      <c r="F66" s="20" t="s">
        <v>309</v>
      </c>
      <c r="G66" s="8" t="str">
        <f t="shared" si="0"/>
        <v>LOZA FIDEL</v>
      </c>
    </row>
    <row r="67" spans="1:7" x14ac:dyDescent="0.25">
      <c r="A67" s="8">
        <v>42797.307546296295</v>
      </c>
      <c r="B67" s="20" t="s">
        <v>591</v>
      </c>
      <c r="C67" s="20" t="s">
        <v>645</v>
      </c>
      <c r="D67" s="150">
        <v>2140000</v>
      </c>
      <c r="E67" s="20" t="s">
        <v>646</v>
      </c>
      <c r="F67" s="20" t="s">
        <v>647</v>
      </c>
      <c r="G67" s="8" t="str">
        <f t="shared" ref="G67:G130" si="1">E67&amp;" "&amp;F67</f>
        <v>ROBINSON KADDIBA</v>
      </c>
    </row>
    <row r="68" spans="1:7" x14ac:dyDescent="0.25">
      <c r="A68" s="8">
        <v>42797.310636574075</v>
      </c>
      <c r="B68" s="20" t="s">
        <v>326</v>
      </c>
      <c r="C68" s="20" t="s">
        <v>580</v>
      </c>
      <c r="D68" s="150">
        <v>1100000</v>
      </c>
      <c r="E68" s="20" t="s">
        <v>624</v>
      </c>
      <c r="F68" s="20" t="s">
        <v>625</v>
      </c>
      <c r="G68" s="8" t="str">
        <f t="shared" si="1"/>
        <v>GEBRETEKLE DAGNEW</v>
      </c>
    </row>
    <row r="69" spans="1:7" x14ac:dyDescent="0.25">
      <c r="A69" s="8">
        <v>42797.310995370368</v>
      </c>
      <c r="B69" s="20" t="s">
        <v>577</v>
      </c>
      <c r="C69" s="20" t="s">
        <v>578</v>
      </c>
      <c r="D69" s="150">
        <v>1990000</v>
      </c>
      <c r="E69" s="20" t="s">
        <v>613</v>
      </c>
      <c r="F69" s="20" t="s">
        <v>614</v>
      </c>
      <c r="G69" s="8" t="str">
        <f t="shared" si="1"/>
        <v>DAVIS WENDY</v>
      </c>
    </row>
    <row r="70" spans="1:7" x14ac:dyDescent="0.25">
      <c r="A70" s="8">
        <v>42797.317696759259</v>
      </c>
      <c r="B70" s="20" t="s">
        <v>229</v>
      </c>
      <c r="C70" s="20" t="s">
        <v>653</v>
      </c>
      <c r="D70" s="150">
        <v>2020000</v>
      </c>
      <c r="E70" s="20" t="s">
        <v>502</v>
      </c>
      <c r="F70" s="20" t="s">
        <v>503</v>
      </c>
      <c r="G70" s="8" t="str">
        <f t="shared" si="1"/>
        <v>SHOOK JOHN</v>
      </c>
    </row>
    <row r="71" spans="1:7" x14ac:dyDescent="0.25">
      <c r="A71" s="8">
        <v>42797.318391203706</v>
      </c>
      <c r="B71" s="20" t="s">
        <v>585</v>
      </c>
      <c r="C71" s="20" t="s">
        <v>654</v>
      </c>
      <c r="D71" s="150">
        <v>1120000</v>
      </c>
      <c r="E71" s="20" t="s">
        <v>291</v>
      </c>
      <c r="F71" s="20" t="s">
        <v>292</v>
      </c>
      <c r="G71" s="8" t="str">
        <f t="shared" si="1"/>
        <v>LOCKLEAR TRAVIS</v>
      </c>
    </row>
    <row r="72" spans="1:7" x14ac:dyDescent="0.25">
      <c r="A72" s="8">
        <v>42797.321712962963</v>
      </c>
      <c r="B72" s="20" t="s">
        <v>564</v>
      </c>
      <c r="C72" s="20" t="s">
        <v>579</v>
      </c>
      <c r="D72" s="150">
        <v>1200000</v>
      </c>
      <c r="E72" s="20" t="s">
        <v>616</v>
      </c>
      <c r="F72" s="20" t="s">
        <v>617</v>
      </c>
      <c r="G72" s="8" t="str">
        <f t="shared" si="1"/>
        <v>CUSHING HARRY</v>
      </c>
    </row>
    <row r="73" spans="1:7" x14ac:dyDescent="0.25">
      <c r="A73" s="8">
        <v>42797.322858796295</v>
      </c>
      <c r="B73" s="20" t="s">
        <v>572</v>
      </c>
      <c r="C73" s="20" t="s">
        <v>582</v>
      </c>
      <c r="D73" s="150">
        <v>2550000</v>
      </c>
      <c r="E73" s="20" t="s">
        <v>328</v>
      </c>
      <c r="F73" s="20" t="s">
        <v>329</v>
      </c>
      <c r="G73" s="8" t="str">
        <f t="shared" si="1"/>
        <v>BADERTSCHER DIANE</v>
      </c>
    </row>
    <row r="74" spans="1:7" x14ac:dyDescent="0.25">
      <c r="A74" s="8">
        <v>42797.333124999997</v>
      </c>
      <c r="B74" s="20" t="s">
        <v>504</v>
      </c>
      <c r="C74" s="20" t="s">
        <v>581</v>
      </c>
      <c r="D74" s="150">
        <v>1110000</v>
      </c>
      <c r="E74" s="20" t="s">
        <v>287</v>
      </c>
      <c r="F74" s="20" t="s">
        <v>288</v>
      </c>
      <c r="G74" s="8" t="str">
        <f t="shared" si="1"/>
        <v>STARKS ANGELINA</v>
      </c>
    </row>
    <row r="75" spans="1:7" x14ac:dyDescent="0.25">
      <c r="A75" s="8">
        <v>42797.33625</v>
      </c>
      <c r="B75" s="20" t="s">
        <v>236</v>
      </c>
      <c r="C75" s="20" t="s">
        <v>655</v>
      </c>
      <c r="D75" s="150">
        <v>2020000</v>
      </c>
      <c r="E75" s="20" t="s">
        <v>502</v>
      </c>
      <c r="F75" s="20" t="s">
        <v>503</v>
      </c>
      <c r="G75" s="8" t="str">
        <f t="shared" si="1"/>
        <v>SHOOK JOHN</v>
      </c>
    </row>
    <row r="76" spans="1:7" x14ac:dyDescent="0.25">
      <c r="A76" s="8">
        <v>42797.337002314816</v>
      </c>
      <c r="B76" s="20" t="s">
        <v>206</v>
      </c>
      <c r="C76" s="20" t="s">
        <v>583</v>
      </c>
      <c r="D76" s="150">
        <v>1520000</v>
      </c>
      <c r="E76" s="20" t="s">
        <v>312</v>
      </c>
      <c r="F76" s="20" t="s">
        <v>313</v>
      </c>
      <c r="G76" s="8" t="str">
        <f t="shared" si="1"/>
        <v>MAYBERRY BILL</v>
      </c>
    </row>
    <row r="77" spans="1:7" x14ac:dyDescent="0.25">
      <c r="A77" s="8">
        <v>42797.337916666664</v>
      </c>
      <c r="B77" s="20" t="s">
        <v>628</v>
      </c>
      <c r="C77" s="20" t="s">
        <v>656</v>
      </c>
      <c r="D77" s="150">
        <v>1100000</v>
      </c>
      <c r="E77" s="20" t="s">
        <v>624</v>
      </c>
      <c r="F77" s="20" t="s">
        <v>625</v>
      </c>
      <c r="G77" s="8" t="str">
        <f t="shared" si="1"/>
        <v>GEBRETEKLE DAGNEW</v>
      </c>
    </row>
    <row r="78" spans="1:7" x14ac:dyDescent="0.25">
      <c r="A78" s="8">
        <v>42797.341956018521</v>
      </c>
      <c r="B78" s="20" t="s">
        <v>213</v>
      </c>
      <c r="C78" s="20" t="s">
        <v>657</v>
      </c>
      <c r="D78" s="150">
        <v>890000</v>
      </c>
      <c r="E78" s="20" t="s">
        <v>308</v>
      </c>
      <c r="F78" s="20" t="s">
        <v>309</v>
      </c>
      <c r="G78" s="8" t="str">
        <f t="shared" si="1"/>
        <v>LOZA FIDEL</v>
      </c>
    </row>
    <row r="79" spans="1:7" x14ac:dyDescent="0.25">
      <c r="A79" s="8">
        <v>42797.348171296297</v>
      </c>
      <c r="B79" s="20" t="s">
        <v>332</v>
      </c>
      <c r="C79" s="20" t="s">
        <v>658</v>
      </c>
      <c r="D79" s="150">
        <v>1990000</v>
      </c>
      <c r="E79" s="20" t="s">
        <v>613</v>
      </c>
      <c r="F79" s="20" t="s">
        <v>614</v>
      </c>
      <c r="G79" s="8" t="str">
        <f t="shared" si="1"/>
        <v>DAVIS WENDY</v>
      </c>
    </row>
    <row r="80" spans="1:7" x14ac:dyDescent="0.25">
      <c r="A80" s="8">
        <v>42797.353055555555</v>
      </c>
      <c r="B80" s="20" t="s">
        <v>326</v>
      </c>
      <c r="C80" s="20" t="s">
        <v>659</v>
      </c>
      <c r="D80" s="150">
        <v>1100000</v>
      </c>
      <c r="E80" s="20" t="s">
        <v>624</v>
      </c>
      <c r="F80" s="20" t="s">
        <v>625</v>
      </c>
      <c r="G80" s="8" t="str">
        <f t="shared" si="1"/>
        <v>GEBRETEKLE DAGNEW</v>
      </c>
    </row>
    <row r="81" spans="1:7" x14ac:dyDescent="0.25">
      <c r="A81" s="8">
        <v>42797.353055555555</v>
      </c>
      <c r="B81" s="20" t="s">
        <v>216</v>
      </c>
      <c r="C81" s="20" t="s">
        <v>660</v>
      </c>
      <c r="D81" s="150">
        <v>1120000</v>
      </c>
      <c r="E81" s="20" t="s">
        <v>291</v>
      </c>
      <c r="F81" s="20" t="s">
        <v>292</v>
      </c>
      <c r="G81" s="8" t="str">
        <f t="shared" si="1"/>
        <v>LOCKLEAR TRAVIS</v>
      </c>
    </row>
    <row r="82" spans="1:7" x14ac:dyDescent="0.25">
      <c r="A82" s="8">
        <v>42797.355891203704</v>
      </c>
      <c r="B82" s="20" t="s">
        <v>591</v>
      </c>
      <c r="C82" s="20" t="s">
        <v>661</v>
      </c>
      <c r="D82" s="150">
        <v>2140000</v>
      </c>
      <c r="E82" s="20" t="s">
        <v>646</v>
      </c>
      <c r="F82" s="20" t="s">
        <v>647</v>
      </c>
      <c r="G82" s="8" t="str">
        <f t="shared" si="1"/>
        <v>ROBINSON KADDIBA</v>
      </c>
    </row>
    <row r="83" spans="1:7" x14ac:dyDescent="0.25">
      <c r="A83" s="8">
        <v>42797.359618055554</v>
      </c>
      <c r="B83" s="20" t="s">
        <v>229</v>
      </c>
      <c r="C83" s="20" t="s">
        <v>662</v>
      </c>
      <c r="D83" s="150">
        <v>2020000</v>
      </c>
      <c r="E83" s="20" t="s">
        <v>502</v>
      </c>
      <c r="F83" s="20" t="s">
        <v>503</v>
      </c>
      <c r="G83" s="8" t="str">
        <f t="shared" si="1"/>
        <v>SHOOK JOHN</v>
      </c>
    </row>
    <row r="84" spans="1:7" x14ac:dyDescent="0.25">
      <c r="A84" s="8">
        <v>42797.364189814813</v>
      </c>
      <c r="B84" s="20" t="s">
        <v>501</v>
      </c>
      <c r="C84" s="20" t="s">
        <v>584</v>
      </c>
      <c r="D84" s="150">
        <v>2550000</v>
      </c>
      <c r="E84" s="20" t="s">
        <v>328</v>
      </c>
      <c r="F84" s="20" t="s">
        <v>329</v>
      </c>
      <c r="G84" s="8" t="str">
        <f t="shared" si="1"/>
        <v>BADERTSCHER DIANE</v>
      </c>
    </row>
    <row r="85" spans="1:7" x14ac:dyDescent="0.25">
      <c r="A85" s="8">
        <v>42797.365659722222</v>
      </c>
      <c r="B85" s="20" t="s">
        <v>491</v>
      </c>
      <c r="C85" s="20" t="s">
        <v>663</v>
      </c>
      <c r="D85" s="150">
        <v>1110000</v>
      </c>
      <c r="E85" s="20" t="s">
        <v>287</v>
      </c>
      <c r="F85" s="20" t="s">
        <v>288</v>
      </c>
      <c r="G85" s="8" t="str">
        <f t="shared" si="1"/>
        <v>STARKS ANGELINA</v>
      </c>
    </row>
    <row r="86" spans="1:7" x14ac:dyDescent="0.25">
      <c r="A86" s="8">
        <v>42797.374131944445</v>
      </c>
      <c r="B86" s="20" t="s">
        <v>236</v>
      </c>
      <c r="C86" s="20" t="s">
        <v>664</v>
      </c>
      <c r="D86" s="150">
        <v>2020000</v>
      </c>
      <c r="E86" s="20" t="s">
        <v>502</v>
      </c>
      <c r="F86" s="20" t="s">
        <v>503</v>
      </c>
      <c r="G86" s="8" t="str">
        <f t="shared" si="1"/>
        <v>SHOOK JOHN</v>
      </c>
    </row>
    <row r="87" spans="1:7" x14ac:dyDescent="0.25">
      <c r="A87" s="8">
        <v>42797.374444444446</v>
      </c>
      <c r="B87" s="20" t="s">
        <v>569</v>
      </c>
      <c r="C87" s="20" t="s">
        <v>665</v>
      </c>
      <c r="D87" s="150">
        <v>900000</v>
      </c>
      <c r="E87" s="20" t="s">
        <v>310</v>
      </c>
      <c r="F87" s="20" t="s">
        <v>311</v>
      </c>
      <c r="G87" s="8" t="str">
        <f t="shared" si="1"/>
        <v>ROCHA YAOTL</v>
      </c>
    </row>
    <row r="88" spans="1:7" x14ac:dyDescent="0.25">
      <c r="A88" s="8">
        <v>42797.380277777775</v>
      </c>
      <c r="B88" s="20" t="s">
        <v>214</v>
      </c>
      <c r="C88" s="20" t="s">
        <v>666</v>
      </c>
      <c r="D88" s="150">
        <v>890000</v>
      </c>
      <c r="E88" s="20" t="s">
        <v>308</v>
      </c>
      <c r="F88" s="20" t="s">
        <v>309</v>
      </c>
      <c r="G88" s="8" t="str">
        <f t="shared" si="1"/>
        <v>LOZA FIDEL</v>
      </c>
    </row>
    <row r="89" spans="1:7" x14ac:dyDescent="0.25">
      <c r="A89" s="8">
        <v>42797.384768518517</v>
      </c>
      <c r="B89" s="20" t="s">
        <v>577</v>
      </c>
      <c r="C89" s="20" t="s">
        <v>667</v>
      </c>
      <c r="D89" s="150">
        <v>1990000</v>
      </c>
      <c r="E89" s="20" t="s">
        <v>613</v>
      </c>
      <c r="F89" s="20" t="s">
        <v>614</v>
      </c>
      <c r="G89" s="8" t="str">
        <f t="shared" si="1"/>
        <v>DAVIS WENDY</v>
      </c>
    </row>
    <row r="90" spans="1:7" x14ac:dyDescent="0.25">
      <c r="A90" s="8">
        <v>42797.390428240738</v>
      </c>
      <c r="B90" s="20" t="s">
        <v>585</v>
      </c>
      <c r="C90" s="20" t="s">
        <v>586</v>
      </c>
      <c r="D90" s="150">
        <v>1120000</v>
      </c>
      <c r="E90" s="20" t="s">
        <v>291</v>
      </c>
      <c r="F90" s="20" t="s">
        <v>292</v>
      </c>
      <c r="G90" s="8" t="str">
        <f t="shared" si="1"/>
        <v>LOCKLEAR TRAVIS</v>
      </c>
    </row>
    <row r="91" spans="1:7" x14ac:dyDescent="0.25">
      <c r="A91" s="8">
        <v>42797.393136574072</v>
      </c>
      <c r="B91" s="20" t="s">
        <v>564</v>
      </c>
      <c r="C91" s="20" t="s">
        <v>668</v>
      </c>
      <c r="D91" s="150">
        <v>2140000</v>
      </c>
      <c r="E91" s="20" t="s">
        <v>646</v>
      </c>
      <c r="F91" s="20" t="s">
        <v>647</v>
      </c>
      <c r="G91" s="8" t="str">
        <f t="shared" si="1"/>
        <v>ROBINSON KADDIBA</v>
      </c>
    </row>
    <row r="92" spans="1:7" x14ac:dyDescent="0.25">
      <c r="A92" s="8">
        <v>42797.396099537036</v>
      </c>
      <c r="B92" s="20" t="s">
        <v>572</v>
      </c>
      <c r="C92" s="20" t="s">
        <v>669</v>
      </c>
      <c r="D92" s="150">
        <v>2550000</v>
      </c>
      <c r="E92" s="20" t="s">
        <v>328</v>
      </c>
      <c r="F92" s="20" t="s">
        <v>329</v>
      </c>
      <c r="G92" s="8" t="str">
        <f t="shared" si="1"/>
        <v>BADERTSCHER DIANE</v>
      </c>
    </row>
    <row r="93" spans="1:7" x14ac:dyDescent="0.25">
      <c r="A93" s="8">
        <v>42797.397766203707</v>
      </c>
      <c r="B93" s="20" t="s">
        <v>572</v>
      </c>
      <c r="C93" s="20" t="s">
        <v>669</v>
      </c>
      <c r="D93" s="150">
        <v>2550000</v>
      </c>
      <c r="E93" s="20" t="s">
        <v>328</v>
      </c>
      <c r="F93" s="20" t="s">
        <v>329</v>
      </c>
      <c r="G93" s="8" t="str">
        <f t="shared" si="1"/>
        <v>BADERTSCHER DIANE</v>
      </c>
    </row>
    <row r="94" spans="1:7" x14ac:dyDescent="0.25">
      <c r="A94" s="8">
        <v>42797.400925925926</v>
      </c>
      <c r="B94" s="20" t="s">
        <v>572</v>
      </c>
      <c r="C94" s="20" t="s">
        <v>669</v>
      </c>
      <c r="D94" s="150">
        <v>2550000</v>
      </c>
      <c r="E94" s="20" t="s">
        <v>328</v>
      </c>
      <c r="F94" s="20" t="s">
        <v>329</v>
      </c>
      <c r="G94" s="8" t="str">
        <f t="shared" si="1"/>
        <v>BADERTSCHER DIANE</v>
      </c>
    </row>
    <row r="95" spans="1:7" x14ac:dyDescent="0.25">
      <c r="A95" s="8">
        <v>42797.401250000003</v>
      </c>
      <c r="B95" s="20" t="s">
        <v>229</v>
      </c>
      <c r="C95" s="20" t="s">
        <v>670</v>
      </c>
      <c r="D95" s="150">
        <v>2020000</v>
      </c>
      <c r="E95" s="20" t="s">
        <v>502</v>
      </c>
      <c r="F95" s="20" t="s">
        <v>503</v>
      </c>
      <c r="G95" s="8" t="str">
        <f t="shared" si="1"/>
        <v>SHOOK JOHN</v>
      </c>
    </row>
    <row r="96" spans="1:7" x14ac:dyDescent="0.25">
      <c r="A96" s="8">
        <v>42797.40357638889</v>
      </c>
      <c r="B96" s="20" t="s">
        <v>504</v>
      </c>
      <c r="C96" s="20" t="s">
        <v>671</v>
      </c>
      <c r="D96" s="150">
        <v>1110000</v>
      </c>
      <c r="E96" s="20" t="s">
        <v>287</v>
      </c>
      <c r="F96" s="20" t="s">
        <v>288</v>
      </c>
      <c r="G96" s="8" t="str">
        <f t="shared" si="1"/>
        <v>STARKS ANGELINA</v>
      </c>
    </row>
    <row r="97" spans="1:7" x14ac:dyDescent="0.25">
      <c r="A97" s="8">
        <v>42797.413090277776</v>
      </c>
      <c r="B97" s="20" t="s">
        <v>206</v>
      </c>
      <c r="C97" s="20" t="s">
        <v>672</v>
      </c>
      <c r="D97" s="150">
        <v>900000</v>
      </c>
      <c r="E97" s="20" t="s">
        <v>310</v>
      </c>
      <c r="F97" s="20" t="s">
        <v>311</v>
      </c>
      <c r="G97" s="8" t="str">
        <f t="shared" si="1"/>
        <v>ROCHA YAOTL</v>
      </c>
    </row>
    <row r="98" spans="1:7" x14ac:dyDescent="0.25">
      <c r="A98" s="8">
        <v>42797.413668981484</v>
      </c>
      <c r="B98" s="20" t="s">
        <v>213</v>
      </c>
      <c r="C98" s="20" t="s">
        <v>673</v>
      </c>
      <c r="D98" s="150">
        <v>890000</v>
      </c>
      <c r="E98" s="20" t="s">
        <v>308</v>
      </c>
      <c r="F98" s="20" t="s">
        <v>309</v>
      </c>
      <c r="G98" s="8" t="str">
        <f t="shared" si="1"/>
        <v>LOZA FIDEL</v>
      </c>
    </row>
    <row r="99" spans="1:7" x14ac:dyDescent="0.25">
      <c r="A99" s="8">
        <v>42797.414409722223</v>
      </c>
      <c r="B99" s="20" t="s">
        <v>572</v>
      </c>
      <c r="C99" s="20" t="s">
        <v>669</v>
      </c>
      <c r="D99" s="150">
        <v>2550000</v>
      </c>
      <c r="E99" s="20" t="s">
        <v>328</v>
      </c>
      <c r="F99" s="20" t="s">
        <v>329</v>
      </c>
      <c r="G99" s="8" t="str">
        <f t="shared" si="1"/>
        <v>BADERTSCHER DIANE</v>
      </c>
    </row>
    <row r="100" spans="1:7" x14ac:dyDescent="0.25">
      <c r="A100" s="8">
        <v>42797.415555555555</v>
      </c>
      <c r="B100" s="20" t="s">
        <v>236</v>
      </c>
      <c r="C100" s="20" t="s">
        <v>674</v>
      </c>
      <c r="D100" s="150">
        <v>2020000</v>
      </c>
      <c r="E100" s="20" t="s">
        <v>502</v>
      </c>
      <c r="F100" s="20" t="s">
        <v>503</v>
      </c>
      <c r="G100" s="8" t="str">
        <f t="shared" si="1"/>
        <v>SHOOK JOHN</v>
      </c>
    </row>
    <row r="101" spans="1:7" x14ac:dyDescent="0.25">
      <c r="A101" s="8">
        <v>42797.42087962963</v>
      </c>
      <c r="B101" s="20" t="s">
        <v>332</v>
      </c>
      <c r="C101" s="20" t="s">
        <v>587</v>
      </c>
      <c r="D101" s="150">
        <v>1990000</v>
      </c>
      <c r="E101" s="20" t="s">
        <v>613</v>
      </c>
      <c r="F101" s="20" t="s">
        <v>614</v>
      </c>
      <c r="G101" s="8" t="str">
        <f t="shared" si="1"/>
        <v>DAVIS WENDY</v>
      </c>
    </row>
    <row r="102" spans="1:7" x14ac:dyDescent="0.25">
      <c r="A102" s="8">
        <v>42797.423125000001</v>
      </c>
      <c r="B102" s="20" t="s">
        <v>216</v>
      </c>
      <c r="C102" s="20" t="s">
        <v>675</v>
      </c>
      <c r="D102" s="150">
        <v>1340000</v>
      </c>
      <c r="E102" s="20" t="s">
        <v>499</v>
      </c>
      <c r="F102" s="20" t="s">
        <v>500</v>
      </c>
      <c r="G102" s="8" t="str">
        <f t="shared" si="1"/>
        <v>BEAM ROSS</v>
      </c>
    </row>
    <row r="103" spans="1:7" x14ac:dyDescent="0.25">
      <c r="A103" s="8">
        <v>42797.428240740737</v>
      </c>
      <c r="B103" s="20" t="s">
        <v>591</v>
      </c>
      <c r="C103" s="20" t="s">
        <v>676</v>
      </c>
      <c r="D103" s="150">
        <v>2140000</v>
      </c>
      <c r="E103" s="20" t="s">
        <v>646</v>
      </c>
      <c r="F103" s="20" t="s">
        <v>647</v>
      </c>
      <c r="G103" s="8" t="str">
        <f t="shared" si="1"/>
        <v>ROBINSON KADDIBA</v>
      </c>
    </row>
    <row r="104" spans="1:7" x14ac:dyDescent="0.25">
      <c r="A104" s="8">
        <v>42797.435173611113</v>
      </c>
      <c r="B104" s="20" t="s">
        <v>501</v>
      </c>
      <c r="C104" s="20" t="s">
        <v>677</v>
      </c>
      <c r="D104" s="150">
        <v>1100000</v>
      </c>
      <c r="E104" s="20" t="s">
        <v>624</v>
      </c>
      <c r="F104" s="20" t="s">
        <v>625</v>
      </c>
      <c r="G104" s="8" t="str">
        <f t="shared" si="1"/>
        <v>GEBRETEKLE DAGNEW</v>
      </c>
    </row>
    <row r="105" spans="1:7" x14ac:dyDescent="0.25">
      <c r="A105" s="8">
        <v>42797.440995370373</v>
      </c>
      <c r="B105" s="20" t="s">
        <v>491</v>
      </c>
      <c r="C105" s="20" t="s">
        <v>678</v>
      </c>
      <c r="D105" s="150">
        <v>1110000</v>
      </c>
      <c r="E105" s="20" t="s">
        <v>287</v>
      </c>
      <c r="F105" s="20" t="s">
        <v>288</v>
      </c>
      <c r="G105" s="8" t="str">
        <f t="shared" si="1"/>
        <v>STARKS ANGELINA</v>
      </c>
    </row>
    <row r="106" spans="1:7" x14ac:dyDescent="0.25">
      <c r="A106" s="8">
        <v>42797.443402777775</v>
      </c>
      <c r="B106" s="20" t="s">
        <v>229</v>
      </c>
      <c r="C106" s="20" t="s">
        <v>679</v>
      </c>
      <c r="D106" s="150">
        <v>2020000</v>
      </c>
      <c r="E106" s="20" t="s">
        <v>502</v>
      </c>
      <c r="F106" s="20" t="s">
        <v>503</v>
      </c>
      <c r="G106" s="8" t="str">
        <f t="shared" si="1"/>
        <v>SHOOK JOHN</v>
      </c>
    </row>
    <row r="107" spans="1:7" x14ac:dyDescent="0.25">
      <c r="A107" s="8">
        <v>42797.444236111114</v>
      </c>
      <c r="B107" s="20" t="s">
        <v>569</v>
      </c>
      <c r="C107" s="20" t="s">
        <v>680</v>
      </c>
      <c r="D107" s="150">
        <v>1520000</v>
      </c>
      <c r="E107" s="20" t="s">
        <v>312</v>
      </c>
      <c r="F107" s="20" t="s">
        <v>313</v>
      </c>
      <c r="G107" s="8" t="str">
        <f t="shared" si="1"/>
        <v>MAYBERRY BILL</v>
      </c>
    </row>
    <row r="108" spans="1:7" x14ac:dyDescent="0.25">
      <c r="A108" s="8">
        <v>42797.452800925923</v>
      </c>
      <c r="B108" s="20" t="s">
        <v>214</v>
      </c>
      <c r="C108" s="20" t="s">
        <v>681</v>
      </c>
      <c r="D108" s="150">
        <v>890000</v>
      </c>
      <c r="E108" s="20" t="s">
        <v>308</v>
      </c>
      <c r="F108" s="20" t="s">
        <v>309</v>
      </c>
      <c r="G108" s="8" t="str">
        <f t="shared" si="1"/>
        <v>LOZA FIDEL</v>
      </c>
    </row>
    <row r="109" spans="1:7" x14ac:dyDescent="0.25">
      <c r="A109" s="8">
        <v>42797.457199074073</v>
      </c>
      <c r="B109" s="20" t="s">
        <v>236</v>
      </c>
      <c r="C109" s="20" t="s">
        <v>682</v>
      </c>
      <c r="D109" s="150">
        <v>2020000</v>
      </c>
      <c r="E109" s="20" t="s">
        <v>502</v>
      </c>
      <c r="F109" s="20" t="s">
        <v>503</v>
      </c>
      <c r="G109" s="8" t="str">
        <f t="shared" si="1"/>
        <v>SHOOK JOHN</v>
      </c>
    </row>
    <row r="110" spans="1:7" x14ac:dyDescent="0.25">
      <c r="A110" s="8">
        <v>42797.45890046296</v>
      </c>
      <c r="B110" s="20" t="s">
        <v>577</v>
      </c>
      <c r="C110" s="20" t="s">
        <v>683</v>
      </c>
      <c r="D110" s="150">
        <v>880000</v>
      </c>
      <c r="E110" s="20" t="s">
        <v>684</v>
      </c>
      <c r="F110" s="20" t="s">
        <v>202</v>
      </c>
      <c r="G110" s="8" t="str">
        <f t="shared" si="1"/>
        <v>STEWART MICHAEL</v>
      </c>
    </row>
    <row r="111" spans="1:7" x14ac:dyDescent="0.25">
      <c r="A111" s="8">
        <v>42797.462893518517</v>
      </c>
      <c r="B111" s="20" t="s">
        <v>585</v>
      </c>
      <c r="C111" s="20" t="s">
        <v>685</v>
      </c>
      <c r="D111" s="150">
        <v>1340000</v>
      </c>
      <c r="E111" s="20" t="s">
        <v>499</v>
      </c>
      <c r="F111" s="20" t="s">
        <v>500</v>
      </c>
      <c r="G111" s="8" t="str">
        <f t="shared" si="1"/>
        <v>BEAM ROSS</v>
      </c>
    </row>
    <row r="112" spans="1:7" x14ac:dyDescent="0.25">
      <c r="A112" s="8">
        <v>42797.465127314812</v>
      </c>
      <c r="B112" s="20" t="s">
        <v>564</v>
      </c>
      <c r="C112" s="20" t="s">
        <v>686</v>
      </c>
      <c r="D112" s="150">
        <v>2470000</v>
      </c>
      <c r="E112" s="20" t="s">
        <v>687</v>
      </c>
      <c r="F112" s="20" t="s">
        <v>688</v>
      </c>
      <c r="G112" s="8" t="str">
        <f t="shared" si="1"/>
        <v>ROMERO CHAD</v>
      </c>
    </row>
    <row r="113" spans="1:7" x14ac:dyDescent="0.25">
      <c r="A113" s="8">
        <v>42797.465648148151</v>
      </c>
      <c r="B113" s="20" t="s">
        <v>572</v>
      </c>
      <c r="C113" s="20" t="s">
        <v>689</v>
      </c>
      <c r="D113" s="150">
        <v>1100000</v>
      </c>
      <c r="E113" s="20" t="s">
        <v>624</v>
      </c>
      <c r="F113" s="20" t="s">
        <v>625</v>
      </c>
      <c r="G113" s="8" t="str">
        <f t="shared" si="1"/>
        <v>GEBRETEKLE DAGNEW</v>
      </c>
    </row>
    <row r="114" spans="1:7" x14ac:dyDescent="0.25">
      <c r="A114" s="8">
        <v>42797.476226851853</v>
      </c>
      <c r="B114" s="20" t="s">
        <v>504</v>
      </c>
      <c r="C114" s="20" t="s">
        <v>690</v>
      </c>
      <c r="D114" s="150">
        <v>930000</v>
      </c>
      <c r="E114" s="20" t="s">
        <v>289</v>
      </c>
      <c r="F114" s="20" t="s">
        <v>290</v>
      </c>
      <c r="G114" s="8" t="str">
        <f t="shared" si="1"/>
        <v>CLARK KATHLEEN</v>
      </c>
    </row>
    <row r="115" spans="1:7" x14ac:dyDescent="0.25">
      <c r="A115" s="8">
        <v>42797.476840277777</v>
      </c>
      <c r="B115" s="20" t="s">
        <v>264</v>
      </c>
      <c r="C115" s="20" t="s">
        <v>588</v>
      </c>
      <c r="D115" s="150">
        <v>2360000</v>
      </c>
      <c r="E115" s="20" t="s">
        <v>510</v>
      </c>
      <c r="F115" s="20" t="s">
        <v>511</v>
      </c>
      <c r="G115" s="8" t="str">
        <f t="shared" si="1"/>
        <v>BRANDNER MELINDA</v>
      </c>
    </row>
    <row r="116" spans="1:7" x14ac:dyDescent="0.25">
      <c r="A116" s="8">
        <v>42797.478252314817</v>
      </c>
      <c r="B116" s="20" t="s">
        <v>206</v>
      </c>
      <c r="C116" s="20" t="s">
        <v>691</v>
      </c>
      <c r="D116" s="150">
        <v>1520000</v>
      </c>
      <c r="E116" s="20" t="s">
        <v>312</v>
      </c>
      <c r="F116" s="20" t="s">
        <v>313</v>
      </c>
      <c r="G116" s="8" t="str">
        <f t="shared" si="1"/>
        <v>MAYBERRY BILL</v>
      </c>
    </row>
    <row r="117" spans="1:7" x14ac:dyDescent="0.25">
      <c r="A117" s="8">
        <v>42797.486111111109</v>
      </c>
      <c r="B117" s="20" t="s">
        <v>229</v>
      </c>
      <c r="C117" s="20" t="s">
        <v>692</v>
      </c>
      <c r="D117" s="150">
        <v>2020000</v>
      </c>
      <c r="E117" s="20" t="s">
        <v>502</v>
      </c>
      <c r="F117" s="20" t="s">
        <v>503</v>
      </c>
      <c r="G117" s="8" t="str">
        <f t="shared" si="1"/>
        <v>SHOOK JOHN</v>
      </c>
    </row>
    <row r="118" spans="1:7" x14ac:dyDescent="0.25">
      <c r="A118" s="8">
        <v>42797.486932870372</v>
      </c>
      <c r="B118" s="20" t="s">
        <v>213</v>
      </c>
      <c r="C118" s="20" t="s">
        <v>693</v>
      </c>
      <c r="D118" s="150">
        <v>1770000</v>
      </c>
      <c r="E118" s="20" t="s">
        <v>335</v>
      </c>
      <c r="F118" s="20" t="s">
        <v>336</v>
      </c>
      <c r="G118" s="8" t="str">
        <f t="shared" si="1"/>
        <v>BRUDER RICHARD</v>
      </c>
    </row>
    <row r="119" spans="1:7" x14ac:dyDescent="0.25">
      <c r="A119" s="8">
        <v>42797.495057870372</v>
      </c>
      <c r="B119" s="20" t="s">
        <v>332</v>
      </c>
      <c r="C119" s="20" t="s">
        <v>694</v>
      </c>
      <c r="D119" s="150">
        <v>880000</v>
      </c>
      <c r="E119" s="20" t="s">
        <v>684</v>
      </c>
      <c r="F119" s="20" t="s">
        <v>202</v>
      </c>
      <c r="G119" s="8" t="str">
        <f t="shared" si="1"/>
        <v>STEWART MICHAEL</v>
      </c>
    </row>
    <row r="120" spans="1:7" x14ac:dyDescent="0.25">
      <c r="A120" s="8">
        <v>42797.49790509259</v>
      </c>
      <c r="B120" s="20" t="s">
        <v>216</v>
      </c>
      <c r="C120" s="20" t="s">
        <v>695</v>
      </c>
      <c r="D120" s="150">
        <v>1540000</v>
      </c>
      <c r="E120" s="20" t="s">
        <v>333</v>
      </c>
      <c r="F120" s="20" t="s">
        <v>334</v>
      </c>
      <c r="G120" s="8" t="str">
        <f t="shared" si="1"/>
        <v>HELVIE ADAM</v>
      </c>
    </row>
    <row r="121" spans="1:7" x14ac:dyDescent="0.25">
      <c r="A121" s="8">
        <v>42797.498680555553</v>
      </c>
      <c r="B121" s="20" t="s">
        <v>236</v>
      </c>
      <c r="C121" s="20" t="s">
        <v>696</v>
      </c>
      <c r="D121" s="150">
        <v>2020000</v>
      </c>
      <c r="E121" s="20" t="s">
        <v>502</v>
      </c>
      <c r="F121" s="20" t="s">
        <v>503</v>
      </c>
      <c r="G121" s="8" t="str">
        <f t="shared" si="1"/>
        <v>SHOOK JOHN</v>
      </c>
    </row>
    <row r="122" spans="1:7" x14ac:dyDescent="0.25">
      <c r="A122" s="8">
        <v>42797.500833333332</v>
      </c>
      <c r="B122" s="25" t="s">
        <v>591</v>
      </c>
      <c r="C122" s="20" t="s">
        <v>697</v>
      </c>
      <c r="D122" s="150">
        <v>2470000</v>
      </c>
      <c r="E122" s="20" t="s">
        <v>687</v>
      </c>
      <c r="F122" s="20" t="s">
        <v>688</v>
      </c>
      <c r="G122" s="8" t="str">
        <f t="shared" si="1"/>
        <v>ROMERO CHAD</v>
      </c>
    </row>
    <row r="123" spans="1:7" x14ac:dyDescent="0.25">
      <c r="A123" s="8">
        <v>42797.507314814815</v>
      </c>
      <c r="B123" s="20" t="s">
        <v>501</v>
      </c>
      <c r="C123" s="20" t="s">
        <v>698</v>
      </c>
      <c r="D123" s="150">
        <v>2030000</v>
      </c>
      <c r="E123" s="20" t="s">
        <v>507</v>
      </c>
      <c r="F123" s="20" t="s">
        <v>508</v>
      </c>
      <c r="G123" s="8" t="str">
        <f t="shared" si="1"/>
        <v>KILLION DAVID</v>
      </c>
    </row>
    <row r="124" spans="1:7" x14ac:dyDescent="0.25">
      <c r="A124" s="8">
        <v>42797.508750000001</v>
      </c>
      <c r="B124" s="20" t="s">
        <v>266</v>
      </c>
      <c r="C124" s="20" t="s">
        <v>699</v>
      </c>
      <c r="D124" s="150">
        <v>1340000</v>
      </c>
      <c r="E124" s="20" t="s">
        <v>499</v>
      </c>
      <c r="F124" s="20" t="s">
        <v>500</v>
      </c>
      <c r="G124" s="8" t="str">
        <f t="shared" si="1"/>
        <v>BEAM ROSS</v>
      </c>
    </row>
    <row r="125" spans="1:7" x14ac:dyDescent="0.25">
      <c r="A125" s="8">
        <v>42797.513310185182</v>
      </c>
      <c r="B125" s="20" t="s">
        <v>491</v>
      </c>
      <c r="C125" s="20" t="s">
        <v>700</v>
      </c>
      <c r="D125" s="150">
        <v>930000</v>
      </c>
      <c r="E125" s="20" t="s">
        <v>289</v>
      </c>
      <c r="F125" s="20" t="s">
        <v>290</v>
      </c>
      <c r="G125" s="8" t="str">
        <f t="shared" si="1"/>
        <v>CLARK KATHLEEN</v>
      </c>
    </row>
    <row r="126" spans="1:7" x14ac:dyDescent="0.25">
      <c r="A126" s="8">
        <v>42797.517916666664</v>
      </c>
      <c r="B126" s="20" t="s">
        <v>569</v>
      </c>
      <c r="C126" s="20" t="s">
        <v>701</v>
      </c>
      <c r="D126" s="150">
        <v>2480000</v>
      </c>
      <c r="E126" s="20" t="s">
        <v>337</v>
      </c>
      <c r="F126" s="20" t="s">
        <v>212</v>
      </c>
      <c r="G126" s="8" t="str">
        <f t="shared" si="1"/>
        <v>WHITED DUSTIN</v>
      </c>
    </row>
    <row r="127" spans="1:7" x14ac:dyDescent="0.25">
      <c r="A127" s="8">
        <v>42797.52579861111</v>
      </c>
      <c r="B127" s="20" t="s">
        <v>214</v>
      </c>
      <c r="C127" s="20" t="s">
        <v>702</v>
      </c>
      <c r="D127" s="150">
        <v>1770000</v>
      </c>
      <c r="E127" s="20" t="s">
        <v>335</v>
      </c>
      <c r="F127" s="20" t="s">
        <v>336</v>
      </c>
      <c r="G127" s="8" t="str">
        <f t="shared" si="1"/>
        <v>BRUDER RICHARD</v>
      </c>
    </row>
    <row r="128" spans="1:7" x14ac:dyDescent="0.25">
      <c r="A128" s="8">
        <v>42797.52616898148</v>
      </c>
      <c r="B128" s="20" t="s">
        <v>229</v>
      </c>
      <c r="C128" s="20" t="s">
        <v>703</v>
      </c>
      <c r="D128" s="150">
        <v>2020000</v>
      </c>
      <c r="E128" s="20" t="s">
        <v>502</v>
      </c>
      <c r="F128" s="20" t="s">
        <v>503</v>
      </c>
      <c r="G128" s="8" t="str">
        <f t="shared" si="1"/>
        <v>SHOOK JOHN</v>
      </c>
    </row>
    <row r="129" spans="1:7" x14ac:dyDescent="0.25">
      <c r="A129" s="8">
        <v>42797.529224537036</v>
      </c>
      <c r="B129" s="20" t="s">
        <v>577</v>
      </c>
      <c r="C129" s="20" t="s">
        <v>704</v>
      </c>
      <c r="D129" s="150">
        <v>1760000</v>
      </c>
      <c r="E129" s="20" t="s">
        <v>314</v>
      </c>
      <c r="F129" s="20" t="s">
        <v>315</v>
      </c>
      <c r="G129" s="8" t="str">
        <f t="shared" si="1"/>
        <v>STRICKLAND EVAN</v>
      </c>
    </row>
    <row r="130" spans="1:7" x14ac:dyDescent="0.25">
      <c r="A130" s="8">
        <v>42797.536840277775</v>
      </c>
      <c r="B130" s="20" t="s">
        <v>564</v>
      </c>
      <c r="C130" s="20" t="s">
        <v>705</v>
      </c>
      <c r="D130" s="150">
        <v>2470000</v>
      </c>
      <c r="E130" s="20" t="s">
        <v>687</v>
      </c>
      <c r="F130" s="20" t="s">
        <v>688</v>
      </c>
      <c r="G130" s="8" t="str">
        <f t="shared" si="1"/>
        <v>ROMERO CHAD</v>
      </c>
    </row>
    <row r="131" spans="1:7" x14ac:dyDescent="0.25">
      <c r="A131" s="8">
        <v>42797.537905092591</v>
      </c>
      <c r="B131" s="20" t="s">
        <v>585</v>
      </c>
      <c r="C131" s="20" t="s">
        <v>706</v>
      </c>
      <c r="D131" s="150">
        <v>1540000</v>
      </c>
      <c r="E131" s="20" t="s">
        <v>333</v>
      </c>
      <c r="F131" s="20" t="s">
        <v>334</v>
      </c>
      <c r="G131" s="8" t="str">
        <f t="shared" ref="G131:G194" si="2">E131&amp;" "&amp;F131</f>
        <v>HELVIE ADAM</v>
      </c>
    </row>
    <row r="132" spans="1:7" x14ac:dyDescent="0.25">
      <c r="A132" s="8">
        <v>42797.539224537039</v>
      </c>
      <c r="B132" s="20" t="s">
        <v>572</v>
      </c>
      <c r="C132" s="20" t="s">
        <v>707</v>
      </c>
      <c r="D132" s="150">
        <v>2030000</v>
      </c>
      <c r="E132" s="20" t="s">
        <v>507</v>
      </c>
      <c r="F132" s="20" t="s">
        <v>508</v>
      </c>
      <c r="G132" s="8" t="str">
        <f t="shared" si="2"/>
        <v>KILLION DAVID</v>
      </c>
    </row>
    <row r="133" spans="1:7" x14ac:dyDescent="0.25">
      <c r="A133" s="8">
        <v>42797.542754629627</v>
      </c>
      <c r="B133" s="20" t="s">
        <v>236</v>
      </c>
      <c r="C133" s="20" t="s">
        <v>708</v>
      </c>
      <c r="D133" s="150">
        <v>1180000</v>
      </c>
      <c r="E133" s="20" t="s">
        <v>293</v>
      </c>
      <c r="F133" s="20" t="s">
        <v>294</v>
      </c>
      <c r="G133" s="8" t="str">
        <f t="shared" si="2"/>
        <v>LEVERE CRAIG</v>
      </c>
    </row>
    <row r="134" spans="1:7" x14ac:dyDescent="0.25">
      <c r="A134" s="8">
        <v>42797.549166666664</v>
      </c>
      <c r="B134" s="20" t="s">
        <v>504</v>
      </c>
      <c r="C134" s="20" t="s">
        <v>709</v>
      </c>
      <c r="D134" s="150">
        <v>930000</v>
      </c>
      <c r="E134" s="20" t="s">
        <v>289</v>
      </c>
      <c r="F134" s="20" t="s">
        <v>290</v>
      </c>
      <c r="G134" s="8" t="str">
        <f t="shared" si="2"/>
        <v>CLARK KATHLEEN</v>
      </c>
    </row>
    <row r="135" spans="1:7" x14ac:dyDescent="0.25">
      <c r="A135" s="8">
        <v>42797.54991898148</v>
      </c>
      <c r="B135" s="20" t="s">
        <v>206</v>
      </c>
      <c r="C135" s="20" t="s">
        <v>710</v>
      </c>
      <c r="D135" s="150">
        <v>2480000</v>
      </c>
      <c r="E135" s="20" t="s">
        <v>337</v>
      </c>
      <c r="F135" s="20" t="s">
        <v>212</v>
      </c>
      <c r="G135" s="8" t="str">
        <f t="shared" si="2"/>
        <v>WHITED DUSTIN</v>
      </c>
    </row>
    <row r="136" spans="1:7" x14ac:dyDescent="0.25">
      <c r="A136" s="8">
        <v>42797.560243055559</v>
      </c>
      <c r="B136" s="20" t="s">
        <v>332</v>
      </c>
      <c r="C136" s="20" t="s">
        <v>589</v>
      </c>
      <c r="D136" s="150">
        <v>1760000</v>
      </c>
      <c r="E136" s="20" t="s">
        <v>314</v>
      </c>
      <c r="F136" s="20" t="s">
        <v>315</v>
      </c>
      <c r="G136" s="8" t="str">
        <f t="shared" si="2"/>
        <v>STRICKLAND EVAN</v>
      </c>
    </row>
    <row r="137" spans="1:7" x14ac:dyDescent="0.25">
      <c r="A137" s="8">
        <v>42797.560370370367</v>
      </c>
      <c r="B137" s="20" t="s">
        <v>213</v>
      </c>
      <c r="C137" s="20" t="s">
        <v>711</v>
      </c>
      <c r="D137" s="150">
        <v>1770000</v>
      </c>
      <c r="E137" s="20" t="s">
        <v>335</v>
      </c>
      <c r="F137" s="20" t="s">
        <v>336</v>
      </c>
      <c r="G137" s="8" t="str">
        <f t="shared" si="2"/>
        <v>BRUDER RICHARD</v>
      </c>
    </row>
    <row r="138" spans="1:7" x14ac:dyDescent="0.25">
      <c r="A138" s="8">
        <v>42797.56690972222</v>
      </c>
      <c r="B138" s="20" t="s">
        <v>229</v>
      </c>
      <c r="C138" s="20" t="s">
        <v>712</v>
      </c>
      <c r="D138" s="150">
        <v>1180000</v>
      </c>
      <c r="E138" s="20" t="s">
        <v>293</v>
      </c>
      <c r="F138" s="20" t="s">
        <v>294</v>
      </c>
      <c r="G138" s="8" t="str">
        <f t="shared" si="2"/>
        <v>LEVERE CRAIG</v>
      </c>
    </row>
    <row r="139" spans="1:7" x14ac:dyDescent="0.25">
      <c r="A139" s="8">
        <v>42797.570636574077</v>
      </c>
      <c r="B139" s="20" t="s">
        <v>216</v>
      </c>
      <c r="C139" s="20" t="s">
        <v>713</v>
      </c>
      <c r="D139" s="150">
        <v>1540000</v>
      </c>
      <c r="E139" s="20" t="s">
        <v>333</v>
      </c>
      <c r="F139" s="20" t="s">
        <v>334</v>
      </c>
      <c r="G139" s="8" t="str">
        <f t="shared" si="2"/>
        <v>HELVIE ADAM</v>
      </c>
    </row>
    <row r="140" spans="1:7" x14ac:dyDescent="0.25">
      <c r="A140" s="8">
        <v>42797.574097222219</v>
      </c>
      <c r="B140" s="20" t="s">
        <v>591</v>
      </c>
      <c r="C140" s="20" t="s">
        <v>592</v>
      </c>
      <c r="D140" s="150">
        <v>2470000</v>
      </c>
      <c r="E140" s="20" t="s">
        <v>687</v>
      </c>
      <c r="F140" s="20" t="s">
        <v>688</v>
      </c>
      <c r="G140" s="8" t="str">
        <f t="shared" si="2"/>
        <v>ROMERO CHAD</v>
      </c>
    </row>
    <row r="141" spans="1:7" x14ac:dyDescent="0.25">
      <c r="A141" s="8">
        <v>42797.581261574072</v>
      </c>
      <c r="B141" s="20" t="s">
        <v>501</v>
      </c>
      <c r="C141" s="20" t="s">
        <v>714</v>
      </c>
      <c r="D141" s="150">
        <v>2030000</v>
      </c>
      <c r="E141" s="20" t="s">
        <v>507</v>
      </c>
      <c r="F141" s="20" t="s">
        <v>508</v>
      </c>
      <c r="G141" s="8" t="str">
        <f t="shared" si="2"/>
        <v>KILLION DAVID</v>
      </c>
    </row>
    <row r="142" spans="1:7" x14ac:dyDescent="0.25">
      <c r="A142" s="8">
        <v>42797.587083333332</v>
      </c>
      <c r="B142" s="20" t="s">
        <v>491</v>
      </c>
      <c r="C142" s="20" t="s">
        <v>715</v>
      </c>
      <c r="D142" s="150">
        <v>930000</v>
      </c>
      <c r="E142" s="20" t="s">
        <v>289</v>
      </c>
      <c r="F142" s="20" t="s">
        <v>290</v>
      </c>
      <c r="G142" s="8" t="str">
        <f t="shared" si="2"/>
        <v>CLARK KATHLEEN</v>
      </c>
    </row>
    <row r="143" spans="1:7" x14ac:dyDescent="0.25">
      <c r="A143" s="8">
        <v>42797.587696759256</v>
      </c>
      <c r="B143" s="20" t="s">
        <v>236</v>
      </c>
      <c r="C143" s="20" t="s">
        <v>590</v>
      </c>
      <c r="D143" s="150">
        <v>1180000</v>
      </c>
      <c r="E143" s="20" t="s">
        <v>293</v>
      </c>
      <c r="F143" s="20" t="s">
        <v>294</v>
      </c>
      <c r="G143" s="8" t="str">
        <f t="shared" si="2"/>
        <v>LEVERE CRAIG</v>
      </c>
    </row>
    <row r="144" spans="1:7" x14ac:dyDescent="0.25">
      <c r="A144" s="8">
        <v>42797.592291666668</v>
      </c>
      <c r="B144" s="20" t="s">
        <v>569</v>
      </c>
      <c r="C144" s="20" t="s">
        <v>716</v>
      </c>
      <c r="D144" s="150">
        <v>2480000</v>
      </c>
      <c r="E144" s="20" t="s">
        <v>337</v>
      </c>
      <c r="F144" s="20" t="s">
        <v>212</v>
      </c>
      <c r="G144" s="8" t="str">
        <f t="shared" si="2"/>
        <v>WHITED DUSTIN</v>
      </c>
    </row>
    <row r="145" spans="1:7" x14ac:dyDescent="0.25">
      <c r="A145" s="8">
        <v>42797.597534722219</v>
      </c>
      <c r="B145" s="20" t="s">
        <v>214</v>
      </c>
      <c r="C145" s="20" t="s">
        <v>717</v>
      </c>
      <c r="D145" s="150">
        <v>1770000</v>
      </c>
      <c r="E145" s="20" t="s">
        <v>335</v>
      </c>
      <c r="F145" s="20" t="s">
        <v>336</v>
      </c>
      <c r="G145" s="8" t="str">
        <f t="shared" si="2"/>
        <v>BRUDER RICHARD</v>
      </c>
    </row>
    <row r="146" spans="1:7" x14ac:dyDescent="0.25">
      <c r="A146" s="8">
        <v>42797.6015625</v>
      </c>
      <c r="B146" s="20" t="s">
        <v>577</v>
      </c>
      <c r="C146" s="20" t="s">
        <v>718</v>
      </c>
      <c r="D146" s="150">
        <v>1760000</v>
      </c>
      <c r="E146" s="20" t="s">
        <v>314</v>
      </c>
      <c r="F146" s="20" t="s">
        <v>315</v>
      </c>
      <c r="G146" s="8" t="str">
        <f t="shared" si="2"/>
        <v>STRICKLAND EVAN</v>
      </c>
    </row>
    <row r="147" spans="1:7" x14ac:dyDescent="0.25">
      <c r="A147" s="8">
        <v>42797.609282407408</v>
      </c>
      <c r="B147" s="20" t="s">
        <v>585</v>
      </c>
      <c r="C147" s="20" t="s">
        <v>593</v>
      </c>
      <c r="D147" s="150">
        <v>1540000</v>
      </c>
      <c r="E147" s="20" t="s">
        <v>333</v>
      </c>
      <c r="F147" s="20" t="s">
        <v>334</v>
      </c>
      <c r="G147" s="8" t="str">
        <f t="shared" si="2"/>
        <v>HELVIE ADAM</v>
      </c>
    </row>
    <row r="148" spans="1:7" x14ac:dyDescent="0.25">
      <c r="A148" s="8">
        <v>42797.609548611108</v>
      </c>
      <c r="B148" s="20" t="s">
        <v>229</v>
      </c>
      <c r="C148" s="20" t="s">
        <v>719</v>
      </c>
      <c r="D148" s="150">
        <v>1180000</v>
      </c>
      <c r="E148" s="20" t="s">
        <v>293</v>
      </c>
      <c r="F148" s="20" t="s">
        <v>294</v>
      </c>
      <c r="G148" s="8" t="str">
        <f t="shared" si="2"/>
        <v>LEVERE CRAIG</v>
      </c>
    </row>
    <row r="149" spans="1:7" x14ac:dyDescent="0.25">
      <c r="A149" s="8">
        <v>42797.612615740742</v>
      </c>
      <c r="B149" s="20" t="s">
        <v>192</v>
      </c>
      <c r="C149" s="20" t="s">
        <v>720</v>
      </c>
      <c r="D149" s="150">
        <v>2470000</v>
      </c>
      <c r="E149" s="20" t="s">
        <v>687</v>
      </c>
      <c r="F149" s="20" t="s">
        <v>688</v>
      </c>
      <c r="G149" s="8" t="str">
        <f t="shared" si="2"/>
        <v>ROMERO CHAD</v>
      </c>
    </row>
    <row r="150" spans="1:7" x14ac:dyDescent="0.25">
      <c r="A150" s="8">
        <v>42797.616168981483</v>
      </c>
      <c r="B150" s="20" t="s">
        <v>572</v>
      </c>
      <c r="C150" s="20" t="s">
        <v>721</v>
      </c>
      <c r="D150" s="150">
        <v>2030000</v>
      </c>
      <c r="E150" s="20" t="s">
        <v>507</v>
      </c>
      <c r="F150" s="20" t="s">
        <v>508</v>
      </c>
      <c r="G150" s="8" t="str">
        <f t="shared" si="2"/>
        <v>KILLION DAVID</v>
      </c>
    </row>
    <row r="151" spans="1:7" x14ac:dyDescent="0.25">
      <c r="A151" s="8">
        <v>42797.622997685183</v>
      </c>
      <c r="B151" s="20" t="s">
        <v>504</v>
      </c>
      <c r="C151" s="20" t="s">
        <v>594</v>
      </c>
      <c r="D151" s="150">
        <v>930000</v>
      </c>
      <c r="E151" s="20" t="s">
        <v>289</v>
      </c>
      <c r="F151" s="20" t="s">
        <v>290</v>
      </c>
      <c r="G151" s="8" t="str">
        <f t="shared" si="2"/>
        <v>CLARK KATHLEEN</v>
      </c>
    </row>
    <row r="152" spans="1:7" x14ac:dyDescent="0.25">
      <c r="A152" s="8">
        <v>42797.627210648148</v>
      </c>
      <c r="B152" s="20" t="s">
        <v>206</v>
      </c>
      <c r="C152" s="20" t="s">
        <v>722</v>
      </c>
      <c r="D152" s="150">
        <v>2480000</v>
      </c>
      <c r="E152" s="20" t="s">
        <v>337</v>
      </c>
      <c r="F152" s="20" t="s">
        <v>212</v>
      </c>
      <c r="G152" s="8" t="str">
        <f t="shared" si="2"/>
        <v>WHITED DUSTIN</v>
      </c>
    </row>
    <row r="153" spans="1:7" x14ac:dyDescent="0.25">
      <c r="A153" s="8">
        <v>42797.632141203707</v>
      </c>
      <c r="B153" s="20" t="s">
        <v>213</v>
      </c>
      <c r="C153" s="20" t="s">
        <v>723</v>
      </c>
      <c r="D153" s="150">
        <v>1770000</v>
      </c>
      <c r="E153" s="20" t="s">
        <v>335</v>
      </c>
      <c r="F153" s="20" t="s">
        <v>336</v>
      </c>
      <c r="G153" s="8" t="str">
        <f t="shared" si="2"/>
        <v>BRUDER RICHARD</v>
      </c>
    </row>
    <row r="154" spans="1:7" x14ac:dyDescent="0.25">
      <c r="A154" s="8">
        <v>42797.633576388886</v>
      </c>
      <c r="B154" s="20" t="s">
        <v>332</v>
      </c>
      <c r="C154" s="20" t="s">
        <v>724</v>
      </c>
      <c r="D154" s="150">
        <v>1760000</v>
      </c>
      <c r="E154" s="20" t="s">
        <v>314</v>
      </c>
      <c r="F154" s="20" t="s">
        <v>315</v>
      </c>
      <c r="G154" s="8" t="str">
        <f t="shared" si="2"/>
        <v>STRICKLAND EVAN</v>
      </c>
    </row>
    <row r="155" spans="1:7" x14ac:dyDescent="0.25">
      <c r="A155" s="8">
        <v>42797.63490740741</v>
      </c>
      <c r="B155" s="20" t="s">
        <v>236</v>
      </c>
      <c r="C155" s="20" t="s">
        <v>725</v>
      </c>
      <c r="D155" s="150">
        <v>1180000</v>
      </c>
      <c r="E155" s="20" t="s">
        <v>293</v>
      </c>
      <c r="F155" s="20" t="s">
        <v>294</v>
      </c>
      <c r="G155" s="8" t="str">
        <f t="shared" si="2"/>
        <v>LEVERE CRAIG</v>
      </c>
    </row>
    <row r="156" spans="1:7" x14ac:dyDescent="0.25">
      <c r="A156" s="8">
        <v>42797.643611111111</v>
      </c>
      <c r="B156" s="20" t="s">
        <v>216</v>
      </c>
      <c r="C156" s="20" t="s">
        <v>726</v>
      </c>
      <c r="D156" s="150">
        <v>1540000</v>
      </c>
      <c r="E156" s="20" t="s">
        <v>333</v>
      </c>
      <c r="F156" s="20" t="s">
        <v>334</v>
      </c>
      <c r="G156" s="8" t="str">
        <f t="shared" si="2"/>
        <v>HELVIE ADAM</v>
      </c>
    </row>
    <row r="157" spans="1:7" x14ac:dyDescent="0.25">
      <c r="A157" s="8">
        <v>42797.646909722222</v>
      </c>
      <c r="B157" s="20" t="s">
        <v>239</v>
      </c>
      <c r="C157" s="20" t="s">
        <v>727</v>
      </c>
      <c r="D157" s="150">
        <v>2370000</v>
      </c>
      <c r="E157" s="20" t="s">
        <v>728</v>
      </c>
      <c r="F157" s="20" t="s">
        <v>729</v>
      </c>
      <c r="G157" s="8" t="str">
        <f t="shared" si="2"/>
        <v>DELGADO DIANAH</v>
      </c>
    </row>
    <row r="158" spans="1:7" x14ac:dyDescent="0.25">
      <c r="A158" s="8">
        <v>42797.647719907407</v>
      </c>
      <c r="B158" s="20" t="s">
        <v>496</v>
      </c>
      <c r="C158" s="20" t="s">
        <v>730</v>
      </c>
      <c r="D158" s="150">
        <v>2230000</v>
      </c>
      <c r="E158" s="20" t="s">
        <v>509</v>
      </c>
      <c r="F158" s="20" t="s">
        <v>202</v>
      </c>
      <c r="G158" s="8" t="str">
        <f t="shared" si="2"/>
        <v>SMITH MICHAEL</v>
      </c>
    </row>
    <row r="159" spans="1:7" x14ac:dyDescent="0.25">
      <c r="A159" s="8">
        <v>42797.651388888888</v>
      </c>
      <c r="B159" s="20" t="s">
        <v>229</v>
      </c>
      <c r="C159" s="20" t="s">
        <v>731</v>
      </c>
      <c r="D159" s="150">
        <v>1180000</v>
      </c>
      <c r="E159" s="20" t="s">
        <v>293</v>
      </c>
      <c r="F159" s="20" t="s">
        <v>294</v>
      </c>
      <c r="G159" s="8" t="str">
        <f t="shared" si="2"/>
        <v>LEVERE CRAIG</v>
      </c>
    </row>
    <row r="160" spans="1:7" x14ac:dyDescent="0.25">
      <c r="A160" s="8">
        <v>42797.654583333337</v>
      </c>
      <c r="B160" s="20" t="s">
        <v>501</v>
      </c>
      <c r="C160" s="20" t="s">
        <v>732</v>
      </c>
      <c r="D160" s="150">
        <v>2360000</v>
      </c>
      <c r="E160" s="20" t="s">
        <v>510</v>
      </c>
      <c r="F160" s="20" t="s">
        <v>511</v>
      </c>
      <c r="G160" s="8" t="str">
        <f t="shared" si="2"/>
        <v>BRANDNER MELINDA</v>
      </c>
    </row>
    <row r="161" spans="1:7" x14ac:dyDescent="0.25">
      <c r="A161" s="8">
        <v>42797.65865740741</v>
      </c>
      <c r="B161" s="20" t="s">
        <v>285</v>
      </c>
      <c r="C161" s="20" t="s">
        <v>733</v>
      </c>
      <c r="D161" s="150">
        <v>2230000</v>
      </c>
      <c r="E161" s="20" t="s">
        <v>509</v>
      </c>
      <c r="F161" s="20" t="s">
        <v>202</v>
      </c>
      <c r="G161" s="8" t="str">
        <f t="shared" si="2"/>
        <v>SMITH MICHAEL</v>
      </c>
    </row>
    <row r="162" spans="1:7" x14ac:dyDescent="0.25">
      <c r="A162" s="8">
        <v>42797.659456018519</v>
      </c>
      <c r="B162" s="20" t="s">
        <v>491</v>
      </c>
      <c r="C162" s="20" t="s">
        <v>734</v>
      </c>
      <c r="D162" s="150">
        <v>930000</v>
      </c>
      <c r="E162" s="20" t="s">
        <v>289</v>
      </c>
      <c r="F162" s="20" t="s">
        <v>290</v>
      </c>
      <c r="G162" s="8" t="str">
        <f t="shared" si="2"/>
        <v>CLARK KATHLEEN</v>
      </c>
    </row>
    <row r="163" spans="1:7" x14ac:dyDescent="0.25">
      <c r="A163" s="8">
        <v>42797.663530092592</v>
      </c>
      <c r="B163" s="20" t="s">
        <v>569</v>
      </c>
      <c r="C163" s="20" t="s">
        <v>595</v>
      </c>
      <c r="D163" s="150">
        <v>2480000</v>
      </c>
      <c r="E163" s="20" t="s">
        <v>337</v>
      </c>
      <c r="F163" s="20" t="s">
        <v>212</v>
      </c>
      <c r="G163" s="8" t="str">
        <f t="shared" si="2"/>
        <v>WHITED DUSTIN</v>
      </c>
    </row>
    <row r="164" spans="1:7" x14ac:dyDescent="0.25">
      <c r="A164" s="8">
        <v>42797.668923611112</v>
      </c>
      <c r="B164" s="20" t="s">
        <v>214</v>
      </c>
      <c r="C164" s="20" t="s">
        <v>735</v>
      </c>
      <c r="D164" s="150">
        <v>1770000</v>
      </c>
      <c r="E164" s="20" t="s">
        <v>335</v>
      </c>
      <c r="F164" s="20" t="s">
        <v>336</v>
      </c>
      <c r="G164" s="8" t="str">
        <f t="shared" si="2"/>
        <v>BRUDER RICHARD</v>
      </c>
    </row>
    <row r="165" spans="1:7" x14ac:dyDescent="0.25">
      <c r="A165" s="8">
        <v>42797.670659722222</v>
      </c>
      <c r="B165" s="20" t="s">
        <v>236</v>
      </c>
      <c r="C165" s="20" t="s">
        <v>736</v>
      </c>
      <c r="D165" s="150">
        <v>1180000</v>
      </c>
      <c r="E165" s="20" t="s">
        <v>293</v>
      </c>
      <c r="F165" s="20" t="s">
        <v>294</v>
      </c>
      <c r="G165" s="8" t="str">
        <f t="shared" si="2"/>
        <v>LEVERE CRAIG</v>
      </c>
    </row>
    <row r="166" spans="1:7" x14ac:dyDescent="0.25">
      <c r="A166" s="8">
        <v>42797.672083333331</v>
      </c>
      <c r="B166" s="20" t="s">
        <v>496</v>
      </c>
      <c r="C166" s="20" t="s">
        <v>737</v>
      </c>
      <c r="D166" s="150">
        <v>2230000</v>
      </c>
      <c r="E166" s="20" t="s">
        <v>509</v>
      </c>
      <c r="F166" s="20" t="s">
        <v>202</v>
      </c>
      <c r="G166" s="8" t="str">
        <f t="shared" si="2"/>
        <v>SMITH MICHAEL</v>
      </c>
    </row>
    <row r="167" spans="1:7" x14ac:dyDescent="0.25">
      <c r="A167" s="8">
        <v>42797.674490740741</v>
      </c>
      <c r="B167" s="20" t="s">
        <v>577</v>
      </c>
      <c r="C167" s="20" t="s">
        <v>718</v>
      </c>
      <c r="D167" s="150">
        <v>880000</v>
      </c>
      <c r="E167" s="20" t="s">
        <v>684</v>
      </c>
      <c r="F167" s="20" t="s">
        <v>202</v>
      </c>
      <c r="G167" s="8" t="str">
        <f t="shared" si="2"/>
        <v>STEWART MICHAEL</v>
      </c>
    </row>
    <row r="168" spans="1:7" x14ac:dyDescent="0.25">
      <c r="A168" s="8">
        <v>42797.683252314811</v>
      </c>
      <c r="B168" s="20" t="s">
        <v>585</v>
      </c>
      <c r="C168" s="20" t="s">
        <v>738</v>
      </c>
      <c r="D168" s="150">
        <v>1540000</v>
      </c>
      <c r="E168" s="20" t="s">
        <v>333</v>
      </c>
      <c r="F168" s="20" t="s">
        <v>334</v>
      </c>
      <c r="G168" s="8" t="str">
        <f t="shared" si="2"/>
        <v>HELVIE ADAM</v>
      </c>
    </row>
    <row r="169" spans="1:7" x14ac:dyDescent="0.25">
      <c r="A169" s="8">
        <v>42797.685925925929</v>
      </c>
      <c r="B169" s="20" t="s">
        <v>192</v>
      </c>
      <c r="C169" s="20" t="s">
        <v>739</v>
      </c>
      <c r="D169" s="150">
        <v>2370000</v>
      </c>
      <c r="E169" s="20" t="s">
        <v>728</v>
      </c>
      <c r="F169" s="20" t="s">
        <v>729</v>
      </c>
      <c r="G169" s="8" t="str">
        <f t="shared" si="2"/>
        <v>DELGADO DIANAH</v>
      </c>
    </row>
    <row r="170" spans="1:7" x14ac:dyDescent="0.25">
      <c r="A170" s="8">
        <v>42797.691238425927</v>
      </c>
      <c r="B170" s="20" t="s">
        <v>572</v>
      </c>
      <c r="C170" s="20" t="s">
        <v>740</v>
      </c>
      <c r="D170" s="150">
        <v>2360000</v>
      </c>
      <c r="E170" s="20" t="s">
        <v>510</v>
      </c>
      <c r="F170" s="20" t="s">
        <v>511</v>
      </c>
      <c r="G170" s="8" t="str">
        <f t="shared" si="2"/>
        <v>BRANDNER MELINDA</v>
      </c>
    </row>
    <row r="171" spans="1:7" x14ac:dyDescent="0.25">
      <c r="A171" s="8">
        <v>42797.69226851852</v>
      </c>
      <c r="B171" s="20" t="s">
        <v>229</v>
      </c>
      <c r="C171" s="20" t="s">
        <v>741</v>
      </c>
      <c r="D171" s="150">
        <v>1180000</v>
      </c>
      <c r="E171" s="20" t="s">
        <v>293</v>
      </c>
      <c r="F171" s="20" t="s">
        <v>294</v>
      </c>
      <c r="G171" s="8" t="str">
        <f t="shared" si="2"/>
        <v>LEVERE CRAIG</v>
      </c>
    </row>
    <row r="172" spans="1:7" x14ac:dyDescent="0.25">
      <c r="A172" s="8">
        <v>42797.694143518522</v>
      </c>
      <c r="B172" s="20" t="s">
        <v>504</v>
      </c>
      <c r="C172" s="20" t="s">
        <v>742</v>
      </c>
      <c r="D172" s="150">
        <v>930000</v>
      </c>
      <c r="E172" s="20" t="s">
        <v>289</v>
      </c>
      <c r="F172" s="20" t="s">
        <v>290</v>
      </c>
      <c r="G172" s="8" t="str">
        <f t="shared" si="2"/>
        <v>CLARK KATHLEEN</v>
      </c>
    </row>
    <row r="173" spans="1:7" x14ac:dyDescent="0.25">
      <c r="A173" s="8">
        <v>42797.696284722224</v>
      </c>
      <c r="B173" s="20" t="s">
        <v>285</v>
      </c>
      <c r="C173" s="20" t="s">
        <v>743</v>
      </c>
      <c r="D173" s="150">
        <v>2230000</v>
      </c>
      <c r="E173" s="20" t="s">
        <v>509</v>
      </c>
      <c r="F173" s="20" t="s">
        <v>202</v>
      </c>
      <c r="G173" s="8" t="str">
        <f t="shared" si="2"/>
        <v>SMITH MICHAEL</v>
      </c>
    </row>
    <row r="174" spans="1:7" x14ac:dyDescent="0.25">
      <c r="A174" s="8">
        <v>42797.699548611112</v>
      </c>
      <c r="B174" s="20" t="s">
        <v>206</v>
      </c>
      <c r="C174" s="20" t="s">
        <v>744</v>
      </c>
      <c r="D174" s="150">
        <v>2480000</v>
      </c>
      <c r="E174" s="20" t="s">
        <v>337</v>
      </c>
      <c r="F174" s="20" t="s">
        <v>212</v>
      </c>
      <c r="G174" s="8" t="str">
        <f t="shared" si="2"/>
        <v>WHITED DUSTIN</v>
      </c>
    </row>
    <row r="175" spans="1:7" x14ac:dyDescent="0.25">
      <c r="A175" s="8">
        <v>42797.704699074071</v>
      </c>
      <c r="B175" s="20" t="s">
        <v>213</v>
      </c>
      <c r="C175" s="20" t="s">
        <v>745</v>
      </c>
      <c r="D175" s="150">
        <v>1770000</v>
      </c>
      <c r="E175" s="20" t="s">
        <v>335</v>
      </c>
      <c r="F175" s="20" t="s">
        <v>336</v>
      </c>
      <c r="G175" s="8" t="str">
        <f t="shared" si="2"/>
        <v>BRUDER RICHARD</v>
      </c>
    </row>
    <row r="176" spans="1:7" x14ac:dyDescent="0.25">
      <c r="A176" s="8">
        <v>42797.713101851848</v>
      </c>
      <c r="B176" s="20" t="s">
        <v>332</v>
      </c>
      <c r="C176" s="20" t="s">
        <v>746</v>
      </c>
      <c r="D176" s="150">
        <v>880000</v>
      </c>
      <c r="E176" s="20" t="s">
        <v>684</v>
      </c>
      <c r="F176" s="20" t="s">
        <v>202</v>
      </c>
      <c r="G176" s="8" t="str">
        <f t="shared" si="2"/>
        <v>STEWART MICHAEL</v>
      </c>
    </row>
    <row r="177" spans="1:7" x14ac:dyDescent="0.25">
      <c r="A177" s="8">
        <v>42797.713425925926</v>
      </c>
      <c r="B177" s="20" t="s">
        <v>496</v>
      </c>
      <c r="C177" s="20" t="s">
        <v>747</v>
      </c>
      <c r="D177" s="150">
        <v>2230000</v>
      </c>
      <c r="E177" s="20" t="s">
        <v>509</v>
      </c>
      <c r="F177" s="20" t="s">
        <v>202</v>
      </c>
      <c r="G177" s="8" t="str">
        <f t="shared" si="2"/>
        <v>SMITH MICHAEL</v>
      </c>
    </row>
    <row r="178" spans="1:7" x14ac:dyDescent="0.25">
      <c r="A178" s="8">
        <v>42797.716423611113</v>
      </c>
      <c r="B178" s="20" t="s">
        <v>216</v>
      </c>
      <c r="C178" s="20" t="s">
        <v>748</v>
      </c>
      <c r="D178" s="150">
        <v>1540000</v>
      </c>
      <c r="E178" s="20" t="s">
        <v>333</v>
      </c>
      <c r="F178" s="20" t="s">
        <v>334</v>
      </c>
      <c r="G178" s="8" t="str">
        <f t="shared" si="2"/>
        <v>HELVIE ADAM</v>
      </c>
    </row>
    <row r="179" spans="1:7" x14ac:dyDescent="0.25">
      <c r="A179" s="8">
        <v>42797.717719907407</v>
      </c>
      <c r="B179" s="20" t="s">
        <v>239</v>
      </c>
      <c r="C179" s="20" t="s">
        <v>749</v>
      </c>
      <c r="D179" s="150">
        <v>2370000</v>
      </c>
      <c r="E179" s="20" t="s">
        <v>728</v>
      </c>
      <c r="F179" s="20" t="s">
        <v>729</v>
      </c>
      <c r="G179" s="8" t="str">
        <f t="shared" si="2"/>
        <v>DELGADO DIANAH</v>
      </c>
    </row>
    <row r="180" spans="1:7" x14ac:dyDescent="0.25">
      <c r="A180" s="8">
        <v>42797.718055555553</v>
      </c>
      <c r="B180" s="20" t="s">
        <v>236</v>
      </c>
      <c r="C180" s="20" t="s">
        <v>750</v>
      </c>
      <c r="D180" s="150">
        <v>1180000</v>
      </c>
      <c r="E180" s="20" t="s">
        <v>293</v>
      </c>
      <c r="F180" s="20" t="s">
        <v>294</v>
      </c>
      <c r="G180" s="8" t="str">
        <f t="shared" si="2"/>
        <v>LEVERE CRAIG</v>
      </c>
    </row>
    <row r="181" spans="1:7" x14ac:dyDescent="0.25">
      <c r="A181" s="8">
        <v>42797.728263888886</v>
      </c>
      <c r="B181" s="20" t="s">
        <v>501</v>
      </c>
      <c r="C181" s="20" t="s">
        <v>596</v>
      </c>
      <c r="D181" s="150">
        <v>2030000</v>
      </c>
      <c r="E181" s="20" t="s">
        <v>507</v>
      </c>
      <c r="F181" s="20" t="s">
        <v>508</v>
      </c>
      <c r="G181" s="8" t="str">
        <f t="shared" si="2"/>
        <v>KILLION DAVID</v>
      </c>
    </row>
    <row r="182" spans="1:7" x14ac:dyDescent="0.25">
      <c r="A182" s="8">
        <v>42797.731400462966</v>
      </c>
      <c r="B182" s="20" t="s">
        <v>285</v>
      </c>
      <c r="C182" s="20" t="s">
        <v>751</v>
      </c>
      <c r="D182" s="150">
        <v>2230000</v>
      </c>
      <c r="E182" s="20" t="s">
        <v>509</v>
      </c>
      <c r="F182" s="20" t="s">
        <v>202</v>
      </c>
      <c r="G182" s="8" t="str">
        <f t="shared" si="2"/>
        <v>SMITH MICHAEL</v>
      </c>
    </row>
    <row r="183" spans="1:7" x14ac:dyDescent="0.25">
      <c r="A183" s="8">
        <v>42797.732245370367</v>
      </c>
      <c r="B183" s="20" t="s">
        <v>491</v>
      </c>
      <c r="C183" s="20" t="s">
        <v>752</v>
      </c>
      <c r="D183" s="150">
        <v>930000</v>
      </c>
      <c r="E183" s="20" t="s">
        <v>289</v>
      </c>
      <c r="F183" s="20" t="s">
        <v>290</v>
      </c>
      <c r="G183" s="8" t="str">
        <f t="shared" si="2"/>
        <v>CLARK KATHLEEN</v>
      </c>
    </row>
    <row r="184" spans="1:7" x14ac:dyDescent="0.25">
      <c r="A184" s="8">
        <v>42797.733495370368</v>
      </c>
      <c r="B184" s="20" t="s">
        <v>229</v>
      </c>
      <c r="C184" s="20" t="s">
        <v>753</v>
      </c>
      <c r="D184" s="150">
        <v>1180000</v>
      </c>
      <c r="E184" s="20" t="s">
        <v>293</v>
      </c>
      <c r="F184" s="20" t="s">
        <v>294</v>
      </c>
      <c r="G184" s="8" t="str">
        <f t="shared" si="2"/>
        <v>LEVERE CRAIG</v>
      </c>
    </row>
    <row r="185" spans="1:7" x14ac:dyDescent="0.25">
      <c r="A185" s="8">
        <v>42797.73778935185</v>
      </c>
      <c r="B185" s="20" t="s">
        <v>264</v>
      </c>
      <c r="C185" s="20" t="s">
        <v>754</v>
      </c>
      <c r="D185" s="150">
        <v>2000000</v>
      </c>
      <c r="E185" s="20" t="s">
        <v>755</v>
      </c>
      <c r="F185" s="20" t="s">
        <v>199</v>
      </c>
      <c r="G185" s="8" t="str">
        <f t="shared" si="2"/>
        <v>STAMBAUGH JAMES</v>
      </c>
    </row>
    <row r="186" spans="1:7" x14ac:dyDescent="0.25">
      <c r="A186" s="8">
        <v>42797.740312499998</v>
      </c>
      <c r="B186" s="20" t="s">
        <v>214</v>
      </c>
      <c r="C186" s="20" t="s">
        <v>756</v>
      </c>
      <c r="D186" s="150">
        <v>1770000</v>
      </c>
      <c r="E186" s="20" t="s">
        <v>335</v>
      </c>
      <c r="F186" s="20" t="s">
        <v>336</v>
      </c>
      <c r="G186" s="8" t="str">
        <f t="shared" si="2"/>
        <v>BRUDER RICHARD</v>
      </c>
    </row>
    <row r="187" spans="1:7" x14ac:dyDescent="0.25">
      <c r="A187" s="8">
        <v>42797.741215277776</v>
      </c>
      <c r="B187" s="20" t="s">
        <v>569</v>
      </c>
      <c r="C187" s="20" t="s">
        <v>597</v>
      </c>
      <c r="D187" s="150">
        <v>1740000</v>
      </c>
      <c r="E187" s="20" t="s">
        <v>221</v>
      </c>
      <c r="F187" s="20" t="s">
        <v>222</v>
      </c>
      <c r="G187" s="8" t="str">
        <f t="shared" si="2"/>
        <v>STORY SAMANTHA</v>
      </c>
    </row>
    <row r="188" spans="1:7" x14ac:dyDescent="0.25">
      <c r="A188" s="8">
        <v>42797.749837962961</v>
      </c>
      <c r="B188" s="20" t="s">
        <v>577</v>
      </c>
      <c r="C188" s="20" t="s">
        <v>757</v>
      </c>
      <c r="D188" s="150">
        <v>2480000</v>
      </c>
      <c r="E188" s="20" t="s">
        <v>337</v>
      </c>
      <c r="F188" s="20" t="s">
        <v>212</v>
      </c>
      <c r="G188" s="8" t="str">
        <f t="shared" si="2"/>
        <v>WHITED DUSTIN</v>
      </c>
    </row>
    <row r="189" spans="1:7" x14ac:dyDescent="0.25">
      <c r="A189" s="8">
        <v>42797.755624999998</v>
      </c>
      <c r="B189" s="20" t="s">
        <v>496</v>
      </c>
      <c r="C189" s="20" t="s">
        <v>758</v>
      </c>
      <c r="D189" s="150">
        <v>2230000</v>
      </c>
      <c r="E189" s="20" t="s">
        <v>509</v>
      </c>
      <c r="F189" s="20" t="s">
        <v>202</v>
      </c>
      <c r="G189" s="8" t="str">
        <f t="shared" si="2"/>
        <v>SMITH MICHAEL</v>
      </c>
    </row>
    <row r="190" spans="1:7" x14ac:dyDescent="0.25">
      <c r="A190" s="8">
        <v>42797.756597222222</v>
      </c>
      <c r="B190" s="20" t="s">
        <v>564</v>
      </c>
      <c r="C190" s="20" t="s">
        <v>630</v>
      </c>
      <c r="D190" s="150">
        <v>1780000</v>
      </c>
      <c r="E190" s="20" t="s">
        <v>512</v>
      </c>
      <c r="F190" s="20" t="s">
        <v>513</v>
      </c>
      <c r="G190" s="8" t="str">
        <f t="shared" si="2"/>
        <v>DE LA ROSA ALEX</v>
      </c>
    </row>
    <row r="191" spans="1:7" x14ac:dyDescent="0.25">
      <c r="A191" s="8">
        <v>42797.756631944445</v>
      </c>
      <c r="B191" s="20" t="s">
        <v>585</v>
      </c>
      <c r="C191" s="20" t="s">
        <v>759</v>
      </c>
      <c r="D191" s="150">
        <v>1540000</v>
      </c>
      <c r="E191" s="20" t="s">
        <v>333</v>
      </c>
      <c r="F191" s="20" t="s">
        <v>334</v>
      </c>
      <c r="G191" s="8" t="str">
        <f t="shared" si="2"/>
        <v>HELVIE ADAM</v>
      </c>
    </row>
    <row r="192" spans="1:7" x14ac:dyDescent="0.25">
      <c r="A192" s="8">
        <v>42797.759814814817</v>
      </c>
      <c r="B192" s="20" t="s">
        <v>192</v>
      </c>
      <c r="C192" s="20" t="s">
        <v>760</v>
      </c>
      <c r="D192" s="150">
        <v>2000000</v>
      </c>
      <c r="E192" s="20" t="s">
        <v>755</v>
      </c>
      <c r="F192" s="20" t="s">
        <v>199</v>
      </c>
      <c r="G192" s="8" t="str">
        <f t="shared" si="2"/>
        <v>STAMBAUGH JAMES</v>
      </c>
    </row>
    <row r="193" spans="1:7" x14ac:dyDescent="0.25">
      <c r="A193" s="8">
        <v>42797.76116898148</v>
      </c>
      <c r="B193" s="20" t="s">
        <v>236</v>
      </c>
      <c r="C193" s="20" t="s">
        <v>761</v>
      </c>
      <c r="D193" s="150">
        <v>1180000</v>
      </c>
      <c r="E193" s="20" t="s">
        <v>293</v>
      </c>
      <c r="F193" s="20" t="s">
        <v>294</v>
      </c>
      <c r="G193" s="8" t="str">
        <f t="shared" si="2"/>
        <v>LEVERE CRAIG</v>
      </c>
    </row>
    <row r="194" spans="1:7" x14ac:dyDescent="0.25">
      <c r="A194" s="8">
        <v>42797.763229166667</v>
      </c>
      <c r="B194" s="20" t="s">
        <v>266</v>
      </c>
      <c r="C194" s="20" t="s">
        <v>762</v>
      </c>
      <c r="D194" s="150">
        <v>2470000</v>
      </c>
      <c r="E194" s="20" t="s">
        <v>687</v>
      </c>
      <c r="F194" s="20" t="s">
        <v>688</v>
      </c>
      <c r="G194" s="8" t="str">
        <f t="shared" si="2"/>
        <v>ROMERO CHAD</v>
      </c>
    </row>
    <row r="195" spans="1:7" x14ac:dyDescent="0.25">
      <c r="A195" s="8">
        <v>42797.766111111108</v>
      </c>
      <c r="B195" s="20" t="s">
        <v>572</v>
      </c>
      <c r="C195" s="20" t="s">
        <v>763</v>
      </c>
      <c r="D195" s="150">
        <v>2030000</v>
      </c>
      <c r="E195" s="20" t="s">
        <v>507</v>
      </c>
      <c r="F195" s="20" t="s">
        <v>508</v>
      </c>
      <c r="G195" s="8" t="str">
        <f t="shared" ref="G195:G258" si="3">E195&amp;" "&amp;F195</f>
        <v>KILLION DAVID</v>
      </c>
    </row>
    <row r="196" spans="1:7" x14ac:dyDescent="0.25">
      <c r="A196" s="8">
        <v>42797.769942129627</v>
      </c>
      <c r="B196" s="20" t="s">
        <v>285</v>
      </c>
      <c r="C196" s="20" t="s">
        <v>764</v>
      </c>
      <c r="D196" s="150">
        <v>2230000</v>
      </c>
      <c r="E196" s="20" t="s">
        <v>509</v>
      </c>
      <c r="F196" s="20" t="s">
        <v>202</v>
      </c>
      <c r="G196" s="8" t="str">
        <f t="shared" si="3"/>
        <v>SMITH MICHAEL</v>
      </c>
    </row>
    <row r="197" spans="1:7" x14ac:dyDescent="0.25">
      <c r="A197" s="8">
        <v>42797.772210648145</v>
      </c>
      <c r="B197" s="20" t="s">
        <v>504</v>
      </c>
      <c r="C197" s="20" t="s">
        <v>765</v>
      </c>
      <c r="D197" s="150">
        <v>2630000</v>
      </c>
      <c r="E197" s="20" t="s">
        <v>766</v>
      </c>
      <c r="F197" s="20" t="s">
        <v>767</v>
      </c>
      <c r="G197" s="8" t="str">
        <f t="shared" si="3"/>
        <v>SAFIEF AEIMEN</v>
      </c>
    </row>
    <row r="198" spans="1:7" x14ac:dyDescent="0.25">
      <c r="A198" s="8">
        <v>42797.775567129633</v>
      </c>
      <c r="B198" s="20" t="s">
        <v>206</v>
      </c>
      <c r="C198" s="20" t="s">
        <v>599</v>
      </c>
      <c r="D198" s="150">
        <v>1740000</v>
      </c>
      <c r="E198" s="20" t="s">
        <v>221</v>
      </c>
      <c r="F198" s="20" t="s">
        <v>222</v>
      </c>
      <c r="G198" s="8" t="str">
        <f t="shared" si="3"/>
        <v>STORY SAMANTHA</v>
      </c>
    </row>
    <row r="199" spans="1:7" x14ac:dyDescent="0.25">
      <c r="A199" s="8">
        <v>42797.777719907404</v>
      </c>
      <c r="B199" s="20" t="s">
        <v>229</v>
      </c>
      <c r="C199" s="20" t="s">
        <v>768</v>
      </c>
      <c r="D199" s="150">
        <v>1180000</v>
      </c>
      <c r="E199" s="20" t="s">
        <v>293</v>
      </c>
      <c r="F199" s="20" t="s">
        <v>294</v>
      </c>
      <c r="G199" s="8" t="str">
        <f t="shared" si="3"/>
        <v>LEVERE CRAIG</v>
      </c>
    </row>
    <row r="200" spans="1:7" x14ac:dyDescent="0.25">
      <c r="A200" s="8">
        <v>42797.781840277778</v>
      </c>
      <c r="B200" s="20" t="s">
        <v>494</v>
      </c>
      <c r="C200" s="20" t="s">
        <v>598</v>
      </c>
      <c r="D200" s="150">
        <v>2620000</v>
      </c>
      <c r="E200" s="20" t="s">
        <v>514</v>
      </c>
      <c r="F200" s="20" t="s">
        <v>515</v>
      </c>
      <c r="G200" s="8" t="str">
        <f t="shared" si="3"/>
        <v>PERKINS DARREN</v>
      </c>
    </row>
    <row r="201" spans="1:7" x14ac:dyDescent="0.25">
      <c r="A201" s="8">
        <v>42797.783541666664</v>
      </c>
      <c r="B201" s="20" t="s">
        <v>213</v>
      </c>
      <c r="C201" s="20" t="s">
        <v>769</v>
      </c>
      <c r="D201" s="150">
        <v>1770000</v>
      </c>
      <c r="E201" s="20" t="s">
        <v>335</v>
      </c>
      <c r="F201" s="20" t="s">
        <v>336</v>
      </c>
      <c r="G201" s="8" t="str">
        <f t="shared" si="3"/>
        <v>BRUDER RICHARD</v>
      </c>
    </row>
    <row r="202" spans="1:7" x14ac:dyDescent="0.25">
      <c r="A202" s="26">
        <v>42797.785370370373</v>
      </c>
      <c r="B202" s="20" t="s">
        <v>332</v>
      </c>
      <c r="C202" s="20" t="s">
        <v>770</v>
      </c>
      <c r="D202" s="150">
        <v>2480000</v>
      </c>
      <c r="E202" s="20" t="s">
        <v>337</v>
      </c>
      <c r="F202" s="20" t="s">
        <v>212</v>
      </c>
      <c r="G202" s="8" t="str">
        <f t="shared" si="3"/>
        <v>WHITED DUSTIN</v>
      </c>
    </row>
    <row r="203" spans="1:7" x14ac:dyDescent="0.25">
      <c r="A203" s="8">
        <v>42797.79146990741</v>
      </c>
      <c r="B203" s="20" t="s">
        <v>239</v>
      </c>
      <c r="C203" s="20" t="s">
        <v>771</v>
      </c>
      <c r="D203" s="150">
        <v>2000000</v>
      </c>
      <c r="E203" s="20" t="s">
        <v>755</v>
      </c>
      <c r="F203" s="20" t="s">
        <v>199</v>
      </c>
      <c r="G203" s="8" t="str">
        <f t="shared" si="3"/>
        <v>STAMBAUGH JAMES</v>
      </c>
    </row>
    <row r="204" spans="1:7" x14ac:dyDescent="0.25">
      <c r="A204" s="8">
        <v>42797.795729166668</v>
      </c>
      <c r="B204" s="20" t="s">
        <v>216</v>
      </c>
      <c r="C204" s="20" t="s">
        <v>772</v>
      </c>
      <c r="D204" s="150">
        <v>2270000</v>
      </c>
      <c r="E204" s="20" t="s">
        <v>224</v>
      </c>
      <c r="F204" s="20" t="s">
        <v>225</v>
      </c>
      <c r="G204" s="8" t="str">
        <f t="shared" si="3"/>
        <v>BROWN JACOB</v>
      </c>
    </row>
    <row r="205" spans="1:7" x14ac:dyDescent="0.25">
      <c r="A205" s="8">
        <v>42797.79724537037</v>
      </c>
      <c r="B205" s="20" t="s">
        <v>496</v>
      </c>
      <c r="C205" s="20" t="s">
        <v>773</v>
      </c>
      <c r="D205" s="150">
        <v>2230000</v>
      </c>
      <c r="E205" s="20" t="s">
        <v>509</v>
      </c>
      <c r="F205" s="20" t="s">
        <v>202</v>
      </c>
      <c r="G205" s="8" t="str">
        <f t="shared" si="3"/>
        <v>SMITH MICHAEL</v>
      </c>
    </row>
    <row r="206" spans="1:7" x14ac:dyDescent="0.25">
      <c r="A206" s="8">
        <v>42797.801863425928</v>
      </c>
      <c r="B206" s="20" t="s">
        <v>236</v>
      </c>
      <c r="C206" s="20" t="s">
        <v>774</v>
      </c>
      <c r="D206" s="150">
        <v>2600000</v>
      </c>
      <c r="E206" s="20" t="s">
        <v>775</v>
      </c>
      <c r="F206" s="20" t="s">
        <v>508</v>
      </c>
      <c r="G206" s="8" t="str">
        <f t="shared" si="3"/>
        <v>DAVIDSON DAVID</v>
      </c>
    </row>
    <row r="207" spans="1:7" x14ac:dyDescent="0.25">
      <c r="A207" s="8">
        <v>42797.802002314813</v>
      </c>
      <c r="B207" s="20" t="s">
        <v>501</v>
      </c>
      <c r="C207" s="20" t="s">
        <v>776</v>
      </c>
      <c r="D207" s="150">
        <v>2030000</v>
      </c>
      <c r="E207" s="20" t="s">
        <v>507</v>
      </c>
      <c r="F207" s="20" t="s">
        <v>508</v>
      </c>
      <c r="G207" s="8" t="str">
        <f t="shared" si="3"/>
        <v>KILLION DAVID</v>
      </c>
    </row>
    <row r="208" spans="1:7" x14ac:dyDescent="0.25">
      <c r="A208" s="8">
        <v>42797.806655092594</v>
      </c>
      <c r="B208" s="20" t="s">
        <v>338</v>
      </c>
      <c r="C208" s="20" t="s">
        <v>600</v>
      </c>
      <c r="D208" s="150">
        <v>2610000</v>
      </c>
      <c r="E208" s="20" t="s">
        <v>777</v>
      </c>
      <c r="F208" s="20" t="s">
        <v>778</v>
      </c>
      <c r="G208" s="8" t="str">
        <f t="shared" si="3"/>
        <v>MAGEE KENYA</v>
      </c>
    </row>
    <row r="209" spans="1:7" x14ac:dyDescent="0.25">
      <c r="A209" s="8">
        <v>42797.807743055557</v>
      </c>
      <c r="B209" s="20" t="s">
        <v>491</v>
      </c>
      <c r="C209" s="20" t="s">
        <v>779</v>
      </c>
      <c r="D209" s="150">
        <v>2630000</v>
      </c>
      <c r="E209" s="20" t="s">
        <v>766</v>
      </c>
      <c r="F209" s="20" t="s">
        <v>767</v>
      </c>
      <c r="G209" s="8" t="str">
        <f t="shared" si="3"/>
        <v>SAFIEF AEIMEN</v>
      </c>
    </row>
    <row r="210" spans="1:7" x14ac:dyDescent="0.25">
      <c r="A210" s="8">
        <v>42797.808530092596</v>
      </c>
      <c r="B210" s="20" t="s">
        <v>338</v>
      </c>
      <c r="C210" s="20" t="s">
        <v>600</v>
      </c>
      <c r="D210" s="150">
        <v>2610000</v>
      </c>
      <c r="E210" s="20" t="s">
        <v>777</v>
      </c>
      <c r="F210" s="20" t="s">
        <v>778</v>
      </c>
      <c r="G210" s="8" t="str">
        <f t="shared" si="3"/>
        <v>MAGEE KENYA</v>
      </c>
    </row>
    <row r="211" spans="1:7" x14ac:dyDescent="0.25">
      <c r="A211" s="8">
        <v>42797.813773148147</v>
      </c>
      <c r="B211" s="20" t="s">
        <v>569</v>
      </c>
      <c r="C211" s="20" t="s">
        <v>780</v>
      </c>
      <c r="D211" s="150">
        <v>1740000</v>
      </c>
      <c r="E211" s="20" t="s">
        <v>221</v>
      </c>
      <c r="F211" s="20" t="s">
        <v>222</v>
      </c>
      <c r="G211" s="8" t="str">
        <f t="shared" si="3"/>
        <v>STORY SAMANTHA</v>
      </c>
    </row>
    <row r="212" spans="1:7" x14ac:dyDescent="0.25">
      <c r="A212" s="8">
        <v>42797.818715277775</v>
      </c>
      <c r="B212" s="20" t="s">
        <v>229</v>
      </c>
      <c r="C212" s="20" t="s">
        <v>781</v>
      </c>
      <c r="D212" s="150">
        <v>2600000</v>
      </c>
      <c r="E212" s="20" t="s">
        <v>775</v>
      </c>
      <c r="F212" s="20" t="s">
        <v>508</v>
      </c>
      <c r="G212" s="8" t="str">
        <f t="shared" si="3"/>
        <v>DAVIDSON DAVID</v>
      </c>
    </row>
    <row r="213" spans="1:7" x14ac:dyDescent="0.25">
      <c r="A213" s="8">
        <v>42797.826817129629</v>
      </c>
      <c r="B213" s="20" t="s">
        <v>577</v>
      </c>
      <c r="C213" s="20" t="s">
        <v>782</v>
      </c>
      <c r="D213" s="150">
        <v>2480000</v>
      </c>
      <c r="E213" s="20" t="s">
        <v>337</v>
      </c>
      <c r="F213" s="20" t="s">
        <v>212</v>
      </c>
      <c r="G213" s="8" t="str">
        <f t="shared" si="3"/>
        <v>WHITED DUSTIN</v>
      </c>
    </row>
    <row r="214" spans="1:7" x14ac:dyDescent="0.25">
      <c r="A214" s="8">
        <v>42797.829143518517</v>
      </c>
      <c r="B214" s="20" t="s">
        <v>585</v>
      </c>
      <c r="C214" s="20" t="s">
        <v>783</v>
      </c>
      <c r="D214" s="150">
        <v>2270000</v>
      </c>
      <c r="E214" s="20" t="s">
        <v>224</v>
      </c>
      <c r="F214" s="20" t="s">
        <v>225</v>
      </c>
      <c r="G214" s="8" t="str">
        <f t="shared" si="3"/>
        <v>BROWN JACOB</v>
      </c>
    </row>
    <row r="215" spans="1:7" x14ac:dyDescent="0.25">
      <c r="A215" s="8">
        <v>42797.830347222225</v>
      </c>
      <c r="B215" s="20" t="s">
        <v>192</v>
      </c>
      <c r="C215" s="20" t="s">
        <v>784</v>
      </c>
      <c r="D215" s="150">
        <v>2000000</v>
      </c>
      <c r="E215" s="20" t="s">
        <v>755</v>
      </c>
      <c r="F215" s="20" t="s">
        <v>199</v>
      </c>
      <c r="G215" s="8" t="str">
        <f t="shared" si="3"/>
        <v>STAMBAUGH JAMES</v>
      </c>
    </row>
    <row r="216" spans="1:7" x14ac:dyDescent="0.25">
      <c r="A216" s="8">
        <v>42797.839004629626</v>
      </c>
      <c r="B216" s="20" t="s">
        <v>236</v>
      </c>
      <c r="C216" s="20" t="s">
        <v>602</v>
      </c>
      <c r="D216" s="150">
        <v>1180000</v>
      </c>
      <c r="E216" s="20" t="s">
        <v>293</v>
      </c>
      <c r="F216" s="20" t="s">
        <v>294</v>
      </c>
      <c r="G216" s="8" t="str">
        <f t="shared" si="3"/>
        <v>LEVERE CRAIG</v>
      </c>
    </row>
    <row r="217" spans="1:7" x14ac:dyDescent="0.25">
      <c r="A217" s="8">
        <v>42797.840960648151</v>
      </c>
      <c r="B217" s="20" t="s">
        <v>339</v>
      </c>
      <c r="C217" s="20" t="s">
        <v>600</v>
      </c>
      <c r="D217" s="150">
        <v>2610000</v>
      </c>
      <c r="E217" s="20" t="s">
        <v>777</v>
      </c>
      <c r="F217" s="20" t="s">
        <v>778</v>
      </c>
      <c r="G217" s="8" t="str">
        <f t="shared" si="3"/>
        <v>MAGEE KENYA</v>
      </c>
    </row>
    <row r="218" spans="1:7" x14ac:dyDescent="0.25">
      <c r="A218" s="8">
        <v>42797.842673611114</v>
      </c>
      <c r="B218" s="20" t="s">
        <v>504</v>
      </c>
      <c r="C218" s="20" t="s">
        <v>785</v>
      </c>
      <c r="D218" s="150">
        <v>2630000</v>
      </c>
      <c r="E218" s="20" t="s">
        <v>766</v>
      </c>
      <c r="F218" s="20" t="s">
        <v>767</v>
      </c>
      <c r="G218" s="8" t="str">
        <f t="shared" si="3"/>
        <v>SAFIEF AEIMEN</v>
      </c>
    </row>
    <row r="219" spans="1:7" x14ac:dyDescent="0.25">
      <c r="A219" s="8">
        <v>42797.845833333333</v>
      </c>
      <c r="B219" s="20" t="s">
        <v>339</v>
      </c>
      <c r="C219" s="20" t="s">
        <v>600</v>
      </c>
      <c r="D219" s="150">
        <v>2610000</v>
      </c>
      <c r="E219" s="20" t="s">
        <v>777</v>
      </c>
      <c r="F219" s="20" t="s">
        <v>778</v>
      </c>
      <c r="G219" s="8" t="str">
        <f t="shared" si="3"/>
        <v>MAGEE KENYA</v>
      </c>
    </row>
    <row r="220" spans="1:7" x14ac:dyDescent="0.25">
      <c r="A220" s="8">
        <v>42797.849166666667</v>
      </c>
      <c r="B220" s="20" t="s">
        <v>206</v>
      </c>
      <c r="C220" s="20" t="s">
        <v>786</v>
      </c>
      <c r="D220" s="150">
        <v>1740000</v>
      </c>
      <c r="E220" s="20" t="s">
        <v>221</v>
      </c>
      <c r="F220" s="20" t="s">
        <v>222</v>
      </c>
      <c r="G220" s="8" t="str">
        <f t="shared" si="3"/>
        <v>STORY SAMANTHA</v>
      </c>
    </row>
    <row r="221" spans="1:7" x14ac:dyDescent="0.25">
      <c r="A221" s="8">
        <v>42797.859884259262</v>
      </c>
      <c r="B221" s="20" t="s">
        <v>229</v>
      </c>
      <c r="C221" s="20" t="s">
        <v>787</v>
      </c>
      <c r="D221" s="150">
        <v>1180000</v>
      </c>
      <c r="E221" s="20" t="s">
        <v>293</v>
      </c>
      <c r="F221" s="20" t="s">
        <v>294</v>
      </c>
      <c r="G221" s="8" t="str">
        <f t="shared" si="3"/>
        <v>LEVERE CRAIG</v>
      </c>
    </row>
    <row r="222" spans="1:7" x14ac:dyDescent="0.25">
      <c r="A222" s="8">
        <v>42797.871770833335</v>
      </c>
      <c r="B222" s="20" t="s">
        <v>239</v>
      </c>
      <c r="C222" s="20" t="s">
        <v>788</v>
      </c>
      <c r="D222" s="150">
        <v>2000000</v>
      </c>
      <c r="E222" s="20" t="s">
        <v>755</v>
      </c>
      <c r="F222" s="20" t="s">
        <v>199</v>
      </c>
      <c r="G222" s="8" t="str">
        <f t="shared" si="3"/>
        <v>STAMBAUGH JAMES</v>
      </c>
    </row>
    <row r="223" spans="1:7" x14ac:dyDescent="0.25">
      <c r="A223" s="8">
        <v>42797.872303240743</v>
      </c>
      <c r="B223" s="20" t="s">
        <v>216</v>
      </c>
      <c r="C223" s="20" t="s">
        <v>603</v>
      </c>
      <c r="D223" s="150">
        <v>2620000</v>
      </c>
      <c r="E223" s="20" t="s">
        <v>514</v>
      </c>
      <c r="F223" s="20" t="s">
        <v>515</v>
      </c>
      <c r="G223" s="8" t="str">
        <f t="shared" si="3"/>
        <v>PERKINS DARREN</v>
      </c>
    </row>
    <row r="224" spans="1:7" x14ac:dyDescent="0.25">
      <c r="A224" s="8">
        <v>42797.877372685187</v>
      </c>
      <c r="B224" t="s">
        <v>236</v>
      </c>
      <c r="C224" t="s">
        <v>789</v>
      </c>
      <c r="D224" s="150">
        <v>2230000</v>
      </c>
      <c r="E224" t="s">
        <v>509</v>
      </c>
      <c r="F224" s="20" t="s">
        <v>202</v>
      </c>
      <c r="G224" s="8" t="str">
        <f t="shared" si="3"/>
        <v>SMITH MICHAEL</v>
      </c>
    </row>
    <row r="225" spans="1:7" x14ac:dyDescent="0.25">
      <c r="A225" s="8">
        <v>42797.879814814813</v>
      </c>
      <c r="B225" t="s">
        <v>338</v>
      </c>
      <c r="C225" t="s">
        <v>600</v>
      </c>
      <c r="D225" s="150">
        <v>2610000</v>
      </c>
      <c r="E225" t="s">
        <v>777</v>
      </c>
      <c r="F225" s="20" t="s">
        <v>778</v>
      </c>
      <c r="G225" s="8" t="str">
        <f t="shared" si="3"/>
        <v>MAGEE KENYA</v>
      </c>
    </row>
    <row r="226" spans="1:7" x14ac:dyDescent="0.25">
      <c r="A226" s="8">
        <v>42797.883518518516</v>
      </c>
      <c r="B226" t="s">
        <v>338</v>
      </c>
      <c r="C226" t="s">
        <v>600</v>
      </c>
      <c r="D226" s="150">
        <v>2610000</v>
      </c>
      <c r="E226" t="s">
        <v>777</v>
      </c>
      <c r="F226" s="20" t="s">
        <v>778</v>
      </c>
      <c r="G226" s="8" t="str">
        <f t="shared" si="3"/>
        <v>MAGEE KENYA</v>
      </c>
    </row>
    <row r="227" spans="1:7" x14ac:dyDescent="0.25">
      <c r="A227" s="8">
        <v>42797.885798611111</v>
      </c>
      <c r="B227" t="s">
        <v>569</v>
      </c>
      <c r="C227" t="s">
        <v>604</v>
      </c>
      <c r="D227" s="150">
        <v>2560000</v>
      </c>
      <c r="E227" t="s">
        <v>517</v>
      </c>
      <c r="F227" s="20" t="s">
        <v>518</v>
      </c>
      <c r="G227" s="8" t="str">
        <f t="shared" si="3"/>
        <v>MACDONALD THOMAS</v>
      </c>
    </row>
    <row r="228" spans="1:7" x14ac:dyDescent="0.25">
      <c r="A228" s="8">
        <v>42797.886238425926</v>
      </c>
      <c r="B228" t="s">
        <v>491</v>
      </c>
      <c r="C228" t="s">
        <v>790</v>
      </c>
      <c r="D228" s="150">
        <v>2630000</v>
      </c>
      <c r="E228" t="s">
        <v>766</v>
      </c>
      <c r="F228" s="20" t="s">
        <v>767</v>
      </c>
      <c r="G228" s="8" t="str">
        <f t="shared" si="3"/>
        <v>SAFIEF AEIMEN</v>
      </c>
    </row>
    <row r="229" spans="1:7" x14ac:dyDescent="0.25">
      <c r="A229" s="8">
        <v>42797.901423611111</v>
      </c>
      <c r="B229" t="s">
        <v>229</v>
      </c>
      <c r="C229" t="s">
        <v>791</v>
      </c>
      <c r="D229" s="150">
        <v>2230000</v>
      </c>
      <c r="E229" t="s">
        <v>509</v>
      </c>
      <c r="F229" s="20" t="s">
        <v>202</v>
      </c>
      <c r="G229" s="8" t="str">
        <f t="shared" si="3"/>
        <v>SMITH MICHAEL</v>
      </c>
    </row>
    <row r="230" spans="1:7" x14ac:dyDescent="0.25">
      <c r="A230" s="8">
        <v>42797.903217592589</v>
      </c>
      <c r="B230" t="s">
        <v>192</v>
      </c>
      <c r="C230" t="s">
        <v>792</v>
      </c>
      <c r="D230" s="150">
        <v>2000000</v>
      </c>
      <c r="E230" t="s">
        <v>755</v>
      </c>
      <c r="F230" s="20" t="s">
        <v>199</v>
      </c>
      <c r="G230" s="8" t="str">
        <f t="shared" si="3"/>
        <v>STAMBAUGH JAMES</v>
      </c>
    </row>
    <row r="231" spans="1:7" x14ac:dyDescent="0.25">
      <c r="A231" s="8">
        <v>42797.90896990741</v>
      </c>
      <c r="B231" t="s">
        <v>585</v>
      </c>
      <c r="C231" t="s">
        <v>605</v>
      </c>
      <c r="D231" s="150">
        <v>2620000</v>
      </c>
      <c r="E231" t="s">
        <v>514</v>
      </c>
      <c r="F231" s="20" t="s">
        <v>515</v>
      </c>
      <c r="G231" s="8" t="str">
        <f t="shared" si="3"/>
        <v>PERKINS DARREN</v>
      </c>
    </row>
    <row r="232" spans="1:7" x14ac:dyDescent="0.25">
      <c r="A232" s="8">
        <v>42797.916412037041</v>
      </c>
      <c r="B232" t="s">
        <v>236</v>
      </c>
      <c r="C232" t="s">
        <v>793</v>
      </c>
      <c r="D232" s="150">
        <v>2230000</v>
      </c>
      <c r="E232" t="s">
        <v>509</v>
      </c>
      <c r="F232" s="20" t="s">
        <v>202</v>
      </c>
      <c r="G232" s="8" t="str">
        <f t="shared" si="3"/>
        <v>SMITH MICHAEL</v>
      </c>
    </row>
    <row r="233" spans="1:7" x14ac:dyDescent="0.25">
      <c r="A233" s="8">
        <v>42797.92800925926</v>
      </c>
      <c r="B233" t="s">
        <v>339</v>
      </c>
      <c r="C233" t="s">
        <v>600</v>
      </c>
      <c r="D233" s="150">
        <v>2610000</v>
      </c>
      <c r="E233" t="s">
        <v>777</v>
      </c>
      <c r="F233" s="20" t="s">
        <v>778</v>
      </c>
      <c r="G233" s="8" t="str">
        <f t="shared" si="3"/>
        <v>MAGEE KENYA</v>
      </c>
    </row>
    <row r="234" spans="1:7" x14ac:dyDescent="0.25">
      <c r="A234" s="8">
        <v>42797.928576388891</v>
      </c>
      <c r="B234" t="s">
        <v>504</v>
      </c>
      <c r="C234" t="s">
        <v>794</v>
      </c>
      <c r="D234" s="150">
        <v>2630000</v>
      </c>
      <c r="E234" t="s">
        <v>766</v>
      </c>
      <c r="F234" s="20" t="s">
        <v>767</v>
      </c>
      <c r="G234" s="8" t="str">
        <f t="shared" si="3"/>
        <v>SAFIEF AEIMEN</v>
      </c>
    </row>
    <row r="235" spans="1:7" x14ac:dyDescent="0.25">
      <c r="A235" s="8">
        <v>42797.935694444444</v>
      </c>
      <c r="B235" t="s">
        <v>206</v>
      </c>
      <c r="C235" t="s">
        <v>795</v>
      </c>
      <c r="D235" s="150">
        <v>2560000</v>
      </c>
      <c r="E235" t="s">
        <v>517</v>
      </c>
      <c r="F235" s="20" t="s">
        <v>518</v>
      </c>
      <c r="G235" s="8" t="str">
        <f t="shared" si="3"/>
        <v>MACDONALD THOMAS</v>
      </c>
    </row>
    <row r="236" spans="1:7" x14ac:dyDescent="0.25">
      <c r="A236" s="8">
        <v>42797.940324074072</v>
      </c>
      <c r="B236" t="s">
        <v>339</v>
      </c>
      <c r="C236" t="s">
        <v>600</v>
      </c>
      <c r="D236" s="150">
        <v>2610000</v>
      </c>
      <c r="E236" t="s">
        <v>777</v>
      </c>
      <c r="F236" s="20" t="s">
        <v>778</v>
      </c>
      <c r="G236" s="8" t="str">
        <f t="shared" si="3"/>
        <v>MAGEE KENYA</v>
      </c>
    </row>
    <row r="237" spans="1:7" x14ac:dyDescent="0.25">
      <c r="A237" s="8">
        <v>42797.944328703707</v>
      </c>
      <c r="B237" t="s">
        <v>229</v>
      </c>
      <c r="C237" t="s">
        <v>796</v>
      </c>
      <c r="D237" s="150">
        <v>2230000</v>
      </c>
      <c r="E237" t="s">
        <v>509</v>
      </c>
      <c r="F237" s="20" t="s">
        <v>202</v>
      </c>
      <c r="G237" s="8" t="str">
        <f t="shared" si="3"/>
        <v>SMITH MICHAEL</v>
      </c>
    </row>
    <row r="238" spans="1:7" x14ac:dyDescent="0.25">
      <c r="A238" s="8">
        <v>42797.946736111109</v>
      </c>
      <c r="B238" t="s">
        <v>239</v>
      </c>
      <c r="C238" t="s">
        <v>606</v>
      </c>
      <c r="D238" s="150">
        <v>2000000</v>
      </c>
      <c r="E238" t="s">
        <v>755</v>
      </c>
      <c r="F238" s="20" t="s">
        <v>199</v>
      </c>
      <c r="G238" s="8" t="str">
        <f t="shared" si="3"/>
        <v>STAMBAUGH JAMES</v>
      </c>
    </row>
    <row r="239" spans="1:7" x14ac:dyDescent="0.25">
      <c r="A239" s="8">
        <v>42797.957546296297</v>
      </c>
      <c r="B239" t="s">
        <v>216</v>
      </c>
      <c r="C239" t="s">
        <v>797</v>
      </c>
      <c r="D239" s="150">
        <v>2270000</v>
      </c>
      <c r="E239" t="s">
        <v>224</v>
      </c>
      <c r="F239" s="20" t="s">
        <v>225</v>
      </c>
      <c r="G239" s="8" t="str">
        <f t="shared" si="3"/>
        <v>BROWN JACOB</v>
      </c>
    </row>
    <row r="240" spans="1:7" x14ac:dyDescent="0.25">
      <c r="A240" s="8">
        <v>42797.959178240744</v>
      </c>
      <c r="B240" t="s">
        <v>338</v>
      </c>
      <c r="C240" t="s">
        <v>600</v>
      </c>
      <c r="D240" s="150">
        <v>2610000</v>
      </c>
      <c r="E240" t="s">
        <v>777</v>
      </c>
      <c r="F240" s="20" t="s">
        <v>778</v>
      </c>
      <c r="G240" s="8" t="str">
        <f t="shared" si="3"/>
        <v>MAGEE KENYA</v>
      </c>
    </row>
    <row r="241" spans="1:7" x14ac:dyDescent="0.25">
      <c r="A241" s="8">
        <v>42797.961331018516</v>
      </c>
      <c r="B241" t="s">
        <v>338</v>
      </c>
      <c r="C241" t="s">
        <v>600</v>
      </c>
      <c r="D241" s="150">
        <v>2610000</v>
      </c>
      <c r="E241" t="s">
        <v>777</v>
      </c>
      <c r="F241" s="20" t="s">
        <v>778</v>
      </c>
      <c r="G241" s="8" t="str">
        <f t="shared" si="3"/>
        <v>MAGEE KENYA</v>
      </c>
    </row>
    <row r="242" spans="1:7" x14ac:dyDescent="0.25">
      <c r="A242" s="8">
        <v>42797.973298611112</v>
      </c>
      <c r="B242" t="s">
        <v>491</v>
      </c>
      <c r="C242" t="s">
        <v>798</v>
      </c>
      <c r="D242" s="150">
        <v>2630000</v>
      </c>
      <c r="E242" t="s">
        <v>766</v>
      </c>
      <c r="F242" s="20" t="s">
        <v>767</v>
      </c>
      <c r="G242" s="8" t="str">
        <f t="shared" si="3"/>
        <v>SAFIEF AEIMEN</v>
      </c>
    </row>
    <row r="243" spans="1:7" x14ac:dyDescent="0.25">
      <c r="A243" s="8">
        <v>42797.975902777776</v>
      </c>
      <c r="B243" t="s">
        <v>569</v>
      </c>
      <c r="C243" t="s">
        <v>799</v>
      </c>
      <c r="D243" s="150">
        <v>1740000</v>
      </c>
      <c r="E243" t="s">
        <v>221</v>
      </c>
      <c r="F243" s="20" t="s">
        <v>222</v>
      </c>
      <c r="G243" s="8" t="str">
        <f t="shared" si="3"/>
        <v>STORY SAMANTHA</v>
      </c>
    </row>
    <row r="244" spans="1:7" x14ac:dyDescent="0.25">
      <c r="A244" s="8">
        <v>42797.989120370374</v>
      </c>
      <c r="B244" t="s">
        <v>192</v>
      </c>
      <c r="C244" t="s">
        <v>800</v>
      </c>
      <c r="D244" s="150">
        <v>2000000</v>
      </c>
      <c r="E244" t="s">
        <v>755</v>
      </c>
      <c r="F244" s="20" t="s">
        <v>199</v>
      </c>
      <c r="G244" s="8" t="str">
        <f t="shared" si="3"/>
        <v>STAMBAUGH JAMES</v>
      </c>
    </row>
    <row r="245" spans="1:7" x14ac:dyDescent="0.25">
      <c r="A245" s="8">
        <v>42797.994837962964</v>
      </c>
      <c r="B245" t="s">
        <v>585</v>
      </c>
      <c r="C245" t="s">
        <v>801</v>
      </c>
      <c r="D245" s="150">
        <v>2270000</v>
      </c>
      <c r="E245" t="s">
        <v>224</v>
      </c>
      <c r="F245" s="20" t="s">
        <v>225</v>
      </c>
      <c r="G245" s="8" t="str">
        <f t="shared" si="3"/>
        <v>BROWN JACOB</v>
      </c>
    </row>
    <row r="246" spans="1:7" x14ac:dyDescent="0.25">
      <c r="A246" s="8">
        <v>42798.000497685185</v>
      </c>
      <c r="B246" t="s">
        <v>339</v>
      </c>
      <c r="C246" t="s">
        <v>600</v>
      </c>
      <c r="D246" s="150">
        <v>2610000</v>
      </c>
      <c r="E246" t="s">
        <v>777</v>
      </c>
      <c r="F246" s="20" t="s">
        <v>778</v>
      </c>
      <c r="G246" s="8" t="str">
        <f t="shared" si="3"/>
        <v>MAGEE KENYA</v>
      </c>
    </row>
    <row r="247" spans="1:7" x14ac:dyDescent="0.25">
      <c r="A247" s="8">
        <v>42798.003495370373</v>
      </c>
      <c r="B247" t="s">
        <v>339</v>
      </c>
      <c r="C247" t="s">
        <v>600</v>
      </c>
      <c r="D247" s="150">
        <v>2610000</v>
      </c>
      <c r="E247" t="s">
        <v>777</v>
      </c>
      <c r="F247" s="20" t="s">
        <v>778</v>
      </c>
      <c r="G247" s="8" t="str">
        <f t="shared" si="3"/>
        <v>MAGEE KENYA</v>
      </c>
    </row>
    <row r="248" spans="1:7" x14ac:dyDescent="0.25">
      <c r="A248" s="8">
        <v>42798.00880787037</v>
      </c>
      <c r="B248" t="s">
        <v>206</v>
      </c>
      <c r="C248" t="s">
        <v>607</v>
      </c>
      <c r="D248" s="150">
        <v>1740000</v>
      </c>
      <c r="E248" t="s">
        <v>221</v>
      </c>
      <c r="F248" s="20" t="s">
        <v>222</v>
      </c>
      <c r="G248" s="8" t="str">
        <f t="shared" si="3"/>
        <v>STORY SAMANTHA</v>
      </c>
    </row>
    <row r="249" spans="1:7" x14ac:dyDescent="0.25">
      <c r="A249" s="8">
        <v>42798.014409722222</v>
      </c>
      <c r="B249" t="s">
        <v>504</v>
      </c>
      <c r="C249" t="s">
        <v>802</v>
      </c>
      <c r="D249" s="150">
        <v>2630000</v>
      </c>
      <c r="E249" t="s">
        <v>766</v>
      </c>
      <c r="F249" s="20" t="s">
        <v>767</v>
      </c>
      <c r="G249" s="8" t="str">
        <f t="shared" si="3"/>
        <v>SAFIEF AEIMEN</v>
      </c>
    </row>
    <row r="250" spans="1:7" x14ac:dyDescent="0.25">
      <c r="A250" s="8">
        <v>42798.028182870374</v>
      </c>
      <c r="B250" t="s">
        <v>239</v>
      </c>
      <c r="C250" t="s">
        <v>608</v>
      </c>
      <c r="D250" s="150">
        <v>2000000</v>
      </c>
      <c r="E250" t="s">
        <v>755</v>
      </c>
      <c r="F250" s="20" t="s">
        <v>199</v>
      </c>
      <c r="G250" s="8" t="str">
        <f t="shared" si="3"/>
        <v>STAMBAUGH JAMES</v>
      </c>
    </row>
    <row r="251" spans="1:7" x14ac:dyDescent="0.25">
      <c r="A251" s="8">
        <v>42798.036215277774</v>
      </c>
      <c r="B251" t="s">
        <v>338</v>
      </c>
      <c r="C251" t="s">
        <v>600</v>
      </c>
      <c r="D251" s="150">
        <v>2610000</v>
      </c>
      <c r="E251" t="s">
        <v>777</v>
      </c>
      <c r="F251" s="20" t="s">
        <v>778</v>
      </c>
      <c r="G251" s="8" t="str">
        <f t="shared" si="3"/>
        <v>MAGEE KENYA</v>
      </c>
    </row>
    <row r="252" spans="1:7" x14ac:dyDescent="0.25">
      <c r="A252" s="8">
        <v>42798.037164351852</v>
      </c>
      <c r="B252" t="s">
        <v>216</v>
      </c>
      <c r="C252" t="s">
        <v>803</v>
      </c>
      <c r="D252" s="150">
        <v>2270000</v>
      </c>
      <c r="E252" t="s">
        <v>224</v>
      </c>
      <c r="F252" s="20" t="s">
        <v>225</v>
      </c>
      <c r="G252" s="8" t="str">
        <f t="shared" si="3"/>
        <v>BROWN JACOB</v>
      </c>
    </row>
    <row r="253" spans="1:7" x14ac:dyDescent="0.25">
      <c r="A253" s="8">
        <v>42798.050393518519</v>
      </c>
      <c r="B253" t="s">
        <v>569</v>
      </c>
      <c r="C253" t="s">
        <v>804</v>
      </c>
      <c r="D253" s="150">
        <v>1740000</v>
      </c>
      <c r="E253" t="s">
        <v>221</v>
      </c>
      <c r="F253" s="20" t="s">
        <v>222</v>
      </c>
      <c r="G253" s="8" t="str">
        <f t="shared" si="3"/>
        <v>STORY SAMANTHA</v>
      </c>
    </row>
    <row r="254" spans="1:7" x14ac:dyDescent="0.25">
      <c r="A254" s="8">
        <v>42798.053344907406</v>
      </c>
      <c r="B254" t="s">
        <v>491</v>
      </c>
      <c r="C254" t="s">
        <v>805</v>
      </c>
      <c r="D254" s="150">
        <v>2630000</v>
      </c>
      <c r="E254" t="s">
        <v>766</v>
      </c>
      <c r="F254" s="20" t="s">
        <v>767</v>
      </c>
      <c r="G254" s="8" t="str">
        <f t="shared" si="3"/>
        <v>SAFIEF AEIMEN</v>
      </c>
    </row>
    <row r="255" spans="1:7" x14ac:dyDescent="0.25">
      <c r="A255" s="8">
        <v>42798.068738425929</v>
      </c>
      <c r="B255" t="s">
        <v>192</v>
      </c>
      <c r="C255" t="s">
        <v>806</v>
      </c>
      <c r="D255" s="150">
        <v>2000000</v>
      </c>
      <c r="E255" t="s">
        <v>755</v>
      </c>
      <c r="F255" s="20" t="s">
        <v>199</v>
      </c>
      <c r="G255" s="8" t="str">
        <f t="shared" si="3"/>
        <v>STAMBAUGH JAMES</v>
      </c>
    </row>
    <row r="256" spans="1:7" x14ac:dyDescent="0.25">
      <c r="A256" s="8">
        <v>42798.074120370373</v>
      </c>
      <c r="B256" t="s">
        <v>585</v>
      </c>
      <c r="C256" t="s">
        <v>807</v>
      </c>
      <c r="D256" s="150">
        <v>2270000</v>
      </c>
      <c r="E256" t="s">
        <v>224</v>
      </c>
      <c r="F256" s="20" t="s">
        <v>225</v>
      </c>
      <c r="G256" s="8" t="str">
        <f t="shared" si="3"/>
        <v>BROWN JACOB</v>
      </c>
    </row>
    <row r="257" spans="1:7" x14ac:dyDescent="0.25">
      <c r="A257" s="8">
        <v>42798.089849537035</v>
      </c>
      <c r="B257" t="s">
        <v>339</v>
      </c>
      <c r="C257" t="s">
        <v>600</v>
      </c>
      <c r="D257" s="150">
        <v>2610000</v>
      </c>
      <c r="E257" t="s">
        <v>777</v>
      </c>
      <c r="F257" s="20" t="s">
        <v>778</v>
      </c>
      <c r="G257" s="8" t="str">
        <f t="shared" si="3"/>
        <v>MAGEE KENYA</v>
      </c>
    </row>
    <row r="258" spans="1:7" x14ac:dyDescent="0.25">
      <c r="A258" s="8">
        <v>42798.092326388891</v>
      </c>
      <c r="B258" t="s">
        <v>504</v>
      </c>
      <c r="C258" t="s">
        <v>808</v>
      </c>
      <c r="D258" s="150">
        <v>2630000</v>
      </c>
      <c r="E258" t="s">
        <v>766</v>
      </c>
      <c r="F258" s="20" t="s">
        <v>767</v>
      </c>
      <c r="G258" s="8" t="str">
        <f t="shared" si="3"/>
        <v>SAFIEF AEIMEN</v>
      </c>
    </row>
    <row r="259" spans="1:7" x14ac:dyDescent="0.25">
      <c r="A259" s="8">
        <v>42798.11377314815</v>
      </c>
      <c r="B259" t="s">
        <v>216</v>
      </c>
      <c r="C259" t="s">
        <v>809</v>
      </c>
      <c r="D259" s="150">
        <v>2270000</v>
      </c>
      <c r="E259" t="s">
        <v>224</v>
      </c>
      <c r="F259" s="20" t="s">
        <v>225</v>
      </c>
      <c r="G259" s="8" t="str">
        <f t="shared" ref="G259:G322" si="4">E259&amp;" "&amp;F259</f>
        <v>BROWN JACOB</v>
      </c>
    </row>
    <row r="260" spans="1:7" x14ac:dyDescent="0.25">
      <c r="A260" s="8">
        <v>42790.037673611114</v>
      </c>
      <c r="B260" t="s">
        <v>255</v>
      </c>
      <c r="C260" t="s">
        <v>268</v>
      </c>
      <c r="D260" s="150">
        <v>2730000</v>
      </c>
      <c r="E260" t="s">
        <v>249</v>
      </c>
      <c r="F260" s="20" t="s">
        <v>250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264</v>
      </c>
      <c r="C261" t="s">
        <v>265</v>
      </c>
      <c r="D261" s="150">
        <v>2270000</v>
      </c>
      <c r="E261" t="s">
        <v>224</v>
      </c>
      <c r="F261" s="20" t="s">
        <v>225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254</v>
      </c>
      <c r="C262" t="s">
        <v>267</v>
      </c>
      <c r="D262" s="150">
        <v>2670000</v>
      </c>
      <c r="E262" t="s">
        <v>227</v>
      </c>
      <c r="F262" s="20" t="s">
        <v>228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213</v>
      </c>
      <c r="C263" t="s">
        <v>269</v>
      </c>
      <c r="D263" s="150">
        <v>2540000</v>
      </c>
      <c r="E263" t="s">
        <v>217</v>
      </c>
      <c r="F263" s="20" t="s">
        <v>218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255</v>
      </c>
      <c r="C264" t="s">
        <v>268</v>
      </c>
      <c r="D264" s="150">
        <v>2730000</v>
      </c>
      <c r="E264" t="s">
        <v>249</v>
      </c>
      <c r="F264" s="20" t="s">
        <v>250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239</v>
      </c>
      <c r="C265" t="s">
        <v>270</v>
      </c>
      <c r="D265" s="150">
        <v>2220000</v>
      </c>
      <c r="E265" t="s">
        <v>211</v>
      </c>
      <c r="F265" s="20" t="s">
        <v>212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254</v>
      </c>
      <c r="C266" t="s">
        <v>267</v>
      </c>
      <c r="D266" s="150">
        <v>2670000</v>
      </c>
      <c r="E266" t="s">
        <v>227</v>
      </c>
      <c r="F266" s="20" t="s">
        <v>228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255</v>
      </c>
      <c r="C267" t="s">
        <v>268</v>
      </c>
      <c r="D267" s="150">
        <v>2730000</v>
      </c>
      <c r="E267" t="s">
        <v>249</v>
      </c>
      <c r="F267" s="20" t="s">
        <v>250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266</v>
      </c>
      <c r="C268" t="s">
        <v>271</v>
      </c>
      <c r="D268" s="150">
        <v>2270000</v>
      </c>
      <c r="E268" t="s">
        <v>224</v>
      </c>
      <c r="F268" s="20" t="s">
        <v>225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254</v>
      </c>
      <c r="C269" t="s">
        <v>267</v>
      </c>
      <c r="D269" s="150">
        <v>2670000</v>
      </c>
      <c r="E269" t="s">
        <v>227</v>
      </c>
      <c r="F269" s="20" t="s">
        <v>228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255</v>
      </c>
      <c r="C270" t="s">
        <v>268</v>
      </c>
      <c r="D270" s="150">
        <v>2730000</v>
      </c>
      <c r="E270" t="s">
        <v>249</v>
      </c>
      <c r="F270" s="20" t="s">
        <v>250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272</v>
      </c>
      <c r="D271" s="150">
        <v>2220000</v>
      </c>
      <c r="E271" t="s">
        <v>211</v>
      </c>
      <c r="F271" s="20" t="s">
        <v>212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254</v>
      </c>
      <c r="C272" t="s">
        <v>267</v>
      </c>
      <c r="D272" s="150">
        <v>2670000</v>
      </c>
      <c r="E272" t="s">
        <v>227</v>
      </c>
      <c r="F272" s="20" t="s">
        <v>228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255</v>
      </c>
      <c r="C273" t="s">
        <v>268</v>
      </c>
      <c r="D273" s="150">
        <v>2730000</v>
      </c>
      <c r="E273" t="s">
        <v>249</v>
      </c>
      <c r="F273" s="20" t="s">
        <v>250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9" t="s">
        <v>162</v>
      </c>
      <c r="B1" s="169" t="s">
        <v>165</v>
      </c>
      <c r="C1" s="169" t="s">
        <v>158</v>
      </c>
      <c r="D1" s="148" t="s">
        <v>170</v>
      </c>
      <c r="E1" s="169" t="s">
        <v>159</v>
      </c>
      <c r="F1" s="169" t="s">
        <v>157</v>
      </c>
      <c r="G1" s="169" t="s">
        <v>155</v>
      </c>
      <c r="H1" s="169" t="s">
        <v>168</v>
      </c>
      <c r="I1" s="169" t="s">
        <v>169</v>
      </c>
      <c r="J1" s="169" t="s">
        <v>163</v>
      </c>
      <c r="K1" s="169" t="s">
        <v>161</v>
      </c>
      <c r="L1" s="169" t="s">
        <v>156</v>
      </c>
      <c r="M1" s="169" t="s">
        <v>166</v>
      </c>
      <c r="N1" s="169" t="s">
        <v>160</v>
      </c>
      <c r="O1" s="169" t="s">
        <v>167</v>
      </c>
      <c r="P1" s="169" t="s">
        <v>164</v>
      </c>
      <c r="Q1"/>
      <c r="R1"/>
    </row>
    <row r="2" spans="1:18" x14ac:dyDescent="0.25">
      <c r="A2" s="166">
        <v>32.93</v>
      </c>
      <c r="B2" s="166">
        <v>0.13</v>
      </c>
      <c r="C2" s="166">
        <v>11.92</v>
      </c>
      <c r="D2" s="8">
        <v>42797</v>
      </c>
      <c r="E2" s="166">
        <v>0.41</v>
      </c>
      <c r="F2" s="166" t="s">
        <v>316</v>
      </c>
      <c r="G2" s="166">
        <v>356.31</v>
      </c>
      <c r="H2" s="166">
        <v>0</v>
      </c>
      <c r="I2" s="166">
        <v>0</v>
      </c>
      <c r="J2" s="166">
        <v>1029.32</v>
      </c>
      <c r="K2" s="166" t="s">
        <v>317</v>
      </c>
      <c r="L2" s="166">
        <v>32.93</v>
      </c>
      <c r="M2" s="166">
        <v>1488524400</v>
      </c>
      <c r="N2" s="166">
        <v>6.48</v>
      </c>
      <c r="O2" s="166">
        <v>211</v>
      </c>
      <c r="P2" s="166">
        <v>2.44</v>
      </c>
      <c r="Q2"/>
      <c r="R2"/>
    </row>
    <row r="3" spans="1:18" x14ac:dyDescent="0.25">
      <c r="A3" s="166">
        <v>28.69</v>
      </c>
      <c r="B3" s="166">
        <v>7.0000000000000007E-2</v>
      </c>
      <c r="C3" s="166">
        <v>11.82</v>
      </c>
      <c r="D3" s="8">
        <v>42797.041666666664</v>
      </c>
      <c r="E3" s="166">
        <v>0.43</v>
      </c>
      <c r="F3" s="166" t="s">
        <v>316</v>
      </c>
      <c r="G3" s="166">
        <v>356.26</v>
      </c>
      <c r="H3" s="166">
        <v>0</v>
      </c>
      <c r="I3" s="166">
        <v>0</v>
      </c>
      <c r="J3" s="166">
        <v>1029.1500000000001</v>
      </c>
      <c r="K3" s="166" t="s">
        <v>317</v>
      </c>
      <c r="L3" s="166">
        <v>31.94</v>
      </c>
      <c r="M3" s="166">
        <v>1488528000</v>
      </c>
      <c r="N3" s="166">
        <v>10</v>
      </c>
      <c r="O3" s="166">
        <v>206</v>
      </c>
      <c r="P3" s="166">
        <v>3.42</v>
      </c>
      <c r="Q3"/>
      <c r="R3"/>
    </row>
    <row r="4" spans="1:18" x14ac:dyDescent="0.25">
      <c r="A4" s="166">
        <v>26.85</v>
      </c>
      <c r="B4" s="166">
        <v>0.03</v>
      </c>
      <c r="C4" s="166">
        <v>11.24</v>
      </c>
      <c r="D4" s="8">
        <v>42797.083333333336</v>
      </c>
      <c r="E4" s="166">
        <v>0.43</v>
      </c>
      <c r="F4" s="166" t="s">
        <v>316</v>
      </c>
      <c r="G4" s="166">
        <v>356.22</v>
      </c>
      <c r="H4" s="166">
        <v>0</v>
      </c>
      <c r="I4" s="166">
        <v>0</v>
      </c>
      <c r="J4" s="166">
        <v>1028.96</v>
      </c>
      <c r="K4" s="166" t="s">
        <v>317</v>
      </c>
      <c r="L4" s="166">
        <v>30.91</v>
      </c>
      <c r="M4" s="166">
        <v>1488531600</v>
      </c>
      <c r="N4" s="166">
        <v>6.06</v>
      </c>
      <c r="O4" s="166">
        <v>209</v>
      </c>
      <c r="P4" s="166">
        <v>3.97</v>
      </c>
      <c r="Q4"/>
      <c r="R4"/>
    </row>
    <row r="5" spans="1:18" x14ac:dyDescent="0.25">
      <c r="A5" s="166">
        <v>26.42</v>
      </c>
      <c r="B5" s="166">
        <v>0.06</v>
      </c>
      <c r="C5" s="166">
        <v>10.9</v>
      </c>
      <c r="D5" s="8">
        <v>42797.125</v>
      </c>
      <c r="E5" s="166">
        <v>0.43</v>
      </c>
      <c r="F5" s="166" t="s">
        <v>316</v>
      </c>
      <c r="G5" s="166">
        <v>355.76</v>
      </c>
      <c r="H5" s="166">
        <v>0</v>
      </c>
      <c r="I5" s="166">
        <v>0</v>
      </c>
      <c r="J5" s="166">
        <v>1028.07</v>
      </c>
      <c r="K5" s="166" t="s">
        <v>317</v>
      </c>
      <c r="L5" s="166">
        <v>30.46</v>
      </c>
      <c r="M5" s="166">
        <v>1488535200</v>
      </c>
      <c r="N5" s="166">
        <v>5.88</v>
      </c>
      <c r="O5" s="166">
        <v>210</v>
      </c>
      <c r="P5" s="166">
        <v>3.89</v>
      </c>
      <c r="Q5"/>
      <c r="R5"/>
    </row>
    <row r="6" spans="1:18" x14ac:dyDescent="0.25">
      <c r="A6" s="166">
        <v>26.12</v>
      </c>
      <c r="B6" s="166">
        <v>0.16</v>
      </c>
      <c r="C6" s="166">
        <v>11.77</v>
      </c>
      <c r="D6" s="8">
        <v>42797.166666666664</v>
      </c>
      <c r="E6" s="166">
        <v>0.43</v>
      </c>
      <c r="F6" s="166" t="s">
        <v>316</v>
      </c>
      <c r="G6" s="166">
        <v>355.07</v>
      </c>
      <c r="H6" s="166">
        <v>0</v>
      </c>
      <c r="I6" s="166">
        <v>0</v>
      </c>
      <c r="J6" s="166">
        <v>1026.82</v>
      </c>
      <c r="K6" s="166" t="s">
        <v>317</v>
      </c>
      <c r="L6" s="166">
        <v>31.67</v>
      </c>
      <c r="M6" s="166">
        <v>1488538800</v>
      </c>
      <c r="N6" s="166">
        <v>10</v>
      </c>
      <c r="O6" s="166">
        <v>209</v>
      </c>
      <c r="P6" s="166">
        <v>5.65</v>
      </c>
      <c r="Q6"/>
      <c r="R6"/>
    </row>
    <row r="7" spans="1:18" x14ac:dyDescent="0.25">
      <c r="A7" s="166">
        <v>28.8</v>
      </c>
      <c r="B7" s="166">
        <v>0.28999999999999998</v>
      </c>
      <c r="C7" s="166">
        <v>11.01</v>
      </c>
      <c r="D7" s="8">
        <v>42797.208333333336</v>
      </c>
      <c r="E7" s="166">
        <v>0.4</v>
      </c>
      <c r="F7" s="166" t="s">
        <v>810</v>
      </c>
      <c r="G7" s="166">
        <v>354.02</v>
      </c>
      <c r="H7" s="166">
        <v>0</v>
      </c>
      <c r="I7" s="166">
        <v>0</v>
      </c>
      <c r="J7" s="166">
        <v>1025.74</v>
      </c>
      <c r="K7" s="166" t="s">
        <v>811</v>
      </c>
      <c r="L7" s="166">
        <v>32.479999999999997</v>
      </c>
      <c r="M7" s="166">
        <v>1488542400</v>
      </c>
      <c r="N7" s="166">
        <v>7.41</v>
      </c>
      <c r="O7" s="166">
        <v>211</v>
      </c>
      <c r="P7" s="166">
        <v>3.85</v>
      </c>
      <c r="Q7"/>
      <c r="R7"/>
    </row>
    <row r="8" spans="1:18" x14ac:dyDescent="0.25">
      <c r="A8" s="166">
        <v>26.82</v>
      </c>
      <c r="B8" s="166">
        <v>0.3</v>
      </c>
      <c r="C8" s="166">
        <v>9.14</v>
      </c>
      <c r="D8" s="8">
        <v>42797.25</v>
      </c>
      <c r="E8" s="166">
        <v>0.4</v>
      </c>
      <c r="F8" s="166" t="s">
        <v>810</v>
      </c>
      <c r="G8" s="166">
        <v>352.73</v>
      </c>
      <c r="H8" s="166">
        <v>0</v>
      </c>
      <c r="I8" s="166">
        <v>0</v>
      </c>
      <c r="J8" s="166">
        <v>1025.3900000000001</v>
      </c>
      <c r="K8" s="166" t="s">
        <v>811</v>
      </c>
      <c r="L8" s="166">
        <v>30.62</v>
      </c>
      <c r="M8" s="166">
        <v>1488546000</v>
      </c>
      <c r="N8" s="166">
        <v>6.94</v>
      </c>
      <c r="O8" s="166">
        <v>218</v>
      </c>
      <c r="P8" s="166">
        <v>3.71</v>
      </c>
      <c r="Q8"/>
      <c r="R8"/>
    </row>
    <row r="9" spans="1:18" x14ac:dyDescent="0.25">
      <c r="A9" s="166">
        <v>31.27</v>
      </c>
      <c r="B9" s="166">
        <v>0.22</v>
      </c>
      <c r="C9" s="166">
        <v>12.82</v>
      </c>
      <c r="D9" s="8">
        <v>42797.291666666664</v>
      </c>
      <c r="E9" s="166">
        <v>0.4</v>
      </c>
      <c r="F9" s="166" t="s">
        <v>340</v>
      </c>
      <c r="G9" s="166">
        <v>351.08</v>
      </c>
      <c r="H9" s="166">
        <v>0</v>
      </c>
      <c r="I9" s="166">
        <v>0</v>
      </c>
      <c r="J9" s="166">
        <v>1025.28</v>
      </c>
      <c r="K9" s="166" t="s">
        <v>317</v>
      </c>
      <c r="L9" s="166">
        <v>34.619999999999997</v>
      </c>
      <c r="M9" s="166">
        <v>1488549600</v>
      </c>
      <c r="N9" s="166">
        <v>10</v>
      </c>
      <c r="O9" s="166">
        <v>222</v>
      </c>
      <c r="P9" s="166">
        <v>3.84</v>
      </c>
      <c r="Q9"/>
      <c r="R9"/>
    </row>
    <row r="10" spans="1:18" x14ac:dyDescent="0.25">
      <c r="A10" s="166">
        <v>35.450000000000003</v>
      </c>
      <c r="B10" s="166">
        <v>0.23</v>
      </c>
      <c r="C10" s="166">
        <v>12.23</v>
      </c>
      <c r="D10" s="8">
        <v>42797.333333333336</v>
      </c>
      <c r="E10" s="166">
        <v>0.38</v>
      </c>
      <c r="F10" s="166" t="s">
        <v>340</v>
      </c>
      <c r="G10" s="166">
        <v>348.61</v>
      </c>
      <c r="H10" s="166">
        <v>0</v>
      </c>
      <c r="I10" s="166">
        <v>0</v>
      </c>
      <c r="J10" s="166">
        <v>1024.6500000000001</v>
      </c>
      <c r="K10" s="166" t="s">
        <v>317</v>
      </c>
      <c r="L10" s="166">
        <v>35.450000000000003</v>
      </c>
      <c r="M10" s="166">
        <v>1488553200</v>
      </c>
      <c r="N10" s="166">
        <v>5.84</v>
      </c>
      <c r="O10" s="166">
        <v>229</v>
      </c>
      <c r="P10" s="166">
        <v>2.96</v>
      </c>
      <c r="Q10"/>
      <c r="R10"/>
    </row>
    <row r="11" spans="1:18" x14ac:dyDescent="0.25">
      <c r="A11" s="166">
        <v>36.229999999999997</v>
      </c>
      <c r="B11" s="166">
        <v>0.34</v>
      </c>
      <c r="C11" s="166">
        <v>13.5</v>
      </c>
      <c r="D11" s="8">
        <v>42797.375</v>
      </c>
      <c r="E11" s="166">
        <v>0.35</v>
      </c>
      <c r="F11" s="166" t="s">
        <v>812</v>
      </c>
      <c r="G11" s="166">
        <v>344.58</v>
      </c>
      <c r="H11" s="166">
        <v>0</v>
      </c>
      <c r="I11" s="166">
        <v>0</v>
      </c>
      <c r="J11" s="166">
        <v>1023.13</v>
      </c>
      <c r="K11" s="166" t="s">
        <v>811</v>
      </c>
      <c r="L11" s="166">
        <v>38.6</v>
      </c>
      <c r="M11" s="166">
        <v>1488556800</v>
      </c>
      <c r="N11" s="166">
        <v>5.73</v>
      </c>
      <c r="O11" s="166">
        <v>244</v>
      </c>
      <c r="P11" s="166">
        <v>3.48</v>
      </c>
      <c r="Q11"/>
      <c r="R11"/>
    </row>
    <row r="12" spans="1:18" x14ac:dyDescent="0.25">
      <c r="A12" s="166">
        <v>41.26</v>
      </c>
      <c r="B12" s="166">
        <v>0.56999999999999995</v>
      </c>
      <c r="C12" s="166">
        <v>14.76</v>
      </c>
      <c r="D12" s="8">
        <v>42797.416666666664</v>
      </c>
      <c r="E12" s="166">
        <v>0.31</v>
      </c>
      <c r="F12" s="166" t="s">
        <v>812</v>
      </c>
      <c r="G12" s="166">
        <v>339.74</v>
      </c>
      <c r="H12" s="166">
        <v>0</v>
      </c>
      <c r="I12" s="166">
        <v>0</v>
      </c>
      <c r="J12" s="166">
        <v>1021.13</v>
      </c>
      <c r="K12" s="166" t="s">
        <v>811</v>
      </c>
      <c r="L12" s="166">
        <v>43.42</v>
      </c>
      <c r="M12" s="166">
        <v>1488560400</v>
      </c>
      <c r="N12" s="166">
        <v>10</v>
      </c>
      <c r="O12" s="166">
        <v>226</v>
      </c>
      <c r="P12" s="166">
        <v>4.01</v>
      </c>
      <c r="Q12"/>
      <c r="R12"/>
    </row>
    <row r="13" spans="1:18" x14ac:dyDescent="0.25">
      <c r="A13" s="166">
        <v>48.3</v>
      </c>
      <c r="B13" s="166">
        <v>0.65</v>
      </c>
      <c r="C13" s="166">
        <v>16.53</v>
      </c>
      <c r="D13" s="8">
        <v>42797.458333333336</v>
      </c>
      <c r="E13" s="166">
        <v>0.28000000000000003</v>
      </c>
      <c r="F13" s="166" t="s">
        <v>812</v>
      </c>
      <c r="G13" s="166">
        <v>335.87</v>
      </c>
      <c r="H13" s="166">
        <v>0</v>
      </c>
      <c r="I13" s="166">
        <v>0</v>
      </c>
      <c r="J13" s="166">
        <v>1019.68</v>
      </c>
      <c r="K13" s="166" t="s">
        <v>813</v>
      </c>
      <c r="L13" s="166">
        <v>48.3</v>
      </c>
      <c r="M13" s="166">
        <v>1488564000</v>
      </c>
      <c r="N13" s="166">
        <v>5.25</v>
      </c>
      <c r="O13" s="166">
        <v>234</v>
      </c>
      <c r="P13" s="166">
        <v>1.48</v>
      </c>
      <c r="Q13"/>
      <c r="R13"/>
    </row>
    <row r="14" spans="1:18" x14ac:dyDescent="0.25">
      <c r="A14" s="166">
        <v>53.06</v>
      </c>
      <c r="B14" s="166">
        <v>0.59</v>
      </c>
      <c r="C14" s="166">
        <v>13.91</v>
      </c>
      <c r="D14" s="8">
        <v>42797.5</v>
      </c>
      <c r="E14" s="166">
        <v>0.21</v>
      </c>
      <c r="F14" s="166" t="s">
        <v>812</v>
      </c>
      <c r="G14" s="166">
        <v>333.92</v>
      </c>
      <c r="H14" s="166">
        <v>0</v>
      </c>
      <c r="I14" s="166">
        <v>0</v>
      </c>
      <c r="J14" s="166">
        <v>1018.57</v>
      </c>
      <c r="K14" s="166" t="s">
        <v>811</v>
      </c>
      <c r="L14" s="166">
        <v>53.06</v>
      </c>
      <c r="M14" s="166">
        <v>1488567600</v>
      </c>
      <c r="N14" s="166">
        <v>5.26</v>
      </c>
      <c r="O14" s="166">
        <v>284</v>
      </c>
      <c r="P14" s="166">
        <v>1.89</v>
      </c>
      <c r="Q14"/>
      <c r="R14"/>
    </row>
    <row r="15" spans="1:18" x14ac:dyDescent="0.25">
      <c r="A15" s="166">
        <v>60.45</v>
      </c>
      <c r="B15" s="166">
        <v>0.44</v>
      </c>
      <c r="C15" s="166">
        <v>11.56</v>
      </c>
      <c r="D15" s="8">
        <v>42797.541666666664</v>
      </c>
      <c r="E15" s="166">
        <v>0.14000000000000001</v>
      </c>
      <c r="F15" s="166" t="s">
        <v>812</v>
      </c>
      <c r="G15" s="166">
        <v>332.95</v>
      </c>
      <c r="H15" s="166">
        <v>0</v>
      </c>
      <c r="I15" s="166">
        <v>0</v>
      </c>
      <c r="J15" s="166">
        <v>1017.63</v>
      </c>
      <c r="K15" s="166" t="s">
        <v>811</v>
      </c>
      <c r="L15" s="166">
        <v>60.45</v>
      </c>
      <c r="M15" s="166">
        <v>1488571200</v>
      </c>
      <c r="N15" s="166">
        <v>5.25</v>
      </c>
      <c r="O15" s="166">
        <v>330</v>
      </c>
      <c r="P15" s="166">
        <v>2.25</v>
      </c>
      <c r="Q15"/>
      <c r="R15"/>
    </row>
    <row r="16" spans="1:18" x14ac:dyDescent="0.25">
      <c r="A16" s="166">
        <v>60.64</v>
      </c>
      <c r="B16" s="166">
        <v>0.35</v>
      </c>
      <c r="C16" s="166">
        <v>7.57</v>
      </c>
      <c r="D16" s="8">
        <v>42797.583333333336</v>
      </c>
      <c r="E16" s="166">
        <v>0.12</v>
      </c>
      <c r="F16" s="166" t="s">
        <v>812</v>
      </c>
      <c r="G16" s="166">
        <v>331.86</v>
      </c>
      <c r="H16" s="166">
        <v>0</v>
      </c>
      <c r="I16" s="166">
        <v>0</v>
      </c>
      <c r="J16" s="166">
        <v>1016.86</v>
      </c>
      <c r="K16" s="166" t="s">
        <v>811</v>
      </c>
      <c r="L16" s="166">
        <v>60.64</v>
      </c>
      <c r="M16" s="166">
        <v>1488574800</v>
      </c>
      <c r="N16" s="166">
        <v>5.24</v>
      </c>
      <c r="O16" s="166">
        <v>344</v>
      </c>
      <c r="P16" s="166">
        <v>1.63</v>
      </c>
      <c r="Q16"/>
      <c r="R16"/>
    </row>
    <row r="17" spans="1:18" x14ac:dyDescent="0.25">
      <c r="A17" s="166">
        <v>63.11</v>
      </c>
      <c r="B17" s="166">
        <v>0.28000000000000003</v>
      </c>
      <c r="C17" s="166">
        <v>7.77</v>
      </c>
      <c r="D17" s="8">
        <v>42797.625</v>
      </c>
      <c r="E17" s="166">
        <v>0.11</v>
      </c>
      <c r="F17" s="166" t="s">
        <v>812</v>
      </c>
      <c r="G17" s="166">
        <v>330.01</v>
      </c>
      <c r="H17" s="166">
        <v>0</v>
      </c>
      <c r="I17" s="166">
        <v>0</v>
      </c>
      <c r="J17" s="166">
        <v>1016.25</v>
      </c>
      <c r="K17" s="166" t="s">
        <v>811</v>
      </c>
      <c r="L17" s="166">
        <v>63.11</v>
      </c>
      <c r="M17" s="166">
        <v>1488578400</v>
      </c>
      <c r="N17" s="166">
        <v>5.29</v>
      </c>
      <c r="O17" s="166">
        <v>51</v>
      </c>
      <c r="P17" s="166">
        <v>1.1200000000000001</v>
      </c>
      <c r="Q17"/>
      <c r="R17"/>
    </row>
    <row r="18" spans="1:18" x14ac:dyDescent="0.25">
      <c r="A18" s="166">
        <v>63.2</v>
      </c>
      <c r="B18" s="166">
        <v>0.31</v>
      </c>
      <c r="C18" s="166">
        <v>6.03</v>
      </c>
      <c r="D18" s="8">
        <v>42797.666666666664</v>
      </c>
      <c r="E18" s="166">
        <v>0.1</v>
      </c>
      <c r="F18" s="166" t="s">
        <v>812</v>
      </c>
      <c r="G18" s="166">
        <v>328.06</v>
      </c>
      <c r="H18" s="166">
        <v>0</v>
      </c>
      <c r="I18" s="166">
        <v>0</v>
      </c>
      <c r="J18" s="166">
        <v>1015.86</v>
      </c>
      <c r="K18" s="166" t="s">
        <v>811</v>
      </c>
      <c r="L18" s="166">
        <v>63.2</v>
      </c>
      <c r="M18" s="166">
        <v>1488582000</v>
      </c>
      <c r="N18" s="166">
        <v>5.46</v>
      </c>
      <c r="O18" s="166">
        <v>139</v>
      </c>
      <c r="P18" s="166">
        <v>2.29</v>
      </c>
      <c r="Q18"/>
      <c r="R18"/>
    </row>
    <row r="19" spans="1:18" x14ac:dyDescent="0.25">
      <c r="A19" s="166">
        <v>60.43</v>
      </c>
      <c r="B19" s="166">
        <v>0.22</v>
      </c>
      <c r="C19" s="166">
        <v>3.17</v>
      </c>
      <c r="D19" s="8">
        <v>42797.708333333336</v>
      </c>
      <c r="E19" s="166">
        <v>0.1</v>
      </c>
      <c r="F19" s="166" t="s">
        <v>340</v>
      </c>
      <c r="G19" s="166">
        <v>326.92</v>
      </c>
      <c r="H19" s="166">
        <v>0</v>
      </c>
      <c r="I19" s="166">
        <v>0</v>
      </c>
      <c r="J19" s="166">
        <v>1015.76</v>
      </c>
      <c r="K19" s="166" t="s">
        <v>317</v>
      </c>
      <c r="L19" s="166">
        <v>60.43</v>
      </c>
      <c r="M19" s="166">
        <v>1488585600</v>
      </c>
      <c r="N19" s="166">
        <v>5.83</v>
      </c>
      <c r="O19" s="166">
        <v>128</v>
      </c>
      <c r="P19" s="166">
        <v>2.06</v>
      </c>
      <c r="Q19"/>
      <c r="R19"/>
    </row>
    <row r="20" spans="1:18" x14ac:dyDescent="0.25">
      <c r="A20" s="166">
        <v>56.56</v>
      </c>
      <c r="B20" s="166">
        <v>0.21</v>
      </c>
      <c r="C20" s="166">
        <v>2.97</v>
      </c>
      <c r="D20" s="8">
        <v>42797.75</v>
      </c>
      <c r="E20" s="166">
        <v>0.11</v>
      </c>
      <c r="F20" s="166" t="s">
        <v>316</v>
      </c>
      <c r="G20" s="166">
        <v>327.12</v>
      </c>
      <c r="H20" s="166">
        <v>0</v>
      </c>
      <c r="I20" s="166">
        <v>0</v>
      </c>
      <c r="J20" s="166">
        <v>1015.7</v>
      </c>
      <c r="K20" s="166" t="s">
        <v>317</v>
      </c>
      <c r="L20" s="166">
        <v>56.56</v>
      </c>
      <c r="M20" s="166">
        <v>1488589200</v>
      </c>
      <c r="N20" s="166">
        <v>6.51</v>
      </c>
      <c r="O20" s="166">
        <v>104</v>
      </c>
      <c r="P20" s="166">
        <v>1.92</v>
      </c>
      <c r="Q20"/>
      <c r="R20"/>
    </row>
    <row r="21" spans="1:18" x14ac:dyDescent="0.25">
      <c r="A21" s="166">
        <v>50.95</v>
      </c>
      <c r="B21" s="166">
        <v>0.16</v>
      </c>
      <c r="C21" s="166">
        <v>4.1900000000000004</v>
      </c>
      <c r="D21" s="8">
        <v>42797.791666666664</v>
      </c>
      <c r="E21" s="166">
        <v>0.14000000000000001</v>
      </c>
      <c r="F21" s="166" t="s">
        <v>316</v>
      </c>
      <c r="G21" s="166">
        <v>328.14</v>
      </c>
      <c r="H21" s="166">
        <v>0</v>
      </c>
      <c r="I21" s="166">
        <v>0</v>
      </c>
      <c r="J21" s="166">
        <v>1016.11</v>
      </c>
      <c r="K21" s="166" t="s">
        <v>317</v>
      </c>
      <c r="L21" s="166">
        <v>50.95</v>
      </c>
      <c r="M21" s="166">
        <v>1488592800</v>
      </c>
      <c r="N21" s="166">
        <v>7.64</v>
      </c>
      <c r="O21" s="166">
        <v>195</v>
      </c>
      <c r="P21" s="166">
        <v>0.87</v>
      </c>
      <c r="Q21"/>
      <c r="R21"/>
    </row>
    <row r="22" spans="1:18" x14ac:dyDescent="0.25">
      <c r="A22" s="166">
        <v>47.4</v>
      </c>
      <c r="B22" s="166">
        <v>0.12</v>
      </c>
      <c r="C22" s="166">
        <v>5.39</v>
      </c>
      <c r="D22" s="8">
        <v>42797.833333333336</v>
      </c>
      <c r="E22" s="166">
        <v>0.17</v>
      </c>
      <c r="F22" s="166" t="s">
        <v>316</v>
      </c>
      <c r="G22" s="166">
        <v>329.27</v>
      </c>
      <c r="H22" s="166">
        <v>0</v>
      </c>
      <c r="I22" s="166">
        <v>0</v>
      </c>
      <c r="J22" s="166">
        <v>1016.76</v>
      </c>
      <c r="K22" s="166" t="s">
        <v>317</v>
      </c>
      <c r="L22" s="166">
        <v>47.4</v>
      </c>
      <c r="M22" s="166">
        <v>1488596400</v>
      </c>
      <c r="N22" s="166">
        <v>6.55</v>
      </c>
      <c r="O22" s="166">
        <v>232</v>
      </c>
      <c r="P22" s="166">
        <v>1.82</v>
      </c>
      <c r="Q22"/>
      <c r="R22"/>
    </row>
    <row r="23" spans="1:18" x14ac:dyDescent="0.25">
      <c r="A23" s="166">
        <v>43.79</v>
      </c>
      <c r="B23" s="166">
        <v>0.14000000000000001</v>
      </c>
      <c r="C23" s="166">
        <v>5.84</v>
      </c>
      <c r="D23" s="8">
        <v>42797.875</v>
      </c>
      <c r="E23" s="166">
        <v>0.2</v>
      </c>
      <c r="F23" s="166" t="s">
        <v>316</v>
      </c>
      <c r="G23" s="166">
        <v>330.39</v>
      </c>
      <c r="H23" s="166">
        <v>0</v>
      </c>
      <c r="I23" s="166">
        <v>0</v>
      </c>
      <c r="J23" s="166">
        <v>1017.73</v>
      </c>
      <c r="K23" s="166" t="s">
        <v>317</v>
      </c>
      <c r="L23" s="166">
        <v>43.79</v>
      </c>
      <c r="M23" s="166">
        <v>1488600000</v>
      </c>
      <c r="N23" s="166">
        <v>5.58</v>
      </c>
      <c r="O23" s="166">
        <v>217</v>
      </c>
      <c r="P23" s="166">
        <v>1.41</v>
      </c>
      <c r="Q23"/>
      <c r="R23"/>
    </row>
    <row r="24" spans="1:18" x14ac:dyDescent="0.25">
      <c r="A24" s="166">
        <v>40.659999999999997</v>
      </c>
      <c r="B24" s="166">
        <v>0.11</v>
      </c>
      <c r="C24" s="166">
        <v>8.58</v>
      </c>
      <c r="D24" s="8">
        <v>42797.916666666664</v>
      </c>
      <c r="E24" s="166">
        <v>0.26</v>
      </c>
      <c r="F24" s="166" t="s">
        <v>316</v>
      </c>
      <c r="G24" s="166">
        <v>331.63</v>
      </c>
      <c r="H24" s="166">
        <v>0</v>
      </c>
      <c r="I24" s="166">
        <v>0</v>
      </c>
      <c r="J24" s="166">
        <v>1018.96</v>
      </c>
      <c r="K24" s="166" t="s">
        <v>317</v>
      </c>
      <c r="L24" s="166">
        <v>40.659999999999997</v>
      </c>
      <c r="M24" s="166">
        <v>1488603600</v>
      </c>
      <c r="N24" s="166">
        <v>5.41</v>
      </c>
      <c r="O24" s="166">
        <v>246</v>
      </c>
      <c r="P24" s="166">
        <v>1.73</v>
      </c>
      <c r="Q24"/>
      <c r="R24"/>
    </row>
    <row r="25" spans="1:18" x14ac:dyDescent="0.25">
      <c r="A25" s="166">
        <v>37.19</v>
      </c>
      <c r="B25" s="166">
        <v>0.08</v>
      </c>
      <c r="C25" s="166">
        <v>8.56</v>
      </c>
      <c r="D25" s="8">
        <v>42797.958333333336</v>
      </c>
      <c r="E25" s="166">
        <v>0.3</v>
      </c>
      <c r="F25" s="166" t="s">
        <v>316</v>
      </c>
      <c r="G25" s="166">
        <v>332.67</v>
      </c>
      <c r="H25" s="166">
        <v>0</v>
      </c>
      <c r="I25" s="166">
        <v>0</v>
      </c>
      <c r="J25" s="166">
        <v>1019.82</v>
      </c>
      <c r="K25" s="166" t="s">
        <v>317</v>
      </c>
      <c r="L25" s="166">
        <v>37.19</v>
      </c>
      <c r="M25" s="166">
        <v>1488607200</v>
      </c>
      <c r="N25" s="166">
        <v>5.58</v>
      </c>
      <c r="O25" s="166">
        <v>229</v>
      </c>
      <c r="P25" s="166">
        <v>2.2799999999999998</v>
      </c>
      <c r="Q25"/>
      <c r="R25"/>
    </row>
    <row r="26" spans="1:18" x14ac:dyDescent="0.25">
      <c r="A26" s="166">
        <v>36.6</v>
      </c>
      <c r="B26" s="166">
        <v>0.11</v>
      </c>
      <c r="C26" s="166">
        <v>8.75</v>
      </c>
      <c r="D26" s="8">
        <v>42798</v>
      </c>
      <c r="E26" s="166">
        <v>0.31</v>
      </c>
      <c r="F26" s="166" t="s">
        <v>316</v>
      </c>
      <c r="G26" s="166">
        <v>333.22</v>
      </c>
      <c r="H26" s="166">
        <v>0</v>
      </c>
      <c r="I26" s="166">
        <v>0</v>
      </c>
      <c r="J26" s="166">
        <v>1019.78</v>
      </c>
      <c r="K26" s="166" t="s">
        <v>317</v>
      </c>
      <c r="L26" s="166">
        <v>36.6</v>
      </c>
      <c r="M26" s="166">
        <v>1488610800</v>
      </c>
      <c r="N26" s="166">
        <v>5.72</v>
      </c>
      <c r="O26" s="166">
        <v>204</v>
      </c>
      <c r="P26" s="166">
        <v>2.13</v>
      </c>
      <c r="Q26"/>
      <c r="R26"/>
    </row>
    <row r="27" spans="1:18" x14ac:dyDescent="0.25">
      <c r="A27" s="166">
        <v>36.33</v>
      </c>
      <c r="B27" s="166">
        <v>0.13</v>
      </c>
      <c r="C27" s="166">
        <v>8.8699999999999992</v>
      </c>
      <c r="D27" s="8">
        <v>42798.041666666664</v>
      </c>
      <c r="E27" s="166">
        <v>0.31</v>
      </c>
      <c r="F27" s="166" t="s">
        <v>316</v>
      </c>
      <c r="G27" s="166">
        <v>333.77</v>
      </c>
      <c r="H27" s="166">
        <v>0</v>
      </c>
      <c r="I27" s="166">
        <v>0</v>
      </c>
      <c r="J27" s="166">
        <v>1019.79</v>
      </c>
      <c r="K27" s="166" t="s">
        <v>317</v>
      </c>
      <c r="L27" s="166">
        <v>36.33</v>
      </c>
      <c r="M27" s="166">
        <v>1488614400</v>
      </c>
      <c r="N27" s="166">
        <v>5.57</v>
      </c>
      <c r="O27" s="166">
        <v>216</v>
      </c>
      <c r="P27" s="166">
        <v>2.78</v>
      </c>
      <c r="Q27"/>
      <c r="R27"/>
    </row>
    <row r="28" spans="1:18" x14ac:dyDescent="0.25">
      <c r="A28" s="166">
        <v>35.25</v>
      </c>
      <c r="B28" s="166">
        <v>0.09</v>
      </c>
      <c r="C28" s="166">
        <v>10.17</v>
      </c>
      <c r="D28" s="8">
        <v>42798.083333333336</v>
      </c>
      <c r="E28" s="166">
        <v>0.35</v>
      </c>
      <c r="F28" s="166" t="s">
        <v>316</v>
      </c>
      <c r="G28" s="166">
        <v>334.32</v>
      </c>
      <c r="H28" s="166">
        <v>0</v>
      </c>
      <c r="I28" s="166">
        <v>0</v>
      </c>
      <c r="J28" s="166">
        <v>1019.8</v>
      </c>
      <c r="K28" s="166" t="s">
        <v>317</v>
      </c>
      <c r="L28" s="166">
        <v>35.25</v>
      </c>
      <c r="M28" s="166">
        <v>1488618000</v>
      </c>
      <c r="N28" s="166">
        <v>10</v>
      </c>
      <c r="O28" s="166">
        <v>210</v>
      </c>
      <c r="P28" s="166">
        <v>1.61</v>
      </c>
      <c r="Q28"/>
      <c r="R28"/>
    </row>
    <row r="29" spans="1:18" x14ac:dyDescent="0.25">
      <c r="A29" s="166">
        <v>34.82</v>
      </c>
      <c r="B29" s="166">
        <v>0.18</v>
      </c>
      <c r="C29" s="166">
        <v>10.4</v>
      </c>
      <c r="D29" s="8">
        <v>42798.125</v>
      </c>
      <c r="E29" s="166">
        <v>0.36</v>
      </c>
      <c r="F29" s="166" t="s">
        <v>316</v>
      </c>
      <c r="G29" s="166">
        <v>335.1</v>
      </c>
      <c r="H29" s="166">
        <v>0</v>
      </c>
      <c r="I29" s="166">
        <v>0</v>
      </c>
      <c r="J29" s="166">
        <v>1019.68</v>
      </c>
      <c r="K29" s="166" t="s">
        <v>317</v>
      </c>
      <c r="L29" s="166">
        <v>34.82</v>
      </c>
      <c r="M29" s="166">
        <v>1488621600</v>
      </c>
      <c r="N29" s="166">
        <v>10</v>
      </c>
      <c r="O29" s="166">
        <v>220</v>
      </c>
      <c r="P29" s="166">
        <v>2.85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6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42797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6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6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6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6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6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6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6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6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6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6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6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6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984</v>
      </c>
      <c r="J18" s="160" t="s">
        <v>85</v>
      </c>
      <c r="K18" s="161"/>
      <c r="L18" s="161"/>
      <c r="M18" s="166" t="str">
        <f>"""C:\Program Files (x86)\AstroGrep\AstroGrep.exe"""</f>
        <v>"C:\Program Files (x86)\AstroGrep\AstroGrep.exe"</v>
      </c>
    </row>
    <row r="19" spans="3:14" x14ac:dyDescent="0.25">
      <c r="C19" t="s">
        <v>985</v>
      </c>
      <c r="J19" s="160" t="s">
        <v>86</v>
      </c>
      <c r="K19" s="161"/>
      <c r="L19" s="161"/>
      <c r="M19" s="166" t="s">
        <v>112</v>
      </c>
    </row>
    <row r="20" spans="3:14" x14ac:dyDescent="0.25">
      <c r="C20" t="s">
        <v>986</v>
      </c>
      <c r="J20" s="152" t="s">
        <v>87</v>
      </c>
      <c r="M20" s="166" t="s">
        <v>283</v>
      </c>
      <c r="N20" s="166" t="s">
        <v>263</v>
      </c>
    </row>
    <row r="21" spans="3:14" x14ac:dyDescent="0.25">
      <c r="C21" t="s">
        <v>987</v>
      </c>
      <c r="J21" s="152" t="s">
        <v>90</v>
      </c>
      <c r="K21" s="152" t="s">
        <v>91</v>
      </c>
      <c r="M21" s="166" t="s">
        <v>178</v>
      </c>
    </row>
    <row r="22" spans="3:14" x14ac:dyDescent="0.25">
      <c r="C22" t="s">
        <v>988</v>
      </c>
      <c r="J22" s="152" t="s">
        <v>92</v>
      </c>
      <c r="K22" s="152" t="s">
        <v>93</v>
      </c>
      <c r="M22" s="166" t="s">
        <v>111</v>
      </c>
    </row>
    <row r="23" spans="3:14" x14ac:dyDescent="0.25">
      <c r="C23" t="s">
        <v>989</v>
      </c>
      <c r="J23" s="162" t="s">
        <v>95</v>
      </c>
      <c r="M23" s="166" t="str">
        <f>"-07"</f>
        <v>-07</v>
      </c>
    </row>
    <row r="24" spans="3:14" x14ac:dyDescent="0.25">
      <c r="C24" t="s">
        <v>990</v>
      </c>
      <c r="J24" s="152" t="s">
        <v>108</v>
      </c>
      <c r="M24" s="166" t="s">
        <v>110</v>
      </c>
    </row>
    <row r="25" spans="3:14" x14ac:dyDescent="0.25">
      <c r="C25" t="s">
        <v>991</v>
      </c>
      <c r="J25" s="152" t="s">
        <v>150</v>
      </c>
      <c r="M25" s="166" t="b">
        <v>1</v>
      </c>
    </row>
    <row r="26" spans="3:14" x14ac:dyDescent="0.25">
      <c r="C26" t="s">
        <v>992</v>
      </c>
      <c r="J26" s="152" t="s">
        <v>151</v>
      </c>
      <c r="M26" s="166" t="str">
        <f>"C:\Users\stu\Documents\GitHub\eaglep3-reporting\EC\"&amp;TEXT(A2,"yyyy-mm-dd")&amp;"-refined-times.txt"</f>
        <v>C:\Users\stu\Documents\GitHub\eaglep3-reporting\EC\2017-03-03-refined-times.txt</v>
      </c>
    </row>
    <row r="27" spans="3:14" x14ac:dyDescent="0.25">
      <c r="C27" t="s">
        <v>993</v>
      </c>
      <c r="J27" s="152" t="s">
        <v>180</v>
      </c>
      <c r="M27" s="166" t="str">
        <f>"C:\Users\stu\Documents\GitHub\eaglep3-reporting\EC\"&amp;TEXT(A2,"YYYY-MM-DD")&amp;"-Enforcements.txt"</f>
        <v>C:\Users\stu\Documents\GitHub\eaglep3-reporting\EC\2017-03-03-Enforcements.txt</v>
      </c>
    </row>
    <row r="28" spans="3:14" x14ac:dyDescent="0.25">
      <c r="C28" t="s">
        <v>994</v>
      </c>
      <c r="J28" s="152" t="s">
        <v>181</v>
      </c>
      <c r="M28" s="166" t="str">
        <f>"C:\Users\stu\Documents\GitHub\eaglep3-reporting\EC\"&amp;TEXT(A2,"YYYY-MM-DD")&amp;"-Runs-refined.txt"</f>
        <v>C:\Users\stu\Documents\GitHub\eaglep3-reporting\EC\2017-03-03-Runs-refined.txt</v>
      </c>
    </row>
    <row r="29" spans="3:14" x14ac:dyDescent="0.25">
      <c r="C29" t="s">
        <v>995</v>
      </c>
      <c r="J29" s="152" t="s">
        <v>182</v>
      </c>
      <c r="M29" s="166" t="str">
        <f>"C:\Users\stu\Documents\GitHub\eaglep3-reporting\EC\"&amp;TEXT(A2,"YYYY-MM-DD")&amp;"-Trips.txt"</f>
        <v>C:\Users\stu\Documents\GitHub\eaglep3-reporting\EC\2017-03-03-Trips.txt</v>
      </c>
    </row>
    <row r="30" spans="3:14" x14ac:dyDescent="0.25">
      <c r="C30" t="s">
        <v>996</v>
      </c>
      <c r="J30" s="152" t="s">
        <v>183</v>
      </c>
      <c r="M30" s="166" t="str">
        <f>"C:\Users\stu\Documents\GitHub\eaglep3-reporting\EC\"&amp;TEXT(A2,"YYYY-MM-DD")&amp;"-Weather.txt"</f>
        <v>C:\Users\stu\Documents\GitHub\eaglep3-reporting\EC\2017-03-03-Weather.txt</v>
      </c>
    </row>
    <row r="31" spans="3:14" x14ac:dyDescent="0.25">
      <c r="C31" t="s">
        <v>997</v>
      </c>
      <c r="J31" s="152" t="s">
        <v>208</v>
      </c>
      <c r="M31" s="166" t="s">
        <v>209</v>
      </c>
    </row>
    <row r="32" spans="3:14" x14ac:dyDescent="0.25">
      <c r="C32" t="s">
        <v>998</v>
      </c>
    </row>
    <row r="33" spans="3:3" x14ac:dyDescent="0.25">
      <c r="C33" t="s">
        <v>999</v>
      </c>
    </row>
    <row r="34" spans="3:3" x14ac:dyDescent="0.25">
      <c r="C34" t="s">
        <v>1000</v>
      </c>
    </row>
    <row r="35" spans="3:3" x14ac:dyDescent="0.25">
      <c r="C35" t="s">
        <v>1001</v>
      </c>
    </row>
    <row r="36" spans="3:3" x14ac:dyDescent="0.25">
      <c r="C36" t="s">
        <v>1002</v>
      </c>
    </row>
    <row r="37" spans="3:3" x14ac:dyDescent="0.25">
      <c r="C37" t="s">
        <v>1003</v>
      </c>
    </row>
    <row r="38" spans="3:3" x14ac:dyDescent="0.25">
      <c r="C38" t="s">
        <v>1004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361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362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363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364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365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366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367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368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369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370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371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372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373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374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375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376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377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378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379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380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381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382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383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384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385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386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387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388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389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390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391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392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393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394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395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396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397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398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399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400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401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402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403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404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405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406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407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408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409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410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411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412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413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414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415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416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417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418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419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420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421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422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423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424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425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426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427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428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429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430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431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432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433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434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435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436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437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438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439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440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441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442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443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444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445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446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447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448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449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450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451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452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453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454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455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456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457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458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459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460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461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462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463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464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465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466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467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468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469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470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471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472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473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474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475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476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477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478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479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480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481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482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483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484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485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486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487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488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489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490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2017-03-06T20:48:49Z</dcterms:modified>
</cp:coreProperties>
</file>