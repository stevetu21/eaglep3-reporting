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Trips'!$A$2:$J$40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79" i="1" l="1"/>
  <c r="N179" i="1"/>
  <c r="S176" i="1"/>
  <c r="N176" i="1"/>
  <c r="S173" i="1"/>
  <c r="N173" i="1"/>
  <c r="S170" i="1"/>
  <c r="N170" i="1"/>
  <c r="S167" i="1"/>
  <c r="N167" i="1"/>
  <c r="S164" i="1"/>
  <c r="N164" i="1"/>
  <c r="X200" i="1"/>
  <c r="X201" i="1"/>
  <c r="X202" i="1"/>
  <c r="X203" i="1"/>
  <c r="X20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/>
  <c r="V17" i="1"/>
  <c r="Y17" i="1"/>
  <c r="AA17" i="1" s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/>
  <c r="V25" i="1"/>
  <c r="X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AA38" i="1" s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P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 s="1"/>
  <c r="T121" i="1"/>
  <c r="V121" i="1"/>
  <c r="X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27" i="3" s="1"/>
  <c r="Y127" i="1"/>
  <c r="Z127" i="1"/>
  <c r="AB127" i="1"/>
  <c r="AC127" i="1"/>
  <c r="AD127" i="1"/>
  <c r="X128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X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P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1" i="1"/>
  <c r="AM161" i="1"/>
  <c r="AN161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2" i="1"/>
  <c r="AM162" i="1"/>
  <c r="AN162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3" i="1"/>
  <c r="AM163" i="1"/>
  <c r="AN163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4" i="1"/>
  <c r="AM164" i="1"/>
  <c r="AN164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5" i="1"/>
  <c r="AM165" i="1"/>
  <c r="AN165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6" i="1"/>
  <c r="AM166" i="1"/>
  <c r="AN166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167" i="1"/>
  <c r="AM167" i="1"/>
  <c r="AN16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8" i="1"/>
  <c r="AM168" i="1"/>
  <c r="AN168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5" i="1"/>
  <c r="AM175" i="1"/>
  <c r="AN17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6" i="1"/>
  <c r="AM176" i="1"/>
  <c r="AN17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77" i="1"/>
  <c r="AM177" i="1"/>
  <c r="AN177" i="1"/>
  <c r="K238" i="1"/>
  <c r="L238" i="1"/>
  <c r="M238" i="1"/>
  <c r="N238" i="1" s="1"/>
  <c r="V238" i="1"/>
  <c r="S43" i="3" s="1"/>
  <c r="Y238" i="1"/>
  <c r="Z238" i="1"/>
  <c r="AB238" i="1"/>
  <c r="AC238" i="1"/>
  <c r="AD238" i="1"/>
  <c r="AE238" i="1"/>
  <c r="R43" i="3" s="1"/>
  <c r="AF238" i="1"/>
  <c r="AH178" i="1"/>
  <c r="AM178" i="1"/>
  <c r="AN178" i="1"/>
  <c r="K239" i="1"/>
  <c r="L239" i="1"/>
  <c r="M239" i="1"/>
  <c r="N239" i="1" s="1"/>
  <c r="V239" i="1"/>
  <c r="S42" i="3" s="1"/>
  <c r="Y239" i="1"/>
  <c r="Z239" i="1"/>
  <c r="AB239" i="1"/>
  <c r="AC239" i="1"/>
  <c r="AD239" i="1"/>
  <c r="T239" i="1" s="1"/>
  <c r="AE239" i="1"/>
  <c r="R42" i="3" s="1"/>
  <c r="AF239" i="1"/>
  <c r="AH179" i="1"/>
  <c r="AM179" i="1"/>
  <c r="AN17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0" i="1"/>
  <c r="AM180" i="1"/>
  <c r="AN180" i="1"/>
  <c r="K241" i="1"/>
  <c r="L241" i="1"/>
  <c r="M241" i="1"/>
  <c r="N241" i="1" s="1"/>
  <c r="V241" i="1"/>
  <c r="Y241" i="1"/>
  <c r="Z241" i="1"/>
  <c r="AB241" i="1"/>
  <c r="AC241" i="1"/>
  <c r="AD241" i="1"/>
  <c r="X241" i="1" s="1"/>
  <c r="AE241" i="1"/>
  <c r="AF241" i="1"/>
  <c r="AH181" i="1"/>
  <c r="AM181" i="1"/>
  <c r="AN181" i="1"/>
  <c r="K242" i="1"/>
  <c r="L242" i="1"/>
  <c r="M242" i="1"/>
  <c r="N242" i="1" s="1"/>
  <c r="V242" i="1"/>
  <c r="Y242" i="1"/>
  <c r="Z242" i="1"/>
  <c r="AA242" i="1" s="1"/>
  <c r="AB242" i="1"/>
  <c r="AC242" i="1"/>
  <c r="AD242" i="1"/>
  <c r="AE242" i="1"/>
  <c r="AF242" i="1"/>
  <c r="AH182" i="1"/>
  <c r="AM182" i="1"/>
  <c r="AN182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3" i="1"/>
  <c r="AM183" i="1"/>
  <c r="AN18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4" i="1"/>
  <c r="AM184" i="1"/>
  <c r="AN184" i="1"/>
  <c r="K245" i="1"/>
  <c r="L245" i="1"/>
  <c r="M245" i="1"/>
  <c r="N245" i="1" s="1"/>
  <c r="V245" i="1"/>
  <c r="Y245" i="1"/>
  <c r="Z245" i="1"/>
  <c r="AB245" i="1"/>
  <c r="AC245" i="1"/>
  <c r="AD245" i="1"/>
  <c r="X245" i="1" s="1"/>
  <c r="AE245" i="1"/>
  <c r="AF245" i="1"/>
  <c r="AH185" i="1"/>
  <c r="AM185" i="1"/>
  <c r="AN185" i="1"/>
  <c r="K161" i="1"/>
  <c r="L161" i="1"/>
  <c r="M161" i="1"/>
  <c r="N161" i="1" s="1"/>
  <c r="V161" i="1"/>
  <c r="S32" i="3" s="1"/>
  <c r="Y161" i="1"/>
  <c r="Z161" i="1"/>
  <c r="AA161" i="1" s="1"/>
  <c r="AB161" i="1"/>
  <c r="AC161" i="1"/>
  <c r="AD161" i="1"/>
  <c r="AE161" i="1"/>
  <c r="R32" i="3" s="1"/>
  <c r="AF161" i="1"/>
  <c r="AH186" i="1"/>
  <c r="AM186" i="1"/>
  <c r="AN186" i="1"/>
  <c r="K162" i="1"/>
  <c r="L162" i="1"/>
  <c r="M162" i="1"/>
  <c r="V162" i="1"/>
  <c r="Y162" i="1"/>
  <c r="Z162" i="1"/>
  <c r="AA162" i="1" s="1"/>
  <c r="AB162" i="1"/>
  <c r="AC162" i="1"/>
  <c r="AD162" i="1"/>
  <c r="T162" i="1" s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8" i="1"/>
  <c r="AM188" i="1"/>
  <c r="AN188" i="1"/>
  <c r="K164" i="1"/>
  <c r="L164" i="1"/>
  <c r="M164" i="1"/>
  <c r="V164" i="1"/>
  <c r="S33" i="3" s="1"/>
  <c r="Y164" i="1"/>
  <c r="Z164" i="1"/>
  <c r="AB164" i="1"/>
  <c r="AC164" i="1"/>
  <c r="AD164" i="1"/>
  <c r="X164" i="1" s="1"/>
  <c r="AE164" i="1"/>
  <c r="AF164" i="1"/>
  <c r="AH189" i="1"/>
  <c r="AM189" i="1"/>
  <c r="AN189" i="1"/>
  <c r="K165" i="1"/>
  <c r="L165" i="1"/>
  <c r="M165" i="1"/>
  <c r="V165" i="1"/>
  <c r="Y165" i="1"/>
  <c r="Z165" i="1"/>
  <c r="AB165" i="1"/>
  <c r="AC165" i="1"/>
  <c r="AD165" i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1" i="1"/>
  <c r="AM191" i="1"/>
  <c r="AN191" i="1"/>
  <c r="K167" i="1"/>
  <c r="L167" i="1"/>
  <c r="M167" i="1"/>
  <c r="V167" i="1"/>
  <c r="S34" i="3" s="1"/>
  <c r="Y167" i="1"/>
  <c r="Z167" i="1"/>
  <c r="AB167" i="1"/>
  <c r="AC167" i="1"/>
  <c r="AD167" i="1"/>
  <c r="T167" i="1" s="1"/>
  <c r="AE167" i="1"/>
  <c r="R34" i="3" s="1"/>
  <c r="AF167" i="1"/>
  <c r="AH192" i="1"/>
  <c r="AM192" i="1"/>
  <c r="AN192" i="1"/>
  <c r="K168" i="1"/>
  <c r="L168" i="1"/>
  <c r="M168" i="1"/>
  <c r="T168" i="1"/>
  <c r="V168" i="1"/>
  <c r="X168" i="1"/>
  <c r="Y168" i="1"/>
  <c r="Z168" i="1"/>
  <c r="AB168" i="1"/>
  <c r="AC168" i="1"/>
  <c r="AD168" i="1"/>
  <c r="AE168" i="1"/>
  <c r="AF168" i="1"/>
  <c r="AH193" i="1"/>
  <c r="AM193" i="1"/>
  <c r="AN19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94" i="1"/>
  <c r="AM194" i="1"/>
  <c r="AN194" i="1"/>
  <c r="K170" i="1"/>
  <c r="L170" i="1"/>
  <c r="M170" i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K171" i="1"/>
  <c r="L171" i="1"/>
  <c r="M171" i="1"/>
  <c r="V171" i="1"/>
  <c r="Y171" i="1"/>
  <c r="Z171" i="1"/>
  <c r="AB171" i="1"/>
  <c r="AC171" i="1"/>
  <c r="AD171" i="1"/>
  <c r="T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7" i="1"/>
  <c r="AM197" i="1"/>
  <c r="AN197" i="1"/>
  <c r="K173" i="1"/>
  <c r="L173" i="1"/>
  <c r="M173" i="1"/>
  <c r="V173" i="1"/>
  <c r="S35" i="3" s="1"/>
  <c r="Y173" i="1"/>
  <c r="Z173" i="1"/>
  <c r="AB173" i="1"/>
  <c r="AC173" i="1"/>
  <c r="AD173" i="1"/>
  <c r="AE173" i="1"/>
  <c r="R35" i="3" s="1"/>
  <c r="AF173" i="1"/>
  <c r="AH198" i="1"/>
  <c r="AM198" i="1"/>
  <c r="AN198" i="1"/>
  <c r="K174" i="1"/>
  <c r="L174" i="1"/>
  <c r="M174" i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V177" i="1"/>
  <c r="Y177" i="1"/>
  <c r="Z177" i="1"/>
  <c r="AB177" i="1"/>
  <c r="AC177" i="1"/>
  <c r="AD177" i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2" i="1"/>
  <c r="AM202" i="1"/>
  <c r="AN202" i="1"/>
  <c r="K179" i="1"/>
  <c r="L179" i="1"/>
  <c r="M179" i="1"/>
  <c r="V179" i="1"/>
  <c r="Y179" i="1"/>
  <c r="Z179" i="1"/>
  <c r="AB179" i="1"/>
  <c r="AC179" i="1"/>
  <c r="AD179" i="1"/>
  <c r="T179" i="1" s="1"/>
  <c r="AE179" i="1"/>
  <c r="R36" i="3" s="1"/>
  <c r="AF179" i="1"/>
  <c r="AH203" i="1"/>
  <c r="AM203" i="1"/>
  <c r="AN203" i="1"/>
  <c r="K180" i="1"/>
  <c r="L180" i="1"/>
  <c r="M180" i="1"/>
  <c r="V180" i="1"/>
  <c r="Y180" i="1"/>
  <c r="Z180" i="1"/>
  <c r="AB180" i="1"/>
  <c r="AC180" i="1"/>
  <c r="AD180" i="1"/>
  <c r="X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V188" i="1"/>
  <c r="S29" i="3" s="1"/>
  <c r="Y188" i="1"/>
  <c r="Z188" i="1"/>
  <c r="AB188" i="1"/>
  <c r="AC188" i="1"/>
  <c r="AD188" i="1"/>
  <c r="AE188" i="1"/>
  <c r="R29" i="3" s="1"/>
  <c r="AF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 s="1"/>
  <c r="V199" i="1"/>
  <c r="S38" i="3" s="1"/>
  <c r="Y199" i="1"/>
  <c r="Z199" i="1"/>
  <c r="AB199" i="1"/>
  <c r="AC199" i="1"/>
  <c r="AD199" i="1"/>
  <c r="T199" i="1" s="1"/>
  <c r="AE199" i="1"/>
  <c r="R38" i="3" s="1"/>
  <c r="AF199" i="1"/>
  <c r="AH223" i="1"/>
  <c r="AM223" i="1"/>
  <c r="AN223" i="1"/>
  <c r="AH224" i="1"/>
  <c r="AM224" i="1"/>
  <c r="AN224" i="1"/>
  <c r="K200" i="1"/>
  <c r="L200" i="1"/>
  <c r="M200" i="1"/>
  <c r="N200" i="1" s="1"/>
  <c r="V200" i="1"/>
  <c r="S30" i="3" s="1"/>
  <c r="Y200" i="1"/>
  <c r="Z200" i="1"/>
  <c r="AB200" i="1"/>
  <c r="AC200" i="1"/>
  <c r="AD200" i="1"/>
  <c r="AE200" i="1"/>
  <c r="R30" i="3" s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8" i="1"/>
  <c r="AM228" i="1"/>
  <c r="AN228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9" i="1"/>
  <c r="AM229" i="1"/>
  <c r="AN22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0" i="1"/>
  <c r="AM230" i="1"/>
  <c r="AN23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1" i="1"/>
  <c r="AM231" i="1"/>
  <c r="AN231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2" i="1"/>
  <c r="AM232" i="1"/>
  <c r="AN232" i="1"/>
  <c r="K208" i="1"/>
  <c r="L208" i="1"/>
  <c r="M208" i="1"/>
  <c r="N208" i="1"/>
  <c r="V208" i="1"/>
  <c r="Y208" i="1"/>
  <c r="Z208" i="1"/>
  <c r="AB208" i="1"/>
  <c r="AC208" i="1"/>
  <c r="AD208" i="1"/>
  <c r="AE208" i="1"/>
  <c r="AF208" i="1"/>
  <c r="AH233" i="1"/>
  <c r="AM233" i="1"/>
  <c r="AN23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4" i="1"/>
  <c r="AM234" i="1"/>
  <c r="AN234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35" i="1"/>
  <c r="AM235" i="1"/>
  <c r="AN235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36" i="1"/>
  <c r="AM236" i="1"/>
  <c r="AN236" i="1"/>
  <c r="K212" i="1"/>
  <c r="L212" i="1"/>
  <c r="M212" i="1"/>
  <c r="N212" i="1" s="1"/>
  <c r="V212" i="1"/>
  <c r="S37" i="3" s="1"/>
  <c r="Y212" i="1"/>
  <c r="Z212" i="1"/>
  <c r="AB212" i="1"/>
  <c r="AC212" i="1"/>
  <c r="AD212" i="1"/>
  <c r="AE212" i="1"/>
  <c r="R37" i="3" s="1"/>
  <c r="AF212" i="1"/>
  <c r="AH237" i="1"/>
  <c r="AM237" i="1"/>
  <c r="AN23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38" i="1"/>
  <c r="AM238" i="1"/>
  <c r="AN23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39" i="1"/>
  <c r="AM239" i="1"/>
  <c r="AN239" i="1"/>
  <c r="K229" i="1"/>
  <c r="L229" i="1"/>
  <c r="M229" i="1"/>
  <c r="N229" i="1" s="1"/>
  <c r="V229" i="1"/>
  <c r="S40" i="3" s="1"/>
  <c r="Y229" i="1"/>
  <c r="Z229" i="1"/>
  <c r="AB229" i="1"/>
  <c r="AC229" i="1"/>
  <c r="AD229" i="1"/>
  <c r="T229" i="1" s="1"/>
  <c r="AE229" i="1"/>
  <c r="R40" i="3" s="1"/>
  <c r="AF229" i="1"/>
  <c r="AH240" i="1"/>
  <c r="AM240" i="1"/>
  <c r="AN240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41" i="1"/>
  <c r="AM241" i="1"/>
  <c r="AN241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42" i="1"/>
  <c r="AM242" i="1"/>
  <c r="AN242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43" i="1"/>
  <c r="AM243" i="1"/>
  <c r="AN243" i="1"/>
  <c r="K233" i="1"/>
  <c r="L233" i="1"/>
  <c r="M233" i="1"/>
  <c r="N233" i="1" s="1"/>
  <c r="V233" i="1"/>
  <c r="S39" i="3" s="1"/>
  <c r="Y233" i="1"/>
  <c r="Z233" i="1"/>
  <c r="AB233" i="1"/>
  <c r="AC233" i="1"/>
  <c r="AD233" i="1"/>
  <c r="T233" i="1" s="1"/>
  <c r="AE233" i="1"/>
  <c r="AF233" i="1"/>
  <c r="AH244" i="1"/>
  <c r="AM244" i="1"/>
  <c r="AN244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45" i="1"/>
  <c r="AM245" i="1"/>
  <c r="AN245" i="1"/>
  <c r="M40" i="3"/>
  <c r="U40" i="3"/>
  <c r="T40" i="3" s="1"/>
  <c r="V40" i="3"/>
  <c r="X40" i="3"/>
  <c r="M32" i="3"/>
  <c r="U32" i="3"/>
  <c r="AC32" i="3" s="1"/>
  <c r="V32" i="3"/>
  <c r="X32" i="3"/>
  <c r="M33" i="3"/>
  <c r="R33" i="3"/>
  <c r="U33" i="3"/>
  <c r="AC33" i="3" s="1"/>
  <c r="V33" i="3"/>
  <c r="X33" i="3"/>
  <c r="M13" i="3"/>
  <c r="R13" i="3"/>
  <c r="S13" i="3"/>
  <c r="U13" i="3"/>
  <c r="AC13" i="3" s="1"/>
  <c r="V13" i="3"/>
  <c r="X13" i="3"/>
  <c r="M20" i="3"/>
  <c r="R20" i="3"/>
  <c r="S20" i="3"/>
  <c r="U20" i="3"/>
  <c r="T20" i="3" s="1"/>
  <c r="V20" i="3"/>
  <c r="X20" i="3"/>
  <c r="M16" i="3"/>
  <c r="R16" i="3"/>
  <c r="S16" i="3"/>
  <c r="U16" i="3"/>
  <c r="AC16" i="3" s="1"/>
  <c r="V16" i="3"/>
  <c r="X16" i="3"/>
  <c r="M34" i="3"/>
  <c r="U34" i="3"/>
  <c r="AC34" i="3" s="1"/>
  <c r="V34" i="3"/>
  <c r="X34" i="3"/>
  <c r="M28" i="3"/>
  <c r="R28" i="3"/>
  <c r="S28" i="3"/>
  <c r="U28" i="3"/>
  <c r="AC28" i="3" s="1"/>
  <c r="V28" i="3"/>
  <c r="X28" i="3"/>
  <c r="M35" i="3"/>
  <c r="U35" i="3"/>
  <c r="T35" i="3" s="1"/>
  <c r="V35" i="3"/>
  <c r="X35" i="3"/>
  <c r="M14" i="3"/>
  <c r="R14" i="3"/>
  <c r="S14" i="3"/>
  <c r="U14" i="3"/>
  <c r="AD16" i="3" s="1"/>
  <c r="V14" i="3"/>
  <c r="X14" i="3"/>
  <c r="M21" i="3"/>
  <c r="R21" i="3"/>
  <c r="S21" i="3"/>
  <c r="U21" i="3"/>
  <c r="AC21" i="3" s="1"/>
  <c r="V21" i="3"/>
  <c r="X21" i="3"/>
  <c r="M36" i="3"/>
  <c r="S36" i="3"/>
  <c r="U36" i="3"/>
  <c r="T36" i="3" s="1"/>
  <c r="V36" i="3"/>
  <c r="X36" i="3"/>
  <c r="M11" i="3"/>
  <c r="R11" i="3"/>
  <c r="S11" i="3"/>
  <c r="U11" i="3"/>
  <c r="V11" i="3"/>
  <c r="X11" i="3"/>
  <c r="M18" i="3"/>
  <c r="R18" i="3"/>
  <c r="S18" i="3"/>
  <c r="U18" i="3"/>
  <c r="AC18" i="3" s="1"/>
  <c r="V18" i="3"/>
  <c r="X18" i="3"/>
  <c r="M12" i="3"/>
  <c r="R12" i="3"/>
  <c r="S12" i="3"/>
  <c r="U12" i="3"/>
  <c r="AC12" i="3" s="1"/>
  <c r="V12" i="3"/>
  <c r="X12" i="3"/>
  <c r="M15" i="3"/>
  <c r="R15" i="3"/>
  <c r="S15" i="3"/>
  <c r="U15" i="3"/>
  <c r="T15" i="3" s="1"/>
  <c r="V15" i="3"/>
  <c r="X15" i="3"/>
  <c r="M42" i="3"/>
  <c r="U42" i="3"/>
  <c r="AC42" i="3" s="1"/>
  <c r="V42" i="3"/>
  <c r="X42" i="3"/>
  <c r="M10" i="3"/>
  <c r="R10" i="3"/>
  <c r="S10" i="3"/>
  <c r="U10" i="3"/>
  <c r="AC10" i="3" s="1"/>
  <c r="V10" i="3"/>
  <c r="X10" i="3"/>
  <c r="M26" i="3"/>
  <c r="R26" i="3"/>
  <c r="S26" i="3"/>
  <c r="U26" i="3"/>
  <c r="AC26" i="3" s="1"/>
  <c r="V26" i="3"/>
  <c r="X26" i="3"/>
  <c r="M29" i="3"/>
  <c r="U29" i="3"/>
  <c r="T29" i="3" s="1"/>
  <c r="V29" i="3"/>
  <c r="X29" i="3"/>
  <c r="M22" i="3"/>
  <c r="R22" i="3"/>
  <c r="S22" i="3"/>
  <c r="U22" i="3"/>
  <c r="V22" i="3"/>
  <c r="X22" i="3"/>
  <c r="M23" i="3"/>
  <c r="R23" i="3"/>
  <c r="S23" i="3"/>
  <c r="U23" i="3"/>
  <c r="AC23" i="3" s="1"/>
  <c r="V23" i="3"/>
  <c r="X23" i="3"/>
  <c r="M8" i="3"/>
  <c r="R8" i="3"/>
  <c r="S8" i="3"/>
  <c r="U8" i="3"/>
  <c r="AC8" i="3" s="1"/>
  <c r="V8" i="3"/>
  <c r="X8" i="3"/>
  <c r="M9" i="3"/>
  <c r="R9" i="3"/>
  <c r="S9" i="3"/>
  <c r="U9" i="3"/>
  <c r="T9" i="3" s="1"/>
  <c r="V9" i="3"/>
  <c r="X9" i="3"/>
  <c r="M31" i="3"/>
  <c r="U31" i="3"/>
  <c r="V31" i="3"/>
  <c r="X31" i="3"/>
  <c r="M38" i="3"/>
  <c r="U38" i="3"/>
  <c r="AC38" i="3" s="1"/>
  <c r="V38" i="3"/>
  <c r="X38" i="3"/>
  <c r="M30" i="3"/>
  <c r="U30" i="3"/>
  <c r="AC30" i="3" s="1"/>
  <c r="V30" i="3"/>
  <c r="X30" i="3"/>
  <c r="M17" i="3"/>
  <c r="R17" i="3"/>
  <c r="S17" i="3"/>
  <c r="U17" i="3"/>
  <c r="T17" i="3" s="1"/>
  <c r="V17" i="3"/>
  <c r="X17" i="3"/>
  <c r="M43" i="3"/>
  <c r="U43" i="3"/>
  <c r="V43" i="3"/>
  <c r="X43" i="3"/>
  <c r="M27" i="3"/>
  <c r="R27" i="3"/>
  <c r="U27" i="3"/>
  <c r="AC27" i="3" s="1"/>
  <c r="V27" i="3"/>
  <c r="X27" i="3"/>
  <c r="M24" i="3"/>
  <c r="R24" i="3"/>
  <c r="S24" i="3"/>
  <c r="U24" i="3"/>
  <c r="AC24" i="3" s="1"/>
  <c r="V24" i="3"/>
  <c r="X24" i="3"/>
  <c r="M39" i="3"/>
  <c r="R39" i="3"/>
  <c r="U39" i="3"/>
  <c r="T39" i="3" s="1"/>
  <c r="V39" i="3"/>
  <c r="X39" i="3"/>
  <c r="M7" i="3"/>
  <c r="R7" i="3"/>
  <c r="S7" i="3"/>
  <c r="U7" i="3"/>
  <c r="V7" i="3"/>
  <c r="X7" i="3"/>
  <c r="M25" i="3"/>
  <c r="R25" i="3"/>
  <c r="S25" i="3"/>
  <c r="U25" i="3"/>
  <c r="AC25" i="3" s="1"/>
  <c r="V25" i="3"/>
  <c r="X25" i="3"/>
  <c r="M37" i="3"/>
  <c r="U37" i="3"/>
  <c r="AC37" i="3" s="1"/>
  <c r="V37" i="3"/>
  <c r="X37" i="3"/>
  <c r="M19" i="3"/>
  <c r="R19" i="3"/>
  <c r="S19" i="3"/>
  <c r="U19" i="3"/>
  <c r="T19" i="3" s="1"/>
  <c r="V19" i="3"/>
  <c r="X19" i="3"/>
  <c r="AG28" i="1"/>
  <c r="AG23" i="1"/>
  <c r="AG21" i="1"/>
  <c r="AG37" i="1"/>
  <c r="AG14" i="1"/>
  <c r="AG44" i="1"/>
  <c r="AG66" i="1"/>
  <c r="AG38" i="1"/>
  <c r="AG57" i="1"/>
  <c r="AG73" i="1"/>
  <c r="AG48" i="1"/>
  <c r="AG67" i="1"/>
  <c r="AG83" i="1"/>
  <c r="AG99" i="1"/>
  <c r="AG51" i="1"/>
  <c r="AG64" i="1"/>
  <c r="AG90" i="1"/>
  <c r="AG22" i="1"/>
  <c r="AG100" i="1"/>
  <c r="AG35" i="1"/>
  <c r="AG76" i="1"/>
  <c r="AG93" i="1"/>
  <c r="AG110" i="1"/>
  <c r="AG128" i="1"/>
  <c r="AG144" i="1"/>
  <c r="AG115" i="1"/>
  <c r="AG145" i="1"/>
  <c r="AG80" i="1"/>
  <c r="AG81" i="1"/>
  <c r="AG122" i="1"/>
  <c r="AG138" i="1"/>
  <c r="AG155" i="1"/>
  <c r="AG225" i="1"/>
  <c r="AG162" i="1"/>
  <c r="AG118" i="1"/>
  <c r="AG154" i="1"/>
  <c r="AG224" i="1"/>
  <c r="AG161" i="1"/>
  <c r="AG177" i="1"/>
  <c r="AG141" i="1"/>
  <c r="AG160" i="1"/>
  <c r="AG236" i="1"/>
  <c r="AG167" i="1"/>
  <c r="AG183" i="1"/>
  <c r="AG199" i="1"/>
  <c r="AG214" i="1"/>
  <c r="AG182" i="1"/>
  <c r="AG198" i="1"/>
  <c r="AG213" i="1"/>
  <c r="AG197" i="1"/>
  <c r="AG212" i="1"/>
  <c r="AG168" i="1"/>
  <c r="AG157" i="1"/>
  <c r="AG245" i="1"/>
  <c r="AG196" i="1"/>
  <c r="AG119" i="1"/>
  <c r="AG233" i="1"/>
  <c r="AG207" i="1"/>
  <c r="AG20" i="1"/>
  <c r="AG15" i="1"/>
  <c r="AG31" i="1"/>
  <c r="AG29" i="1"/>
  <c r="AG45" i="1"/>
  <c r="AG42" i="1"/>
  <c r="AG58" i="1"/>
  <c r="AG74" i="1"/>
  <c r="AG40" i="1"/>
  <c r="AG65" i="1"/>
  <c r="AG46" i="1"/>
  <c r="AG59" i="1"/>
  <c r="AG75" i="1"/>
  <c r="AG91" i="1"/>
  <c r="AG107" i="1"/>
  <c r="AG56" i="1"/>
  <c r="AG88" i="1"/>
  <c r="AG105" i="1"/>
  <c r="AG85" i="1"/>
  <c r="AG102" i="1"/>
  <c r="AG50" i="1"/>
  <c r="AG78" i="1"/>
  <c r="AG108" i="1"/>
  <c r="AG120" i="1"/>
  <c r="AG136" i="1"/>
  <c r="AG34" i="1"/>
  <c r="AG130" i="1"/>
  <c r="AG126" i="1"/>
  <c r="AG96" i="1"/>
  <c r="AG117" i="1"/>
  <c r="AG149" i="1"/>
  <c r="AG217" i="1"/>
  <c r="AG239" i="1"/>
  <c r="AG174" i="1"/>
  <c r="AG143" i="1"/>
  <c r="AG216" i="1"/>
  <c r="AG238" i="1"/>
  <c r="AG169" i="1"/>
  <c r="AG185" i="1"/>
  <c r="AG152" i="1"/>
  <c r="AG222" i="1"/>
  <c r="AG244" i="1"/>
  <c r="AG175" i="1"/>
  <c r="AG191" i="1"/>
  <c r="AG206" i="1"/>
  <c r="AG170" i="1"/>
  <c r="AG190" i="1"/>
  <c r="AG205" i="1"/>
  <c r="AG189" i="1"/>
  <c r="AG204" i="1"/>
  <c r="AG153" i="1"/>
  <c r="AG229" i="1"/>
  <c r="AG137" i="1"/>
  <c r="AG180" i="1"/>
  <c r="AG97" i="1"/>
  <c r="AG227" i="1"/>
  <c r="AG184" i="1"/>
  <c r="AG241" i="1"/>
  <c r="AG24" i="1"/>
  <c r="AG19" i="1"/>
  <c r="AG17" i="1"/>
  <c r="AG33" i="1"/>
  <c r="AG49" i="1"/>
  <c r="AG43" i="1"/>
  <c r="AG62" i="1"/>
  <c r="AG18" i="1"/>
  <c r="AG53" i="1"/>
  <c r="AG69" i="1"/>
  <c r="AG47" i="1"/>
  <c r="AG63" i="1"/>
  <c r="AG79" i="1"/>
  <c r="AG95" i="1"/>
  <c r="AG111" i="1"/>
  <c r="AG60" i="1"/>
  <c r="AG32" i="1"/>
  <c r="AG30" i="1"/>
  <c r="AG61" i="1"/>
  <c r="AG87" i="1"/>
  <c r="AG89" i="1"/>
  <c r="AG86" i="1"/>
  <c r="AG72" i="1"/>
  <c r="AG109" i="1"/>
  <c r="AG140" i="1"/>
  <c r="AG131" i="1"/>
  <c r="AG127" i="1"/>
  <c r="AG135" i="1"/>
  <c r="AG221" i="1"/>
  <c r="AG98" i="1"/>
  <c r="AG220" i="1"/>
  <c r="AG173" i="1"/>
  <c r="AG156" i="1"/>
  <c r="AG163" i="1"/>
  <c r="AG195" i="1"/>
  <c r="AG178" i="1"/>
  <c r="AG209" i="1"/>
  <c r="AG208" i="1"/>
  <c r="AG234" i="1"/>
  <c r="AG188" i="1"/>
  <c r="AG164" i="1"/>
  <c r="AG211" i="1"/>
  <c r="AG27" i="1"/>
  <c r="AG54" i="1"/>
  <c r="AG26" i="1"/>
  <c r="AG103" i="1"/>
  <c r="AG104" i="1"/>
  <c r="AG101" i="1"/>
  <c r="AG77" i="1"/>
  <c r="AG116" i="1"/>
  <c r="AG146" i="1"/>
  <c r="AG82" i="1"/>
  <c r="AG148" i="1"/>
  <c r="AG235" i="1"/>
  <c r="AG134" i="1"/>
  <c r="AG228" i="1"/>
  <c r="AG181" i="1"/>
  <c r="AG218" i="1"/>
  <c r="AG171" i="1"/>
  <c r="AG202" i="1"/>
  <c r="AG186" i="1"/>
  <c r="AG231" i="1"/>
  <c r="AG133" i="1"/>
  <c r="AG230" i="1"/>
  <c r="AG203" i="1"/>
  <c r="AG176" i="1"/>
  <c r="AG25" i="1"/>
  <c r="AG70" i="1"/>
  <c r="AG55" i="1"/>
  <c r="AG52" i="1"/>
  <c r="AG106" i="1"/>
  <c r="AG114" i="1"/>
  <c r="AG92" i="1"/>
  <c r="AG124" i="1"/>
  <c r="AG112" i="1"/>
  <c r="AG150" i="1"/>
  <c r="AG121" i="1"/>
  <c r="AG151" i="1"/>
  <c r="AG243" i="1"/>
  <c r="AG147" i="1"/>
  <c r="AG242" i="1"/>
  <c r="AG139" i="1"/>
  <c r="AG226" i="1"/>
  <c r="AG179" i="1"/>
  <c r="AG210" i="1"/>
  <c r="AG194" i="1"/>
  <c r="AG193" i="1"/>
  <c r="AG237" i="1"/>
  <c r="AG215" i="1"/>
  <c r="AG113" i="1"/>
  <c r="AG192" i="1"/>
  <c r="AG16" i="1"/>
  <c r="AG41" i="1"/>
  <c r="AG39" i="1"/>
  <c r="AG71" i="1"/>
  <c r="AG68" i="1"/>
  <c r="AG36" i="1"/>
  <c r="AG94" i="1"/>
  <c r="AG132" i="1"/>
  <c r="AG129" i="1"/>
  <c r="AG125" i="1"/>
  <c r="AG159" i="1"/>
  <c r="AG166" i="1"/>
  <c r="AG165" i="1"/>
  <c r="AG142" i="1"/>
  <c r="AG187" i="1"/>
  <c r="AG201" i="1"/>
  <c r="AG219" i="1"/>
  <c r="AG84" i="1"/>
  <c r="AG123" i="1"/>
  <c r="AG158" i="1"/>
  <c r="AG240" i="1"/>
  <c r="AG232" i="1"/>
  <c r="AG200" i="1"/>
  <c r="AG172" i="1"/>
  <c r="AG223" i="1"/>
  <c r="W43" i="3"/>
  <c r="W14" i="3"/>
  <c r="W23" i="3"/>
  <c r="W35" i="3"/>
  <c r="W38" i="3"/>
  <c r="W36" i="3"/>
  <c r="W33" i="3"/>
  <c r="W15" i="3"/>
  <c r="W7" i="3"/>
  <c r="W13" i="3"/>
  <c r="W31" i="3"/>
  <c r="W26" i="3"/>
  <c r="W11" i="3"/>
  <c r="W37" i="3"/>
  <c r="W16" i="3"/>
  <c r="W10" i="3"/>
  <c r="W20" i="3"/>
  <c r="W39" i="3"/>
  <c r="W30" i="3"/>
  <c r="W24" i="3"/>
  <c r="W21" i="3"/>
  <c r="W12" i="3"/>
  <c r="W22" i="3"/>
  <c r="W25" i="3"/>
  <c r="W32" i="3"/>
  <c r="W18" i="3"/>
  <c r="W40" i="3"/>
  <c r="W34" i="3"/>
  <c r="W29" i="3"/>
  <c r="W17" i="3"/>
  <c r="W9" i="3"/>
  <c r="W8" i="3"/>
  <c r="W28" i="3"/>
  <c r="W42" i="3"/>
  <c r="W27" i="3"/>
  <c r="W19" i="3"/>
  <c r="AD40" i="3" l="1"/>
  <c r="AD28" i="3"/>
  <c r="AC29" i="3"/>
  <c r="AA233" i="1"/>
  <c r="AA204" i="1"/>
  <c r="AA202" i="1"/>
  <c r="AA174" i="1"/>
  <c r="AA227" i="1"/>
  <c r="T223" i="1"/>
  <c r="AA220" i="1"/>
  <c r="AA218" i="1"/>
  <c r="AA216" i="1"/>
  <c r="AA160" i="1"/>
  <c r="AA158" i="1"/>
  <c r="AA156" i="1"/>
  <c r="AA154" i="1"/>
  <c r="AA152" i="1"/>
  <c r="AA145" i="1"/>
  <c r="AA125" i="1"/>
  <c r="X113" i="1"/>
  <c r="AA83" i="1"/>
  <c r="T68" i="1"/>
  <c r="AA67" i="1"/>
  <c r="T67" i="1"/>
  <c r="AA66" i="1"/>
  <c r="AA40" i="1"/>
  <c r="X148" i="1"/>
  <c r="X147" i="1"/>
  <c r="AD34" i="3"/>
  <c r="S31" i="3"/>
  <c r="AA214" i="1"/>
  <c r="AA205" i="1"/>
  <c r="AA199" i="1"/>
  <c r="X222" i="1"/>
  <c r="AA217" i="1"/>
  <c r="AA159" i="1"/>
  <c r="AA155" i="1"/>
  <c r="AA151" i="1"/>
  <c r="X122" i="1"/>
  <c r="AA115" i="1"/>
  <c r="X72" i="1"/>
  <c r="AA65" i="1"/>
  <c r="X56" i="1"/>
  <c r="AA56" i="1"/>
  <c r="X34" i="1"/>
  <c r="X18" i="1"/>
  <c r="X150" i="1"/>
  <c r="X219" i="1"/>
  <c r="X157" i="1"/>
  <c r="X153" i="1"/>
  <c r="X22" i="1"/>
  <c r="AD42" i="3"/>
  <c r="AD32" i="3"/>
  <c r="AD20" i="3"/>
  <c r="AC36" i="3"/>
  <c r="T28" i="3"/>
  <c r="AC20" i="3"/>
  <c r="T211" i="1"/>
  <c r="AA210" i="1"/>
  <c r="X199" i="1"/>
  <c r="AA183" i="1"/>
  <c r="T180" i="1"/>
  <c r="AA179" i="1"/>
  <c r="X175" i="1"/>
  <c r="AA135" i="1"/>
  <c r="AA131" i="1"/>
  <c r="AA129" i="1"/>
  <c r="AA107" i="1"/>
  <c r="AA105" i="1"/>
  <c r="AA103" i="1"/>
  <c r="AA102" i="1"/>
  <c r="AA51" i="1"/>
  <c r="AA48" i="1"/>
  <c r="AA29" i="1"/>
  <c r="AD35" i="3"/>
  <c r="AE42" i="3"/>
  <c r="AD36" i="3"/>
  <c r="AE34" i="3"/>
  <c r="AE26" i="3"/>
  <c r="AC14" i="3"/>
  <c r="X206" i="1"/>
  <c r="AA192" i="1"/>
  <c r="X188" i="1"/>
  <c r="AA188" i="1"/>
  <c r="AA186" i="1"/>
  <c r="X183" i="1"/>
  <c r="X179" i="1"/>
  <c r="X176" i="1"/>
  <c r="AA173" i="1"/>
  <c r="AA171" i="1"/>
  <c r="AA167" i="1"/>
  <c r="AA163" i="1"/>
  <c r="AA244" i="1"/>
  <c r="AA240" i="1"/>
  <c r="AA141" i="1"/>
  <c r="X124" i="1"/>
  <c r="T122" i="1"/>
  <c r="AA108" i="1"/>
  <c r="AA106" i="1"/>
  <c r="X105" i="1"/>
  <c r="X103" i="1"/>
  <c r="AA99" i="1"/>
  <c r="AA91" i="1"/>
  <c r="X84" i="1"/>
  <c r="AA78" i="1"/>
  <c r="AA70" i="1"/>
  <c r="X55" i="1"/>
  <c r="X51" i="1"/>
  <c r="AA45" i="1"/>
  <c r="T22" i="1"/>
  <c r="AA21" i="1"/>
  <c r="X184" i="1"/>
  <c r="X144" i="1"/>
  <c r="AA140" i="1"/>
  <c r="AA139" i="1"/>
  <c r="X108" i="1"/>
  <c r="X101" i="1"/>
  <c r="X33" i="1"/>
  <c r="AA24" i="1"/>
  <c r="R31" i="3"/>
  <c r="X229" i="1"/>
  <c r="AA207" i="1"/>
  <c r="AA203" i="1"/>
  <c r="AA201" i="1"/>
  <c r="X196" i="1"/>
  <c r="X195" i="1"/>
  <c r="X192" i="1"/>
  <c r="AA189" i="1"/>
  <c r="AA187" i="1"/>
  <c r="T184" i="1"/>
  <c r="AA182" i="1"/>
  <c r="AA178" i="1"/>
  <c r="AA175" i="1"/>
  <c r="AA238" i="1"/>
  <c r="X237" i="1"/>
  <c r="AA235" i="1"/>
  <c r="AA225" i="1"/>
  <c r="AA219" i="1"/>
  <c r="X215" i="1"/>
  <c r="AA215" i="1"/>
  <c r="AA157" i="1"/>
  <c r="AA153" i="1"/>
  <c r="X130" i="1"/>
  <c r="AA127" i="1"/>
  <c r="X126" i="1"/>
  <c r="X116" i="1"/>
  <c r="X99" i="1"/>
  <c r="AA97" i="1"/>
  <c r="AA84" i="1"/>
  <c r="X81" i="1"/>
  <c r="AA76" i="1"/>
  <c r="AA37" i="1"/>
  <c r="X210" i="1"/>
  <c r="X60" i="1"/>
  <c r="X59" i="1"/>
  <c r="AA57" i="1"/>
  <c r="AA42" i="1"/>
  <c r="AA35" i="1"/>
  <c r="T34" i="1"/>
  <c r="X30" i="1"/>
  <c r="AA28" i="1"/>
  <c r="T26" i="1"/>
  <c r="AA20" i="1"/>
  <c r="X214" i="1"/>
  <c r="X207" i="1"/>
  <c r="AA234" i="1"/>
  <c r="AA232" i="1"/>
  <c r="AA231" i="1"/>
  <c r="AA213" i="1"/>
  <c r="AA209" i="1"/>
  <c r="AA206" i="1"/>
  <c r="AA195" i="1"/>
  <c r="X191" i="1"/>
  <c r="AA176" i="1"/>
  <c r="X172" i="1"/>
  <c r="AA172" i="1"/>
  <c r="AA170" i="1"/>
  <c r="X167" i="1"/>
  <c r="X163" i="1"/>
  <c r="X244" i="1"/>
  <c r="AA239" i="1"/>
  <c r="T237" i="1"/>
  <c r="AA236" i="1"/>
  <c r="AA228" i="1"/>
  <c r="AA226" i="1"/>
  <c r="AA222" i="1"/>
  <c r="X218" i="1"/>
  <c r="X160" i="1"/>
  <c r="X156" i="1"/>
  <c r="X152" i="1"/>
  <c r="AA149" i="1"/>
  <c r="AA137" i="1"/>
  <c r="AA133" i="1"/>
  <c r="T130" i="1"/>
  <c r="X129" i="1"/>
  <c r="AA126" i="1"/>
  <c r="X117" i="1"/>
  <c r="AA117" i="1"/>
  <c r="AA112" i="1"/>
  <c r="AA100" i="1"/>
  <c r="X97" i="1"/>
  <c r="AA92" i="1"/>
  <c r="X83" i="1"/>
  <c r="AA81" i="1"/>
  <c r="AA64" i="1"/>
  <c r="AA46" i="1"/>
  <c r="AA44" i="1"/>
  <c r="X29" i="1"/>
  <c r="X21" i="1"/>
  <c r="T164" i="1"/>
  <c r="U164" i="1" s="1"/>
  <c r="T245" i="1"/>
  <c r="T241" i="1"/>
  <c r="U241" i="1" s="1"/>
  <c r="S241" i="1" s="1"/>
  <c r="X91" i="1"/>
  <c r="AA59" i="1"/>
  <c r="AA58" i="1"/>
  <c r="X45" i="1"/>
  <c r="X35" i="1"/>
  <c r="AA32" i="1"/>
  <c r="AA212" i="1"/>
  <c r="AA211" i="1"/>
  <c r="AA197" i="1"/>
  <c r="AA196" i="1"/>
  <c r="X187" i="1"/>
  <c r="AA181" i="1"/>
  <c r="AA180" i="1"/>
  <c r="X171" i="1"/>
  <c r="X227" i="1"/>
  <c r="AA224" i="1"/>
  <c r="AA223" i="1"/>
  <c r="T219" i="1"/>
  <c r="T215" i="1"/>
  <c r="U215" i="1" s="1"/>
  <c r="S215" i="1" s="1"/>
  <c r="T157" i="1"/>
  <c r="T153" i="1"/>
  <c r="X145" i="1"/>
  <c r="X136" i="1"/>
  <c r="T134" i="1"/>
  <c r="X134" i="1"/>
  <c r="X233" i="1"/>
  <c r="AA208" i="1"/>
  <c r="T206" i="1"/>
  <c r="T203" i="1"/>
  <c r="AA193" i="1"/>
  <c r="T191" i="1"/>
  <c r="T188" i="1"/>
  <c r="AA177" i="1"/>
  <c r="T175" i="1"/>
  <c r="T172" i="1"/>
  <c r="U172" i="1" s="1"/>
  <c r="S172" i="1" s="1"/>
  <c r="X240" i="1"/>
  <c r="X236" i="1"/>
  <c r="X226" i="1"/>
  <c r="T218" i="1"/>
  <c r="T160" i="1"/>
  <c r="T156" i="1"/>
  <c r="T152" i="1"/>
  <c r="AA144" i="1"/>
  <c r="T144" i="1"/>
  <c r="X137" i="1"/>
  <c r="T137" i="1"/>
  <c r="AA229" i="1"/>
  <c r="AA200" i="1"/>
  <c r="AA185" i="1"/>
  <c r="AA184" i="1"/>
  <c r="AA169" i="1"/>
  <c r="AA168" i="1"/>
  <c r="AA165" i="1"/>
  <c r="AA164" i="1"/>
  <c r="AA245" i="1"/>
  <c r="AA241" i="1"/>
  <c r="AA237" i="1"/>
  <c r="X138" i="1"/>
  <c r="T128" i="1"/>
  <c r="AA124" i="1"/>
  <c r="AA123" i="1"/>
  <c r="AA113" i="1"/>
  <c r="AA111" i="1"/>
  <c r="X107" i="1"/>
  <c r="AA94" i="1"/>
  <c r="X92" i="1"/>
  <c r="X46" i="1"/>
  <c r="AA134" i="1"/>
  <c r="AA118" i="1"/>
  <c r="T117" i="1"/>
  <c r="AA116" i="1"/>
  <c r="T116" i="1"/>
  <c r="AA114" i="1"/>
  <c r="T108" i="1"/>
  <c r="X100" i="1"/>
  <c r="AA98" i="1"/>
  <c r="AA95" i="1"/>
  <c r="X89" i="1"/>
  <c r="X87" i="1"/>
  <c r="T84" i="1"/>
  <c r="T83" i="1"/>
  <c r="AA80" i="1"/>
  <c r="X76" i="1"/>
  <c r="X75" i="1"/>
  <c r="AA71" i="1"/>
  <c r="T71" i="1"/>
  <c r="AA69" i="1"/>
  <c r="AA68" i="1"/>
  <c r="X64" i="1"/>
  <c r="X63" i="1"/>
  <c r="T56" i="1"/>
  <c r="AA55" i="1"/>
  <c r="T55" i="1"/>
  <c r="AA53" i="1"/>
  <c r="AA52" i="1"/>
  <c r="AA49" i="1"/>
  <c r="X43" i="1"/>
  <c r="X38" i="1"/>
  <c r="AA36" i="1"/>
  <c r="X17" i="1"/>
  <c r="AA148" i="1"/>
  <c r="AA147" i="1"/>
  <c r="AA142" i="1"/>
  <c r="AA130" i="1"/>
  <c r="AA121" i="1"/>
  <c r="AA119" i="1"/>
  <c r="X118" i="1"/>
  <c r="AA110" i="1"/>
  <c r="T99" i="1"/>
  <c r="AA96" i="1"/>
  <c r="AA89" i="1"/>
  <c r="AA87" i="1"/>
  <c r="AA86" i="1"/>
  <c r="X85" i="1"/>
  <c r="AA82" i="1"/>
  <c r="AA79" i="1"/>
  <c r="AA75" i="1"/>
  <c r="AA73" i="1"/>
  <c r="AA72" i="1"/>
  <c r="X71" i="1"/>
  <c r="AA63" i="1"/>
  <c r="AA61" i="1"/>
  <c r="AA60" i="1"/>
  <c r="AA50" i="1"/>
  <c r="AA43" i="1"/>
  <c r="AA41" i="1"/>
  <c r="T37" i="1"/>
  <c r="AA34" i="1"/>
  <c r="AA31" i="1"/>
  <c r="AA30" i="1"/>
  <c r="AA27" i="1"/>
  <c r="AA26" i="1"/>
  <c r="AA23" i="1"/>
  <c r="AA22" i="1"/>
  <c r="AA19" i="1"/>
  <c r="AA18" i="1"/>
  <c r="AA15" i="1"/>
  <c r="AI236" i="1"/>
  <c r="U211" i="1"/>
  <c r="S211" i="1" s="1"/>
  <c r="AI181" i="1"/>
  <c r="AI169" i="1"/>
  <c r="U223" i="1"/>
  <c r="S223" i="1" s="1"/>
  <c r="AI232" i="1"/>
  <c r="U207" i="1"/>
  <c r="S207" i="1" s="1"/>
  <c r="AI216" i="1"/>
  <c r="U192" i="1"/>
  <c r="S192" i="1" s="1"/>
  <c r="AI208" i="1"/>
  <c r="U184" i="1"/>
  <c r="S184" i="1" s="1"/>
  <c r="AI200" i="1"/>
  <c r="U176" i="1"/>
  <c r="AI244" i="1"/>
  <c r="U233" i="1"/>
  <c r="S233" i="1" s="1"/>
  <c r="AI189" i="1"/>
  <c r="AI173" i="1"/>
  <c r="U227" i="1"/>
  <c r="S227" i="1" s="1"/>
  <c r="AI165" i="1"/>
  <c r="U219" i="1"/>
  <c r="S219" i="1" s="1"/>
  <c r="AI119" i="1"/>
  <c r="U113" i="1"/>
  <c r="S113" i="1" s="1"/>
  <c r="AI113" i="1"/>
  <c r="AI97" i="1"/>
  <c r="U97" i="1"/>
  <c r="S97" i="1" s="1"/>
  <c r="AI228" i="1"/>
  <c r="U203" i="1"/>
  <c r="S203" i="1" s="1"/>
  <c r="AI220" i="1"/>
  <c r="U196" i="1"/>
  <c r="S196" i="1" s="1"/>
  <c r="AI212" i="1"/>
  <c r="U188" i="1"/>
  <c r="S188" i="1" s="1"/>
  <c r="AI204" i="1"/>
  <c r="U180" i="1"/>
  <c r="AI197" i="1"/>
  <c r="AI185" i="1"/>
  <c r="U245" i="1"/>
  <c r="S245" i="1" s="1"/>
  <c r="AI161" i="1"/>
  <c r="AI137" i="1"/>
  <c r="U137" i="1"/>
  <c r="S137" i="1" s="1"/>
  <c r="AI241" i="1"/>
  <c r="AI157" i="1"/>
  <c r="U157" i="1"/>
  <c r="S157" i="1" s="1"/>
  <c r="AI245" i="1"/>
  <c r="AI240" i="1"/>
  <c r="U229" i="1"/>
  <c r="S229" i="1" s="1"/>
  <c r="AI224" i="1"/>
  <c r="AI193" i="1"/>
  <c r="U168" i="1"/>
  <c r="AI177" i="1"/>
  <c r="U237" i="1"/>
  <c r="S237" i="1" s="1"/>
  <c r="AI153" i="1"/>
  <c r="U153" i="1"/>
  <c r="S153" i="1" s="1"/>
  <c r="AI133" i="1"/>
  <c r="U133" i="1"/>
  <c r="S133" i="1" s="1"/>
  <c r="AI237" i="1"/>
  <c r="AI233" i="1"/>
  <c r="AI229" i="1"/>
  <c r="AI225" i="1"/>
  <c r="AI221" i="1"/>
  <c r="AI217" i="1"/>
  <c r="AI213" i="1"/>
  <c r="AI242" i="1"/>
  <c r="U213" i="1"/>
  <c r="S213" i="1" s="1"/>
  <c r="AI238" i="1"/>
  <c r="U209" i="1"/>
  <c r="S209" i="1" s="1"/>
  <c r="AI234" i="1"/>
  <c r="W209" i="1"/>
  <c r="U205" i="1"/>
  <c r="S205" i="1" s="1"/>
  <c r="AI230" i="1"/>
  <c r="U201" i="1"/>
  <c r="S201" i="1" s="1"/>
  <c r="AI226" i="1"/>
  <c r="W201" i="1"/>
  <c r="U198" i="1"/>
  <c r="S198" i="1" s="1"/>
  <c r="AI222" i="1"/>
  <c r="U194" i="1"/>
  <c r="S194" i="1" s="1"/>
  <c r="W194" i="1"/>
  <c r="AI218" i="1"/>
  <c r="U190" i="1"/>
  <c r="S190" i="1" s="1"/>
  <c r="AI214" i="1"/>
  <c r="U186" i="1"/>
  <c r="S186" i="1" s="1"/>
  <c r="AI210" i="1"/>
  <c r="W186" i="1"/>
  <c r="U182" i="1"/>
  <c r="S182" i="1" s="1"/>
  <c r="AI206" i="1"/>
  <c r="U178" i="1"/>
  <c r="S178" i="1" s="1"/>
  <c r="W178" i="1"/>
  <c r="AI202" i="1"/>
  <c r="U170" i="1"/>
  <c r="AI195" i="1"/>
  <c r="W170" i="1"/>
  <c r="U232" i="1"/>
  <c r="S232" i="1" s="1"/>
  <c r="AI243" i="1"/>
  <c r="U214" i="1"/>
  <c r="S214" i="1" s="1"/>
  <c r="AI239" i="1"/>
  <c r="U210" i="1"/>
  <c r="S210" i="1" s="1"/>
  <c r="AI235" i="1"/>
  <c r="U206" i="1"/>
  <c r="S206" i="1" s="1"/>
  <c r="AI231" i="1"/>
  <c r="AI227" i="1"/>
  <c r="U202" i="1"/>
  <c r="S202" i="1" s="1"/>
  <c r="AI223" i="1"/>
  <c r="U199" i="1"/>
  <c r="S199" i="1" s="1"/>
  <c r="AI219" i="1"/>
  <c r="U195" i="1"/>
  <c r="S195" i="1" s="1"/>
  <c r="U191" i="1"/>
  <c r="S191" i="1" s="1"/>
  <c r="AI215" i="1"/>
  <c r="U187" i="1"/>
  <c r="S187" i="1" s="1"/>
  <c r="AI211" i="1"/>
  <c r="AI207" i="1"/>
  <c r="U183" i="1"/>
  <c r="S183" i="1" s="1"/>
  <c r="AI203" i="1"/>
  <c r="U179" i="1"/>
  <c r="U175" i="1"/>
  <c r="S175" i="1" s="1"/>
  <c r="AI196" i="1"/>
  <c r="U171" i="1"/>
  <c r="AI192" i="1"/>
  <c r="U167" i="1"/>
  <c r="AI188" i="1"/>
  <c r="U163" i="1"/>
  <c r="S163" i="1" s="1"/>
  <c r="AI184" i="1"/>
  <c r="U244" i="1"/>
  <c r="S244" i="1" s="1"/>
  <c r="AI180" i="1"/>
  <c r="U240" i="1"/>
  <c r="S240" i="1" s="1"/>
  <c r="AI176" i="1"/>
  <c r="U236" i="1"/>
  <c r="S236" i="1" s="1"/>
  <c r="AI172" i="1"/>
  <c r="U226" i="1"/>
  <c r="S226" i="1" s="1"/>
  <c r="AI168" i="1"/>
  <c r="U222" i="1"/>
  <c r="S222" i="1" s="1"/>
  <c r="AI164" i="1"/>
  <c r="U218" i="1"/>
  <c r="S218" i="1" s="1"/>
  <c r="AI160" i="1"/>
  <c r="U160" i="1"/>
  <c r="S160" i="1" s="1"/>
  <c r="AI156" i="1"/>
  <c r="U156" i="1"/>
  <c r="S156" i="1" s="1"/>
  <c r="AI152" i="1"/>
  <c r="U152" i="1"/>
  <c r="S152" i="1" s="1"/>
  <c r="AI142" i="1"/>
  <c r="U142" i="1"/>
  <c r="S142" i="1" s="1"/>
  <c r="U141" i="1"/>
  <c r="S141" i="1" s="1"/>
  <c r="AI141" i="1"/>
  <c r="W141" i="1"/>
  <c r="AI139" i="1"/>
  <c r="AI209" i="1"/>
  <c r="AI205" i="1"/>
  <c r="AI201" i="1"/>
  <c r="AI198" i="1"/>
  <c r="AI194" i="1"/>
  <c r="AI190" i="1"/>
  <c r="AI186" i="1"/>
  <c r="AI182" i="1"/>
  <c r="AI178" i="1"/>
  <c r="AI174" i="1"/>
  <c r="AI170" i="1"/>
  <c r="AI166" i="1"/>
  <c r="AI162" i="1"/>
  <c r="AI158" i="1"/>
  <c r="AI154" i="1"/>
  <c r="U147" i="1"/>
  <c r="S147" i="1" s="1"/>
  <c r="AI147" i="1"/>
  <c r="AI143" i="1"/>
  <c r="AI134" i="1"/>
  <c r="U134" i="1"/>
  <c r="S134" i="1" s="1"/>
  <c r="AI118" i="1"/>
  <c r="U118" i="1"/>
  <c r="S118" i="1" s="1"/>
  <c r="AI98" i="1"/>
  <c r="U174" i="1"/>
  <c r="AI199" i="1"/>
  <c r="U166" i="1"/>
  <c r="S166" i="1" s="1"/>
  <c r="AI191" i="1"/>
  <c r="U162" i="1"/>
  <c r="AI187" i="1"/>
  <c r="U243" i="1"/>
  <c r="S243" i="1" s="1"/>
  <c r="W243" i="1"/>
  <c r="AI183" i="1"/>
  <c r="U239" i="1"/>
  <c r="S239" i="1" s="1"/>
  <c r="W239" i="1"/>
  <c r="AI179" i="1"/>
  <c r="U235" i="1"/>
  <c r="S235" i="1" s="1"/>
  <c r="AI175" i="1"/>
  <c r="U225" i="1"/>
  <c r="S225" i="1" s="1"/>
  <c r="AI171" i="1"/>
  <c r="U221" i="1"/>
  <c r="S221" i="1" s="1"/>
  <c r="W221" i="1"/>
  <c r="AI167" i="1"/>
  <c r="U217" i="1"/>
  <c r="S217" i="1" s="1"/>
  <c r="AI163" i="1"/>
  <c r="U159" i="1"/>
  <c r="S159" i="1" s="1"/>
  <c r="AI159" i="1"/>
  <c r="W159" i="1"/>
  <c r="U155" i="1"/>
  <c r="S155" i="1" s="1"/>
  <c r="W155" i="1"/>
  <c r="AI155" i="1"/>
  <c r="U151" i="1"/>
  <c r="S151" i="1" s="1"/>
  <c r="AI151" i="1"/>
  <c r="AI149" i="1"/>
  <c r="AI148" i="1"/>
  <c r="U148" i="1"/>
  <c r="S148" i="1" s="1"/>
  <c r="AI138" i="1"/>
  <c r="U138" i="1"/>
  <c r="S138" i="1" s="1"/>
  <c r="AI135" i="1"/>
  <c r="S117" i="1"/>
  <c r="AI117" i="1"/>
  <c r="U117" i="1"/>
  <c r="AI123" i="1"/>
  <c r="AI122" i="1"/>
  <c r="U122" i="1"/>
  <c r="S122" i="1" s="1"/>
  <c r="AI121" i="1"/>
  <c r="U121" i="1"/>
  <c r="S121" i="1" s="1"/>
  <c r="S96" i="1"/>
  <c r="AI96" i="1"/>
  <c r="U96" i="1"/>
  <c r="AI82" i="1"/>
  <c r="AI81" i="1"/>
  <c r="U81" i="1"/>
  <c r="S81" i="1" s="1"/>
  <c r="AI127" i="1"/>
  <c r="AI126" i="1"/>
  <c r="U126" i="1"/>
  <c r="S126" i="1" s="1"/>
  <c r="U125" i="1"/>
  <c r="S125" i="1" s="1"/>
  <c r="W125" i="1"/>
  <c r="AI125" i="1"/>
  <c r="AI80" i="1"/>
  <c r="U80" i="1"/>
  <c r="S80" i="1" s="1"/>
  <c r="U150" i="1"/>
  <c r="S150" i="1" s="1"/>
  <c r="AI150" i="1"/>
  <c r="AI146" i="1"/>
  <c r="U145" i="1"/>
  <c r="S145" i="1" s="1"/>
  <c r="AI145" i="1"/>
  <c r="W131" i="1"/>
  <c r="AI131" i="1"/>
  <c r="AI130" i="1"/>
  <c r="U130" i="1"/>
  <c r="S130" i="1" s="1"/>
  <c r="U129" i="1"/>
  <c r="S129" i="1" s="1"/>
  <c r="AI129" i="1"/>
  <c r="U115" i="1"/>
  <c r="S115" i="1" s="1"/>
  <c r="AI115" i="1"/>
  <c r="W115" i="1"/>
  <c r="U112" i="1"/>
  <c r="S112" i="1" s="1"/>
  <c r="AI112" i="1"/>
  <c r="W112" i="1"/>
  <c r="U34" i="1"/>
  <c r="S34" i="1" s="1"/>
  <c r="AI34" i="1"/>
  <c r="U144" i="1"/>
  <c r="S144" i="1" s="1"/>
  <c r="AI144" i="1"/>
  <c r="AI140" i="1"/>
  <c r="AI136" i="1"/>
  <c r="AI132" i="1"/>
  <c r="U128" i="1"/>
  <c r="AI128" i="1"/>
  <c r="S128" i="1"/>
  <c r="U124" i="1"/>
  <c r="S124" i="1" s="1"/>
  <c r="AI124" i="1"/>
  <c r="AI120" i="1"/>
  <c r="AI116" i="1"/>
  <c r="U116" i="1"/>
  <c r="S116" i="1" s="1"/>
  <c r="AI110" i="1"/>
  <c r="W110" i="1"/>
  <c r="AI109" i="1"/>
  <c r="U109" i="1"/>
  <c r="S109" i="1" s="1"/>
  <c r="AI108" i="1"/>
  <c r="U108" i="1"/>
  <c r="S108" i="1" s="1"/>
  <c r="AI94" i="1"/>
  <c r="W94" i="1"/>
  <c r="AI93" i="1"/>
  <c r="U93" i="1"/>
  <c r="S93" i="1" s="1"/>
  <c r="AI92" i="1"/>
  <c r="U92" i="1"/>
  <c r="S92" i="1" s="1"/>
  <c r="AI78" i="1"/>
  <c r="AI77" i="1"/>
  <c r="U77" i="1"/>
  <c r="S77" i="1" s="1"/>
  <c r="AI76" i="1"/>
  <c r="U76" i="1"/>
  <c r="S76" i="1" s="1"/>
  <c r="S72" i="1"/>
  <c r="AI72" i="1"/>
  <c r="U72" i="1"/>
  <c r="AI50" i="1"/>
  <c r="U50" i="1"/>
  <c r="S50" i="1" s="1"/>
  <c r="AI36" i="1"/>
  <c r="AI35" i="1"/>
  <c r="U35" i="1"/>
  <c r="S35" i="1" s="1"/>
  <c r="AI114" i="1"/>
  <c r="AI102" i="1"/>
  <c r="AI101" i="1"/>
  <c r="U100" i="1"/>
  <c r="S100" i="1" s="1"/>
  <c r="AI100" i="1"/>
  <c r="AI86" i="1"/>
  <c r="AI85" i="1"/>
  <c r="U85" i="1"/>
  <c r="S85" i="1" s="1"/>
  <c r="U84" i="1"/>
  <c r="S84" i="1" s="1"/>
  <c r="AI84" i="1"/>
  <c r="AI22" i="1"/>
  <c r="U22" i="1"/>
  <c r="S22" i="1" s="1"/>
  <c r="AI106" i="1"/>
  <c r="AI105" i="1"/>
  <c r="U105" i="1"/>
  <c r="S105" i="1" s="1"/>
  <c r="U104" i="1"/>
  <c r="S104" i="1" s="1"/>
  <c r="AI104" i="1"/>
  <c r="W104" i="1"/>
  <c r="AI90" i="1"/>
  <c r="AI89" i="1"/>
  <c r="U89" i="1"/>
  <c r="S89" i="1" s="1"/>
  <c r="U88" i="1"/>
  <c r="S88" i="1" s="1"/>
  <c r="AI88" i="1"/>
  <c r="W88" i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52" i="1"/>
  <c r="AI51" i="1"/>
  <c r="U51" i="1"/>
  <c r="S51" i="1" s="1"/>
  <c r="AI111" i="1"/>
  <c r="U107" i="1"/>
  <c r="S107" i="1" s="1"/>
  <c r="AI107" i="1"/>
  <c r="U103" i="1"/>
  <c r="S103" i="1" s="1"/>
  <c r="AI103" i="1"/>
  <c r="U99" i="1"/>
  <c r="S99" i="1" s="1"/>
  <c r="AI99" i="1"/>
  <c r="W99" i="1"/>
  <c r="AI95" i="1"/>
  <c r="U91" i="1"/>
  <c r="S91" i="1" s="1"/>
  <c r="AI91" i="1"/>
  <c r="U87" i="1"/>
  <c r="S87" i="1" s="1"/>
  <c r="AI87" i="1"/>
  <c r="U83" i="1"/>
  <c r="S83" i="1" s="1"/>
  <c r="AI83" i="1"/>
  <c r="AI79" i="1"/>
  <c r="U75" i="1"/>
  <c r="S75" i="1" s="1"/>
  <c r="AI75" i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48" i="1"/>
  <c r="AI47" i="1"/>
  <c r="U47" i="1"/>
  <c r="S47" i="1" s="1"/>
  <c r="AI46" i="1"/>
  <c r="U46" i="1"/>
  <c r="S46" i="1" s="1"/>
  <c r="AI26" i="1"/>
  <c r="U26" i="1"/>
  <c r="S26" i="1" s="1"/>
  <c r="AI73" i="1"/>
  <c r="AI69" i="1"/>
  <c r="AI65" i="1"/>
  <c r="AI61" i="1"/>
  <c r="AI57" i="1"/>
  <c r="AI53" i="1"/>
  <c r="AI40" i="1"/>
  <c r="AI39" i="1"/>
  <c r="U38" i="1"/>
  <c r="S38" i="1" s="1"/>
  <c r="AI38" i="1"/>
  <c r="AI18" i="1"/>
  <c r="U18" i="1"/>
  <c r="S18" i="1" s="1"/>
  <c r="U74" i="1"/>
  <c r="S74" i="1" s="1"/>
  <c r="AI74" i="1"/>
  <c r="U70" i="1"/>
  <c r="W70" i="1"/>
  <c r="AI70" i="1"/>
  <c r="U66" i="1"/>
  <c r="S66" i="1" s="1"/>
  <c r="W66" i="1"/>
  <c r="AI66" i="1"/>
  <c r="U62" i="1"/>
  <c r="S62" i="1" s="1"/>
  <c r="W62" i="1"/>
  <c r="AI62" i="1"/>
  <c r="U58" i="1"/>
  <c r="S58" i="1" s="1"/>
  <c r="W58" i="1"/>
  <c r="AI58" i="1"/>
  <c r="U54" i="1"/>
  <c r="S54" i="1" s="1"/>
  <c r="W54" i="1"/>
  <c r="AI54" i="1"/>
  <c r="AI44" i="1"/>
  <c r="AI43" i="1"/>
  <c r="U43" i="1"/>
  <c r="S43" i="1" s="1"/>
  <c r="U42" i="1"/>
  <c r="S42" i="1" s="1"/>
  <c r="AI42" i="1"/>
  <c r="AI30" i="1"/>
  <c r="U30" i="1"/>
  <c r="S30" i="1" s="1"/>
  <c r="AI14" i="1"/>
  <c r="U14" i="1"/>
  <c r="S14" i="1" s="1"/>
  <c r="AI49" i="1"/>
  <c r="U45" i="1"/>
  <c r="S45" i="1" s="1"/>
  <c r="AI45" i="1"/>
  <c r="U41" i="1"/>
  <c r="S41" i="1" s="1"/>
  <c r="AI41" i="1"/>
  <c r="U37" i="1"/>
  <c r="S37" i="1" s="1"/>
  <c r="AI37" i="1"/>
  <c r="W37" i="1"/>
  <c r="U33" i="1"/>
  <c r="S33" i="1" s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1" i="1"/>
  <c r="AI27" i="1"/>
  <c r="AI23" i="1"/>
  <c r="AI19" i="1"/>
  <c r="AI15" i="1"/>
  <c r="U32" i="1"/>
  <c r="W32" i="1"/>
  <c r="AI32" i="1"/>
  <c r="S32" i="1"/>
  <c r="U28" i="1"/>
  <c r="S28" i="1" s="1"/>
  <c r="AI28" i="1"/>
  <c r="U24" i="1"/>
  <c r="S24" i="1" s="1"/>
  <c r="AI24" i="1"/>
  <c r="W24" i="1"/>
  <c r="U20" i="1"/>
  <c r="S20" i="1" s="1"/>
  <c r="AI20" i="1"/>
  <c r="U16" i="1"/>
  <c r="S16" i="1" s="1"/>
  <c r="W16" i="1"/>
  <c r="AI16" i="1"/>
  <c r="W198" i="1"/>
  <c r="W166" i="1"/>
  <c r="W235" i="1"/>
  <c r="W232" i="1"/>
  <c r="W213" i="1"/>
  <c r="W182" i="1"/>
  <c r="W162" i="1"/>
  <c r="W225" i="1"/>
  <c r="W231" i="1"/>
  <c r="W205" i="1"/>
  <c r="W190" i="1"/>
  <c r="W174" i="1"/>
  <c r="W217" i="1"/>
  <c r="W151" i="1"/>
  <c r="T230" i="1"/>
  <c r="U230" i="1" s="1"/>
  <c r="S230" i="1" s="1"/>
  <c r="X230" i="1"/>
  <c r="T234" i="1"/>
  <c r="U234" i="1" s="1"/>
  <c r="S234" i="1" s="1"/>
  <c r="X234" i="1"/>
  <c r="W229" i="1"/>
  <c r="W214" i="1"/>
  <c r="T208" i="1"/>
  <c r="U208" i="1" s="1"/>
  <c r="S208" i="1" s="1"/>
  <c r="X208" i="1"/>
  <c r="W207" i="1"/>
  <c r="W206" i="1"/>
  <c r="T200" i="1"/>
  <c r="U200" i="1" s="1"/>
  <c r="S200" i="1" s="1"/>
  <c r="W199" i="1"/>
  <c r="T185" i="1"/>
  <c r="U185" i="1" s="1"/>
  <c r="S185" i="1" s="1"/>
  <c r="X185" i="1"/>
  <c r="W184" i="1"/>
  <c r="W183" i="1"/>
  <c r="T169" i="1"/>
  <c r="U169" i="1" s="1"/>
  <c r="S169" i="1" s="1"/>
  <c r="X169" i="1"/>
  <c r="W168" i="1"/>
  <c r="W167" i="1"/>
  <c r="T238" i="1"/>
  <c r="U238" i="1" s="1"/>
  <c r="S238" i="1" s="1"/>
  <c r="X238" i="1"/>
  <c r="W237" i="1"/>
  <c r="W236" i="1"/>
  <c r="W228" i="1"/>
  <c r="W220" i="1"/>
  <c r="T154" i="1"/>
  <c r="U154" i="1" s="1"/>
  <c r="S154" i="1" s="1"/>
  <c r="X154" i="1"/>
  <c r="W153" i="1"/>
  <c r="W152" i="1"/>
  <c r="W133" i="1"/>
  <c r="W106" i="1"/>
  <c r="W233" i="1"/>
  <c r="W212" i="1"/>
  <c r="W197" i="1"/>
  <c r="W181" i="1"/>
  <c r="AA230" i="1"/>
  <c r="W230" i="1" s="1"/>
  <c r="T212" i="1"/>
  <c r="U212" i="1" s="1"/>
  <c r="S212" i="1" s="1"/>
  <c r="X212" i="1"/>
  <c r="W211" i="1"/>
  <c r="W210" i="1"/>
  <c r="T204" i="1"/>
  <c r="U204" i="1" s="1"/>
  <c r="S204" i="1" s="1"/>
  <c r="W203" i="1"/>
  <c r="W202" i="1"/>
  <c r="T197" i="1"/>
  <c r="U197" i="1" s="1"/>
  <c r="S197" i="1" s="1"/>
  <c r="X197" i="1"/>
  <c r="W196" i="1"/>
  <c r="W195" i="1"/>
  <c r="T189" i="1"/>
  <c r="U189" i="1" s="1"/>
  <c r="S189" i="1" s="1"/>
  <c r="X189" i="1"/>
  <c r="W188" i="1"/>
  <c r="W187" i="1"/>
  <c r="T181" i="1"/>
  <c r="U181" i="1" s="1"/>
  <c r="S181" i="1" s="1"/>
  <c r="X181" i="1"/>
  <c r="W180" i="1"/>
  <c r="W179" i="1"/>
  <c r="T173" i="1"/>
  <c r="U173" i="1" s="1"/>
  <c r="X173" i="1"/>
  <c r="W172" i="1"/>
  <c r="W171" i="1"/>
  <c r="T161" i="1"/>
  <c r="U161" i="1" s="1"/>
  <c r="S161" i="1" s="1"/>
  <c r="X161" i="1"/>
  <c r="W245" i="1"/>
  <c r="W244" i="1"/>
  <c r="W242" i="1"/>
  <c r="W224" i="1"/>
  <c r="T216" i="1"/>
  <c r="U216" i="1" s="1"/>
  <c r="S216" i="1" s="1"/>
  <c r="X216" i="1"/>
  <c r="W215" i="1"/>
  <c r="W160" i="1"/>
  <c r="W158" i="1"/>
  <c r="W148" i="1"/>
  <c r="W144" i="1"/>
  <c r="T143" i="1"/>
  <c r="U143" i="1" s="1"/>
  <c r="S143" i="1" s="1"/>
  <c r="X143" i="1"/>
  <c r="W135" i="1"/>
  <c r="W200" i="1"/>
  <c r="W193" i="1"/>
  <c r="W185" i="1"/>
  <c r="W177" i="1"/>
  <c r="W169" i="1"/>
  <c r="T242" i="1"/>
  <c r="U242" i="1" s="1"/>
  <c r="S242" i="1" s="1"/>
  <c r="X242" i="1"/>
  <c r="W241" i="1"/>
  <c r="W240" i="1"/>
  <c r="W238" i="1"/>
  <c r="T224" i="1"/>
  <c r="U224" i="1" s="1"/>
  <c r="S224" i="1" s="1"/>
  <c r="X224" i="1"/>
  <c r="W223" i="1"/>
  <c r="W222" i="1"/>
  <c r="T158" i="1"/>
  <c r="U158" i="1" s="1"/>
  <c r="S158" i="1" s="1"/>
  <c r="X158" i="1"/>
  <c r="W157" i="1"/>
  <c r="W156" i="1"/>
  <c r="W154" i="1"/>
  <c r="W149" i="1"/>
  <c r="W147" i="1"/>
  <c r="W124" i="1"/>
  <c r="W120" i="1"/>
  <c r="W102" i="1"/>
  <c r="W234" i="1"/>
  <c r="W208" i="1"/>
  <c r="T231" i="1"/>
  <c r="U231" i="1" s="1"/>
  <c r="S231" i="1" s="1"/>
  <c r="X231" i="1"/>
  <c r="T193" i="1"/>
  <c r="U193" i="1" s="1"/>
  <c r="S193" i="1" s="1"/>
  <c r="X193" i="1"/>
  <c r="W192" i="1"/>
  <c r="W191" i="1"/>
  <c r="T177" i="1"/>
  <c r="U177" i="1" s="1"/>
  <c r="X177" i="1"/>
  <c r="W176" i="1"/>
  <c r="W175" i="1"/>
  <c r="W165" i="1"/>
  <c r="W150" i="1"/>
  <c r="W130" i="1"/>
  <c r="X232" i="1"/>
  <c r="W204" i="1"/>
  <c r="W189" i="1"/>
  <c r="W173" i="1"/>
  <c r="T165" i="1"/>
  <c r="U165" i="1" s="1"/>
  <c r="X165" i="1"/>
  <c r="W164" i="1"/>
  <c r="W163" i="1"/>
  <c r="W161" i="1"/>
  <c r="T228" i="1"/>
  <c r="U228" i="1" s="1"/>
  <c r="S228" i="1" s="1"/>
  <c r="X228" i="1"/>
  <c r="W227" i="1"/>
  <c r="W226" i="1"/>
  <c r="T220" i="1"/>
  <c r="U220" i="1" s="1"/>
  <c r="S220" i="1" s="1"/>
  <c r="X220" i="1"/>
  <c r="W219" i="1"/>
  <c r="W218" i="1"/>
  <c r="W216" i="1"/>
  <c r="W145" i="1"/>
  <c r="W143" i="1"/>
  <c r="W140" i="1"/>
  <c r="W139" i="1"/>
  <c r="W136" i="1"/>
  <c r="X132" i="1"/>
  <c r="X133" i="1"/>
  <c r="T132" i="1"/>
  <c r="U132" i="1" s="1"/>
  <c r="S132" i="1" s="1"/>
  <c r="W126" i="1"/>
  <c r="X213" i="1"/>
  <c r="X209" i="1"/>
  <c r="X205" i="1"/>
  <c r="X198" i="1"/>
  <c r="X194" i="1"/>
  <c r="X190" i="1"/>
  <c r="X186" i="1"/>
  <c r="X182" i="1"/>
  <c r="X178" i="1"/>
  <c r="X174" i="1"/>
  <c r="X170" i="1"/>
  <c r="X166" i="1"/>
  <c r="X162" i="1"/>
  <c r="X243" i="1"/>
  <c r="X239" i="1"/>
  <c r="X235" i="1"/>
  <c r="X225" i="1"/>
  <c r="X221" i="1"/>
  <c r="X217" i="1"/>
  <c r="X159" i="1"/>
  <c r="X155" i="1"/>
  <c r="X151" i="1"/>
  <c r="X142" i="1"/>
  <c r="W137" i="1"/>
  <c r="W134" i="1"/>
  <c r="W132" i="1"/>
  <c r="T131" i="1"/>
  <c r="U131" i="1" s="1"/>
  <c r="S131" i="1" s="1"/>
  <c r="X131" i="1"/>
  <c r="W119" i="1"/>
  <c r="T114" i="1"/>
  <c r="U114" i="1" s="1"/>
  <c r="S114" i="1" s="1"/>
  <c r="X114" i="1"/>
  <c r="W96" i="1"/>
  <c r="W89" i="1"/>
  <c r="W82" i="1"/>
  <c r="T149" i="1"/>
  <c r="U149" i="1" s="1"/>
  <c r="S149" i="1" s="1"/>
  <c r="AA146" i="1"/>
  <c r="W146" i="1" s="1"/>
  <c r="T146" i="1"/>
  <c r="U146" i="1" s="1"/>
  <c r="S146" i="1" s="1"/>
  <c r="W142" i="1"/>
  <c r="T136" i="1"/>
  <c r="U136" i="1" s="1"/>
  <c r="S136" i="1" s="1"/>
  <c r="W129" i="1"/>
  <c r="W127" i="1"/>
  <c r="W123" i="1"/>
  <c r="W121" i="1"/>
  <c r="W117" i="1"/>
  <c r="W108" i="1"/>
  <c r="W95" i="1"/>
  <c r="W87" i="1"/>
  <c r="W83" i="1"/>
  <c r="T40" i="1"/>
  <c r="U40" i="1" s="1"/>
  <c r="S40" i="1" s="1"/>
  <c r="X40" i="1"/>
  <c r="X41" i="1"/>
  <c r="T140" i="1"/>
  <c r="U140" i="1" s="1"/>
  <c r="S140" i="1" s="1"/>
  <c r="X141" i="1"/>
  <c r="T139" i="1"/>
  <c r="U139" i="1" s="1"/>
  <c r="S139" i="1" s="1"/>
  <c r="X139" i="1"/>
  <c r="W128" i="1"/>
  <c r="T123" i="1"/>
  <c r="U123" i="1" s="1"/>
  <c r="S123" i="1" s="1"/>
  <c r="X123" i="1"/>
  <c r="W100" i="1"/>
  <c r="W78" i="1"/>
  <c r="T127" i="1"/>
  <c r="U127" i="1" s="1"/>
  <c r="S127" i="1" s="1"/>
  <c r="X127" i="1"/>
  <c r="W111" i="1"/>
  <c r="W107" i="1"/>
  <c r="T102" i="1"/>
  <c r="U102" i="1" s="1"/>
  <c r="S102" i="1" s="1"/>
  <c r="X102" i="1"/>
  <c r="X95" i="1"/>
  <c r="T95" i="1"/>
  <c r="U95" i="1" s="1"/>
  <c r="S95" i="1" s="1"/>
  <c r="X96" i="1"/>
  <c r="W92" i="1"/>
  <c r="W90" i="1"/>
  <c r="W86" i="1"/>
  <c r="W84" i="1"/>
  <c r="W80" i="1"/>
  <c r="W79" i="1"/>
  <c r="W65" i="1"/>
  <c r="W57" i="1"/>
  <c r="W45" i="1"/>
  <c r="T120" i="1"/>
  <c r="U120" i="1" s="1"/>
  <c r="S120" i="1" s="1"/>
  <c r="W118" i="1"/>
  <c r="W116" i="1"/>
  <c r="W113" i="1"/>
  <c r="T111" i="1"/>
  <c r="U111" i="1" s="1"/>
  <c r="S111" i="1" s="1"/>
  <c r="X112" i="1"/>
  <c r="W91" i="1"/>
  <c r="T86" i="1"/>
  <c r="U86" i="1" s="1"/>
  <c r="S86" i="1" s="1"/>
  <c r="X86" i="1"/>
  <c r="X79" i="1"/>
  <c r="T79" i="1"/>
  <c r="U79" i="1" s="1"/>
  <c r="S79" i="1" s="1"/>
  <c r="X80" i="1"/>
  <c r="AA138" i="1"/>
  <c r="W138" i="1" s="1"/>
  <c r="T135" i="1"/>
  <c r="U135" i="1" s="1"/>
  <c r="S135" i="1" s="1"/>
  <c r="X135" i="1"/>
  <c r="X125" i="1"/>
  <c r="AA122" i="1"/>
  <c r="W122" i="1" s="1"/>
  <c r="T119" i="1"/>
  <c r="U119" i="1" s="1"/>
  <c r="S119" i="1" s="1"/>
  <c r="X119" i="1"/>
  <c r="W114" i="1"/>
  <c r="X111" i="1"/>
  <c r="W105" i="1"/>
  <c r="W103" i="1"/>
  <c r="T101" i="1"/>
  <c r="U101" i="1" s="1"/>
  <c r="S101" i="1" s="1"/>
  <c r="W98" i="1"/>
  <c r="W76" i="1"/>
  <c r="W74" i="1"/>
  <c r="W69" i="1"/>
  <c r="W61" i="1"/>
  <c r="W53" i="1"/>
  <c r="W48" i="1"/>
  <c r="W42" i="1"/>
  <c r="X39" i="1"/>
  <c r="T39" i="1"/>
  <c r="U39" i="1" s="1"/>
  <c r="S39" i="1" s="1"/>
  <c r="W18" i="1"/>
  <c r="X115" i="1"/>
  <c r="X109" i="1"/>
  <c r="X104" i="1"/>
  <c r="AA101" i="1"/>
  <c r="W101" i="1" s="1"/>
  <c r="T98" i="1"/>
  <c r="U98" i="1" s="1"/>
  <c r="S98" i="1" s="1"/>
  <c r="X98" i="1"/>
  <c r="X93" i="1"/>
  <c r="X88" i="1"/>
  <c r="AA85" i="1"/>
  <c r="W85" i="1" s="1"/>
  <c r="T82" i="1"/>
  <c r="U82" i="1" s="1"/>
  <c r="S82" i="1" s="1"/>
  <c r="X82" i="1"/>
  <c r="X77" i="1"/>
  <c r="X49" i="1"/>
  <c r="T49" i="1"/>
  <c r="U49" i="1" s="1"/>
  <c r="S49" i="1" s="1"/>
  <c r="X50" i="1"/>
  <c r="W46" i="1"/>
  <c r="W44" i="1"/>
  <c r="W40" i="1"/>
  <c r="W38" i="1"/>
  <c r="W28" i="1"/>
  <c r="W17" i="1"/>
  <c r="AA109" i="1"/>
  <c r="W109" i="1" s="1"/>
  <c r="T106" i="1"/>
  <c r="U106" i="1" s="1"/>
  <c r="S106" i="1" s="1"/>
  <c r="X106" i="1"/>
  <c r="AA93" i="1"/>
  <c r="W93" i="1" s="1"/>
  <c r="T90" i="1"/>
  <c r="U90" i="1" s="1"/>
  <c r="S90" i="1" s="1"/>
  <c r="X90" i="1"/>
  <c r="AA77" i="1"/>
  <c r="W77" i="1" s="1"/>
  <c r="W73" i="1"/>
  <c r="W71" i="1"/>
  <c r="T69" i="1"/>
  <c r="U69" i="1" s="1"/>
  <c r="S69" i="1" s="1"/>
  <c r="X69" i="1"/>
  <c r="W68" i="1"/>
  <c r="W67" i="1"/>
  <c r="T65" i="1"/>
  <c r="U65" i="1" s="1"/>
  <c r="S65" i="1" s="1"/>
  <c r="X65" i="1"/>
  <c r="W64" i="1"/>
  <c r="W63" i="1"/>
  <c r="T61" i="1"/>
  <c r="U61" i="1" s="1"/>
  <c r="S61" i="1" s="1"/>
  <c r="X61" i="1"/>
  <c r="W60" i="1"/>
  <c r="W59" i="1"/>
  <c r="T57" i="1"/>
  <c r="U57" i="1" s="1"/>
  <c r="S57" i="1" s="1"/>
  <c r="X57" i="1"/>
  <c r="W56" i="1"/>
  <c r="W55" i="1"/>
  <c r="T53" i="1"/>
  <c r="U53" i="1" s="1"/>
  <c r="S53" i="1" s="1"/>
  <c r="X53" i="1"/>
  <c r="W52" i="1"/>
  <c r="W31" i="1"/>
  <c r="W20" i="1"/>
  <c r="T19" i="1"/>
  <c r="U19" i="1" s="1"/>
  <c r="S19" i="1" s="1"/>
  <c r="X19" i="1"/>
  <c r="W14" i="1"/>
  <c r="T110" i="1"/>
  <c r="U110" i="1" s="1"/>
  <c r="S110" i="1" s="1"/>
  <c r="X110" i="1"/>
  <c r="W97" i="1"/>
  <c r="T94" i="1"/>
  <c r="U94" i="1" s="1"/>
  <c r="S94" i="1" s="1"/>
  <c r="X94" i="1"/>
  <c r="W81" i="1"/>
  <c r="T78" i="1"/>
  <c r="U78" i="1" s="1"/>
  <c r="S78" i="1" s="1"/>
  <c r="X78" i="1"/>
  <c r="W75" i="1"/>
  <c r="T73" i="1"/>
  <c r="U73" i="1" s="1"/>
  <c r="S73" i="1" s="1"/>
  <c r="X73" i="1"/>
  <c r="W72" i="1"/>
  <c r="W50" i="1"/>
  <c r="W49" i="1"/>
  <c r="W43" i="1"/>
  <c r="W41" i="1"/>
  <c r="W36" i="1"/>
  <c r="W33" i="1"/>
  <c r="W15" i="1"/>
  <c r="X74" i="1"/>
  <c r="X70" i="1"/>
  <c r="X66" i="1"/>
  <c r="X62" i="1"/>
  <c r="X58" i="1"/>
  <c r="X54" i="1"/>
  <c r="T52" i="1"/>
  <c r="U52" i="1" s="1"/>
  <c r="S52" i="1" s="1"/>
  <c r="X52" i="1"/>
  <c r="X47" i="1"/>
  <c r="X42" i="1"/>
  <c r="AA39" i="1"/>
  <c r="W39" i="1" s="1"/>
  <c r="T36" i="1"/>
  <c r="U36" i="1" s="1"/>
  <c r="S36" i="1" s="1"/>
  <c r="X36" i="1"/>
  <c r="W34" i="1"/>
  <c r="T23" i="1"/>
  <c r="U23" i="1" s="1"/>
  <c r="S23" i="1" s="1"/>
  <c r="X23" i="1"/>
  <c r="W22" i="1"/>
  <c r="W21" i="1"/>
  <c r="W19" i="1"/>
  <c r="AA47" i="1"/>
  <c r="W47" i="1" s="1"/>
  <c r="T44" i="1"/>
  <c r="U44" i="1" s="1"/>
  <c r="S44" i="1" s="1"/>
  <c r="X44" i="1"/>
  <c r="T31" i="1"/>
  <c r="U31" i="1" s="1"/>
  <c r="S31" i="1" s="1"/>
  <c r="X31" i="1"/>
  <c r="W30" i="1"/>
  <c r="W29" i="1"/>
  <c r="W27" i="1"/>
  <c r="T15" i="1"/>
  <c r="U15" i="1" s="1"/>
  <c r="S15" i="1" s="1"/>
  <c r="X15" i="1"/>
  <c r="W51" i="1"/>
  <c r="T48" i="1"/>
  <c r="U48" i="1" s="1"/>
  <c r="S48" i="1" s="1"/>
  <c r="X48" i="1"/>
  <c r="W35" i="1"/>
  <c r="T27" i="1"/>
  <c r="U27" i="1" s="1"/>
  <c r="S27" i="1" s="1"/>
  <c r="X27" i="1"/>
  <c r="W26" i="1"/>
  <c r="W25" i="1"/>
  <c r="W23" i="1"/>
  <c r="X32" i="1"/>
  <c r="X28" i="1"/>
  <c r="X24" i="1"/>
  <c r="X20" i="1"/>
  <c r="X16" i="1"/>
  <c r="AE38" i="3"/>
  <c r="AE30" i="3"/>
  <c r="AD26" i="3"/>
  <c r="T26" i="3"/>
  <c r="AD23" i="3"/>
  <c r="AD22" i="3"/>
  <c r="T12" i="3"/>
  <c r="AC11" i="3"/>
  <c r="AD19" i="3"/>
  <c r="AD11" i="3"/>
  <c r="T13" i="3"/>
  <c r="AD8" i="3"/>
  <c r="AE18" i="3"/>
  <c r="AD13" i="3"/>
  <c r="AD43" i="3"/>
  <c r="T37" i="3"/>
  <c r="AC7" i="3"/>
  <c r="AD39" i="3"/>
  <c r="AD38" i="3"/>
  <c r="T24" i="3"/>
  <c r="AC43" i="3"/>
  <c r="T30" i="3"/>
  <c r="AC31" i="3"/>
  <c r="AD31" i="3"/>
  <c r="AD30" i="3"/>
  <c r="T8" i="3"/>
  <c r="AC22" i="3"/>
  <c r="AD27" i="3"/>
  <c r="AE22" i="3"/>
  <c r="AD18" i="3"/>
  <c r="T21" i="3"/>
  <c r="AD15" i="3"/>
  <c r="AD12" i="3"/>
  <c r="AE8" i="3"/>
  <c r="AD24" i="3"/>
  <c r="AE11" i="3"/>
  <c r="AD9" i="3"/>
  <c r="AC39" i="3"/>
  <c r="AC9" i="3"/>
  <c r="AC15" i="3"/>
  <c r="AE19" i="3"/>
  <c r="AC35" i="3"/>
  <c r="AE12" i="3"/>
  <c r="AC40" i="3"/>
  <c r="AC19" i="3"/>
  <c r="AC17" i="3"/>
  <c r="Y19" i="3"/>
  <c r="Y36" i="3"/>
  <c r="Y35" i="3"/>
  <c r="Y20" i="3"/>
  <c r="Y40" i="3"/>
  <c r="Y9" i="3"/>
  <c r="Y29" i="3"/>
  <c r="Y15" i="3"/>
  <c r="Y30" i="3"/>
  <c r="Y12" i="3"/>
  <c r="Y21" i="3"/>
  <c r="Y28" i="3"/>
  <c r="Y13" i="3"/>
  <c r="Y37" i="3"/>
  <c r="Y26" i="3"/>
  <c r="Y25" i="3"/>
  <c r="Y27" i="3"/>
  <c r="Y38" i="3"/>
  <c r="Y23" i="3"/>
  <c r="Y10" i="3"/>
  <c r="Y18" i="3"/>
  <c r="Y34" i="3"/>
  <c r="Y33" i="3"/>
  <c r="Y39" i="3"/>
  <c r="Y17" i="3"/>
  <c r="Y24" i="3"/>
  <c r="Y8" i="3"/>
  <c r="Y7" i="3"/>
  <c r="Y43" i="3"/>
  <c r="Y31" i="3"/>
  <c r="Y22" i="3"/>
  <c r="Y42" i="3"/>
  <c r="Y11" i="3"/>
  <c r="Y14" i="3"/>
  <c r="Y16" i="3"/>
  <c r="Y32" i="3"/>
  <c r="T25" i="3"/>
  <c r="T38" i="3"/>
  <c r="AE29" i="3"/>
  <c r="T23" i="3"/>
  <c r="AE21" i="3"/>
  <c r="T18" i="3"/>
  <c r="AE17" i="3"/>
  <c r="AE14" i="3"/>
  <c r="T34" i="3"/>
  <c r="AE10" i="3"/>
  <c r="T33" i="3"/>
  <c r="AE37" i="3"/>
  <c r="AE33" i="3"/>
  <c r="AE40" i="3"/>
  <c r="T7" i="3"/>
  <c r="AD37" i="3"/>
  <c r="AE36" i="3"/>
  <c r="T43" i="3"/>
  <c r="AD33" i="3"/>
  <c r="AE32" i="3"/>
  <c r="T31" i="3"/>
  <c r="AD29" i="3"/>
  <c r="AE28" i="3"/>
  <c r="T22" i="3"/>
  <c r="AD25" i="3"/>
  <c r="AE24" i="3"/>
  <c r="T42" i="3"/>
  <c r="AD21" i="3"/>
  <c r="AE20" i="3"/>
  <c r="T11" i="3"/>
  <c r="AD17" i="3"/>
  <c r="AE16" i="3"/>
  <c r="T14" i="3"/>
  <c r="AD14" i="3"/>
  <c r="AE13" i="3"/>
  <c r="T16" i="3"/>
  <c r="AD10" i="3"/>
  <c r="AE9" i="3"/>
  <c r="T32" i="3"/>
  <c r="T27" i="3"/>
  <c r="AE25" i="3"/>
  <c r="T10" i="3"/>
  <c r="AE43" i="3"/>
  <c r="AE39" i="3"/>
  <c r="AE35" i="3"/>
  <c r="AE31" i="3"/>
  <c r="AE27" i="3"/>
  <c r="AE23" i="3"/>
  <c r="AE15" i="3"/>
  <c r="R41" i="3"/>
  <c r="M41" i="3"/>
  <c r="S41" i="3"/>
  <c r="U41" i="3"/>
  <c r="AD41" i="3" s="1"/>
  <c r="V41" i="3"/>
  <c r="X41" i="3"/>
  <c r="W41" i="3"/>
  <c r="AE41" i="3" l="1"/>
  <c r="Y41" i="3"/>
  <c r="AC41" i="3"/>
  <c r="T41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40" i="3" s="1"/>
  <c r="G24" i="4"/>
  <c r="G25" i="4"/>
  <c r="G26" i="4"/>
  <c r="G27" i="4"/>
  <c r="N32" i="3" s="1"/>
  <c r="G28" i="4"/>
  <c r="G29" i="4"/>
  <c r="G30" i="4"/>
  <c r="G31" i="4"/>
  <c r="G32" i="4"/>
  <c r="G33" i="4"/>
  <c r="G34" i="4"/>
  <c r="G35" i="4"/>
  <c r="G36" i="4"/>
  <c r="G37" i="4"/>
  <c r="G38" i="4"/>
  <c r="G39" i="4"/>
  <c r="N33" i="3" s="1"/>
  <c r="G40" i="4"/>
  <c r="G41" i="4"/>
  <c r="G42" i="4"/>
  <c r="G43" i="4"/>
  <c r="G44" i="4"/>
  <c r="G45" i="4"/>
  <c r="N13" i="3" s="1"/>
  <c r="G46" i="4"/>
  <c r="G47" i="4"/>
  <c r="N34" i="3" s="1"/>
  <c r="G48" i="4"/>
  <c r="G49" i="4"/>
  <c r="G50" i="4"/>
  <c r="N28" i="3" s="1"/>
  <c r="G51" i="4"/>
  <c r="G52" i="4"/>
  <c r="G53" i="4"/>
  <c r="G54" i="4"/>
  <c r="G55" i="4"/>
  <c r="G56" i="4"/>
  <c r="G57" i="4"/>
  <c r="G58" i="4"/>
  <c r="G59" i="4"/>
  <c r="G60" i="4"/>
  <c r="N35" i="3" s="1"/>
  <c r="G61" i="4"/>
  <c r="N21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36" i="3" s="1"/>
  <c r="G79" i="4"/>
  <c r="G80" i="4"/>
  <c r="G81" i="4"/>
  <c r="G82" i="4"/>
  <c r="G83" i="4"/>
  <c r="G84" i="4"/>
  <c r="G85" i="4"/>
  <c r="G86" i="4"/>
  <c r="G87" i="4"/>
  <c r="G88" i="4"/>
  <c r="G89" i="4"/>
  <c r="N12" i="3" s="1"/>
  <c r="G90" i="4"/>
  <c r="G91" i="4"/>
  <c r="G92" i="4"/>
  <c r="G93" i="4"/>
  <c r="G94" i="4"/>
  <c r="G95" i="4"/>
  <c r="G96" i="4"/>
  <c r="G97" i="4"/>
  <c r="G98" i="4"/>
  <c r="N15" i="3" s="1"/>
  <c r="G99" i="4"/>
  <c r="G100" i="4"/>
  <c r="G101" i="4"/>
  <c r="G102" i="4"/>
  <c r="G103" i="4"/>
  <c r="G104" i="4"/>
  <c r="N42" i="3" s="1"/>
  <c r="G105" i="4"/>
  <c r="G106" i="4"/>
  <c r="G107" i="4"/>
  <c r="G108" i="4"/>
  <c r="G109" i="4"/>
  <c r="G110" i="4"/>
  <c r="G111" i="4"/>
  <c r="G112" i="4"/>
  <c r="N10" i="3" s="1"/>
  <c r="G113" i="4"/>
  <c r="G114" i="4"/>
  <c r="G115" i="4"/>
  <c r="G116" i="4"/>
  <c r="N26" i="3" s="1"/>
  <c r="G117" i="4"/>
  <c r="G118" i="4"/>
  <c r="N22" i="3" s="1"/>
  <c r="G119" i="4"/>
  <c r="G120" i="4"/>
  <c r="N23" i="3" s="1"/>
  <c r="G121" i="4"/>
  <c r="G122" i="4"/>
  <c r="G123" i="4"/>
  <c r="G124" i="4"/>
  <c r="N29" i="3" s="1"/>
  <c r="G125" i="4"/>
  <c r="G126" i="4"/>
  <c r="G127" i="4"/>
  <c r="G128" i="4"/>
  <c r="G129" i="4"/>
  <c r="G130" i="4"/>
  <c r="G131" i="4"/>
  <c r="G132" i="4"/>
  <c r="N41" i="3" s="1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8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9" i="3" s="1"/>
  <c r="G173" i="4"/>
  <c r="G174" i="4"/>
  <c r="G175" i="4"/>
  <c r="G176" i="4"/>
  <c r="G177" i="4"/>
  <c r="N30" i="3" s="1"/>
  <c r="G178" i="4"/>
  <c r="N17" i="3" s="1"/>
  <c r="G179" i="4"/>
  <c r="G180" i="4"/>
  <c r="G181" i="4"/>
  <c r="G182" i="4"/>
  <c r="G183" i="4"/>
  <c r="N27" i="3" s="1"/>
  <c r="G184" i="4"/>
  <c r="G185" i="4"/>
  <c r="G186" i="4"/>
  <c r="N43" i="3" s="1"/>
  <c r="G187" i="4"/>
  <c r="G188" i="4"/>
  <c r="G189" i="4"/>
  <c r="G190" i="4"/>
  <c r="G191" i="4"/>
  <c r="G192" i="4"/>
  <c r="G193" i="4"/>
  <c r="G194" i="4"/>
  <c r="N24" i="3" s="1"/>
  <c r="G195" i="4"/>
  <c r="G196" i="4"/>
  <c r="G197" i="4"/>
  <c r="G198" i="4"/>
  <c r="G199" i="4"/>
  <c r="G200" i="4"/>
  <c r="G201" i="4"/>
  <c r="G202" i="4"/>
  <c r="N7" i="3" s="1"/>
  <c r="G203" i="4"/>
  <c r="N39" i="3" s="1"/>
  <c r="G204" i="4"/>
  <c r="G205" i="4"/>
  <c r="G206" i="4"/>
  <c r="G207" i="4"/>
  <c r="G208" i="4"/>
  <c r="G209" i="4"/>
  <c r="G210" i="4"/>
  <c r="G211" i="4"/>
  <c r="G212" i="4"/>
  <c r="G213" i="4"/>
  <c r="N25" i="3" s="1"/>
  <c r="G214" i="4"/>
  <c r="G215" i="4"/>
  <c r="G216" i="4"/>
  <c r="G217" i="4"/>
  <c r="G218" i="4"/>
  <c r="G219" i="4"/>
  <c r="G220" i="4"/>
  <c r="G221" i="4"/>
  <c r="N37" i="3" s="1"/>
  <c r="G222" i="4"/>
  <c r="G223" i="4"/>
  <c r="G224" i="4"/>
  <c r="G225" i="4"/>
  <c r="G226" i="4"/>
  <c r="G227" i="4"/>
  <c r="G228" i="4"/>
  <c r="G229" i="4"/>
  <c r="N19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1" i="3"/>
  <c r="N14" i="3"/>
  <c r="N38" i="3"/>
  <c r="N31" i="3"/>
  <c r="N20" i="3"/>
  <c r="N1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<sst xmlns="http://schemas.openxmlformats.org/spreadsheetml/2006/main" count="2922" uniqueCount="1069">
  <si>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</si>
  <si>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</si>
  <si>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</si>
  <si>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</si>
  <si>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</si>
  <si>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</si>
  <si>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</si>
  <si>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</si>
  <si>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</si>
  <si>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</si>
  <si>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</si>
  <si>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</si>
  <si>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</si>
  <si>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</si>
  <si>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</si>
  <si>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</si>
  <si>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</si>
  <si>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</si>
  <si>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</si>
  <si>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</si>
  <si>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</si>
  <si>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</si>
  <si>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</si>
  <si>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</si>
  <si>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</si>
  <si>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</si>
  <si>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</si>
  <si>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</si>
  <si>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</si>
  <si>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</si>
  <si>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</si>
  <si>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</si>
  <si>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</si>
  <si>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</si>
  <si>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</si>
  <si>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</si>
  <si>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</si>
  <si>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</si>
  <si>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</si>
  <si>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</si>
  <si>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</si>
  <si>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</si>
  <si>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</si>
  <si>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</si>
  <si>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</si>
  <si>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</si>
  <si>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</si>
  <si>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</si>
  <si>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</si>
  <si>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</si>
  <si>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</si>
  <si>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</si>
  <si>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</si>
  <si>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</si>
  <si>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</si>
  <si>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</si>
  <si>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</si>
  <si>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</si>
  <si>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</si>
  <si>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</si>
  <si>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</si>
  <si>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</si>
  <si>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</si>
  <si>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</si>
  <si>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</si>
  <si>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</si>
  <si>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</si>
  <si>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</si>
  <si>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</si>
  <si>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</si>
  <si>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</si>
  <si>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</si>
  <si>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</si>
  <si>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</si>
  <si>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</si>
  <si>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</si>
  <si>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</si>
  <si>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</si>
  <si>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</si>
  <si>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</si>
  <si>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</si>
  <si>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</si>
  <si>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</si>
  <si>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</si>
  <si>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</si>
  <si>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</si>
  <si>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</si>
  <si>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</si>
  <si>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</si>
  <si>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</si>
  <si>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</si>
  <si>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</si>
  <si>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</si>
  <si>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</si>
  <si>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</si>
  <si>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</si>
  <si>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</si>
  <si>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</si>
  <si>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</si>
  <si>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</si>
  <si>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</si>
  <si>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</si>
  <si>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</si>
  <si>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</si>
  <si>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</si>
  <si>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</si>
  <si>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</si>
  <si>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</si>
  <si>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</si>
  <si>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</si>
  <si>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</si>
  <si>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</si>
  <si>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</si>
  <si>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</si>
  <si>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</si>
  <si>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</si>
  <si>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</si>
  <si>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</si>
  <si>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</si>
  <si>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</si>
  <si>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</si>
  <si>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</si>
  <si>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</si>
  <si>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</si>
  <si>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</si>
  <si>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</si>
  <si>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</si>
  <si>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</si>
  <si>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</si>
  <si>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</si>
  <si>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</si>
  <si>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</si>
  <si>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</si>
  <si>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</si>
  <si>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</si>
  <si>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</si>
  <si>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</si>
  <si>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</si>
  <si>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</si>
  <si>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</si>
  <si>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</si>
  <si>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</si>
  <si>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</si>
  <si>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</si>
  <si>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</si>
  <si>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</si>
  <si>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</si>
  <si>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</si>
  <si>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</si>
  <si>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</si>
  <si>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</si>
  <si>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</si>
  <si>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</si>
  <si>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</si>
  <si>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</si>
  <si>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</si>
  <si>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</si>
  <si>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</si>
  <si>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</si>
  <si>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</si>
  <si>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</si>
  <si>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</si>
  <si>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</si>
  <si>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</si>
  <si>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</si>
  <si>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</si>
  <si>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</si>
  <si>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</si>
  <si>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</si>
  <si>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</si>
  <si>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</si>
  <si>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</si>
  <si>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</si>
  <si>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</si>
  <si>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</si>
  <si>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</si>
  <si>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</si>
  <si>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</si>
  <si>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</si>
  <si>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</si>
  <si>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</si>
  <si>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</si>
  <si>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</si>
  <si>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</si>
  <si>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</si>
  <si>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</si>
  <si>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</si>
  <si>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</si>
  <si>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</si>
  <si>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</si>
  <si>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</si>
  <si>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</si>
  <si>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</si>
  <si>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</si>
  <si>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</si>
  <si>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</si>
  <si>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</si>
  <si>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</si>
  <si>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</si>
  <si>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</si>
  <si>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</si>
  <si>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</si>
  <si>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</si>
  <si>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</si>
  <si>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</si>
  <si>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</si>
  <si>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</si>
  <si>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</si>
  <si>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</si>
  <si>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</si>
  <si>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</si>
  <si>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</si>
  <si>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</si>
  <si>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</si>
  <si>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</si>
  <si>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</si>
  <si>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</si>
  <si>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</si>
  <si>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</si>
  <si>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</si>
  <si>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</si>
  <si>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</si>
  <si>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</si>
  <si>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</si>
  <si>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</si>
  <si>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</si>
  <si>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</si>
  <si>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</si>
  <si>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</si>
  <si>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</si>
  <si>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</si>
  <si>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</si>
  <si>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</si>
  <si>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</si>
  <si>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</si>
  <si>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</si>
  <si>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</si>
  <si>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</si>
  <si>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</si>
  <si>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</si>
  <si>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</si>
  <si>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</si>
  <si>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</si>
  <si>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</si>
  <si>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</si>
  <si>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</si>
  <si>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</si>
  <si>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</si>
  <si>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</si>
  <si>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</si>
  <si>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</si>
  <si>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</si>
  <si>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</si>
  <si>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</si>
  <si>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</si>
  <si>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</si>
  <si>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</si>
  <si>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</si>
  <si>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</si>
  <si>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</si>
  <si>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</si>
  <si>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</si>
  <si>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</si>
  <si>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</si>
  <si>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</si>
  <si>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</si>
  <si>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</si>
  <si>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</si>
  <si>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</si>
  <si>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</si>
  <si>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</si>
  <si>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</si>
  <si>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</si>
  <si>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</si>
  <si>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</si>
  <si>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</si>
  <si>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</si>
  <si>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</si>
  <si>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</si>
  <si>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</si>
  <si>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</si>
  <si>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</si>
  <si>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</si>
  <si>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</si>
  <si>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</si>
  <si>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</si>
  <si>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</si>
  <si>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</si>
  <si>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</si>
  <si>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</si>
  <si>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</si>
  <si>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</si>
  <si>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</si>
  <si>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</si>
  <si>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</si>
  <si>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</si>
  <si>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</si>
  <si>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</si>
  <si>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</si>
  <si>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</si>
  <si>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</si>
  <si>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</si>
  <si>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</si>
  <si>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</si>
  <si>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</si>
  <si>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</si>
  <si>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</si>
  <si>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</si>
  <si>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</si>
  <si>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</si>
  <si>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</si>
  <si>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</si>
  <si>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</si>
  <si>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</si>
  <si>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</si>
  <si>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</si>
  <si>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</si>
  <si>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</si>
  <si>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</si>
  <si>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</si>
  <si>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</si>
  <si>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</si>
  <si>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</si>
  <si>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</si>
  <si>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</si>
  <si>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</si>
  <si>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</si>
  <si>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</si>
  <si>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</si>
  <si>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</si>
  <si>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</si>
  <si>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</si>
  <si>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</si>
  <si>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</si>
  <si>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</si>
  <si>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</si>
  <si>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</si>
  <si>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</si>
  <si>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</si>
  <si>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</si>
  <si>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</si>
  <si>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</si>
  <si>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</si>
  <si>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</si>
  <si>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</si>
  <si>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</si>
  <si>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</si>
  <si>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</si>
  <si>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</si>
  <si>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</si>
  <si>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</si>
  <si>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</si>
  <si>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</si>
  <si>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</si>
  <si>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</si>
  <si>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</si>
  <si>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</si>
  <si>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</si>
  <si>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</si>
  <si>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</si>
  <si>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</si>
  <si>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</si>
  <si>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</si>
  <si>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</si>
  <si>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</si>
  <si>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</si>
  <si>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</si>
  <si>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</si>
  <si>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</si>
  <si>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</si>
  <si>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</si>
  <si>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</si>
  <si>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</si>
  <si>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</si>
  <si>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</si>
  <si>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</si>
  <si>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</si>
  <si>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</si>
  <si>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</si>
  <si>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</si>
  <si>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</si>
  <si>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</si>
  <si>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</si>
  <si>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</si>
  <si>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</si>
  <si>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</si>
  <si>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</si>
  <si>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</si>
  <si>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</si>
  <si>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</si>
  <si>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</si>
  <si>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</si>
  <si>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</si>
  <si>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</si>
  <si>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</si>
  <si>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</si>
  <si>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</si>
  <si>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</si>
  <si>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</si>
  <si>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</si>
  <si>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</si>
  <si>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</si>
  <si>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</si>
  <si>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</si>
  <si>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</si>
  <si>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</si>
  <si>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</si>
  <si>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</si>
  <si>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</si>
  <si>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</si>
  <si>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</si>
  <si>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</si>
  <si>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</si>
  <si>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</si>
  <si>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</si>
  <si>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</si>
  <si>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</si>
  <si>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</si>
  <si>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</si>
  <si>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</si>
  <si>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</si>
  <si>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204:233297</t>
  </si>
  <si>
    <t>204:435</t>
  </si>
  <si>
    <t>204:160</t>
  </si>
  <si>
    <t>204:471</t>
  </si>
  <si>
    <t>rtdc.l.rtdc.4006:itc</t>
  </si>
  <si>
    <t>STARKS</t>
  </si>
  <si>
    <t>ANGELINA</t>
  </si>
  <si>
    <t>MOSES</t>
  </si>
  <si>
    <t>BRADLEY</t>
  </si>
  <si>
    <t>204:232973</t>
  </si>
  <si>
    <t>204:233301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</si>
  <si>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</si>
  <si>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</si>
  <si>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</si>
  <si>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</si>
  <si>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</si>
  <si>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</si>
  <si>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</si>
  <si>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</si>
  <si>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</si>
  <si>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</si>
  <si>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</si>
  <si>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</si>
  <si>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</si>
  <si>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</si>
  <si>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</si>
  <si>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</si>
  <si>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</si>
  <si>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</si>
  <si>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</si>
  <si>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</si>
  <si>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</si>
  <si>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</si>
  <si>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</si>
  <si>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</si>
  <si>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</si>
  <si>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</si>
  <si>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</si>
  <si>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</si>
  <si>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</si>
  <si>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</si>
  <si>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</si>
  <si>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</si>
  <si>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</si>
  <si>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</si>
  <si>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204:161</t>
  </si>
  <si>
    <t>rtdc.l.rtdc.4016:itc</t>
  </si>
  <si>
    <t>rtdc.l.rtdc.4027:itc</t>
  </si>
  <si>
    <t>313-06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</si>
  <si>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</si>
  <si>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</si>
  <si>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</si>
  <si>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</si>
  <si>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</si>
  <si>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</si>
  <si>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</si>
  <si>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rtdc.l.rtdc.4023:itc</t>
  </si>
  <si>
    <t>rtdc.l.rtdc.4032:itc</t>
  </si>
  <si>
    <t>204:158</t>
  </si>
  <si>
    <t>204:475</t>
  </si>
  <si>
    <t>rtdc.l.rtdc.4015:itc</t>
  </si>
  <si>
    <t>KEVIN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</si>
  <si>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</si>
  <si>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</si>
  <si>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</si>
  <si>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</si>
  <si>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</si>
  <si>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</si>
  <si>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</si>
  <si>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</si>
  <si>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</si>
  <si>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rain</t>
  </si>
  <si>
    <t>204:442</t>
  </si>
  <si>
    <t>204:232984</t>
  </si>
  <si>
    <t>204:232994</t>
  </si>
  <si>
    <t>204:467</t>
  </si>
  <si>
    <t>204:233305</t>
  </si>
  <si>
    <t>204:692</t>
  </si>
  <si>
    <t>244-12</t>
  </si>
  <si>
    <t>WILLIAM</t>
  </si>
  <si>
    <t>SAFIEF</t>
  </si>
  <si>
    <t>AEIMEN</t>
  </si>
  <si>
    <t>309-12</t>
  </si>
  <si>
    <t>311-12</t>
  </si>
  <si>
    <t>313-12</t>
  </si>
  <si>
    <t>300-13</t>
  </si>
  <si>
    <t>204:232965</t>
  </si>
  <si>
    <t>204:152</t>
  </si>
  <si>
    <t>204:232975</t>
  </si>
  <si>
    <t>204:233013</t>
  </si>
  <si>
    <t>204:129</t>
  </si>
  <si>
    <t>204:971</t>
  </si>
  <si>
    <t>rtdc.l.rtdc.4012:itc</t>
  </si>
  <si>
    <t>rtdc.l.rtdc.4011:itc</t>
  </si>
  <si>
    <t>rtdc.l.rtdc.4064:itc</t>
  </si>
  <si>
    <t>clear-night</t>
  </si>
  <si>
    <t>Clear</t>
  </si>
  <si>
    <t>clear-day</t>
  </si>
  <si>
    <t>204:233291</t>
  </si>
  <si>
    <t>204:233293</t>
  </si>
  <si>
    <t>204:233332</t>
  </si>
  <si>
    <t>204:460</t>
  </si>
  <si>
    <t>204:233011</t>
  </si>
  <si>
    <t>204:438</t>
  </si>
  <si>
    <t>300:58630</t>
  </si>
  <si>
    <t>rtdc.l.rtdc.4054:itc</t>
  </si>
  <si>
    <t>MAELZER</t>
  </si>
  <si>
    <t>KURT</t>
  </si>
  <si>
    <t>NEWELL</t>
  </si>
  <si>
    <t>BROWN</t>
  </si>
  <si>
    <t>JACOB</t>
  </si>
  <si>
    <t>DAVIDSON</t>
  </si>
  <si>
    <t>DAVID</t>
  </si>
  <si>
    <t>THOMPSON</t>
  </si>
  <si>
    <t>LESTER</t>
  </si>
  <si>
    <t>BRUDER</t>
  </si>
  <si>
    <t>RICHARD</t>
  </si>
  <si>
    <t>MCREYNOLDS</t>
  </si>
  <si>
    <t>KYLE</t>
  </si>
  <si>
    <t>rtdc.l.rtdc.4026:itc</t>
  </si>
  <si>
    <t>204:449</t>
  </si>
  <si>
    <t>204:233325</t>
  </si>
  <si>
    <t>204:233304</t>
  </si>
  <si>
    <t>204:431</t>
  </si>
  <si>
    <t>204:437</t>
  </si>
  <si>
    <t>204:232983</t>
  </si>
  <si>
    <t>204:232988</t>
  </si>
  <si>
    <t>204:233288</t>
  </si>
  <si>
    <t>204:232977</t>
  </si>
  <si>
    <t>300:58954</t>
  </si>
  <si>
    <t>204:233034</t>
  </si>
  <si>
    <t>204:979</t>
  </si>
  <si>
    <t>204:232979</t>
  </si>
  <si>
    <t>204:134</t>
  </si>
  <si>
    <t>204:232982</t>
  </si>
  <si>
    <t>204:232967</t>
  </si>
  <si>
    <t>204:473</t>
  </si>
  <si>
    <t>rtdc.l.rtdc.4021:itc</t>
  </si>
  <si>
    <t>MILLER</t>
  </si>
  <si>
    <t>NICHOLSON</t>
  </si>
  <si>
    <t>WESLEY</t>
  </si>
  <si>
    <t>DE LA ROSA</t>
  </si>
  <si>
    <t>ALEX</t>
  </si>
  <si>
    <t>LANGERAK</t>
  </si>
  <si>
    <t>GONZALEZ</t>
  </si>
  <si>
    <t>ARMANDO</t>
  </si>
  <si>
    <t>rtdc.l.rtdc.4025:itc</t>
  </si>
  <si>
    <t>PAGE</t>
  </si>
  <si>
    <t>MARCUS</t>
  </si>
  <si>
    <t>ANDERS</t>
  </si>
  <si>
    <t>STEVEN</t>
  </si>
  <si>
    <t>LEVIN</t>
  </si>
  <si>
    <t>SCOTT</t>
  </si>
  <si>
    <t>CASSIDY</t>
  </si>
  <si>
    <t>BRANDON</t>
  </si>
  <si>
    <t>242-17</t>
  </si>
  <si>
    <t>309-17</t>
  </si>
  <si>
    <t>244-17</t>
  </si>
  <si>
    <t>311-17</t>
  </si>
  <si>
    <t>313-17</t>
  </si>
  <si>
    <t>300-18</t>
  </si>
  <si>
    <t>Drizzle</t>
  </si>
  <si>
    <t>Light Rain</t>
  </si>
  <si>
    <t>204:233321</t>
  </si>
  <si>
    <t>204:232980</t>
  </si>
  <si>
    <t>204:233281</t>
  </si>
  <si>
    <t>204:232968</t>
  </si>
  <si>
    <t>204:233330</t>
  </si>
  <si>
    <t>204:233017</t>
  </si>
  <si>
    <t>204:233299</t>
  </si>
  <si>
    <t>204:232978</t>
  </si>
  <si>
    <t>204:232985</t>
  </si>
  <si>
    <t>204:233286</t>
  </si>
  <si>
    <t>204:233355</t>
  </si>
  <si>
    <t>204:233289</t>
  </si>
  <si>
    <t>204:478</t>
  </si>
  <si>
    <t>204:233319</t>
  </si>
  <si>
    <t>204:232987</t>
  </si>
  <si>
    <t>204:233334</t>
  </si>
  <si>
    <t>204:232963</t>
  </si>
  <si>
    <t>204:233307</t>
  </si>
  <si>
    <t>204:233308</t>
  </si>
  <si>
    <t>204:233274</t>
  </si>
  <si>
    <t>204:233357</t>
  </si>
  <si>
    <t>204:233380</t>
  </si>
  <si>
    <t>204:233298</t>
  </si>
  <si>
    <t>204:233318</t>
  </si>
  <si>
    <t>204:114</t>
  </si>
  <si>
    <t>204:176</t>
  </si>
  <si>
    <t>204:233036</t>
  </si>
  <si>
    <t>300:20377</t>
  </si>
  <si>
    <t>300:23302</t>
  </si>
  <si>
    <t>300:58609</t>
  </si>
  <si>
    <t>300:58946</t>
  </si>
  <si>
    <t>300:58624</t>
  </si>
  <si>
    <t>204:748</t>
  </si>
  <si>
    <t>300:58636</t>
  </si>
  <si>
    <t>204:722</t>
  </si>
  <si>
    <t>204:1014</t>
  </si>
  <si>
    <t>300:58929</t>
  </si>
  <si>
    <t>204:1021</t>
  </si>
  <si>
    <t>204:964</t>
  </si>
  <si>
    <t>300:58928</t>
  </si>
  <si>
    <t>204:962</t>
  </si>
  <si>
    <t>300:58608</t>
  </si>
  <si>
    <t>300:58926</t>
  </si>
  <si>
    <t>Selected wrong track</t>
  </si>
  <si>
    <t>Wi-MAX data drop</t>
  </si>
  <si>
    <t>308-18</t>
  </si>
  <si>
    <t>rtdc.l.rtdc.4050:itc</t>
  </si>
  <si>
    <t>901-18</t>
  </si>
  <si>
    <t>rtdc.l.rtdc.4049:itc</t>
  </si>
  <si>
    <t>800-18</t>
  </si>
  <si>
    <t>802-18</t>
  </si>
  <si>
    <t>116-18</t>
  </si>
  <si>
    <t>rtdc.l.rtdc.4063:itc</t>
  </si>
  <si>
    <t>114-18</t>
  </si>
  <si>
    <t>SWITCH UNKNOWN</t>
  </si>
  <si>
    <t>Track device (7)</t>
  </si>
  <si>
    <t>804-18</t>
  </si>
  <si>
    <t>805-18</t>
  </si>
  <si>
    <t>808-18</t>
  </si>
  <si>
    <t>135-18</t>
  </si>
  <si>
    <t>126-18</t>
  </si>
  <si>
    <t>812-18</t>
  </si>
  <si>
    <t>140-18</t>
  </si>
  <si>
    <t>155-18</t>
  </si>
  <si>
    <t>54-18</t>
  </si>
  <si>
    <t>163-18</t>
  </si>
  <si>
    <t>165-18</t>
  </si>
  <si>
    <t>820-18</t>
  </si>
  <si>
    <t>162-18</t>
  </si>
  <si>
    <t>164-18</t>
  </si>
  <si>
    <t>193-18</t>
  </si>
  <si>
    <t>205-18</t>
  </si>
  <si>
    <t>831-18</t>
  </si>
  <si>
    <t>832-18</t>
  </si>
  <si>
    <t>209-18</t>
  </si>
  <si>
    <t>53-18</t>
  </si>
  <si>
    <t>211-18</t>
  </si>
  <si>
    <t>212-18</t>
  </si>
  <si>
    <t>906-18</t>
  </si>
  <si>
    <t>218-18</t>
  </si>
  <si>
    <t>224-18</t>
  </si>
  <si>
    <t>844-18</t>
  </si>
  <si>
    <t>237-18</t>
  </si>
  <si>
    <t>67-18</t>
  </si>
  <si>
    <t>SPECTOR</t>
  </si>
  <si>
    <t>101-18</t>
  </si>
  <si>
    <t>302-18</t>
  </si>
  <si>
    <t>68-18</t>
  </si>
  <si>
    <t>103-18</t>
  </si>
  <si>
    <t>304-18</t>
  </si>
  <si>
    <t>102-18</t>
  </si>
  <si>
    <t>306-18</t>
  </si>
  <si>
    <t>105-18</t>
  </si>
  <si>
    <t>107-18</t>
  </si>
  <si>
    <t>104-18</t>
  </si>
  <si>
    <t>109-18</t>
  </si>
  <si>
    <t>111-18</t>
  </si>
  <si>
    <t>106-18</t>
  </si>
  <si>
    <t>310-18</t>
  </si>
  <si>
    <t>108-18</t>
  </si>
  <si>
    <t>113-18</t>
  </si>
  <si>
    <t>LOZA</t>
  </si>
  <si>
    <t>FIDEL</t>
  </si>
  <si>
    <t>312-18</t>
  </si>
  <si>
    <t>115-18</t>
  </si>
  <si>
    <t>110-18</t>
  </si>
  <si>
    <t>117-18</t>
  </si>
  <si>
    <t>801-18</t>
  </si>
  <si>
    <t>119-18</t>
  </si>
  <si>
    <t>902-18</t>
  </si>
  <si>
    <t>YANG</t>
  </si>
  <si>
    <t>JAN</t>
  </si>
  <si>
    <t>112-18</t>
  </si>
  <si>
    <t>121-18</t>
  </si>
  <si>
    <t>rtdc.l.rtdc.4024:itc</t>
  </si>
  <si>
    <t>803-18</t>
  </si>
  <si>
    <t>123-18</t>
  </si>
  <si>
    <t>118-18</t>
  </si>
  <si>
    <t>125-18</t>
  </si>
  <si>
    <t>120-18</t>
  </si>
  <si>
    <t>122-18</t>
  </si>
  <si>
    <t>127-18</t>
  </si>
  <si>
    <t>806-18</t>
  </si>
  <si>
    <t>129-18</t>
  </si>
  <si>
    <t>124-18</t>
  </si>
  <si>
    <t>807-18</t>
  </si>
  <si>
    <t>131-18</t>
  </si>
  <si>
    <t>133-18</t>
  </si>
  <si>
    <t>128-18</t>
  </si>
  <si>
    <t>809-18</t>
  </si>
  <si>
    <t>130-18</t>
  </si>
  <si>
    <t>810-18</t>
  </si>
  <si>
    <t>132-18</t>
  </si>
  <si>
    <t>137-18</t>
  </si>
  <si>
    <t>811-18</t>
  </si>
  <si>
    <t>139-18</t>
  </si>
  <si>
    <t>134-18</t>
  </si>
  <si>
    <t>903-18</t>
  </si>
  <si>
    <t>141-18</t>
  </si>
  <si>
    <t>136-18</t>
  </si>
  <si>
    <t>143-18</t>
  </si>
  <si>
    <t>138-18</t>
  </si>
  <si>
    <t>145-18</t>
  </si>
  <si>
    <t>813-18</t>
  </si>
  <si>
    <t>52-18</t>
  </si>
  <si>
    <t>147-18</t>
  </si>
  <si>
    <t>142-18</t>
  </si>
  <si>
    <t>144-18</t>
  </si>
  <si>
    <t>814-18</t>
  </si>
  <si>
    <t>149-18</t>
  </si>
  <si>
    <t>151-18</t>
  </si>
  <si>
    <t>146-18</t>
  </si>
  <si>
    <t>153-18</t>
  </si>
  <si>
    <t>815-18</t>
  </si>
  <si>
    <t>148-18</t>
  </si>
  <si>
    <t>150-18</t>
  </si>
  <si>
    <t>816-18</t>
  </si>
  <si>
    <t>152-18</t>
  </si>
  <si>
    <t>ROMERO</t>
  </si>
  <si>
    <t>CHAD</t>
  </si>
  <si>
    <t>157-18</t>
  </si>
  <si>
    <t>159-18</t>
  </si>
  <si>
    <t>154-18</t>
  </si>
  <si>
    <t>817-18</t>
  </si>
  <si>
    <t>161-18</t>
  </si>
  <si>
    <t>156-18</t>
  </si>
  <si>
    <t>55-18</t>
  </si>
  <si>
    <t>818-18</t>
  </si>
  <si>
    <t>158-18</t>
  </si>
  <si>
    <t>160-18</t>
  </si>
  <si>
    <t>167-18</t>
  </si>
  <si>
    <t>169-18</t>
  </si>
  <si>
    <t>819-18</t>
  </si>
  <si>
    <t>171-18</t>
  </si>
  <si>
    <t>166-18</t>
  </si>
  <si>
    <t>173-18</t>
  </si>
  <si>
    <t>168-18</t>
  </si>
  <si>
    <t>175-18</t>
  </si>
  <si>
    <t>177-18</t>
  </si>
  <si>
    <t>821-18</t>
  </si>
  <si>
    <t>172-18</t>
  </si>
  <si>
    <t>170-18</t>
  </si>
  <si>
    <t>179-18</t>
  </si>
  <si>
    <t>174-18</t>
  </si>
  <si>
    <t>822-18</t>
  </si>
  <si>
    <t>181-18</t>
  </si>
  <si>
    <t>176-18</t>
  </si>
  <si>
    <t>59-18</t>
  </si>
  <si>
    <t>183-18</t>
  </si>
  <si>
    <t>178-18</t>
  </si>
  <si>
    <t>185-18</t>
  </si>
  <si>
    <t>823-18</t>
  </si>
  <si>
    <t>180-18</t>
  </si>
  <si>
    <t>187-18</t>
  </si>
  <si>
    <t>182-18</t>
  </si>
  <si>
    <t>824-18</t>
  </si>
  <si>
    <t>189-18</t>
  </si>
  <si>
    <t>STEWART</t>
  </si>
  <si>
    <t>184-18</t>
  </si>
  <si>
    <t>191-18</t>
  </si>
  <si>
    <t>186-18</t>
  </si>
  <si>
    <t>188-18</t>
  </si>
  <si>
    <t>904-18</t>
  </si>
  <si>
    <t>825-18</t>
  </si>
  <si>
    <t>195-18</t>
  </si>
  <si>
    <t>826-18</t>
  </si>
  <si>
    <t>827-18</t>
  </si>
  <si>
    <t>192-18</t>
  </si>
  <si>
    <t>190-18</t>
  </si>
  <si>
    <t>197-18</t>
  </si>
  <si>
    <t>199-18</t>
  </si>
  <si>
    <t>828-18</t>
  </si>
  <si>
    <t>201-18</t>
  </si>
  <si>
    <t>194-18</t>
  </si>
  <si>
    <t>829-18</t>
  </si>
  <si>
    <t>196-18</t>
  </si>
  <si>
    <t>203-18</t>
  </si>
  <si>
    <t>51-18</t>
  </si>
  <si>
    <t>830-18</t>
  </si>
  <si>
    <t>198-18</t>
  </si>
  <si>
    <t>207-18</t>
  </si>
  <si>
    <t>200-18</t>
  </si>
  <si>
    <t>202-18</t>
  </si>
  <si>
    <t>833-18</t>
  </si>
  <si>
    <t>204-18</t>
  </si>
  <si>
    <t>206-18</t>
  </si>
  <si>
    <t>69-18</t>
  </si>
  <si>
    <t>834-18</t>
  </si>
  <si>
    <t>835-18</t>
  </si>
  <si>
    <t>DUNCAN</t>
  </si>
  <si>
    <t>SHEILA</t>
  </si>
  <si>
    <t>213-18</t>
  </si>
  <si>
    <t>208-18</t>
  </si>
  <si>
    <t>215-18</t>
  </si>
  <si>
    <t>836-18</t>
  </si>
  <si>
    <t>210-18</t>
  </si>
  <si>
    <t>217-18</t>
  </si>
  <si>
    <t>837-18</t>
  </si>
  <si>
    <t>219-18</t>
  </si>
  <si>
    <t>214-18</t>
  </si>
  <si>
    <t>301-18</t>
  </si>
  <si>
    <t>838-18</t>
  </si>
  <si>
    <t>216-18</t>
  </si>
  <si>
    <t>839-18</t>
  </si>
  <si>
    <t>221-18</t>
  </si>
  <si>
    <t>303-18</t>
  </si>
  <si>
    <t>841-18</t>
  </si>
  <si>
    <t>223-18</t>
  </si>
  <si>
    <t>220-18</t>
  </si>
  <si>
    <t>840-18</t>
  </si>
  <si>
    <t>305-18</t>
  </si>
  <si>
    <t>222-18</t>
  </si>
  <si>
    <t>225-18</t>
  </si>
  <si>
    <t>843-18</t>
  </si>
  <si>
    <t>227-18</t>
  </si>
  <si>
    <t>842-18</t>
  </si>
  <si>
    <t>229-18</t>
  </si>
  <si>
    <t>226-18</t>
  </si>
  <si>
    <t>845-18</t>
  </si>
  <si>
    <t>231-18</t>
  </si>
  <si>
    <t>228-18</t>
  </si>
  <si>
    <t>230-18</t>
  </si>
  <si>
    <t>233-18</t>
  </si>
  <si>
    <t>847-18</t>
  </si>
  <si>
    <t>232-18</t>
  </si>
  <si>
    <t>235-18</t>
  </si>
  <si>
    <t>908-18</t>
  </si>
  <si>
    <t>234-18</t>
  </si>
  <si>
    <t>239-18</t>
  </si>
  <si>
    <t>236-18</t>
  </si>
  <si>
    <t>238-18</t>
  </si>
  <si>
    <t>241-18</t>
  </si>
  <si>
    <t>243-18</t>
  </si>
  <si>
    <t>240-18</t>
  </si>
  <si>
    <t>242-18</t>
  </si>
  <si>
    <t>307-18</t>
  </si>
  <si>
    <t>309-18</t>
  </si>
  <si>
    <t>244-18</t>
  </si>
  <si>
    <t>311-18</t>
  </si>
  <si>
    <t>313-18</t>
  </si>
  <si>
    <t>300-19</t>
  </si>
  <si>
    <t>partly-cloudy-day</t>
  </si>
  <si>
    <t>Partly Cloudy</t>
  </si>
  <si>
    <t>partly-cloudy-night</t>
  </si>
  <si>
    <t>204:710</t>
  </si>
  <si>
    <t>204:132</t>
  </si>
  <si>
    <t>204:233331</t>
  </si>
  <si>
    <t>204:233341</t>
  </si>
  <si>
    <t>204:553</t>
  </si>
  <si>
    <t>204:233283</t>
  </si>
  <si>
    <t>204:232964</t>
  </si>
  <si>
    <t>204:493</t>
  </si>
  <si>
    <t>204:233261</t>
  </si>
  <si>
    <t>204:232961</t>
  </si>
  <si>
    <t>204:232969</t>
  </si>
  <si>
    <t>204:121</t>
  </si>
  <si>
    <t>204:480</t>
  </si>
  <si>
    <t>204:233010</t>
  </si>
  <si>
    <t>204:440</t>
  </si>
  <si>
    <t>204:172</t>
  </si>
  <si>
    <t>204:37173</t>
  </si>
  <si>
    <t>204:225822</t>
  </si>
  <si>
    <t>204:19339</t>
  </si>
  <si>
    <t>204:86375</t>
  </si>
  <si>
    <t>204:233015</t>
  </si>
  <si>
    <t>204:1162</t>
  </si>
  <si>
    <t>204:233272</t>
  </si>
  <si>
    <t>204:232960</t>
  </si>
  <si>
    <t>204:167</t>
  </si>
  <si>
    <t>204:233280</t>
  </si>
  <si>
    <t>204:484</t>
  </si>
  <si>
    <t>204:233408</t>
  </si>
  <si>
    <t>204:233093</t>
  </si>
  <si>
    <t>204:232948</t>
  </si>
  <si>
    <t>204:130</t>
  </si>
  <si>
    <t>204:488</t>
  </si>
  <si>
    <t>204:37190</t>
  </si>
  <si>
    <t>204:36534</t>
  </si>
  <si>
    <t>204:418</t>
  </si>
  <si>
    <t>204:233329</t>
  </si>
  <si>
    <t>204:234</t>
  </si>
  <si>
    <t>204:233405</t>
  </si>
  <si>
    <t>204:233084</t>
  </si>
  <si>
    <t>204:125</t>
  </si>
  <si>
    <t>204:233353</t>
  </si>
  <si>
    <t>204:233324</t>
  </si>
  <si>
    <t>204:233336</t>
  </si>
  <si>
    <t>204:19123</t>
  </si>
  <si>
    <t>204:1231</t>
  </si>
  <si>
    <t>204:871</t>
  </si>
  <si>
    <t>204:232991</t>
  </si>
  <si>
    <t>204:537</t>
  </si>
  <si>
    <t>204:233320</t>
  </si>
  <si>
    <t>204:233327</t>
  </si>
  <si>
    <t>204:233082</t>
  </si>
  <si>
    <t>204:233051</t>
  </si>
  <si>
    <t>204:232998</t>
  </si>
  <si>
    <t>204:489</t>
  </si>
  <si>
    <t>204:232955</t>
  </si>
  <si>
    <t>204:233359</t>
  </si>
  <si>
    <t>204:233402</t>
  </si>
  <si>
    <t>204:233117</t>
  </si>
  <si>
    <t>204:233351</t>
  </si>
  <si>
    <t>204:233069</t>
  </si>
  <si>
    <t>204:233021</t>
  </si>
  <si>
    <t>204:232959</t>
  </si>
  <si>
    <t>204:233362</t>
  </si>
  <si>
    <t>204:233295</t>
  </si>
  <si>
    <t>204:233300</t>
  </si>
  <si>
    <t>204:233314</t>
  </si>
  <si>
    <t>204:529</t>
  </si>
  <si>
    <t>204:424</t>
  </si>
  <si>
    <t>204:233019</t>
  </si>
  <si>
    <t>204:78</t>
  </si>
  <si>
    <t>204:233003</t>
  </si>
  <si>
    <t>204:231</t>
  </si>
  <si>
    <t>204:228930</t>
  </si>
  <si>
    <t>204:409</t>
  </si>
  <si>
    <t>204:135</t>
  </si>
  <si>
    <t>204:517</t>
  </si>
  <si>
    <t>204:233317</t>
  </si>
  <si>
    <t>204:148</t>
  </si>
  <si>
    <t>204:169</t>
  </si>
  <si>
    <t>300:23553</t>
  </si>
  <si>
    <t>300:22641</t>
  </si>
  <si>
    <t>300:23472</t>
  </si>
  <si>
    <t>300:25128</t>
  </si>
  <si>
    <t>204:223</t>
  </si>
  <si>
    <t>204:439</t>
  </si>
  <si>
    <t>300:23313</t>
  </si>
  <si>
    <t>300:23268</t>
  </si>
  <si>
    <t>204:1183</t>
  </si>
  <si>
    <t>300:23304</t>
  </si>
  <si>
    <t>204:3231</t>
  </si>
  <si>
    <t>204:1481</t>
  </si>
  <si>
    <t>204:3542</t>
  </si>
  <si>
    <t>300:23631</t>
  </si>
  <si>
    <t>300:22306</t>
  </si>
  <si>
    <t>204:856</t>
  </si>
  <si>
    <t>204:1164</t>
  </si>
  <si>
    <t>300:24212</t>
  </si>
  <si>
    <t>204:3165</t>
  </si>
  <si>
    <t>204:1486</t>
  </si>
  <si>
    <t>204:3495</t>
  </si>
  <si>
    <t>204:3561</t>
  </si>
  <si>
    <t>204:3264</t>
  </si>
  <si>
    <t>204:1165</t>
  </si>
  <si>
    <t>204:1145</t>
  </si>
  <si>
    <t>300:57320</t>
  </si>
  <si>
    <t>300:58368</t>
  </si>
  <si>
    <t>204:1039</t>
  </si>
  <si>
    <t>300:57614</t>
  </si>
  <si>
    <t>300:57341</t>
  </si>
  <si>
    <t>204:734</t>
  </si>
  <si>
    <t>300:58403</t>
  </si>
  <si>
    <t>204:983</t>
  </si>
  <si>
    <t>300:57606</t>
  </si>
  <si>
    <t>300:57335</t>
  </si>
  <si>
    <t>204:689</t>
  </si>
  <si>
    <t>300:58613</t>
  </si>
  <si>
    <t>300:58349</t>
  </si>
  <si>
    <t>204:1004</t>
  </si>
  <si>
    <t>300:57597</t>
  </si>
  <si>
    <t>204:743</t>
  </si>
  <si>
    <t>300:58515</t>
  </si>
  <si>
    <t>204:965</t>
  </si>
  <si>
    <t>300:57612</t>
  </si>
  <si>
    <t>204:678</t>
  </si>
  <si>
    <t>300:58370</t>
  </si>
  <si>
    <t>204:1041</t>
  </si>
  <si>
    <t>204:724</t>
  </si>
  <si>
    <t>300:58542</t>
  </si>
  <si>
    <t>300:57605</t>
  </si>
  <si>
    <t>300:57329</t>
  </si>
  <si>
    <t>204:684</t>
  </si>
  <si>
    <t>300:58615</t>
  </si>
  <si>
    <t>204:978</t>
  </si>
  <si>
    <t>300:57610</t>
  </si>
  <si>
    <t>300:57348</t>
  </si>
  <si>
    <t>300:57599</t>
  </si>
  <si>
    <t>204:685</t>
  </si>
  <si>
    <t>204:988</t>
  </si>
  <si>
    <t>300:58611</t>
  </si>
  <si>
    <t>204:1023</t>
  </si>
  <si>
    <t>300:58950</t>
  </si>
  <si>
    <t>204:729</t>
  </si>
  <si>
    <t>204:1027</t>
  </si>
  <si>
    <t>300:58628</t>
  </si>
  <si>
    <t>204:1009</t>
  </si>
  <si>
    <t>300:58965</t>
  </si>
  <si>
    <t>300:58645</t>
  </si>
  <si>
    <t>204:715</t>
  </si>
  <si>
    <t>204:981</t>
  </si>
  <si>
    <t>204:656</t>
  </si>
  <si>
    <t>300:58944</t>
  </si>
  <si>
    <t>204:726</t>
  </si>
  <si>
    <t>204:943</t>
  </si>
  <si>
    <t>204:1020</t>
  </si>
  <si>
    <t>300:58995</t>
  </si>
  <si>
    <t>300:58675</t>
  </si>
  <si>
    <t>204:731</t>
  </si>
  <si>
    <t>204:974</t>
  </si>
  <si>
    <t>300:58668</t>
  </si>
  <si>
    <t>204:741</t>
  </si>
  <si>
    <t>300:58992</t>
  </si>
  <si>
    <t>300:58702</t>
  </si>
  <si>
    <t>204:1013</t>
  </si>
  <si>
    <t>300:59010</t>
  </si>
  <si>
    <t>300:58638</t>
  </si>
  <si>
    <t>204:1016</t>
  </si>
  <si>
    <t>300:31004</t>
  </si>
  <si>
    <t>300:57694</t>
  </si>
  <si>
    <t>300:23652</t>
  </si>
  <si>
    <t>204:1025</t>
  </si>
  <si>
    <t>300:24252</t>
  </si>
  <si>
    <t>300:23258</t>
  </si>
  <si>
    <t>300:32023</t>
  </si>
  <si>
    <t>300:21610</t>
  </si>
  <si>
    <t>start /low /b %USERPROFILE%\Documents\GitHub\eaglep3\Utilities\DownloadLogsFromS3.py --loco 4014 --day 2017-07-18</t>
  </si>
  <si>
    <t>start /low /b %USERPROFILE%\Documents\GitHub\eaglep3\Utilities\DownloadLogsFromS3.py --loco 4064 --day 2017-07-18</t>
  </si>
  <si>
    <t>start /low /b %USERPROFILE%\Documents\GitHub\eaglep3\Utilities\DownloadLogsFromS3.py --loco 4012 --day 2017-07-18</t>
  </si>
  <si>
    <t>start /low /b %USERPROFILE%\Documents\GitHub\eaglep3\Utilities\DownloadLogsFromS3.py --loco 4062 --day 2017-07-18</t>
  </si>
  <si>
    <t>start /low /b %USERPROFILE%\Documents\GitHub\eaglep3\Utilities\DownloadLogsFromS3.py --loco 4049 --day 2017-07-18</t>
  </si>
  <si>
    <t>start /low /b %USERPROFILE%\Documents\GitHub\eaglep3\Utilities\DownloadLogsFromS3.py --loco 4023 --day 2017-07-18</t>
  </si>
  <si>
    <t>start /low /b %USERPROFILE%\Documents\GitHub\eaglep3\Utilities\DownloadLogsFromS3.py --loco 4007 --day 2017-07-19</t>
  </si>
  <si>
    <t>start /low /b %USERPROFILE%\Documents\GitHub\eaglep3\Utilities\DownloadLogsFromS3.py --loco 4026 --day 2017-07-18</t>
  </si>
  <si>
    <t>start /low /b %USERPROFILE%\Documents\GitHub\eaglep3\Utilities\DownloadLogsFromS3.py --loco 4002 --day 2017-07-18</t>
  </si>
  <si>
    <t>start /low /b %USERPROFILE%\Documents\GitHub\eaglep3\Utilities\DownloadLogsFromS3.py --loco 4061 --day 2017-07-18</t>
  </si>
  <si>
    <t>start /low /b %USERPROFILE%\Documents\GitHub\eaglep3\Utilities\DownloadLogsFromS3.py --loco 4011 --day 2017-07-18</t>
  </si>
  <si>
    <t>start /low /b %USERPROFILE%\Documents\GitHub\eaglep3\Utilities\DownloadLogsFromS3.py --loco 4063 --day 2017-07-18</t>
  </si>
  <si>
    <t>start /low /b %USERPROFILE%\Documents\GitHub\eaglep3\Utilities\DownloadLogsFromS3.py --loco 4062 --day 2017-07-19</t>
  </si>
  <si>
    <t>start /low /b %USERPROFILE%\Documents\GitHub\eaglep3\Utilities\DownloadLogsFromS3.py --loco 4007 --day 2017-07-18</t>
  </si>
  <si>
    <t>start /low /b %USERPROFILE%\Documents\GitHub\eaglep3\Utilities\DownloadLogsFromS3.py --loco 4001 --day 2017-07-18</t>
  </si>
  <si>
    <t>start /low /b %USERPROFILE%\Documents\GitHub\eaglep3\Utilities\DownloadLogsFromS3.py --loco 4063 --day 2017-07-19</t>
  </si>
  <si>
    <t>start /low /b %USERPROFILE%\Documents\GitHub\eaglep3\Utilities\DownloadLogsFromS3.py --loco 4013 --day 2017-07-19</t>
  </si>
  <si>
    <t>start /low /b %USERPROFILE%\Documents\GitHub\eaglep3\Utilities\DownloadLogsFromS3.py --loco 4064 --day 2017-07-19</t>
  </si>
  <si>
    <t>start /low /b %USERPROFILE%\Documents\GitHub\eaglep3\Utilities\DownloadLogsFromS3.py --loco 4050 --day 2017-07-18</t>
  </si>
  <si>
    <t>start /low /b %USERPROFILE%\Documents\GitHub\eaglep3\Utilities\DownloadLogsFromS3.py --loco 4023 --day 2017-07-19</t>
  </si>
  <si>
    <t>Minor onboard in-route failure caused signal status unknown banner</t>
  </si>
  <si>
    <t>Delayed by onboard in-route failure</t>
  </si>
  <si>
    <t>Premature downgrade at DIA 2N</t>
  </si>
  <si>
    <t>23:35:52 - DIA 2N dropped from Proceed Cab to Stop while train was still approaching - do logs indicate anything unusual?</t>
  </si>
  <si>
    <t>Westminster ELXS failure</t>
  </si>
  <si>
    <t>Affected by Westminster ELXS failure</t>
  </si>
  <si>
    <t>Selected wrong track at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</si>
</sst>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topLeftCell="A189" workbookViewId="0">
      <selection activeCell="T189" sqref="T189:T2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140</v>
      </c>
      <c r="K5" s="39"/>
      <c r="L5" s="39"/>
      <c r="M5" s="40">
        <f>AVERAGEIFS($N$13:$N$9314,$AG$13:$AG$9314,I1)</f>
        <v>38.119523809707189</v>
      </c>
      <c r="N5" s="38">
        <f t="array" ref="N5">MIN(IF($AG$13:$AG$9314=I1,IF(ISNUMBER($N$13:$N$9314),IF($N$13:$N$9314&gt;0,$N$13:$N$9314))))</f>
        <v>34.500000007683411</v>
      </c>
      <c r="O5" s="3">
        <f t="array" ref="O5">MAX(IF($AG$13:$AG$9314=I1,IF(ISNUMBER($N$13:$N$9314),IF($N$13:$N$9314&gt;0,$N$13:$N$9314))))</f>
        <v>54.866666668094695</v>
      </c>
      <c r="P5" s="2"/>
      <c r="R5" s="166" t="s">
        <v>17</v>
      </c>
      <c r="S5" s="186">
        <f>COUNTIFS($N$13:$N$9314,"&gt;0",$AG$13:$AG$9314,R1)</f>
        <v>47</v>
      </c>
      <c r="T5" s="187"/>
      <c r="U5" s="187"/>
      <c r="V5" s="183">
        <f>AVERAGEIFS($N$13:$N$9314,$AG$13:$AG$9314,R1)</f>
        <v>13.943262412064174</v>
      </c>
      <c r="W5" s="184">
        <f t="array" ref="W5">MIN(IF($AG$13:$AG$9314=R1,IF(ISNUMBER($N$13:$N$9314),IF($N$13:$N$9314&gt;0,$N$13:$N$9314))))</f>
        <v>10.850000000791624</v>
      </c>
      <c r="X5" s="185">
        <f t="array" ref="X5">MAX(IF($AG$13:$AG$9314=R1,IF(ISNUMBER($N$13:$N$9314),IF($N$13:$N$9314&gt;0,$N$13:$N$9314))))</f>
        <v>16.416666669538245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COUNTIFS($P$13:$P$9314,"&gt;0",$AG$13:$AG$9314,R1)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38.119523809707189</v>
      </c>
      <c r="N8" s="38">
        <f>N5</f>
        <v>34.500000007683411</v>
      </c>
      <c r="O8" s="3">
        <f>O5</f>
        <v>54.866666668094695</v>
      </c>
      <c r="P8" s="2"/>
      <c r="R8" s="166" t="s">
        <v>16</v>
      </c>
      <c r="S8" s="186">
        <f>S5</f>
        <v>47</v>
      </c>
      <c r="T8" s="187"/>
      <c r="U8" s="187"/>
      <c r="V8" s="183">
        <f>V5</f>
        <v>13.943262412064174</v>
      </c>
      <c r="W8" s="184">
        <f>W5</f>
        <v>10.850000000791624</v>
      </c>
      <c r="X8" s="185">
        <f>X5</f>
        <v>16.416666669538245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0.96193415637860069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4062</v>
      </c>
      <c r="C13" s="21" t="s">
        <v>199</v>
      </c>
      <c r="D13" s="21" t="s">
        <v>868</v>
      </c>
      <c r="E13" s="13">
        <v>42934.125532407408</v>
      </c>
      <c r="F13" s="13">
        <v>42934.135937500003</v>
      </c>
      <c r="G13" s="7">
        <v>1</v>
      </c>
      <c r="H13" s="21" t="s">
        <v>520</v>
      </c>
      <c r="I13" s="13">
        <v>42934.161782407406</v>
      </c>
      <c r="J13" s="7">
        <v>0</v>
      </c>
      <c r="K13" s="89" t="str">
        <f t="shared" ref="K13:K76" si="0">IF(ISEVEN(B13),(B13-1)&amp;"/"&amp;B13,B13&amp;"/"&amp;(B13+1))</f>
        <v>4061/4062</v>
      </c>
      <c r="L13" s="21" t="str">
        <f>VLOOKUP(A13,'Trips&amp;Operators'!$C$1:$G$99999,5,FALSE)</f>
        <v>STARKS ANGELINA</v>
      </c>
      <c r="M13" s="6">
        <f t="shared" ref="M13:M76" si="1">I13-F13</f>
        <v>2.5844907402643003E-2</v>
      </c>
      <c r="N13" s="7">
        <f t="shared" ref="N13:N46" si="2">24*60*SUM($M13:$M13)</f>
        <v>37.216666659805924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-18T02:00:46-0600',mode:absolute,to:'2017-07-18T04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7.0999999999999994E-2</v>
      </c>
      <c r="Z13" s="197">
        <f t="shared" ref="Z13:Z76" si="8">RIGHT(H13,LEN(H13)-4)/10000</f>
        <v>23.3293</v>
      </c>
      <c r="AA13" s="197">
        <f t="shared" ref="AA13:AA76" si="9">ABS(Z13-Y13)</f>
        <v>23.258299999999998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/stypes="app*4062*20170718*"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4062 --swversion DE.1.0.9.0 --startMP 204:710 --initTime 2017-07-18T03:00:46 --startdatetime 2017-07-18T03:15:45 --delay 1 --endMP 204:233293 --enddatetime 2017-07-18T03:52:58 --enforcementcount 0 &gt;&gt;C:\Users\stu\Documents\GitHub\eaglep3-reporting\EC\2017-07-18-refined-times.txt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{"issue":{"subject":"","project_id":79,"tracker_id":40,"status_id":1,"priority_id":2,"assigned_to_id":23,"start_date":"2017-07-18","description":"","custom_fields":[{"id":1,"name":"Subdivision","value":"EC"},{"id":4,"name":"Milepost","value":"23.3293"},{"id":17,"name":"Train ID","value":"101-18"},{"id":16,"name":"Locomotive ID","value":"4062"},{"id":130,"name":"Impact","value":""},{"id":150,"name":"Time of Event (Mountain Time)","value":"03:52:58"},{"id":151,"name":"Denver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4062 --day 2017-07-18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09:52:58"},{"id":29,"name":"Sharepoint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674</v>
      </c>
      <c r="B14" s="7">
        <v>4061</v>
      </c>
      <c r="C14" s="21" t="s">
        <v>199</v>
      </c>
      <c r="D14" s="21" t="s">
        <v>598</v>
      </c>
      <c r="E14" s="13">
        <v>42934.162986111114</v>
      </c>
      <c r="F14" s="13">
        <v>42934.175543981481</v>
      </c>
      <c r="G14" s="7">
        <v>1</v>
      </c>
      <c r="H14" s="21" t="s">
        <v>869</v>
      </c>
      <c r="I14" s="13">
        <v>42934.202847222223</v>
      </c>
      <c r="J14" s="7">
        <v>0</v>
      </c>
      <c r="K14" s="89" t="str">
        <f t="shared" si="0"/>
        <v>4061/4062</v>
      </c>
      <c r="L14" s="21" t="str">
        <f>VLOOKUP(A14,'Trips&amp;Operators'!$C$1:$G$99999,5,FALSE)</f>
        <v>STARKS ANGELINA</v>
      </c>
      <c r="M14" s="6">
        <f t="shared" si="1"/>
        <v>2.7303240742185153E-2</v>
      </c>
      <c r="N14" s="7">
        <f t="shared" si="2"/>
        <v>39.31666666874662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-18T02:54:42-0600',mode:absolute,to:'2017-07-18T05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23.2987</v>
      </c>
      <c r="Z14" s="197">
        <f t="shared" si="8"/>
        <v>1.32E-2</v>
      </c>
      <c r="AA14" s="197">
        <f t="shared" si="9"/>
        <v>23.285499999999999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4" s="74" t="str">
        <f t="shared" si="12"/>
        <v>"C:\Program Files (x86)\AstroGrep\AstroGrep.exe" /e /r /s /spath="%USERPROFILE%\AppData\Local\Temp\OnboardLogs" /stypes="app*4061*20170718*"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4061 --swversion DE.1.0.9.0 --startMP 204:232987 --initTime 2017-07-18T03:54:42 --startdatetime 2017-07-18T04:12:47 --delay 1 --endMP 204:132 --enddatetime 2017-07-18T04:52:06 --enforcementcount 0 &gt;&gt;C:\Users\stu\Documents\GitHub\eaglep3-reporting\EC\2017-07-18-refined-times.txt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{"issue":{"subject":"","project_id":79,"tracker_id":40,"status_id":1,"priority_id":2,"assigned_to_id":23,"start_date":"2017-07-18","description":"","custom_fields":[{"id":1,"name":"Subdivision","value":"EC"},{"id":4,"name":"Milepost","value":"0.0132"},{"id":17,"name":"Train ID","value":"102-18"},{"id":16,"name":"Locomotive ID","value":"4061"},{"id":130,"name":"Impact","value":""},{"id":150,"name":"Time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4061 --day 2017-07-18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672</v>
      </c>
      <c r="B15" s="7">
        <v>4012</v>
      </c>
      <c r="C15" s="21" t="s">
        <v>199</v>
      </c>
      <c r="D15" s="21" t="s">
        <v>524</v>
      </c>
      <c r="E15" s="13">
        <v>42934.148541666669</v>
      </c>
      <c r="F15" s="13">
        <v>42934.156759259262</v>
      </c>
      <c r="G15" s="7">
        <v>1</v>
      </c>
      <c r="H15" s="21" t="s">
        <v>548</v>
      </c>
      <c r="I15" s="13">
        <v>42934.182627314818</v>
      </c>
      <c r="J15" s="7">
        <v>0</v>
      </c>
      <c r="K15" s="89" t="str">
        <f t="shared" si="0"/>
        <v>4011/4012</v>
      </c>
      <c r="L15" s="21" t="str">
        <f>VLOOKUP(A15,'Trips&amp;Operators'!$C$1:$G$99999,5,FALSE)</f>
        <v>ELBAUM MIKE</v>
      </c>
      <c r="M15" s="6">
        <f t="shared" si="1"/>
        <v>2.5868055556202307E-2</v>
      </c>
      <c r="N15" s="7">
        <f t="shared" si="2"/>
        <v>37.250000000931323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-18T02:33:54-0600',mode:absolute,to:'2017-07-18T05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4.3799999999999999E-2</v>
      </c>
      <c r="Z15" s="197">
        <f t="shared" si="8"/>
        <v>23.328800000000001</v>
      </c>
      <c r="AA15" s="197">
        <f t="shared" si="9"/>
        <v>23.285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15" s="74" t="str">
        <f t="shared" si="12"/>
        <v>"C:\Program Files (x86)\AstroGrep\AstroGrep.exe" /e /r /s /spath="%USERPROFILE%\AppData\Local\Temp\OnboardLogs" /stypes="app*4012*20170718*"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103-18 --locoid 4012 --swversion DE.1.0.9.0 --startMP 204:438 --initTime 2017-07-18T03:33:54 --startdatetime 2017-07-18T03:45:44 --delay 1 --endMP 204:233288 --enddatetime 2017-07-18T04:22:59 --enforcementcount 0 &gt;&gt;C:\Users\stu\Documents\GitHub\eaglep3-reporting\EC\2017-07-18-refined-times.txt</v>
      </c>
      <c r="AI1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{"issue":{"subject":"","project_id":79,"tracker_id":40,"status_id":1,"priority_id":2,"assigned_to_id":23,"start_date":"2017-07-18","description":"","custom_fields":[{"id":1,"name":"Subdivision","value":"EC"},{"id":4,"name":"Milepost","value":"23.3288"},{"id":17,"name":"Train ID","value":"103-18"},{"id":16,"name":"Locomotive ID","value":"4012"},{"id":130,"name":"Impact","value":""},{"id":150,"name":"Time of Event (Mountain Time)","value":"04:22:59"},{"id":151,"name":"Denver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4012 --day 2017-07-18</v>
      </c>
      <c r="AN1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678</v>
      </c>
      <c r="B16" s="7">
        <v>4011</v>
      </c>
      <c r="C16" s="21" t="s">
        <v>199</v>
      </c>
      <c r="D16" s="21" t="s">
        <v>432</v>
      </c>
      <c r="E16" s="13">
        <v>42934.19321759259</v>
      </c>
      <c r="F16" s="13">
        <v>42934.19599537037</v>
      </c>
      <c r="G16" s="7">
        <v>1</v>
      </c>
      <c r="H16" s="21" t="s">
        <v>354</v>
      </c>
      <c r="I16" s="13">
        <v>42934.223622685182</v>
      </c>
      <c r="J16" s="7">
        <v>0</v>
      </c>
      <c r="K16" s="89" t="str">
        <f t="shared" si="0"/>
        <v>4011/4012</v>
      </c>
      <c r="L16" s="21" t="str">
        <f>VLOOKUP(A16,'Trips&amp;Operators'!$C$1:$G$99999,5,FALSE)</f>
        <v>ELBAUM MIKE</v>
      </c>
      <c r="M16" s="6">
        <f t="shared" si="1"/>
        <v>2.7627314811979886E-2</v>
      </c>
      <c r="N16" s="7">
        <f t="shared" si="2"/>
        <v>39.783333329251036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-18T03:38:14-0600',mode:absolute,to:'2017-07-18T06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23.2971</v>
      </c>
      <c r="Z16" s="197">
        <f t="shared" si="8"/>
        <v>1.47E-2</v>
      </c>
      <c r="AA16" s="197">
        <f t="shared" si="9"/>
        <v>23.282399999999999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16" s="74" t="str">
        <f t="shared" si="12"/>
        <v>"C:\Program Files (x86)\AstroGrep\AstroGrep.exe" /e /r /s /spath="%USERPROFILE%\AppData\Local\Temp\OnboardLogs" /stypes="app*4011*20170718*"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104-18 --locoid 4011 --swversion DE.1.0.9.0 --startMP 204:232971 --initTime 2017-07-18T04:38:14 --startdatetime 2017-07-18T04:42:14 --delay 1 --endMP 204:147 --enddatetime 2017-07-18T05:22:01 --enforcementcount 0 &gt;&gt;C:\Users\stu\Documents\GitHub\eaglep3-reporting\EC\2017-07-18-refined-times.txt</v>
      </c>
      <c r="AI1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{"issue":{"subject":"","project_id":79,"tracker_id":40,"status_id":1,"priority_id":2,"assigned_to_id":23,"start_date":"2017-07-18","description":"","custom_fields":[{"id":1,"name":"Subdivision","value":"EC"},{"id":4,"name":"Milepost","value":"0.0147"},{"id":17,"name":"Train ID","value":"104-18"},{"id":16,"name":"Locomotive ID","value":"4011"},{"id":130,"name":"Impact","value":""},{"id":150,"name":"Time of Event (Mountain Time)","value":"05:22:01"},{"id":151,"name":"Denver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4011 --day 2017-07-18</v>
      </c>
      <c r="AN1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676</v>
      </c>
      <c r="B17" s="7">
        <v>4008</v>
      </c>
      <c r="C17" s="21" t="s">
        <v>199</v>
      </c>
      <c r="D17" s="21" t="s">
        <v>349</v>
      </c>
      <c r="E17" s="13">
        <v>42934.16978009259</v>
      </c>
      <c r="F17" s="13">
        <v>42934.177662037036</v>
      </c>
      <c r="G17" s="7">
        <v>1</v>
      </c>
      <c r="H17" s="21" t="s">
        <v>870</v>
      </c>
      <c r="I17" s="13">
        <v>42934.202581018515</v>
      </c>
      <c r="J17" s="7">
        <v>0</v>
      </c>
      <c r="K17" s="89" t="str">
        <f t="shared" si="0"/>
        <v>4007/4008</v>
      </c>
      <c r="L17" s="21" t="str">
        <f>VLOOKUP(A17,'Trips&amp;Operators'!$C$1:$G$99999,5,FALSE)</f>
        <v>MAELZER KURT</v>
      </c>
      <c r="M17" s="6">
        <f t="shared" si="1"/>
        <v>2.491898147854954E-2</v>
      </c>
      <c r="N17" s="7">
        <f t="shared" si="2"/>
        <v>35.883333329111338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-18T03:04:29-0600',mode:absolute,to:'2017-07-18T05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4.53E-2</v>
      </c>
      <c r="Z17" s="197">
        <f t="shared" si="8"/>
        <v>23.333100000000002</v>
      </c>
      <c r="AA17" s="197">
        <f t="shared" si="9"/>
        <v>23.287800000000001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7" s="74" t="str">
        <f t="shared" si="12"/>
        <v>"C:\Program Files (x86)\AstroGrep\AstroGrep.exe" /e /r /s /spath="%USERPROFILE%\AppData\Local\Temp\OnboardLogs" /stypes="app*4008*20170718*"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105-18 --locoid 4008 --swversion DE.1.0.9.0 --startMP 204:453 --initTime 2017-07-18T04:04:29 --startdatetime 2017-07-18T04:15:50 --delay 1 --endMP 204:233331 --enddatetime 2017-07-18T04:51:43 --enforcementcount 0 &gt;&gt;C:\Users\stu\Documents\GitHub\eaglep3-reporting\EC\2017-07-18-refined-times.txt</v>
      </c>
      <c r="AI1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{"issue":{"subject":"","project_id":79,"tracker_id":40,"status_id":1,"priority_id":2,"assigned_to_id":23,"start_date":"2017-07-18","description":"","custom_fields":[{"id":1,"name":"Subdivision","value":"EC"},{"id":4,"name":"Milepost","value":"23.3331"},{"id":17,"name":"Train ID","value":"105-18"},{"id":16,"name":"Locomotive ID","value":"4008"},{"id":130,"name":"Impact","value":""},{"id":150,"name":"Time of Event (Mountain Time)","value":"04:51:43"},{"id":151,"name":"Denver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4008 --day 2017-07-18</v>
      </c>
      <c r="AN1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681</v>
      </c>
      <c r="B18" s="7">
        <v>4007</v>
      </c>
      <c r="C18" s="21" t="s">
        <v>199</v>
      </c>
      <c r="D18" s="21" t="s">
        <v>589</v>
      </c>
      <c r="E18" s="13">
        <v>42934.207094907404</v>
      </c>
      <c r="F18" s="13">
        <v>42934.216967592591</v>
      </c>
      <c r="G18" s="7">
        <v>1</v>
      </c>
      <c r="H18" s="21" t="s">
        <v>345</v>
      </c>
      <c r="I18" s="13">
        <v>42934.243171296293</v>
      </c>
      <c r="J18" s="7">
        <v>0</v>
      </c>
      <c r="K18" s="89" t="str">
        <f t="shared" si="0"/>
        <v>4007/4008</v>
      </c>
      <c r="L18" s="21" t="str">
        <f>VLOOKUP(A18,'Trips&amp;Operators'!$C$1:$G$99999,5,FALSE)</f>
        <v>MAELZER KURT</v>
      </c>
      <c r="M18" s="6">
        <f t="shared" si="1"/>
        <v>2.6203703702776693E-2</v>
      </c>
      <c r="N18" s="7">
        <f t="shared" si="2"/>
        <v>37.733333331998438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-18T03:58:13-0600',mode:absolute,to:'2017-07-18T06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23.3017</v>
      </c>
      <c r="Z18" s="197">
        <f t="shared" si="8"/>
        <v>1.43E-2</v>
      </c>
      <c r="AA18" s="197">
        <f t="shared" si="9"/>
        <v>23.287400000000002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8" s="74" t="str">
        <f t="shared" si="12"/>
        <v>"C:\Program Files (x86)\AstroGrep\AstroGrep.exe" /e /r /s /spath="%USERPROFILE%\AppData\Local\Temp\OnboardLogs" /stypes="app*4007*20170718*"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106-18 --locoid 4007 --swversion DE.1.0.9.0 --startMP 204:233017 --initTime 2017-07-18T04:58:13 --startdatetime 2017-07-18T05:12:26 --delay 1 --endMP 204:143 --enddatetime 2017-07-18T05:50:10 --enforcementcount 0 &gt;&gt;C:\Users\stu\Documents\GitHub\eaglep3-reporting\EC\2017-07-18-refined-times.txt</v>
      </c>
      <c r="AI1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{"issue":{"subject":"","project_id":79,"tracker_id":40,"status_id":1,"priority_id":2,"assigned_to_id":23,"start_date":"2017-07-18","description":"","custom_fields":[{"id":1,"name":"Subdivision","value":"EC"},{"id":4,"name":"Milepost","value":"0.0143"},{"id":17,"name":"Train ID","value":"106-18"},{"id":16,"name":"Locomotive ID","value":"4007"},{"id":130,"name":"Impact","value":""},{"id":150,"name":"Time of Event (Mountain Time)","value":"05:50:10"},{"id":151,"name":"Denver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4007 --day 2017-07-18</v>
      </c>
      <c r="AN1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4014</v>
      </c>
      <c r="C19" s="21" t="s">
        <v>199</v>
      </c>
      <c r="D19" s="21" t="s">
        <v>342</v>
      </c>
      <c r="E19" s="13">
        <v>42934.184930555559</v>
      </c>
      <c r="F19" s="13">
        <v>42934.188009259262</v>
      </c>
      <c r="G19" s="7">
        <v>1</v>
      </c>
      <c r="H19" s="21" t="s">
        <v>871</v>
      </c>
      <c r="I19" s="13">
        <v>42934.212048611109</v>
      </c>
      <c r="J19" s="7">
        <v>0</v>
      </c>
      <c r="K19" s="89" t="str">
        <f t="shared" si="0"/>
        <v>4013/4014</v>
      </c>
      <c r="L19" s="21" t="str">
        <f>VLOOKUP(A19,'Trips&amp;Operators'!$C$1:$G$99999,5,FALSE)</f>
        <v>NICHOLSON WESLEY</v>
      </c>
      <c r="M19" s="6">
        <f t="shared" si="1"/>
        <v>2.4039351847022772E-2</v>
      </c>
      <c r="N19" s="7">
        <f t="shared" si="2"/>
        <v>34.616666659712791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-18T03:26:18-0600',mode:absolute,to:'2017-07-18T06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4.4600000000000001E-2</v>
      </c>
      <c r="Z19" s="197">
        <f t="shared" si="8"/>
        <v>23.334099999999999</v>
      </c>
      <c r="AA19" s="197">
        <f t="shared" si="9"/>
        <v>23.2895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9" s="74" t="str">
        <f t="shared" si="12"/>
        <v>"C:\Program Files (x86)\AstroGrep\AstroGrep.exe" /e /r /s /spath="%USERPROFILE%\AppData\Local\Temp\OnboardLogs" /stypes="app*4014*20170718*"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107-18 --locoid 4014 --swversion DE.1.0.9.0 --startMP 204:446 --initTime 2017-07-18T04:26:18 --startdatetime 2017-07-18T04:30:44 --delay 1 --endMP 204:233341 --enddatetime 2017-07-18T05:05:21 --enforcementcount 0 &gt;&gt;C:\Users\stu\Documents\GitHub\eaglep3-reporting\EC\2017-07-18-refined-times.txt</v>
      </c>
      <c r="AI19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{"issue":{"subject":"","project_id":79,"tracker_id":40,"status_id":1,"priority_id":2,"assigned_to_id":23,"start_date":"2017-07-18","description":"","custom_fields":[{"id":1,"name":"Subdivision","value":"EC"},{"id":4,"name":"Milepost","value":"23.3341"},{"id":17,"name":"Train ID","value":"107-18"},{"id":16,"name":"Locomotive ID","value":"4014"},{"id":130,"name":"Impact","value":""},{"id":150,"name":"Time of Event (Mountain Time)","value":"05:05:21"},{"id":151,"name":"Denver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4014 --day 2017-07-18</v>
      </c>
      <c r="AN19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683</v>
      </c>
      <c r="B20" s="7">
        <v>4013</v>
      </c>
      <c r="C20" s="21" t="s">
        <v>199</v>
      </c>
      <c r="D20" s="21" t="s">
        <v>589</v>
      </c>
      <c r="E20" s="13">
        <v>42934.214120370372</v>
      </c>
      <c r="F20" s="13">
        <v>42934.227233796293</v>
      </c>
      <c r="G20" s="7">
        <v>1</v>
      </c>
      <c r="H20" s="21" t="s">
        <v>479</v>
      </c>
      <c r="I20" s="13">
        <v>42934.253055555557</v>
      </c>
      <c r="J20" s="7">
        <v>0</v>
      </c>
      <c r="K20" s="89" t="str">
        <f t="shared" si="0"/>
        <v>4013/4014</v>
      </c>
      <c r="L20" s="21" t="str">
        <f>VLOOKUP(A20,'Trips&amp;Operators'!$C$1:$G$99999,5,FALSE)</f>
        <v>NICHOLSON WESLEY</v>
      </c>
      <c r="M20" s="6">
        <f t="shared" si="1"/>
        <v>2.5821759263635613E-2</v>
      </c>
      <c r="N20" s="7">
        <f t="shared" si="2"/>
        <v>37.183333339635283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-18T04:08:20-0600',mode:absolute,to:'2017-07-18T07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23.3017</v>
      </c>
      <c r="Z20" s="197">
        <f t="shared" si="8"/>
        <v>1.5800000000000002E-2</v>
      </c>
      <c r="AA20" s="197">
        <f t="shared" si="9"/>
        <v>23.285900000000002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20" s="74" t="str">
        <f t="shared" si="12"/>
        <v>"C:\Program Files (x86)\AstroGrep\AstroGrep.exe" /e /r /s /spath="%USERPROFILE%\AppData\Local\Temp\OnboardLogs" /stypes="app*4013*20170718*"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108-18 --locoid 4013 --swversion DE.1.0.9.0 --startMP 204:233017 --initTime 2017-07-18T05:08:20 --startdatetime 2017-07-18T05:27:13 --delay 1 --endMP 204:158 --enddatetime 2017-07-18T06:04:24 --enforcementcount 0 &gt;&gt;C:\Users\stu\Documents\GitHub\eaglep3-reporting\EC\2017-07-18-refined-times.txt</v>
      </c>
      <c r="AI2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{"issue":{"subject":"","project_id":79,"tracker_id":40,"status_id":1,"priority_id":2,"assigned_to_id":23,"start_date":"2017-07-18","description":"","custom_fields":[{"id":1,"name":"Subdivision","value":"EC"},{"id":4,"name":"Milepost","value":"0.0158"},{"id":17,"name":"Train ID","value":"108-18"},{"id":16,"name":"Locomotive ID","value":"4013"},{"id":130,"name":"Impact","value":""},{"id":150,"name":"Time of Event (Mountain Time)","value":"06:04:24"},{"id":151,"name":"Denver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4013 --day 2017-07-18</v>
      </c>
      <c r="AN2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679</v>
      </c>
      <c r="B21" s="7">
        <v>4026</v>
      </c>
      <c r="C21" s="21" t="s">
        <v>199</v>
      </c>
      <c r="D21" s="21" t="s">
        <v>872</v>
      </c>
      <c r="E21" s="13">
        <v>42934.194733796299</v>
      </c>
      <c r="F21" s="13">
        <v>42934.198692129627</v>
      </c>
      <c r="G21" s="7">
        <v>1</v>
      </c>
      <c r="H21" s="21" t="s">
        <v>873</v>
      </c>
      <c r="I21" s="13">
        <v>42934.22452546296</v>
      </c>
      <c r="J21" s="7">
        <v>0</v>
      </c>
      <c r="K21" s="89" t="str">
        <f t="shared" si="0"/>
        <v>4025/4026</v>
      </c>
      <c r="L21" s="21" t="str">
        <f>VLOOKUP(A21,'Trips&amp;Operators'!$C$1:$G$99999,5,FALSE)</f>
        <v>MILLER KEVIN</v>
      </c>
      <c r="M21" s="6">
        <f t="shared" si="1"/>
        <v>2.5833333333139308E-2</v>
      </c>
      <c r="N21" s="7">
        <f t="shared" si="2"/>
        <v>37.199999999720603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-18T03:40:25-0600',mode:absolute,to:'2017-07-18T06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5.5300000000000002E-2</v>
      </c>
      <c r="Z21" s="197">
        <f t="shared" si="8"/>
        <v>23.328299999999999</v>
      </c>
      <c r="AA21" s="197">
        <f t="shared" si="9"/>
        <v>23.273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21" s="74" t="str">
        <f t="shared" si="12"/>
        <v>"C:\Program Files (x86)\AstroGrep\AstroGrep.exe" /e /r /s /spath="%USERPROFILE%\AppData\Local\Temp\OnboardLogs" /stypes="app*4026*20170718*"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109-18 --locoid 4026 --swversion DE.1.0.9.0 --startMP 204:553 --initTime 2017-07-18T04:40:25 --startdatetime 2017-07-18T04:46:07 --delay 1 --endMP 204:233283 --enddatetime 2017-07-18T05:23:19 --enforcementcount 0 &gt;&gt;C:\Users\stu\Documents\GitHub\eaglep3-reporting\EC\2017-07-18-refined-times.txt</v>
      </c>
      <c r="AI2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{"issue":{"subject":"","project_id":79,"tracker_id":40,"status_id":1,"priority_id":2,"assigned_to_id":23,"start_date":"2017-07-18","description":"","custom_fields":[{"id":1,"name":"Subdivision","value":"EC"},{"id":4,"name":"Milepost","value":"23.3283"},{"id":17,"name":"Train ID","value":"109-18"},{"id":16,"name":"Locomotive ID","value":"4026"},{"id":130,"name":"Impact","value":""},{"id":150,"name":"Time of Event (Mountain Time)","value":"05:23:19"},{"id":151,"name":"Denver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4026 --day 2017-07-18</v>
      </c>
      <c r="AN2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689</v>
      </c>
      <c r="B22" s="7">
        <v>4025</v>
      </c>
      <c r="C22" s="21" t="s">
        <v>199</v>
      </c>
      <c r="D22" s="21" t="s">
        <v>874</v>
      </c>
      <c r="E22" s="13">
        <v>42934.234351851854</v>
      </c>
      <c r="F22" s="13">
        <v>42934.237708333334</v>
      </c>
      <c r="G22" s="7">
        <v>1</v>
      </c>
      <c r="H22" s="21" t="s">
        <v>391</v>
      </c>
      <c r="I22" s="13">
        <v>42934.264120370368</v>
      </c>
      <c r="J22" s="7">
        <v>0</v>
      </c>
      <c r="K22" s="89" t="str">
        <f t="shared" si="0"/>
        <v>4025/4026</v>
      </c>
      <c r="L22" s="21" t="str">
        <f>VLOOKUP(A22,'Trips&amp;Operators'!$C$1:$G$99999,5,FALSE)</f>
        <v>MILLER KEVIN</v>
      </c>
      <c r="M22" s="6">
        <f t="shared" si="1"/>
        <v>2.6412037033878732E-2</v>
      </c>
      <c r="N22" s="7">
        <f t="shared" si="2"/>
        <v>38.033333328785375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-18T04:37:28-0600',mode:absolute,to:'2017-07-18T07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23.296399999999998</v>
      </c>
      <c r="Z22" s="197">
        <f t="shared" si="8"/>
        <v>1.5599999999999999E-2</v>
      </c>
      <c r="AA22" s="197">
        <f t="shared" si="9"/>
        <v>23.280799999999999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22" s="74" t="str">
        <f t="shared" si="12"/>
        <v>"C:\Program Files (x86)\AstroGrep\AstroGrep.exe" /e /r /s /spath="%USERPROFILE%\AppData\Local\Temp\OnboardLogs" /stypes="app*4025*20170718*"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110-18 --locoid 4025 --swversion DE.1.0.9.0 --startMP 204:232964 --initTime 2017-07-18T05:37:28 --startdatetime 2017-07-18T05:42:18 --delay 1 --endMP 204:156 --enddatetime 2017-07-18T06:20:20 --enforcementcount 0 &gt;&gt;C:\Users\stu\Documents\GitHub\eaglep3-reporting\EC\2017-07-18-refined-times.txt</v>
      </c>
      <c r="AI2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{"issue":{"subject":"","project_id":79,"tracker_id":40,"status_id":1,"priority_id":2,"assigned_to_id":23,"start_date":"2017-07-18","description":"","custom_fields":[{"id":1,"name":"Subdivision","value":"EC"},{"id":4,"name":"Milepost","value":"0.0156"},{"id":17,"name":"Train ID","value":"110-18"},{"id":16,"name":"Locomotive ID","value":"4025"},{"id":130,"name":"Impact","value":""},{"id":150,"name":"Time of Event (Mountain Time)","value":"06:20:20"},{"id":151,"name":"Denver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4025 --day 2017-07-18</v>
      </c>
      <c r="AN2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680</v>
      </c>
      <c r="B23" s="7">
        <v>4062</v>
      </c>
      <c r="C23" s="21" t="s">
        <v>199</v>
      </c>
      <c r="D23" s="21" t="s">
        <v>403</v>
      </c>
      <c r="E23" s="13">
        <v>42934.20484953704</v>
      </c>
      <c r="F23" s="13">
        <v>42934.208969907406</v>
      </c>
      <c r="G23" s="7">
        <v>1</v>
      </c>
      <c r="H23" s="21" t="s">
        <v>607</v>
      </c>
      <c r="I23" s="13">
        <v>42934.234155092592</v>
      </c>
      <c r="J23" s="7">
        <v>0</v>
      </c>
      <c r="K23" s="89" t="str">
        <f t="shared" si="0"/>
        <v>4061/4062</v>
      </c>
      <c r="L23" s="21" t="str">
        <f>VLOOKUP(A23,'Trips&amp;Operators'!$C$1:$G$99999,5,FALSE)</f>
        <v>STARKS ANGELINA</v>
      </c>
      <c r="M23" s="6">
        <f t="shared" si="1"/>
        <v>2.5185185186273884E-2</v>
      </c>
      <c r="N23" s="7">
        <f t="shared" si="2"/>
        <v>36.266666668234393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-18T03:54:59-0600',mode:absolute,to:'2017-07-18T06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4.5499999999999999E-2</v>
      </c>
      <c r="Z23" s="197">
        <f t="shared" si="8"/>
        <v>23.331800000000001</v>
      </c>
      <c r="AA23" s="197">
        <f t="shared" si="9"/>
        <v>23.286300000000001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23" s="74" t="str">
        <f t="shared" si="12"/>
        <v>"C:\Program Files (x86)\AstroGrep\AstroGrep.exe" /e /r /s /spath="%USERPROFILE%\AppData\Local\Temp\OnboardLogs" /stypes="app*4062*20170718*"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111-18 --locoid 4062 --swversion DE.1.0.9.0 --startMP 204:455 --initTime 2017-07-18T04:54:59 --startdatetime 2017-07-18T05:00:55 --delay 1 --endMP 204:233318 --enddatetime 2017-07-18T05:37:11 --enforcementcount 0 &gt;&gt;C:\Users\stu\Documents\GitHub\eaglep3-reporting\EC\2017-07-18-refined-times.txt</v>
      </c>
      <c r="AI2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{"issue":{"subject":"","project_id":79,"tracker_id":40,"status_id":1,"priority_id":2,"assigned_to_id":23,"start_date":"2017-07-18","description":"","custom_fields":[{"id":1,"name":"Subdivision","value":"EC"},{"id":4,"name":"Milepost","value":"23.3318"},{"id":17,"name":"Train ID","value":"111-18"},{"id":16,"name":"Locomotive ID","value":"4062"},{"id":130,"name":"Impact","value":""},{"id":150,"name":"Time of Event (Mountain Time)","value":"05:37:11"},{"id":151,"name":"Denver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4062 --day 2017-07-18</v>
      </c>
      <c r="AN2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4061</v>
      </c>
      <c r="C24" s="21" t="s">
        <v>199</v>
      </c>
      <c r="D24" s="21" t="s">
        <v>549</v>
      </c>
      <c r="E24" s="13">
        <v>42934.246365740742</v>
      </c>
      <c r="F24" s="13">
        <v>42934.248217592591</v>
      </c>
      <c r="G24" s="7">
        <v>0</v>
      </c>
      <c r="H24" s="21" t="s">
        <v>391</v>
      </c>
      <c r="I24" s="13">
        <v>42934.275208333333</v>
      </c>
      <c r="J24" s="7">
        <v>0</v>
      </c>
      <c r="K24" s="89" t="str">
        <f t="shared" si="0"/>
        <v>4061/4062</v>
      </c>
      <c r="L24" s="21" t="str">
        <f>VLOOKUP(A24,'Trips&amp;Operators'!$C$1:$G$99999,5,FALSE)</f>
        <v>STARKS ANGELINA</v>
      </c>
      <c r="M24" s="6">
        <f t="shared" si="1"/>
        <v>2.6990740741894115E-2</v>
      </c>
      <c r="N24" s="7">
        <f t="shared" si="2"/>
        <v>38.866666668327525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-18T04:54:46-0600',mode:absolute,to:'2017-07-18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23.297699999999999</v>
      </c>
      <c r="Z24" s="197">
        <f t="shared" si="8"/>
        <v>1.5599999999999999E-2</v>
      </c>
      <c r="AA24" s="197">
        <f t="shared" si="9"/>
        <v>23.2821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24" s="74" t="str">
        <f t="shared" si="12"/>
        <v>"C:\Program Files (x86)\AstroGrep\AstroGrep.exe" /e /r /s /spath="%USERPROFILE%\AppData\Local\Temp\OnboardLogs" /stypes="app*4061*20170718*"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112-18 --locoid 4061 --swversion DE.1.0.9.0 --startMP 204:232977 --initTime 2017-07-18T05:54:46 --startdatetime 2017-07-18T05:57:26 --delay 0 --endMP 204:156 --enddatetime 2017-07-18T06:36:18 --enforcementcount 0 &gt;&gt;C:\Users\stu\Documents\GitHub\eaglep3-reporting\EC\2017-07-18-refined-times.txt</v>
      </c>
      <c r="AI2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{"issue":{"subject":"","project_id":79,"tracker_id":40,"status_id":1,"priority_id":2,"assigned_to_id":23,"start_date":"2017-07-18","description":"","custom_fields":[{"id":1,"name":"Subdivision","value":"EC"},{"id":4,"name":"Milepost","value":"0.0156"},{"id":17,"name":"Train ID","value":"112-18"},{"id":16,"name":"Locomotive ID","value":"4061"},{"id":130,"name":"Impact","value":""},{"id":150,"name":"Time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4061 --day 2017-07-18</v>
      </c>
      <c r="AN2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684</v>
      </c>
      <c r="B25" s="7">
        <v>4064</v>
      </c>
      <c r="C25" s="21" t="s">
        <v>199</v>
      </c>
      <c r="D25" s="21" t="s">
        <v>424</v>
      </c>
      <c r="E25" s="13">
        <v>42934.217314814814</v>
      </c>
      <c r="F25" s="13">
        <v>42934.219537037039</v>
      </c>
      <c r="G25" s="7">
        <v>2</v>
      </c>
      <c r="H25" s="21" t="s">
        <v>543</v>
      </c>
      <c r="I25" s="13">
        <v>42934.244166666664</v>
      </c>
      <c r="J25" s="7">
        <v>0</v>
      </c>
      <c r="K25" s="89" t="str">
        <f t="shared" si="0"/>
        <v>4063/4064</v>
      </c>
      <c r="L25" s="21" t="str">
        <f>VLOOKUP(A25,'Trips&amp;Operators'!$C$1:$G$99999,5,FALSE)</f>
        <v>LOZA FIDEL</v>
      </c>
      <c r="M25" s="6">
        <f t="shared" si="1"/>
        <v>2.4629629624541849E-2</v>
      </c>
      <c r="N25" s="7">
        <f t="shared" si="2"/>
        <v>35.466666659340262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-18T04:12:56-0600',mode:absolute,to:'2017-07-18T06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4.7100000000000003E-2</v>
      </c>
      <c r="Z25" s="197">
        <f t="shared" si="8"/>
        <v>23.330400000000001</v>
      </c>
      <c r="AA25" s="197">
        <f t="shared" si="9"/>
        <v>23.283300000000001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25" s="74" t="str">
        <f t="shared" si="12"/>
        <v>"C:\Program Files (x86)\AstroGrep\AstroGrep.exe" /e /r /s /spath="%USERPROFILE%\AppData\Local\Temp\OnboardLogs" /stypes="app*4064*20170718*"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113-18 --locoid 4064 --swversion DE.1.0.9.0 --startMP 204:471 --initTime 2017-07-18T05:12:56 --startdatetime 2017-07-18T05:16:08 --delay 2 --endMP 204:233304 --enddatetime 2017-07-18T05:51:36 --enforcementcount 0 &gt;&gt;C:\Users\stu\Documents\GitHub\eaglep3-reporting\EC\2017-07-18-refined-times.txt</v>
      </c>
      <c r="AI2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{"issue":{"subject":"","project_id":79,"tracker_id":40,"status_id":1,"priority_id":2,"assigned_to_id":23,"start_date":"2017-07-18","description":"","custom_fields":[{"id":1,"name":"Subdivision","value":"EC"},{"id":4,"name":"Milepost","value":"23.3304"},{"id":17,"name":"Train ID","value":"113-18"},{"id":16,"name":"Locomotive ID","value":"4064"},{"id":130,"name":"Impact","value":""},{"id":150,"name":"Time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4064 --day 2017-07-18</v>
      </c>
      <c r="AN2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637</v>
      </c>
      <c r="B26" s="7">
        <v>4063</v>
      </c>
      <c r="C26" s="21" t="s">
        <v>199</v>
      </c>
      <c r="D26" s="21" t="s">
        <v>546</v>
      </c>
      <c r="E26" s="13">
        <v>42934.256863425922</v>
      </c>
      <c r="F26" s="13">
        <v>42934.259016203701</v>
      </c>
      <c r="G26" s="7">
        <v>1</v>
      </c>
      <c r="H26" s="21" t="s">
        <v>351</v>
      </c>
      <c r="I26" s="13">
        <v>42934.286296296297</v>
      </c>
      <c r="J26" s="7">
        <v>0</v>
      </c>
      <c r="K26" s="89" t="str">
        <f t="shared" si="0"/>
        <v>4063/4064</v>
      </c>
      <c r="L26" s="21" t="str">
        <f>VLOOKUP(A26,'Trips&amp;Operators'!$C$1:$G$99999,5,FALSE)</f>
        <v>LOZA FIDEL</v>
      </c>
      <c r="M26" s="6">
        <f t="shared" si="1"/>
        <v>2.7280092595901806E-2</v>
      </c>
      <c r="N26" s="7">
        <f t="shared" si="2"/>
        <v>39.283333338098601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-18T05:09:53-0600',mode:absolute,to:'2017-07-18T07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23.298300000000001</v>
      </c>
      <c r="Z26" s="197">
        <f t="shared" si="8"/>
        <v>1.3899999999999999E-2</v>
      </c>
      <c r="AA26" s="197">
        <f t="shared" si="9"/>
        <v>23.284400000000002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26" s="74" t="str">
        <f t="shared" si="12"/>
        <v>"C:\Program Files (x86)\AstroGrep\AstroGrep.exe" /e /r /s /spath="%USERPROFILE%\AppData\Local\Temp\OnboardLogs" /stypes="app*4063*20170718*"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114-18 --locoid 4063 --swversion DE.1.0.9.0 --startMP 204:232983 --initTime 2017-07-18T06:09:53 --startdatetime 2017-07-18T06:12:59 --delay 1 --endMP 204:139 --enddatetime 2017-07-18T06:52:16 --enforcementcount 0 &gt;&gt;C:\Users\stu\Documents\GitHub\eaglep3-reporting\EC\2017-07-18-refined-times.txt</v>
      </c>
      <c r="AI2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{"issue":{"subject":"","project_id":79,"tracker_id":40,"status_id":1,"priority_id":2,"assigned_to_id":23,"start_date":"2017-07-18","description":"","custom_fields":[{"id":1,"name":"Subdivision","value":"EC"},{"id":4,"name":"Milepost","value":"0.0139"},{"id":17,"name":"Train ID","value":"114-18"},{"id":16,"name":"Locomotive ID","value":"4063"},{"id":130,"name":"Impact","value":""},{"id":150,"name":"Time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4063 --day 2017-07-18</v>
      </c>
      <c r="AN2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688</v>
      </c>
      <c r="B27" s="7">
        <v>4012</v>
      </c>
      <c r="C27" s="21" t="s">
        <v>199</v>
      </c>
      <c r="D27" s="21" t="s">
        <v>875</v>
      </c>
      <c r="E27" s="13">
        <v>42934.224942129629</v>
      </c>
      <c r="F27" s="13">
        <v>42934.229675925926</v>
      </c>
      <c r="G27" s="7">
        <v>1</v>
      </c>
      <c r="H27" s="21" t="s">
        <v>876</v>
      </c>
      <c r="I27" s="13">
        <v>42934.255266203705</v>
      </c>
      <c r="J27" s="7">
        <v>0</v>
      </c>
      <c r="K27" s="89" t="str">
        <f t="shared" si="0"/>
        <v>4011/4012</v>
      </c>
      <c r="L27" s="21" t="str">
        <f>VLOOKUP(A27,'Trips&amp;Operators'!$C$1:$G$99999,5,FALSE)</f>
        <v>ELBAUM MIKE</v>
      </c>
      <c r="M27" s="6">
        <f t="shared" si="1"/>
        <v>2.5590277778974269E-2</v>
      </c>
      <c r="N27" s="7">
        <f t="shared" si="2"/>
        <v>36.850000001722947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-18T04:23:55-0600',mode:absolute,to:'2017-07-18T07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4.9299999999999997E-2</v>
      </c>
      <c r="Z27" s="197">
        <f t="shared" si="8"/>
        <v>23.3261</v>
      </c>
      <c r="AA27" s="197">
        <f t="shared" si="9"/>
        <v>23.276800000000001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27" s="74" t="str">
        <f t="shared" si="12"/>
        <v>"C:\Program Files (x86)\AstroGrep\AstroGrep.exe" /e /r /s /spath="%USERPROFILE%\AppData\Local\Temp\OnboardLogs" /stypes="app*4012*20170718*"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115-18 --locoid 4012 --swversion DE.1.0.9.0 --startMP 204:493 --initTime 2017-07-18T05:23:55 --startdatetime 2017-07-18T05:30:44 --delay 1 --endMP 204:233261 --enddatetime 2017-07-18T06:07:35 --enforcementcount 0 &gt;&gt;C:\Users\stu\Documents\GitHub\eaglep3-reporting\EC\2017-07-18-refined-times.txt</v>
      </c>
      <c r="AI2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{"issue":{"subject":"","project_id":79,"tracker_id":40,"status_id":1,"priority_id":2,"assigned_to_id":23,"start_date":"2017-07-18","description":"","custom_fields":[{"id":1,"name":"Subdivision","value":"EC"},{"id":4,"name":"Milepost","value":"23.3261"},{"id":17,"name":"Train ID","value":"115-18"},{"id":16,"name":"Locomotive ID","value":"4012"},{"id":130,"name":"Impact","value":""},{"id":150,"name":"Time of Event (Mountain Time)","value":"06:07:35"},{"id":151,"name":"Denver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4012 --day 2017-07-18</v>
      </c>
      <c r="AN2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635</v>
      </c>
      <c r="B28" s="7">
        <v>4011</v>
      </c>
      <c r="C28" s="21" t="s">
        <v>199</v>
      </c>
      <c r="D28" s="21" t="s">
        <v>877</v>
      </c>
      <c r="E28" s="13">
        <v>42934.265810185185</v>
      </c>
      <c r="F28" s="13">
        <v>42934.268958333334</v>
      </c>
      <c r="G28" s="7">
        <v>1</v>
      </c>
      <c r="H28" s="21" t="s">
        <v>423</v>
      </c>
      <c r="I28" s="13">
        <v>42934.296736111108</v>
      </c>
      <c r="J28" s="7">
        <v>0</v>
      </c>
      <c r="K28" s="89" t="str">
        <f t="shared" si="0"/>
        <v>4011/4012</v>
      </c>
      <c r="L28" s="21" t="str">
        <f>VLOOKUP(A28,'Trips&amp;Operators'!$C$1:$G$99999,5,FALSE)</f>
        <v>ELBAUM MIKE</v>
      </c>
      <c r="M28" s="6">
        <f t="shared" si="1"/>
        <v>2.7777777773735579E-2</v>
      </c>
      <c r="N28" s="7">
        <f t="shared" si="2"/>
        <v>39.999999994179234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-18T05:22:46-0600',mode:absolute,to:'2017-07-18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23.296099999999999</v>
      </c>
      <c r="Z28" s="197">
        <f t="shared" si="8"/>
        <v>1.6E-2</v>
      </c>
      <c r="AA28" s="197">
        <f t="shared" si="9"/>
        <v>23.280100000000001</v>
      </c>
      <c r="AB28" s="54" t="str">
        <f>VLOOKUP(A28,Enforcements!$C$7:$K$13,8,0)</f>
        <v>Speed (6)</v>
      </c>
      <c r="AC28" s="51" t="str">
        <f>VLOOKUP(A28,Enforcements!$C$7:$E$13,3,0)</f>
        <v>PERMANENT SPEED RESTRICTION</v>
      </c>
      <c r="AD28" s="206">
        <f t="shared" si="10"/>
        <v>116</v>
      </c>
      <c r="AE28" s="77" t="str">
        <f t="shared" si="11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28" s="74" t="str">
        <f t="shared" si="12"/>
        <v>"C:\Program Files (x86)\AstroGrep\AstroGrep.exe" /e /r /s /spath="%USERPROFILE%\AppData\Local\Temp\OnboardLogs" /stypes="app*4011*20170718*"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116-18 --locoid 4011 --swversion DE.1.0.9.0 --startMP 204:232961 --initTime 2017-07-18T06:22:46 --startdatetime 2017-07-18T06:27:18 --delay 1 --endMP 204:160 --enddatetime 2017-07-18T07:07:18 --enforcementcount 0 &gt;&gt;C:\Users\stu\Documents\GitHub\eaglep3-reporting\EC\2017-07-18-refined-times.txt</v>
      </c>
      <c r="AI2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{"issue":{"subject":"","project_id":79,"tracker_id":40,"status_id":1,"priority_id":2,"assigned_to_id":23,"start_date":"2017-07-18","description":"","custom_fields":[{"id":1,"name":"Subdivision","value":"EC"},{"id":4,"name":"Milepost","value":"0.016"},{"id":17,"name":"Train ID","value":"116-18"},{"id":16,"name":"Locomotive ID","value":"4011"},{"id":130,"name":"Impact","value":""},{"id":150,"name":"Time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4011 --day 2017-07-18</v>
      </c>
      <c r="AN2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690</v>
      </c>
      <c r="B29" s="7">
        <v>4006</v>
      </c>
      <c r="C29" s="21" t="s">
        <v>199</v>
      </c>
      <c r="D29" s="21" t="s">
        <v>424</v>
      </c>
      <c r="E29" s="13">
        <v>42934.235937500001</v>
      </c>
      <c r="F29" s="13">
        <v>42934.240104166667</v>
      </c>
      <c r="G29" s="7">
        <v>1</v>
      </c>
      <c r="H29" s="21" t="s">
        <v>542</v>
      </c>
      <c r="I29" s="13">
        <v>42934.265972222223</v>
      </c>
      <c r="J29" s="7">
        <v>0</v>
      </c>
      <c r="K29" s="89" t="str">
        <f t="shared" si="0"/>
        <v>4005/4006</v>
      </c>
      <c r="L29" s="21" t="str">
        <f>VLOOKUP(A29,'Trips&amp;Operators'!$C$1:$G$99999,5,FALSE)</f>
        <v>DAVIDSON DAVID</v>
      </c>
      <c r="M29" s="6">
        <f t="shared" si="1"/>
        <v>2.5868055556202307E-2</v>
      </c>
      <c r="N29" s="7">
        <f t="shared" si="2"/>
        <v>37.250000000931323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-18T04:39:45-0600',mode:absolute,to:'2017-07-18T07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4.7100000000000003E-2</v>
      </c>
      <c r="Z29" s="197">
        <f t="shared" si="8"/>
        <v>23.3325</v>
      </c>
      <c r="AA29" s="197">
        <f t="shared" si="9"/>
        <v>23.285399999999999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29" s="74" t="str">
        <f t="shared" si="12"/>
        <v>"C:\Program Files (x86)\AstroGrep\AstroGrep.exe" /e /r /s /spath="%USERPROFILE%\AppData\Local\Temp\OnboardLogs" /stypes="app*4006*20170718*"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117-18 --locoid 4006 --swversion DE.1.0.9.0 --startMP 204:471 --initTime 2017-07-18T05:39:45 --startdatetime 2017-07-18T05:45:45 --delay 1 --endMP 204:233325 --enddatetime 2017-07-18T06:23:00 --enforcementcount 0 &gt;&gt;C:\Users\stu\Documents\GitHub\eaglep3-reporting\EC\2017-07-18-refined-times.txt</v>
      </c>
      <c r="AI29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{"issue":{"subject":"","project_id":79,"tracker_id":40,"status_id":1,"priority_id":2,"assigned_to_id":23,"start_date":"2017-07-18","description":"","custom_fields":[{"id":1,"name":"Subdivision","value":"EC"},{"id":4,"name":"Milepost","value":"23.3325"},{"id":17,"name":"Train ID","value":"117-18"},{"id":16,"name":"Locomotive ID","value":"4006"},{"id":130,"name":"Impact","value":""},{"id":150,"name":"Time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4006 --day 2017-07-18</v>
      </c>
      <c r="AN29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701</v>
      </c>
      <c r="B30" s="7">
        <v>4005</v>
      </c>
      <c r="C30" s="21" t="s">
        <v>199</v>
      </c>
      <c r="D30" s="21" t="s">
        <v>598</v>
      </c>
      <c r="E30" s="13">
        <v>42934.268530092595</v>
      </c>
      <c r="F30" s="13">
        <v>42934.279351851852</v>
      </c>
      <c r="G30" s="7">
        <v>1</v>
      </c>
      <c r="H30" s="21" t="s">
        <v>354</v>
      </c>
      <c r="I30" s="13">
        <v>42934.306631944448</v>
      </c>
      <c r="J30" s="7">
        <v>0</v>
      </c>
      <c r="K30" s="89" t="str">
        <f t="shared" si="0"/>
        <v>4005/4006</v>
      </c>
      <c r="L30" s="21" t="str">
        <f>VLOOKUP(A30,'Trips&amp;Operators'!$C$1:$G$99999,5,FALSE)</f>
        <v>DAVIDSON DAVID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-18T05:26:41-0600',mode:absolute,to:'2017-07-18T08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23.2987</v>
      </c>
      <c r="Z30" s="197">
        <f t="shared" si="8"/>
        <v>1.47E-2</v>
      </c>
      <c r="AA30" s="197">
        <f t="shared" si="9"/>
        <v>23.283999999999999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30" s="74" t="str">
        <f t="shared" si="12"/>
        <v>"C:\Program Files (x86)\AstroGrep\AstroGrep.exe" /e /r /s /spath="%USERPROFILE%\AppData\Local\Temp\OnboardLogs" /stypes="app*4005*20170718*"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118-18 --locoid 4005 --swversion DE.1.0.9.0 --startMP 204:232987 --initTime 2017-07-18T06:26:41 --startdatetime 2017-07-18T06:42:16 --delay 1 --endMP 204:147 --enddatetime 2017-07-18T07:21:33 --enforcementcount 0 &gt;&gt;C:\Users\stu\Documents\GitHub\eaglep3-reporting\EC\2017-07-18-refined-times.txt</v>
      </c>
      <c r="AI3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{"issue":{"subject":"","project_id":79,"tracker_id":40,"status_id":1,"priority_id":2,"assigned_to_id":23,"start_date":"2017-07-18","description":"","custom_fields":[{"id":1,"name":"Subdivision","value":"EC"},{"id":4,"name":"Milepost","value":"0.0147"},{"id":17,"name":"Train ID","value":"118-18"},{"id":16,"name":"Locomotive ID","value":"4005"},{"id":130,"name":"Impact","value":""},{"id":150,"name":"Time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4005 --day 2017-07-18</v>
      </c>
      <c r="AN3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692</v>
      </c>
      <c r="B31" s="7">
        <v>4008</v>
      </c>
      <c r="C31" s="21" t="s">
        <v>199</v>
      </c>
      <c r="D31" s="21" t="s">
        <v>413</v>
      </c>
      <c r="E31" s="13">
        <v>42934.24527777778</v>
      </c>
      <c r="F31" s="13">
        <v>42934.250590277778</v>
      </c>
      <c r="G31" s="7">
        <v>1</v>
      </c>
      <c r="H31" s="21" t="s">
        <v>601</v>
      </c>
      <c r="I31" s="13">
        <v>42934.275069444448</v>
      </c>
      <c r="J31" s="7">
        <v>0</v>
      </c>
      <c r="K31" s="89" t="str">
        <f t="shared" si="0"/>
        <v>4007/4008</v>
      </c>
      <c r="L31" s="21" t="str">
        <f>VLOOKUP(A31,'Trips&amp;Operators'!$C$1:$G$99999,5,FALSE)</f>
        <v>MAELZER KURT</v>
      </c>
      <c r="M31" s="6">
        <f t="shared" si="1"/>
        <v>2.4479166670062114E-2</v>
      </c>
      <c r="N31" s="7">
        <f t="shared" si="2"/>
        <v>35.250000004889444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-18T04:53:12-0600',mode:absolute,to:'2017-07-18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4.58E-2</v>
      </c>
      <c r="Z31" s="197">
        <f t="shared" si="8"/>
        <v>23.3307</v>
      </c>
      <c r="AA31" s="197">
        <f t="shared" si="9"/>
        <v>23.2849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31" s="74" t="str">
        <f t="shared" si="12"/>
        <v>"C:\Program Files (x86)\AstroGrep\AstroGrep.exe" /e /r /s /spath="%USERPROFILE%\AppData\Local\Temp\OnboardLogs" /stypes="app*4008*20170718*"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119-18 --locoid 4008 --swversion DE.1.0.9.0 --startMP 204:458 --initTime 2017-07-18T05:53:12 --startdatetime 2017-07-18T06:00:51 --delay 1 --endMP 204:233307 --enddatetime 2017-07-18T06:36:06 --enforcementcount 0 &gt;&gt;C:\Users\stu\Documents\GitHub\eaglep3-reporting\EC\2017-07-18-refined-times.txt</v>
      </c>
      <c r="AI3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{"issue":{"subject":"","project_id":79,"tracker_id":40,"status_id":1,"priority_id":2,"assigned_to_id":23,"start_date":"2017-07-18","description":"","custom_fields":[{"id":1,"name":"Subdivision","value":"EC"},{"id":4,"name":"Milepost","value":"23.3307"},{"id":17,"name":"Train ID","value":"119-18"},{"id":16,"name":"Locomotive ID","value":"4008"},{"id":130,"name":"Impact","value":""},{"id":150,"name":"Time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4008 --day 2017-07-18</v>
      </c>
      <c r="AN3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703</v>
      </c>
      <c r="B32" s="7">
        <v>4007</v>
      </c>
      <c r="C32" s="21" t="s">
        <v>199</v>
      </c>
      <c r="D32" s="21" t="s">
        <v>878</v>
      </c>
      <c r="E32" s="13">
        <v>42934.283541666664</v>
      </c>
      <c r="F32" s="13">
        <v>42934.289814814816</v>
      </c>
      <c r="G32" s="7">
        <v>1</v>
      </c>
      <c r="H32" s="21" t="s">
        <v>879</v>
      </c>
      <c r="I32" s="13">
        <v>42934.316516203704</v>
      </c>
      <c r="J32" s="7">
        <v>0</v>
      </c>
      <c r="K32" s="89" t="str">
        <f t="shared" si="0"/>
        <v>4007/4008</v>
      </c>
      <c r="L32" s="21" t="str">
        <f>VLOOKUP(A32,'Trips&amp;Operators'!$C$1:$G$99999,5,FALSE)</f>
        <v>MAELZER KURT</v>
      </c>
      <c r="M32" s="6">
        <f t="shared" si="1"/>
        <v>2.6701388887886424E-2</v>
      </c>
      <c r="N32" s="7">
        <f t="shared" si="2"/>
        <v>38.44999999855645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-18T05:48:18-0600',mode:absolute,to:'2017-07-18T08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23.296900000000001</v>
      </c>
      <c r="Z32" s="197">
        <f t="shared" si="8"/>
        <v>1.21E-2</v>
      </c>
      <c r="AA32" s="197">
        <f t="shared" si="9"/>
        <v>23.284800000000001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32" s="74" t="str">
        <f t="shared" si="12"/>
        <v>"C:\Program Files (x86)\AstroGrep\AstroGrep.exe" /e /r /s /spath="%USERPROFILE%\AppData\Local\Temp\OnboardLogs" /stypes="app*4007*20170718*"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120-18 --locoid 4007 --swversion DE.1.0.9.0 --startMP 204:232969 --initTime 2017-07-18T06:48:18 --startdatetime 2017-07-18T06:57:20 --delay 1 --endMP 204:121 --enddatetime 2017-07-18T07:35:47 --enforcementcount 0 &gt;&gt;C:\Users\stu\Documents\GitHub\eaglep3-reporting\EC\2017-07-18-refined-times.txt</v>
      </c>
      <c r="AI3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{"issue":{"subject":"","project_id":79,"tracker_id":40,"status_id":1,"priority_id":2,"assigned_to_id":23,"start_date":"2017-07-18","description":"","custom_fields":[{"id":1,"name":"Subdivision","value":"EC"},{"id":4,"name":"Milepost","value":"0.0121"},{"id":17,"name":"Train ID","value":"120-18"},{"id":16,"name":"Locomotive ID","value":"4007"},{"id":130,"name":"Impact","value":""},{"id":150,"name":"Time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4007 --day 2017-07-18</v>
      </c>
      <c r="AN3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697</v>
      </c>
      <c r="B33" s="7">
        <v>4014</v>
      </c>
      <c r="C33" s="21" t="s">
        <v>199</v>
      </c>
      <c r="D33" s="21" t="s">
        <v>880</v>
      </c>
      <c r="E33" s="13">
        <v>42934.255428240744</v>
      </c>
      <c r="F33" s="13">
        <v>42934.261053240742</v>
      </c>
      <c r="G33" s="7">
        <v>2</v>
      </c>
      <c r="H33" s="21" t="s">
        <v>599</v>
      </c>
      <c r="I33" s="13">
        <v>42934.286030092589</v>
      </c>
      <c r="J33" s="7">
        <v>0</v>
      </c>
      <c r="K33" s="89" t="str">
        <f t="shared" si="0"/>
        <v>4013/4014</v>
      </c>
      <c r="L33" s="21" t="str">
        <f>VLOOKUP(A33,'Trips&amp;Operators'!$C$1:$G$99999,5,FALSE)</f>
        <v>NICHOLSON WESLEY</v>
      </c>
      <c r="M33" s="6">
        <f t="shared" si="1"/>
        <v>2.4976851847895887E-2</v>
      </c>
      <c r="N33" s="7">
        <f t="shared" si="2"/>
        <v>35.966666660970077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-18T05:07:49-0600',mode:absolute,to:'2017-07-18T07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4.8000000000000001E-2</v>
      </c>
      <c r="Z33" s="197">
        <f t="shared" si="8"/>
        <v>23.333400000000001</v>
      </c>
      <c r="AA33" s="197">
        <f t="shared" si="9"/>
        <v>23.285400000000003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33" s="74" t="str">
        <f t="shared" si="12"/>
        <v>"C:\Program Files (x86)\AstroGrep\AstroGrep.exe" /e /r /s /spath="%USERPROFILE%\AppData\Local\Temp\OnboardLogs" /stypes="app*4014*20170718*"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121-18 --locoid 4014 --swversion DE.1.0.9.0 --startMP 204:480 --initTime 2017-07-18T06:07:49 --startdatetime 2017-07-18T06:15:55 --delay 2 --endMP 204:233334 --enddatetime 2017-07-18T06:51:53 --enforcementcount 0 &gt;&gt;C:\Users\stu\Documents\GitHub\eaglep3-reporting\EC\2017-07-18-refined-times.txt</v>
      </c>
      <c r="AI3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{"issue":{"subject":"","project_id":79,"tracker_id":40,"status_id":1,"priority_id":2,"assigned_to_id":23,"start_date":"2017-07-18","description":"","custom_fields":[{"id":1,"name":"Subdivision","value":"EC"},{"id":4,"name":"Milepost","value":"23.3334"},{"id":17,"name":"Train ID","value":"121-18"},{"id":16,"name":"Locomotive ID","value":"4014"},{"id":130,"name":"Impact","value":""},{"id":150,"name":"Time of Event (Mountain Time)","value":"06:51:53"},{"id":151,"name":"Denver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4014 --day 2017-07-18</v>
      </c>
      <c r="AN3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704</v>
      </c>
      <c r="B34" s="7">
        <v>4013</v>
      </c>
      <c r="C34" s="21" t="s">
        <v>199</v>
      </c>
      <c r="D34" s="21" t="s">
        <v>881</v>
      </c>
      <c r="E34" s="13">
        <v>42934.288541666669</v>
      </c>
      <c r="F34" s="13">
        <v>42934.300243055557</v>
      </c>
      <c r="G34" s="7">
        <v>1</v>
      </c>
      <c r="H34" s="21" t="s">
        <v>386</v>
      </c>
      <c r="I34" s="13">
        <v>42934.326574074075</v>
      </c>
      <c r="J34" s="7">
        <v>0</v>
      </c>
      <c r="K34" s="89" t="str">
        <f t="shared" si="0"/>
        <v>4013/4014</v>
      </c>
      <c r="L34" s="21" t="str">
        <f>VLOOKUP(A34,'Trips&amp;Operators'!$C$1:$G$99999,5,FALSE)</f>
        <v>NICHOLSON WESLEY</v>
      </c>
      <c r="M34" s="6">
        <f t="shared" si="1"/>
        <v>2.6331018518249039E-2</v>
      </c>
      <c r="N34" s="7">
        <f t="shared" si="2"/>
        <v>37.916666666278616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-18T05:55:30-0600',mode:absolute,to:'2017-07-18T08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23.300999999999998</v>
      </c>
      <c r="Z34" s="197">
        <f t="shared" si="8"/>
        <v>1.4500000000000001E-2</v>
      </c>
      <c r="AA34" s="197">
        <f t="shared" si="9"/>
        <v>23.286499999999997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34" s="74" t="str">
        <f t="shared" si="12"/>
        <v>"C:\Program Files (x86)\AstroGrep\AstroGrep.exe" /e /r /s /spath="%USERPROFILE%\AppData\Local\Temp\OnboardLogs" /stypes="app*4013*20170718*"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122-18 --locoid 4013 --swversion DE.1.0.9.0 --startMP 204:233010 --initTime 2017-07-18T06:55:30 --startdatetime 2017-07-18T07:12:21 --delay 1 --endMP 204:145 --enddatetime 2017-07-18T07:50:16 --enforcementcount 0 &gt;&gt;C:\Users\stu\Documents\GitHub\eaglep3-reporting\EC\2017-07-18-refined-times.txt</v>
      </c>
      <c r="AI3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{"issue":{"subject":"","project_id":79,"tracker_id":40,"status_id":1,"priority_id":2,"assigned_to_id":23,"start_date":"2017-07-18","description":"","custom_fields":[{"id":1,"name":"Subdivision","value":"EC"},{"id":4,"name":"Milepost","value":"0.0145"},{"id":17,"name":"Train ID","value":"122-18"},{"id":16,"name":"Locomotive ID","value":"4013"},{"id":130,"name":"Impact","value":""},{"id":150,"name":"Time of Event (Mountain Time)","value":"07:50:16"},{"id":151,"name":"Denver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4013 --day 2017-07-18</v>
      </c>
      <c r="AN3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700</v>
      </c>
      <c r="B35" s="7">
        <v>4026</v>
      </c>
      <c r="C35" s="21" t="s">
        <v>199</v>
      </c>
      <c r="D35" s="21" t="s">
        <v>557</v>
      </c>
      <c r="E35" s="13">
        <v>42934.265497685185</v>
      </c>
      <c r="F35" s="13">
        <v>42934.271527777775</v>
      </c>
      <c r="G35" s="7">
        <v>1</v>
      </c>
      <c r="H35" s="21" t="s">
        <v>520</v>
      </c>
      <c r="I35" s="13">
        <v>42934.2968287037</v>
      </c>
      <c r="J35" s="7">
        <v>0</v>
      </c>
      <c r="K35" s="89" t="str">
        <f t="shared" si="0"/>
        <v>4025/4026</v>
      </c>
      <c r="L35" s="21" t="str">
        <f>VLOOKUP(A35,'Trips&amp;Operators'!$C$1:$G$99999,5,FALSE)</f>
        <v>MILLER KEVIN</v>
      </c>
      <c r="M35" s="6">
        <f t="shared" si="1"/>
        <v>2.5300925924966577E-2</v>
      </c>
      <c r="N35" s="7">
        <f t="shared" si="2"/>
        <v>36.433333331951872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-18T05:22:19-0600',mode:absolute,to:'2017-07-18T08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4.7300000000000002E-2</v>
      </c>
      <c r="Z35" s="197">
        <f t="shared" si="8"/>
        <v>23.3293</v>
      </c>
      <c r="AA35" s="197">
        <f t="shared" si="9"/>
        <v>23.282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35" s="74" t="str">
        <f t="shared" si="12"/>
        <v>"C:\Program Files (x86)\AstroGrep\AstroGrep.exe" /e /r /s /spath="%USERPROFILE%\AppData\Local\Temp\OnboardLogs" /stypes="app*4026*20170718*"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123-18 --locoid 4026 --swversion DE.1.0.9.0 --startMP 204:473 --initTime 2017-07-18T06:22:19 --startdatetime 2017-07-18T06:31:00 --delay 1 --endMP 204:233293 --enddatetime 2017-07-18T07:07:26 --enforcementcount 0 &gt;&gt;C:\Users\stu\Documents\GitHub\eaglep3-reporting\EC\2017-07-18-refined-times.txt</v>
      </c>
      <c r="AI3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{"issue":{"subject":"","project_id":79,"tracker_id":40,"status_id":1,"priority_id":2,"assigned_to_id":23,"start_date":"2017-07-18","description":"","custom_fields":[{"id":1,"name":"Subdivision","value":"EC"},{"id":4,"name":"Milepost","value":"23.3293"},{"id":17,"name":"Train ID","value":"123-18"},{"id":16,"name":"Locomotive ID","value":"4026"},{"id":130,"name":"Impact","value":""},{"id":150,"name":"Time of Event (Mountain Time)","value":"07:07:26"},{"id":151,"name":"Denver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4026 --day 2017-07-18</v>
      </c>
      <c r="AN3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708</v>
      </c>
      <c r="B36" s="7">
        <v>4025</v>
      </c>
      <c r="C36" s="21" t="s">
        <v>199</v>
      </c>
      <c r="D36" s="21" t="s">
        <v>556</v>
      </c>
      <c r="E36" s="13">
        <v>42934.298796296294</v>
      </c>
      <c r="F36" s="13">
        <v>42934.310613425929</v>
      </c>
      <c r="G36" s="7">
        <v>1</v>
      </c>
      <c r="H36" s="21" t="s">
        <v>423</v>
      </c>
      <c r="I36" s="13">
        <v>42934.338506944441</v>
      </c>
      <c r="J36" s="7">
        <v>0</v>
      </c>
      <c r="K36" s="89" t="str">
        <f t="shared" si="0"/>
        <v>4025/4026</v>
      </c>
      <c r="L36" s="21" t="str">
        <f>VLOOKUP(A36,'Trips&amp;Operators'!$C$1:$G$99999,5,FALSE)</f>
        <v>MILLER KEVIN</v>
      </c>
      <c r="M36" s="6">
        <f t="shared" si="1"/>
        <v>2.7893518512428273E-2</v>
      </c>
      <c r="N36" s="7">
        <f t="shared" si="2"/>
        <v>40.166666657896712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-18T06:10:16-0600',mode:absolute,to:'2017-07-18T09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23.296700000000001</v>
      </c>
      <c r="Z36" s="197">
        <f t="shared" si="8"/>
        <v>1.6E-2</v>
      </c>
      <c r="AA36" s="197">
        <f t="shared" si="9"/>
        <v>23.280700000000003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36" s="74" t="str">
        <f t="shared" si="12"/>
        <v>"C:\Program Files (x86)\AstroGrep\AstroGrep.exe" /e /r /s /spath="%USERPROFILE%\AppData\Local\Temp\OnboardLogs" /stypes="app*4025*20170718*"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124-18 --locoid 4025 --swversion DE.1.0.9.0 --startMP 204:232967 --initTime 2017-07-18T07:10:16 --startdatetime 2017-07-18T07:27:17 --delay 1 --endMP 204:160 --enddatetime 2017-07-18T08:07:27 --enforcementcount 0 &gt;&gt;C:\Users\stu\Documents\GitHub\eaglep3-reporting\EC\2017-07-18-refined-times.txt</v>
      </c>
      <c r="AI3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{"issue":{"subject":"","project_id":79,"tracker_id":40,"status_id":1,"priority_id":2,"assigned_to_id":23,"start_date":"2017-07-18","description":"","custom_fields":[{"id":1,"name":"Subdivision","value":"EC"},{"id":4,"name":"Milepost","value":"0.016"},{"id":17,"name":"Train ID","value":"124-18"},{"id":16,"name":"Locomotive ID","value":"4025"},{"id":130,"name":"Impact","value":""},{"id":150,"name":"Time of Event (Mountain Time)","value":"08:07:27"},{"id":151,"name":"Denver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4025 --day 2017-07-18</v>
      </c>
      <c r="AN3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702</v>
      </c>
      <c r="B37" s="7">
        <v>4062</v>
      </c>
      <c r="C37" s="21" t="s">
        <v>199</v>
      </c>
      <c r="D37" s="21" t="s">
        <v>882</v>
      </c>
      <c r="E37" s="13">
        <v>42934.277291666665</v>
      </c>
      <c r="F37" s="13">
        <v>42934.281759259262</v>
      </c>
      <c r="G37" s="7">
        <v>2</v>
      </c>
      <c r="H37" s="21" t="s">
        <v>520</v>
      </c>
      <c r="I37" s="13">
        <v>42934.307337962964</v>
      </c>
      <c r="J37" s="7">
        <v>0</v>
      </c>
      <c r="K37" s="89" t="str">
        <f t="shared" si="0"/>
        <v>4061/4062</v>
      </c>
      <c r="L37" s="21" t="str">
        <f>VLOOKUP(A37,'Trips&amp;Operators'!$C$1:$G$99999,5,FALSE)</f>
        <v>STARKS ANGELINA</v>
      </c>
      <c r="M37" s="6">
        <f t="shared" si="1"/>
        <v>2.5578703702194616E-2</v>
      </c>
      <c r="N37" s="7">
        <f t="shared" si="2"/>
        <v>36.833333331160247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-18T05:39:18-0600',mode:absolute,to:'2017-07-18T08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4.3999999999999997E-2</v>
      </c>
      <c r="Z37" s="197">
        <f t="shared" si="8"/>
        <v>23.3293</v>
      </c>
      <c r="AA37" s="197">
        <f t="shared" si="9"/>
        <v>23.285299999999999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37" s="74" t="str">
        <f t="shared" si="12"/>
        <v>"C:\Program Files (x86)\AstroGrep\AstroGrep.exe" /e /r /s /spath="%USERPROFILE%\AppData\Local\Temp\OnboardLogs" /stypes="app*4062*20170718*"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125-18 --locoid 4062 --swversion DE.1.0.9.0 --startMP 204:440 --initTime 2017-07-18T06:39:18 --startdatetime 2017-07-18T06:45:44 --delay 2 --endMP 204:233293 --enddatetime 2017-07-18T07:22:34 --enforcementcount 0 &gt;&gt;C:\Users\stu\Documents\GitHub\eaglep3-reporting\EC\2017-07-18-refined-times.txt</v>
      </c>
      <c r="AI3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{"issue":{"subject":"","project_id":79,"tracker_id":40,"status_id":1,"priority_id":2,"assigned_to_id":23,"start_date":"2017-07-18","description":"","custom_fields":[{"id":1,"name":"Subdivision","value":"EC"},{"id":4,"name":"Milepost","value":"23.3293"},{"id":17,"name":"Train ID","value":"125-18"},{"id":16,"name":"Locomotive ID","value":"4062"},{"id":130,"name":"Impact","value":""},{"id":150,"name":"Time of Event (Mountain Time)","value":"07:22:34"},{"id":151,"name":"Denver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4062 --day 2017-07-18</v>
      </c>
      <c r="AN3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644</v>
      </c>
      <c r="B38" s="7">
        <v>4061</v>
      </c>
      <c r="C38" s="21" t="s">
        <v>199</v>
      </c>
      <c r="D38" s="21" t="s">
        <v>592</v>
      </c>
      <c r="E38" s="13">
        <v>42934.31821759259</v>
      </c>
      <c r="F38" s="13">
        <v>42934.321053240739</v>
      </c>
      <c r="G38" s="7">
        <v>1</v>
      </c>
      <c r="H38" s="21" t="s">
        <v>883</v>
      </c>
      <c r="I38" s="13">
        <v>42934.348761574074</v>
      </c>
      <c r="J38" s="7">
        <v>0</v>
      </c>
      <c r="K38" s="89" t="str">
        <f t="shared" si="0"/>
        <v>4061/4062</v>
      </c>
      <c r="L38" s="21" t="str">
        <f>VLOOKUP(A38,'Trips&amp;Operators'!$C$1:$G$99999,5,FALSE)</f>
        <v>STARKS ANGELINA</v>
      </c>
      <c r="M38" s="6">
        <f t="shared" si="1"/>
        <v>2.7708333334885538E-2</v>
      </c>
      <c r="N38" s="7">
        <f t="shared" si="2"/>
        <v>39.900000002235174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-18T06:38:14-0600',mode:absolute,to:'2017-07-18T09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23.298500000000001</v>
      </c>
      <c r="Z38" s="197">
        <f t="shared" si="8"/>
        <v>1.72E-2</v>
      </c>
      <c r="AA38" s="197">
        <f t="shared" si="9"/>
        <v>23.281300000000002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38" s="74" t="str">
        <f t="shared" si="12"/>
        <v>"C:\Program Files (x86)\AstroGrep\AstroGrep.exe" /e /r /s /spath="%USERPROFILE%\AppData\Local\Temp\OnboardLogs" /stypes="app*4061*20170718*"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126-18 --locoid 4061 --swversion DE.1.0.9.0 --startMP 204:232985 --initTime 2017-07-18T07:38:14 --startdatetime 2017-07-18T07:42:19 --delay 1 --endMP 204:172 --enddatetime 2017-07-18T08:22:13 --enforcementcount 0 &gt;&gt;C:\Users\stu\Documents\GitHub\eaglep3-reporting\EC\2017-07-18-refined-times.txt</v>
      </c>
      <c r="AI3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{"issue":{"subject":"","project_id":79,"tracker_id":40,"status_id":1,"priority_id":2,"assigned_to_id":23,"start_date":"2017-07-18","description":"","custom_fields":[{"id":1,"name":"Subdivision","value":"EC"},{"id":4,"name":"Milepost","value":"0.0172"},{"id":17,"name":"Train ID","value":"126-18"},{"id":16,"name":"Locomotive ID","value":"4061"},{"id":130,"name":"Impact","value":""},{"id":150,"name":"Time of Event (Mountain Time)","value":"08:22:13"},{"id":151,"name":"Denver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4061 --day 2017-07-18</v>
      </c>
      <c r="AN3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705</v>
      </c>
      <c r="B39" s="7">
        <v>4064</v>
      </c>
      <c r="C39" s="21" t="s">
        <v>199</v>
      </c>
      <c r="D39" s="21" t="s">
        <v>413</v>
      </c>
      <c r="E39" s="13">
        <v>42934.288634259261</v>
      </c>
      <c r="F39" s="13">
        <v>42934.292430555557</v>
      </c>
      <c r="G39" s="7">
        <v>1</v>
      </c>
      <c r="H39" s="21" t="s">
        <v>415</v>
      </c>
      <c r="I39" s="13">
        <v>42934.317210648151</v>
      </c>
      <c r="J39" s="7">
        <v>0</v>
      </c>
      <c r="K39" s="89" t="str">
        <f t="shared" si="0"/>
        <v>4063/4064</v>
      </c>
      <c r="L39" s="21" t="str">
        <f>VLOOKUP(A39,'Trips&amp;Operators'!$C$1:$G$99999,5,FALSE)</f>
        <v>GONZALEZ ARMANDO</v>
      </c>
      <c r="M39" s="6">
        <f t="shared" si="1"/>
        <v>2.4780092593573499E-2</v>
      </c>
      <c r="N39" s="7">
        <f t="shared" si="2"/>
        <v>35.683333334745839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-18T05:55:38-0600',mode:absolute,to:'2017-07-18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23.331199999999999</v>
      </c>
      <c r="AA39" s="197">
        <f t="shared" si="9"/>
        <v>23.285399999999999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39" s="74" t="str">
        <f t="shared" si="12"/>
        <v>"C:\Program Files (x86)\AstroGrep\AstroGrep.exe" /e /r /s /spath="%USERPROFILE%\AppData\Local\Temp\OnboardLogs" /stypes="app*4064*20170718*"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127-18 --locoid 4064 --swversion DE.1.0.9.0 --startMP 204:458 --initTime 2017-07-18T06:55:38 --startdatetime 2017-07-18T07:01:06 --delay 1 --endMP 204:233312 --enddatetime 2017-07-18T07:36:47 --enforcementcount 0 &gt;&gt;C:\Users\stu\Documents\GitHub\eaglep3-reporting\EC\2017-07-18-refined-times.txt</v>
      </c>
      <c r="AI39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{"issue":{"subject":"","project_id":79,"tracker_id":40,"status_id":1,"priority_id":2,"assigned_to_id":23,"start_date":"2017-07-18","description":"","custom_fields":[{"id":1,"name":"Subdivision","value":"EC"},{"id":4,"name":"Milepost","value":"23.3312"},{"id":17,"name":"Train ID","value":"127-18"},{"id":16,"name":"Locomotive ID","value":"4064"},{"id":130,"name":"Impact","value":""},{"id":150,"name":"Time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4064 --day 2017-07-18</v>
      </c>
      <c r="AN39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712</v>
      </c>
      <c r="B40" s="7">
        <v>4063</v>
      </c>
      <c r="C40" s="21" t="s">
        <v>199</v>
      </c>
      <c r="D40" s="21" t="s">
        <v>547</v>
      </c>
      <c r="E40" s="13">
        <v>42934.320335648146</v>
      </c>
      <c r="F40" s="13">
        <v>42934.331458333334</v>
      </c>
      <c r="G40" s="7">
        <v>1</v>
      </c>
      <c r="H40" s="21" t="s">
        <v>343</v>
      </c>
      <c r="I40" s="13">
        <v>42934.358553240738</v>
      </c>
      <c r="J40" s="7">
        <v>0</v>
      </c>
      <c r="K40" s="89" t="str">
        <f t="shared" si="0"/>
        <v>4063/4064</v>
      </c>
      <c r="L40" s="21" t="str">
        <f>VLOOKUP(A40,'Trips&amp;Operators'!$C$1:$G$99999,5,FALSE)</f>
        <v>LOZA FIDEL</v>
      </c>
      <c r="M40" s="6">
        <f t="shared" si="1"/>
        <v>2.7094907403807156E-2</v>
      </c>
      <c r="N40" s="7">
        <f t="shared" si="2"/>
        <v>39.016666661482304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-18T06:41:17-0600',mode:absolute,to:'2017-07-18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23.2988</v>
      </c>
      <c r="Z40" s="197">
        <f t="shared" si="8"/>
        <v>1.4999999999999999E-2</v>
      </c>
      <c r="AA40" s="197">
        <f t="shared" si="9"/>
        <v>23.283799999999999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40" s="74" t="str">
        <f t="shared" si="12"/>
        <v>"C:\Program Files (x86)\AstroGrep\AstroGrep.exe" /e /r /s /spath="%USERPROFILE%\AppData\Local\Temp\OnboardLogs" /stypes="app*4063*20170718*"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128-18 --locoid 4063 --swversion DE.1.0.9.0 --startMP 204:232988 --initTime 2017-07-18T07:41:17 --startdatetime 2017-07-18T07:57:18 --delay 1 --endMP 204:150 --enddatetime 2017-07-18T08:36:19 --enforcementcount 0 &gt;&gt;C:\Users\stu\Documents\GitHub\eaglep3-reporting\EC\2017-07-18-refined-times.txt</v>
      </c>
      <c r="AI4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{"issue":{"subject":"","project_id":79,"tracker_id":40,"status_id":1,"priority_id":2,"assigned_to_id":23,"start_date":"2017-07-18","description":"","custom_fields":[{"id":1,"name":"Subdivision","value":"EC"},{"id":4,"name":"Milepost","value":"0.015"},{"id":17,"name":"Train ID","value":"128-18"},{"id":16,"name":"Locomotive ID","value":"4063"},{"id":130,"name":"Impact","value":""},{"id":150,"name":"Time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4063 --day 2017-07-18</v>
      </c>
      <c r="AN4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707</v>
      </c>
      <c r="B41" s="7">
        <v>4012</v>
      </c>
      <c r="C41" s="21" t="s">
        <v>199</v>
      </c>
      <c r="D41" s="21" t="s">
        <v>349</v>
      </c>
      <c r="E41" s="13">
        <v>42934.298761574071</v>
      </c>
      <c r="F41" s="13">
        <v>42934.302847222221</v>
      </c>
      <c r="G41" s="7">
        <v>1</v>
      </c>
      <c r="H41" s="21" t="s">
        <v>597</v>
      </c>
      <c r="I41" s="13">
        <v>42934.328842592593</v>
      </c>
      <c r="J41" s="7">
        <v>0</v>
      </c>
      <c r="K41" s="89" t="str">
        <f t="shared" si="0"/>
        <v>4011/4012</v>
      </c>
      <c r="L41" s="21" t="str">
        <f>VLOOKUP(A41,'Trips&amp;Operators'!$C$1:$G$99999,5,FALSE)</f>
        <v>ELBAUM MIKE</v>
      </c>
      <c r="M41" s="6">
        <f t="shared" si="1"/>
        <v>2.5995370371674653E-2</v>
      </c>
      <c r="N41" s="7">
        <f t="shared" si="2"/>
        <v>37.433333335211501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-18T06:10:13-0600',mode:absolute,to:'2017-07-18T08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4.53E-2</v>
      </c>
      <c r="Z41" s="197">
        <f t="shared" si="8"/>
        <v>23.331900000000001</v>
      </c>
      <c r="AA41" s="197">
        <f t="shared" si="9"/>
        <v>23.2866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41" s="74" t="str">
        <f t="shared" si="12"/>
        <v>"C:\Program Files (x86)\AstroGrep\AstroGrep.exe" /e /r /s /spath="%USERPROFILE%\AppData\Local\Temp\OnboardLogs" /stypes="app*4012*20170718*"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129-18 --locoid 4012 --swversion DE.1.0.9.0 --startMP 204:453 --initTime 2017-07-18T07:10:13 --startdatetime 2017-07-18T07:16:06 --delay 1 --endMP 204:233319 --enddatetime 2017-07-18T07:53:32 --enforcementcount 0 &gt;&gt;C:\Users\stu\Documents\GitHub\eaglep3-reporting\EC\2017-07-18-refined-times.txt</v>
      </c>
      <c r="AI4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{"issue":{"subject":"","project_id":79,"tracker_id":40,"status_id":1,"priority_id":2,"assigned_to_id":23,"start_date":"2017-07-18","description":"","custom_fields":[{"id":1,"name":"Subdivision","value":"EC"},{"id":4,"name":"Milepost","value":"23.3319"},{"id":17,"name":"Train ID","value":"129-18"},{"id":16,"name":"Locomotive ID","value":"4012"},{"id":130,"name":"Impact","value":""},{"id":150,"name":"Time of Event (Mountain Time)","value":"07:53:32"},{"id":151,"name":"Denver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4012 --day 2017-07-18</v>
      </c>
      <c r="AN4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714</v>
      </c>
      <c r="B42" s="7">
        <v>4011</v>
      </c>
      <c r="C42" s="21" t="s">
        <v>199</v>
      </c>
      <c r="D42" s="21" t="s">
        <v>546</v>
      </c>
      <c r="E42" s="13">
        <v>42934.336365740739</v>
      </c>
      <c r="F42" s="13">
        <v>42934.341840277775</v>
      </c>
      <c r="G42" s="7">
        <v>1</v>
      </c>
      <c r="H42" s="21" t="s">
        <v>479</v>
      </c>
      <c r="I42" s="13">
        <v>42934.36917824074</v>
      </c>
      <c r="J42" s="7">
        <v>0</v>
      </c>
      <c r="K42" s="89" t="str">
        <f t="shared" si="0"/>
        <v>4011/4012</v>
      </c>
      <c r="L42" s="21" t="str">
        <f>VLOOKUP(A42,'Trips&amp;Operators'!$C$1:$G$99999,5,FALSE)</f>
        <v>ELBAUM MIKE</v>
      </c>
      <c r="M42" s="6">
        <f t="shared" si="1"/>
        <v>2.7337962965248153E-2</v>
      </c>
      <c r="N42" s="7">
        <f t="shared" si="2"/>
        <v>39.36666666995734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-18T07:04:22-0600',mode:absolute,to:'2017-07-18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23.298300000000001</v>
      </c>
      <c r="Z42" s="197">
        <f t="shared" si="8"/>
        <v>1.5800000000000002E-2</v>
      </c>
      <c r="AA42" s="197">
        <f t="shared" si="9"/>
        <v>23.282500000000002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42" s="74" t="str">
        <f t="shared" si="12"/>
        <v>"C:\Program Files (x86)\AstroGrep\AstroGrep.exe" /e /r /s /spath="%USERPROFILE%\AppData\Local\Temp\OnboardLogs" /stypes="app*4011*20170718*"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130-18 --locoid 4011 --swversion DE.1.0.9.0 --startMP 204:232983 --initTime 2017-07-18T08:04:22 --startdatetime 2017-07-18T08:12:15 --delay 1 --endMP 204:158 --enddatetime 2017-07-18T08:51:37 --enforcementcount 0 &gt;&gt;C:\Users\stu\Documents\GitHub\eaglep3-reporting\EC\2017-07-18-refined-times.txt</v>
      </c>
      <c r="AI4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{"issue":{"subject":"","project_id":79,"tracker_id":40,"status_id":1,"priority_id":2,"assigned_to_id":23,"start_date":"2017-07-18","description":"","custom_fields":[{"id":1,"name":"Subdivision","value":"EC"},{"id":4,"name":"Milepost","value":"0.0158"},{"id":17,"name":"Train ID","value":"130-18"},{"id":16,"name":"Locomotive ID","value":"4011"},{"id":130,"name":"Impact","value":""},{"id":150,"name":"Time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4011 --day 2017-07-18</v>
      </c>
      <c r="AN4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710</v>
      </c>
      <c r="B43" s="7">
        <v>4006</v>
      </c>
      <c r="C43" s="21" t="s">
        <v>199</v>
      </c>
      <c r="D43" s="21" t="s">
        <v>480</v>
      </c>
      <c r="E43" s="13">
        <v>42934.308194444442</v>
      </c>
      <c r="F43" s="13">
        <v>42934.313020833331</v>
      </c>
      <c r="G43" s="7">
        <v>1</v>
      </c>
      <c r="H43" s="21" t="s">
        <v>595</v>
      </c>
      <c r="I43" s="13">
        <v>42934.338206018518</v>
      </c>
      <c r="J43" s="7">
        <v>0</v>
      </c>
      <c r="K43" s="89" t="str">
        <f t="shared" si="0"/>
        <v>4005/4006</v>
      </c>
      <c r="L43" s="21" t="str">
        <f>VLOOKUP(A43,'Trips&amp;Operators'!$C$1:$G$99999,5,FALSE)</f>
        <v>DAVIDSON DAVID</v>
      </c>
      <c r="M43" s="6">
        <f t="shared" si="1"/>
        <v>2.5185185186273884E-2</v>
      </c>
      <c r="N43" s="7">
        <f t="shared" si="2"/>
        <v>36.266666668234393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-18T06:23:48-0600',mode:absolute,to:'2017-07-18T09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4.7500000000000001E-2</v>
      </c>
      <c r="Z43" s="197">
        <f t="shared" si="8"/>
        <v>23.328900000000001</v>
      </c>
      <c r="AA43" s="197">
        <f t="shared" si="9"/>
        <v>23.281400000000001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43" s="74" t="str">
        <f t="shared" si="12"/>
        <v>"C:\Program Files (x86)\AstroGrep\AstroGrep.exe" /e /r /s /spath="%USERPROFILE%\AppData\Local\Temp\OnboardLogs" /stypes="app*4006*20170718*"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131-18 --locoid 4006 --swversion DE.1.0.9.0 --startMP 204:475 --initTime 2017-07-18T07:23:48 --startdatetime 2017-07-18T07:30:45 --delay 1 --endMP 204:233289 --enddatetime 2017-07-18T08:07:01 --enforcementcount 0 &gt;&gt;C:\Users\stu\Documents\GitHub\eaglep3-reporting\EC\2017-07-18-refined-times.txt</v>
      </c>
      <c r="AI4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{"issue":{"subject":"","project_id":79,"tracker_id":40,"status_id":1,"priority_id":2,"assigned_to_id":23,"start_date":"2017-07-18","description":"","custom_fields":[{"id":1,"name":"Subdivision","value":"EC"},{"id":4,"name":"Milepost","value":"23.3289"},{"id":17,"name":"Train ID","value":"131-18"},{"id":16,"name":"Locomotive ID","value":"4006"},{"id":130,"name":"Impact","value":""},{"id":150,"name":"Time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4006 --day 2017-07-18</v>
      </c>
      <c r="AN4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716</v>
      </c>
      <c r="B44" s="7">
        <v>4005</v>
      </c>
      <c r="C44" s="21" t="s">
        <v>199</v>
      </c>
      <c r="D44" s="21" t="s">
        <v>430</v>
      </c>
      <c r="E44" s="13">
        <v>42934.339733796296</v>
      </c>
      <c r="F44" s="13">
        <v>42934.35224537037</v>
      </c>
      <c r="G44" s="7">
        <v>1</v>
      </c>
      <c r="H44" s="21" t="s">
        <v>351</v>
      </c>
      <c r="I44" s="13">
        <v>42934.382280092592</v>
      </c>
      <c r="J44" s="7">
        <v>0</v>
      </c>
      <c r="K44" s="89" t="str">
        <f t="shared" si="0"/>
        <v>4005/4006</v>
      </c>
      <c r="L44" s="21" t="str">
        <f>VLOOKUP(A44,'Trips&amp;Operators'!$C$1:$G$99999,5,FALSE)</f>
        <v>DAVIDSON DAVID</v>
      </c>
      <c r="M44" s="6">
        <f t="shared" si="1"/>
        <v>3.0034722221898846E-2</v>
      </c>
      <c r="N44" s="7">
        <f t="shared" si="2"/>
        <v>43.249999999534339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-18T07:09:13-0600',mode:absolute,to:'2017-07-18T10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23.2973</v>
      </c>
      <c r="Z44" s="197">
        <f t="shared" si="8"/>
        <v>1.3899999999999999E-2</v>
      </c>
      <c r="AA44" s="197">
        <f t="shared" si="9"/>
        <v>23.2834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44" s="74" t="str">
        <f t="shared" si="12"/>
        <v>"C:\Program Files (x86)\AstroGrep\AstroGrep.exe" /e /r /s /spath="%USERPROFILE%\AppData\Local\Temp\OnboardLogs" /stypes="app*4005*20170718*"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132-18 --locoid 4005 --swversion DE.1.0.9.0 --startMP 204:232973 --initTime 2017-07-18T08:09:13 --startdatetime 2017-07-18T08:27:14 --delay 1 --endMP 204:139 --enddatetime 2017-07-18T09:10:29 --enforcementcount 0 &gt;&gt;C:\Users\stu\Documents\GitHub\eaglep3-reporting\EC\2017-07-18-refined-times.txt</v>
      </c>
      <c r="AI4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{"issue":{"subject":"","project_id":79,"tracker_id":40,"status_id":1,"priority_id":2,"assigned_to_id":23,"start_date":"2017-07-18","description":"","custom_fields":[{"id":1,"name":"Subdivision","value":"EC"},{"id":4,"name":"Milepost","value":"0.0139"},{"id":17,"name":"Train ID","value":"132-18"},{"id":16,"name":"Locomotive ID","value":"4005"},{"id":130,"name":"Impact","value":""},{"id":150,"name":"Time of Event (Mountain Time)","value":"09:10:29"},{"id":151,"name":"Denver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4005 --day 2017-07-18</v>
      </c>
      <c r="AN4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711</v>
      </c>
      <c r="B45" s="7">
        <v>4008</v>
      </c>
      <c r="C45" s="21" t="s">
        <v>199</v>
      </c>
      <c r="D45" s="21" t="s">
        <v>882</v>
      </c>
      <c r="E45" s="13">
        <v>42934.320115740738</v>
      </c>
      <c r="F45" s="13">
        <v>42934.323634259257</v>
      </c>
      <c r="G45" s="7">
        <v>1</v>
      </c>
      <c r="H45" s="21" t="s">
        <v>606</v>
      </c>
      <c r="I45" s="13">
        <v>42934.34820601852</v>
      </c>
      <c r="J45" s="7">
        <v>0</v>
      </c>
      <c r="K45" s="89" t="str">
        <f t="shared" si="0"/>
        <v>4007/4008</v>
      </c>
      <c r="L45" s="21" t="str">
        <f>VLOOKUP(A45,'Trips&amp;Operators'!$C$1:$G$99999,5,FALSE)</f>
        <v>MAELZER KURT</v>
      </c>
      <c r="M45" s="6">
        <f t="shared" si="1"/>
        <v>2.457175926247146E-2</v>
      </c>
      <c r="N45" s="7">
        <f t="shared" si="2"/>
        <v>35.383333337958902</v>
      </c>
      <c r="O45" s="7"/>
      <c r="P45" s="7"/>
      <c r="Q45" s="22"/>
      <c r="R45" s="170"/>
      <c r="S45" s="213">
        <f t="shared" ref="S45:S68" si="22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-18T06:40:58-0600',mode:absolute,to:'2017-07-18T09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7" t="str">
        <f>IF(AA45&lt;VLOOKUP(AG45,Variables!$AC$3:$AD$8,2,FALSE),"Y","N")</f>
        <v>N</v>
      </c>
      <c r="X45" s="197">
        <f t="shared" ref="X45:X76" si="23">VALUE(LEFT(AD45,4))-VALUE(LEFT(AD44,4))</f>
        <v>1</v>
      </c>
      <c r="Y45" s="197">
        <f t="shared" si="7"/>
        <v>4.3999999999999997E-2</v>
      </c>
      <c r="Z45" s="197">
        <f t="shared" si="8"/>
        <v>23.329799999999999</v>
      </c>
      <c r="AA45" s="197">
        <f t="shared" si="9"/>
        <v>23.285799999999998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45" s="74" t="str">
        <f t="shared" si="12"/>
        <v>"C:\Program Files (x86)\AstroGrep\AstroGrep.exe" /e /r /s /spath="%USERPROFILE%\AppData\Local\Temp\OnboardLogs" /stypes="app*4008*20170718*"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133-18 --locoid 4008 --swversion DE.1.0.9.0 --startMP 204:440 --initTime 2017-07-18T07:40:58 --startdatetime 2017-07-18T07:46:02 --delay 1 --endMP 204:233298 --enddatetime 2017-07-18T08:21:25 --enforcementcount 0 &gt;&gt;C:\Users\stu\Documents\GitHub\eaglep3-reporting\EC\2017-07-18-refined-times.txt</v>
      </c>
      <c r="AI4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{"issue":{"subject":"","project_id":79,"tracker_id":40,"status_id":1,"priority_id":2,"assigned_to_id":23,"start_date":"2017-07-18","description":"","custom_fields":[{"id":1,"name":"Subdivision","value":"EC"},{"id":4,"name":"Milepost","value":"23.3298"},{"id":17,"name":"Train ID","value":"133-18"},{"id":16,"name":"Locomotive ID","value":"4008"},{"id":130,"name":"Impact","value":""},{"id":150,"name":"Time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4008 --day 2017-07-18</v>
      </c>
      <c r="AN4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720</v>
      </c>
      <c r="B46" s="7">
        <v>4007</v>
      </c>
      <c r="C46" s="21" t="s">
        <v>199</v>
      </c>
      <c r="D46" s="21" t="s">
        <v>396</v>
      </c>
      <c r="E46" s="13">
        <v>42934.35359953704</v>
      </c>
      <c r="F46" s="13">
        <v>42934.362743055557</v>
      </c>
      <c r="G46" s="7">
        <v>0</v>
      </c>
      <c r="H46" s="21" t="s">
        <v>420</v>
      </c>
      <c r="I46" s="13">
        <v>42934.38958333333</v>
      </c>
      <c r="J46" s="7">
        <v>0</v>
      </c>
      <c r="K46" s="89" t="str">
        <f t="shared" si="0"/>
        <v>4007/4008</v>
      </c>
      <c r="L46" s="21" t="str">
        <f>VLOOKUP(A46,'Trips&amp;Operators'!$C$1:$G$99999,5,FALSE)</f>
        <v>MAELZER KURT</v>
      </c>
      <c r="M46" s="6">
        <f t="shared" si="1"/>
        <v>2.6840277772862464E-2</v>
      </c>
      <c r="N46" s="7">
        <f t="shared" si="2"/>
        <v>38.649999992921948</v>
      </c>
      <c r="O46" s="7"/>
      <c r="P46" s="7"/>
      <c r="Q46" s="22"/>
      <c r="R46" s="170"/>
      <c r="S46" s="213">
        <f t="shared" si="22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-18T07:29:11-0600',mode:absolute,to:'2017-07-18T10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23.299600000000002</v>
      </c>
      <c r="Z46" s="197">
        <f t="shared" si="8"/>
        <v>1.3599999999999999E-2</v>
      </c>
      <c r="AA46" s="197">
        <f t="shared" si="9"/>
        <v>23.286000000000001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46" s="74" t="str">
        <f t="shared" si="12"/>
        <v>"C:\Program Files (x86)\AstroGrep\AstroGrep.exe" /e /r /s /spath="%USERPROFILE%\AppData\Local\Temp\OnboardLogs" /stypes="app*4007*20170718*"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134-18 --locoid 4007 --swversion DE.1.0.9.0 --startMP 204:232996 --initTime 2017-07-18T08:29:11 --startdatetime 2017-07-18T08:42:21 --delay 0 --endMP 204:136 --enddatetime 2017-07-18T09:21:00 --enforcementcount 0 &gt;&gt;C:\Users\stu\Documents\GitHub\eaglep3-reporting\EC\2017-07-18-refined-times.txt</v>
      </c>
      <c r="AI4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{"issue":{"subject":"","project_id":79,"tracker_id":40,"status_id":1,"priority_id":2,"assigned_to_id":23,"start_date":"2017-07-18","description":"","custom_fields":[{"id":1,"name":"Subdivision","value":"EC"},{"id":4,"name":"Milepost","value":"0.0136"},{"id":17,"name":"Train ID","value":"134-18"},{"id":16,"name":"Locomotive ID","value":"4007"},{"id":130,"name":"Impact","value":""},{"id":150,"name":"Time of Event (Mountain Time)","value":"09:21:00"},{"id":151,"name":"Denver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4007 --day 2017-07-18</v>
      </c>
      <c r="AN4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643</v>
      </c>
      <c r="B47" s="7">
        <v>4014</v>
      </c>
      <c r="C47" s="21" t="s">
        <v>199</v>
      </c>
      <c r="D47" s="21" t="s">
        <v>884</v>
      </c>
      <c r="E47" s="13">
        <v>42934.343946759262</v>
      </c>
      <c r="F47" s="13">
        <v>42934.35429398148</v>
      </c>
      <c r="G47" s="7">
        <v>1</v>
      </c>
      <c r="H47" s="21" t="s">
        <v>885</v>
      </c>
      <c r="I47" s="13">
        <v>42934.366018518522</v>
      </c>
      <c r="J47" s="7">
        <v>0</v>
      </c>
      <c r="K47" s="89" t="str">
        <f t="shared" si="0"/>
        <v>4013/4014</v>
      </c>
      <c r="L47" s="21" t="str">
        <f>VLOOKUP(A47,'Trips&amp;Operators'!$C$1:$G$99999,5,FALSE)</f>
        <v>NICHOLSON WESLEY</v>
      </c>
      <c r="M47" s="6">
        <f t="shared" si="1"/>
        <v>1.1724537042027805E-2</v>
      </c>
      <c r="N47" s="7"/>
      <c r="O47" s="7"/>
      <c r="P47" s="7">
        <f>24*60*SUM($M47:$M47)</f>
        <v>16.883333340520039</v>
      </c>
      <c r="Q47" s="22"/>
      <c r="R47" s="7" t="s">
        <v>628</v>
      </c>
      <c r="S47" s="213">
        <f t="shared" si="22"/>
        <v>0.75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9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-18T07:15:17-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97" t="str">
        <f>IF(AA47&lt;VLOOKUP(AG47,Variables!$AC$3:$AD$8,2,FALSE),"Y","N")</f>
        <v>Y</v>
      </c>
      <c r="X47" s="197">
        <f t="shared" si="23"/>
        <v>1</v>
      </c>
      <c r="Y47" s="197">
        <f t="shared" si="7"/>
        <v>3.7172999999999998</v>
      </c>
      <c r="Z47" s="197">
        <f t="shared" si="8"/>
        <v>22.5822</v>
      </c>
      <c r="AA47" s="197">
        <f t="shared" si="9"/>
        <v>18.864899999999999</v>
      </c>
      <c r="AB47" s="54" t="str">
        <f>VLOOKUP(A47,Enforcements!$C$7:$K$13,8,0)</f>
        <v>Speed (6)</v>
      </c>
      <c r="AC47" s="51" t="str">
        <f>VLOOKUP(A47,Enforcements!$C$7:$E$13,3,0)</f>
        <v>PERMANENT SPEED RESTRICTION</v>
      </c>
      <c r="AD47" s="206">
        <f t="shared" si="10"/>
        <v>135</v>
      </c>
      <c r="AE47" s="77" t="str">
        <f t="shared" si="11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47" s="74" t="str">
        <f t="shared" si="12"/>
        <v>"C:\Program Files (x86)\AstroGrep\AstroGrep.exe" /e /r /s /spath="%USERPROFILE%\AppData\Local\Temp\OnboardLogs" /stypes="app*4014*20170718*"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135-18 --locoid 4014 --swversion DE.1.0.9.0 --startMP 204:37173 --initTime 2017-07-18T08:15:17 --startdatetime 2017-07-18T08:30:11 --delay 1 --endMP 204:225822 --enddatetime 2017-07-18T08:47:04 --enforcementcount 0 &gt;&gt;C:\Users\stu\Documents\GitHub\eaglep3-reporting\EC\2017-07-18-refined-times.txt</v>
      </c>
      <c r="AI47" s="96" t="str">
        <f t="shared" si="19"/>
        <v>echo {"issue":{"subject":"Wi-MAX data drop","project_id":79,"tracker_id":40,"status_id":1,"priority_id":2,"assigned_to_id":23,"start_date":"2017-07-18","description":"","custom_fields":[{"id":1,"name":"Subdivision","value":"EC"},{"id":4,"name":"Milepost","value":"22.5822"},{"id":17,"name":"Train ID","value":"135-18"},{"id":16,"name":"Locomotive ID","value":"4014"},{"id":130,"name":"Impact","value":""},{"id":150,"name":"Time of Event (Mountain Time)","value":"08:47:04"},{"id":151,"name":"Denver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4014 --day 2017-07-18</v>
      </c>
      <c r="AN47" s="151" t="str">
        <f t="shared" si="21"/>
        <v>echo {"issue":{"subject":"Wi-MAX data drop","project_id":30,"tracker_id":4,"status_id":1,"priority_id":1,"assigned_to_id":10,"start_date":"2017-07-18","description":"","custom_fields":[{"id":30,"name":"Category","value":"Issue"},{"id":3,"name":"Functional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14:47:04"},{"id":29,"name":"Sharepoint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643</v>
      </c>
      <c r="B48" s="7">
        <v>4014</v>
      </c>
      <c r="C48" s="21" t="s">
        <v>199</v>
      </c>
      <c r="D48" s="21" t="s">
        <v>480</v>
      </c>
      <c r="E48" s="13">
        <v>42934.329467592594</v>
      </c>
      <c r="F48" s="13">
        <v>42934.35429398148</v>
      </c>
      <c r="G48" s="7">
        <v>1</v>
      </c>
      <c r="H48" s="21" t="s">
        <v>886</v>
      </c>
      <c r="I48" s="13">
        <v>42934.366018518522</v>
      </c>
      <c r="J48" s="7">
        <v>0</v>
      </c>
      <c r="K48" s="89" t="str">
        <f t="shared" si="0"/>
        <v>4013/4014</v>
      </c>
      <c r="L48" s="21" t="str">
        <f>VLOOKUP(A48,'Trips&amp;Operators'!$C$1:$G$99999,5,FALSE)</f>
        <v>NICHOLSON WESLEY</v>
      </c>
      <c r="M48" s="6">
        <f t="shared" si="1"/>
        <v>1.1724537042027805E-2</v>
      </c>
      <c r="N48" s="7"/>
      <c r="O48" s="7"/>
      <c r="P48" s="7"/>
      <c r="Q48" s="22"/>
      <c r="R48" s="170"/>
      <c r="S48" s="213">
        <f t="shared" si="22"/>
        <v>0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-18T06:54:26-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197" t="str">
        <f>IF(AA48&lt;VLOOKUP(AG48,Variables!$AC$3:$AD$8,2,FALSE),"Y","N")</f>
        <v>Y</v>
      </c>
      <c r="X48" s="197">
        <f t="shared" si="23"/>
        <v>0</v>
      </c>
      <c r="Y48" s="197">
        <f t="shared" si="7"/>
        <v>4.7500000000000001E-2</v>
      </c>
      <c r="Z48" s="197">
        <f t="shared" si="8"/>
        <v>1.9339</v>
      </c>
      <c r="AA48" s="197">
        <f t="shared" si="9"/>
        <v>1.8863999999999999</v>
      </c>
      <c r="AB48" s="54" t="str">
        <f>VLOOKUP(A48,Enforcements!$C$7:$K$13,8,0)</f>
        <v>Speed (6)</v>
      </c>
      <c r="AC48" s="51" t="str">
        <f>VLOOKUP(A48,Enforcements!$C$7:$E$13,3,0)</f>
        <v>PERMANENT SPEED RESTRICTION</v>
      </c>
      <c r="AD48" s="206">
        <f t="shared" si="10"/>
        <v>135</v>
      </c>
      <c r="AE48" s="77" t="str">
        <f t="shared" si="11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48" s="74" t="str">
        <f t="shared" si="12"/>
        <v>"C:\Program Files (x86)\AstroGrep\AstroGrep.exe" /e /r /s /spath="%USERPROFILE%\AppData\Local\Temp\OnboardLogs" /stypes="app*4014*20170718*"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135-18 --locoid 4014 --swversion DE.1.0.9.0 --startMP 204:475 --initTime 2017-07-18T07:54:26 --startdatetime 2017-07-18T08:30:11 --delay 1 --endMP 204:19339 --enddatetime 2017-07-18T08:47:04 --enforcementcount 0 &gt;&gt;C:\Users\stu\Documents\GitHub\eaglep3-reporting\EC\2017-07-18-refined-times.txt</v>
      </c>
      <c r="AI4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{"issue":{"subject":"","project_id":79,"tracker_id":40,"status_id":1,"priority_id":2,"assigned_to_id":23,"start_date":"2017-07-18","description":"","custom_fields":[{"id":1,"name":"Subdivision","value":"EC"},{"id":4,"name":"Milepost","value":"1.9339"},{"id":17,"name":"Train ID","value":"135-18"},{"id":16,"name":"Locomotive ID","value":"4014"},{"id":130,"name":"Impact","value":""},{"id":150,"name":"Time of Event (Mountain Time)","value":"08:47:04"},{"id":151,"name":"Denver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4014 --day 2017-07-18</v>
      </c>
      <c r="AN4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14:47:04"},{"id":29,"name":"Sharepoint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643</v>
      </c>
      <c r="B49" s="7">
        <v>4014</v>
      </c>
      <c r="C49" s="21" t="s">
        <v>199</v>
      </c>
      <c r="D49" s="21" t="s">
        <v>887</v>
      </c>
      <c r="E49" s="13">
        <v>42934.353437500002</v>
      </c>
      <c r="F49" s="13">
        <v>42934.35429398148</v>
      </c>
      <c r="G49" s="7">
        <v>0</v>
      </c>
      <c r="H49" s="21" t="s">
        <v>885</v>
      </c>
      <c r="I49" s="13">
        <v>42934.366018518522</v>
      </c>
      <c r="J49" s="7">
        <v>0</v>
      </c>
      <c r="K49" s="89" t="str">
        <f t="shared" si="0"/>
        <v>4013/4014</v>
      </c>
      <c r="L49" s="21" t="str">
        <f>VLOOKUP(A49,'Trips&amp;Operators'!$C$1:$G$99999,5,FALSE)</f>
        <v>NICHOLSON WESLEY</v>
      </c>
      <c r="M49" s="6">
        <f t="shared" si="1"/>
        <v>1.1724537042027805E-2</v>
      </c>
      <c r="N49" s="7"/>
      <c r="O49" s="7"/>
      <c r="P49" s="7"/>
      <c r="Q49" s="22"/>
      <c r="R49" s="170"/>
      <c r="S49" s="213">
        <f t="shared" si="22"/>
        <v>0.16666666666666666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-18T07:28:57-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197" t="str">
        <f>IF(AA49&lt;VLOOKUP(AG49,Variables!$AC$3:$AD$8,2,FALSE),"Y","N")</f>
        <v>Y</v>
      </c>
      <c r="X49" s="197">
        <f t="shared" si="23"/>
        <v>0</v>
      </c>
      <c r="Y49" s="197">
        <f t="shared" si="7"/>
        <v>8.6374999999999993</v>
      </c>
      <c r="Z49" s="197">
        <f t="shared" si="8"/>
        <v>22.5822</v>
      </c>
      <c r="AA49" s="197">
        <f t="shared" si="9"/>
        <v>13.944700000000001</v>
      </c>
      <c r="AB49" s="54" t="str">
        <f>VLOOKUP(A49,Enforcements!$C$7:$K$13,8,0)</f>
        <v>Speed (6)</v>
      </c>
      <c r="AC49" s="51" t="str">
        <f>VLOOKUP(A49,Enforcements!$C$7:$E$13,3,0)</f>
        <v>PERMANENT SPEED RESTRICTION</v>
      </c>
      <c r="AD49" s="206">
        <f t="shared" si="10"/>
        <v>135</v>
      </c>
      <c r="AE49" s="77" t="str">
        <f t="shared" si="11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49" s="74" t="str">
        <f t="shared" si="12"/>
        <v>"C:\Program Files (x86)\AstroGrep\AstroGrep.exe" /e /r /s /spath="%USERPROFILE%\AppData\Local\Temp\OnboardLogs" /stypes="app*4014*20170718*"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135-18 --locoid 4014 --swversion DE.1.0.9.0 --startMP 204:86375 --initTime 2017-07-18T08:28:57 --startdatetime 2017-07-18T08:30:11 --delay 0 --endMP 204:225822 --enddatetime 2017-07-18T08:47:04 --enforcementcount 0 &gt;&gt;C:\Users\stu\Documents\GitHub\eaglep3-reporting\EC\2017-07-18-refined-times.txt</v>
      </c>
      <c r="AI49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{"issue":{"subject":"","project_id":79,"tracker_id":40,"status_id":1,"priority_id":2,"assigned_to_id":23,"start_date":"2017-07-18","description":"","custom_fields":[{"id":1,"name":"Subdivision","value":"EC"},{"id":4,"name":"Milepost","value":"22.5822"},{"id":17,"name":"Train ID","value":"135-18"},{"id":16,"name":"Locomotive ID","value":"4014"},{"id":130,"name":"Impact","value":""},{"id":150,"name":"Time of Event (Mountain Time)","value":"08:47:04"},{"id":151,"name":"Denver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4014 --day 2017-07-18</v>
      </c>
      <c r="AN49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14:47:04"},{"id":29,"name":"Sharepoint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723</v>
      </c>
      <c r="B50" s="7">
        <v>4013</v>
      </c>
      <c r="C50" s="21" t="s">
        <v>199</v>
      </c>
      <c r="D50" s="21" t="s">
        <v>888</v>
      </c>
      <c r="E50" s="13">
        <v>42934.370196759257</v>
      </c>
      <c r="F50" s="13">
        <v>42934.373067129629</v>
      </c>
      <c r="G50" s="7">
        <v>1</v>
      </c>
      <c r="H50" s="21" t="s">
        <v>889</v>
      </c>
      <c r="I50" s="13">
        <v>42934.399745370371</v>
      </c>
      <c r="J50" s="7">
        <v>0</v>
      </c>
      <c r="K50" s="89" t="str">
        <f t="shared" si="0"/>
        <v>4013/4014</v>
      </c>
      <c r="L50" s="21" t="str">
        <f>VLOOKUP(A50,'Trips&amp;Operators'!$C$1:$G$99999,5,FALSE)</f>
        <v>NICHOLSON WESLEY</v>
      </c>
      <c r="M50" s="6">
        <f t="shared" si="1"/>
        <v>2.6678240741603076E-2</v>
      </c>
      <c r="N50" s="7">
        <f t="shared" ref="N50:N68" si="24">24*60*SUM($M50:$M50)</f>
        <v>38.41666666790843</v>
      </c>
      <c r="O50" s="7"/>
      <c r="P50" s="7"/>
      <c r="Q50" s="22"/>
      <c r="R50" s="170"/>
      <c r="S50" s="213">
        <f t="shared" si="22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-18T07:53:05-0600',mode:absolute,to:'2017-07-18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23.301500000000001</v>
      </c>
      <c r="Z50" s="197">
        <f t="shared" si="8"/>
        <v>0.1162</v>
      </c>
      <c r="AA50" s="197">
        <f t="shared" si="9"/>
        <v>23.185300000000002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136</v>
      </c>
      <c r="AE50" s="77" t="str">
        <f t="shared" si="11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50" s="74" t="str">
        <f t="shared" si="12"/>
        <v>"C:\Program Files (x86)\AstroGrep\AstroGrep.exe" /e /r /s /spath="%USERPROFILE%\AppData\Local\Temp\OnboardLogs" /stypes="app*4013*20170718*"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136-18 --locoid 4013 --swversion DE.1.0.9.0 --startMP 204:233015 --initTime 2017-07-18T08:53:05 --startdatetime 2017-07-18T08:57:13 --delay 1 --endMP 204:1162 --enddatetime 2017-07-18T09:35:38 --enforcementcount 0 &gt;&gt;C:\Users\stu\Documents\GitHub\eaglep3-reporting\EC\2017-07-18-refined-times.txt</v>
      </c>
      <c r="AI5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{"issue":{"subject":"","project_id":79,"tracker_id":40,"status_id":1,"priority_id":2,"assigned_to_id":23,"start_date":"2017-07-18","description":"","custom_fields":[{"id":1,"name":"Subdivision","value":"EC"},{"id":4,"name":"Milepost","value":"0.1162"},{"id":17,"name":"Train ID","value":"136-18"},{"id":16,"name":"Locomotive ID","value":"4013"},{"id":130,"name":"Impact","value":""},{"id":150,"name":"Time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4013 --day 2017-07-18</v>
      </c>
      <c r="AN5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717</v>
      </c>
      <c r="B51" s="7">
        <v>4026</v>
      </c>
      <c r="C51" s="21" t="s">
        <v>199</v>
      </c>
      <c r="D51" s="21" t="s">
        <v>557</v>
      </c>
      <c r="E51" s="13">
        <v>42934.340949074074</v>
      </c>
      <c r="F51" s="13">
        <v>42934.344247685185</v>
      </c>
      <c r="G51" s="7">
        <v>1</v>
      </c>
      <c r="H51" s="21" t="s">
        <v>890</v>
      </c>
      <c r="I51" s="13">
        <v>42934.370798611111</v>
      </c>
      <c r="J51" s="7">
        <v>0</v>
      </c>
      <c r="K51" s="89" t="str">
        <f t="shared" si="0"/>
        <v>4025/4026</v>
      </c>
      <c r="L51" s="21" t="str">
        <f>VLOOKUP(A51,'Trips&amp;Operators'!$C$1:$G$99999,5,FALSE)</f>
        <v>MILLER KEVIN</v>
      </c>
      <c r="M51" s="6">
        <f t="shared" si="1"/>
        <v>2.6550925926130731E-2</v>
      </c>
      <c r="N51" s="7">
        <f t="shared" si="24"/>
        <v>38.233333333628252</v>
      </c>
      <c r="O51" s="7"/>
      <c r="P51" s="7"/>
      <c r="Q51" s="22"/>
      <c r="R51" s="170"/>
      <c r="S51" s="213">
        <f t="shared" si="22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-18T07:10:58-0600',mode:absolute,to:'2017-07-18T09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4.7300000000000002E-2</v>
      </c>
      <c r="Z51" s="197">
        <f t="shared" si="8"/>
        <v>23.327200000000001</v>
      </c>
      <c r="AA51" s="197">
        <f t="shared" si="9"/>
        <v>23.279900000000001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137</v>
      </c>
      <c r="AE51" s="77" t="str">
        <f t="shared" si="11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51" s="74" t="str">
        <f t="shared" si="12"/>
        <v>"C:\Program Files (x86)\AstroGrep\AstroGrep.exe" /e /r /s /spath="%USERPROFILE%\AppData\Local\Temp\OnboardLogs" /stypes="app*4026*20170718*" /stext=" 14:.+((SYSTEM_STATE.+slice.+state.+changed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137-18 --locoid 4026 --swversion DE.1.0.9.0 --startMP 204:473 --initTime 2017-07-18T08:10:58 --startdatetime 2017-07-18T08:15:43 --delay 1 --endMP 204:233272 --enddatetime 2017-07-18T08:53:57 --enforcementcount 0 &gt;&gt;C:\Users\stu\Documents\GitHub\eaglep3-reporting\EC\2017-07-18-refined-times.txt</v>
      </c>
      <c r="AI5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{"issue":{"subject":"","project_id":79,"tracker_id":40,"status_id":1,"priority_id":2,"assigned_to_id":23,"start_date":"2017-07-18","description":"","custom_fields":[{"id":1,"name":"Subdivision","value":"EC"},{"id":4,"name":"Milepost","value":"23.3272"},{"id":17,"name":"Train ID","value":"137-18"},{"id":16,"name":"Locomotive ID","value":"4026"},{"id":130,"name":"Impact","value":""},{"id":150,"name":"Time of Event (Mountain Time)","value":"08:53:57"},{"id":151,"name":"Denver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4026 --day 2017-07-18</v>
      </c>
      <c r="AN5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725</v>
      </c>
      <c r="B52" s="7">
        <v>4025</v>
      </c>
      <c r="C52" s="21" t="s">
        <v>199</v>
      </c>
      <c r="D52" s="21" t="s">
        <v>891</v>
      </c>
      <c r="E52" s="13">
        <v>42934.371689814812</v>
      </c>
      <c r="F52" s="13">
        <v>42934.383692129632</v>
      </c>
      <c r="G52" s="7">
        <v>0</v>
      </c>
      <c r="H52" s="21" t="s">
        <v>892</v>
      </c>
      <c r="I52" s="13">
        <v>42934.410138888888</v>
      </c>
      <c r="J52" s="7">
        <v>0</v>
      </c>
      <c r="K52" s="89" t="str">
        <f t="shared" si="0"/>
        <v>4025/4026</v>
      </c>
      <c r="L52" s="21" t="str">
        <f>VLOOKUP(A52,'Trips&amp;Operators'!$C$1:$G$99999,5,FALSE)</f>
        <v>MILLER KEVIN</v>
      </c>
      <c r="M52" s="6">
        <f t="shared" si="1"/>
        <v>2.6446759256941732E-2</v>
      </c>
      <c r="N52" s="7">
        <f t="shared" si="24"/>
        <v>38.083333329996094</v>
      </c>
      <c r="O52" s="7"/>
      <c r="P52" s="7"/>
      <c r="Q52" s="22"/>
      <c r="R52" s="170"/>
      <c r="S52" s="213">
        <f t="shared" si="22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-18T07:55:14-0600',mode:absolute,to:'2017-07-18T10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23.295999999999999</v>
      </c>
      <c r="Z52" s="197">
        <f t="shared" si="8"/>
        <v>1.67E-2</v>
      </c>
      <c r="AA52" s="197">
        <f t="shared" si="9"/>
        <v>23.279299999999999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138</v>
      </c>
      <c r="AE52" s="77" t="str">
        <f t="shared" si="11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52" s="74" t="str">
        <f t="shared" si="12"/>
        <v>"C:\Program Files (x86)\AstroGrep\AstroGrep.exe" /e /r /s /spath="%USERPROFILE%\AppData\Local\Temp\OnboardLogs" /stypes="app*4025*20170718*"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138-18 --locoid 4025 --swversion DE.1.0.9.0 --startMP 204:232960 --initTime 2017-07-18T08:55:14 --startdatetime 2017-07-18T09:12:31 --delay 0 --endMP 204:167 --enddatetime 2017-07-18T09:50:36 --enforcementcount 0 &gt;&gt;C:\Users\stu\Documents\GitHub\eaglep3-reporting\EC\2017-07-18-refined-times.txt</v>
      </c>
      <c r="AI5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{"issue":{"subject":"","project_id":79,"tracker_id":40,"status_id":1,"priority_id":2,"assigned_to_id":23,"start_date":"2017-07-18","description":"","custom_fields":[{"id":1,"name":"Subdivision","value":"EC"},{"id":4,"name":"Milepost","value":"0.0167"},{"id":17,"name":"Train ID","value":"138-18"},{"id":16,"name":"Locomotive ID","value":"4025"},{"id":130,"name":"Impact","value":""},{"id":150,"name":"Time of Event (Mountain Time)","value":"09:50:36"},{"id":151,"name":"Denver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4025 --day 2017-07-18</v>
      </c>
      <c r="AN5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4062</v>
      </c>
      <c r="C53" s="21" t="s">
        <v>199</v>
      </c>
      <c r="D53" s="21" t="s">
        <v>875</v>
      </c>
      <c r="E53" s="13">
        <v>42934.352407407408</v>
      </c>
      <c r="F53" s="13">
        <v>42934.354803240742</v>
      </c>
      <c r="G53" s="7">
        <v>1</v>
      </c>
      <c r="H53" s="21" t="s">
        <v>893</v>
      </c>
      <c r="I53" s="13">
        <v>42934.380208333336</v>
      </c>
      <c r="J53" s="7">
        <v>0</v>
      </c>
      <c r="K53" s="89" t="str">
        <f t="shared" si="0"/>
        <v>4061/4062</v>
      </c>
      <c r="L53" s="21" t="str">
        <f>VLOOKUP(A53,'Trips&amp;Operators'!$C$1:$G$99999,5,FALSE)</f>
        <v>STARKS ANGELINA</v>
      </c>
      <c r="M53" s="6">
        <f t="shared" si="1"/>
        <v>2.5405092594155576E-2</v>
      </c>
      <c r="N53" s="7">
        <f t="shared" si="24"/>
        <v>36.58333333558403</v>
      </c>
      <c r="O53" s="7"/>
      <c r="P53" s="7"/>
      <c r="Q53" s="22"/>
      <c r="R53" s="170"/>
      <c r="S53" s="213">
        <f t="shared" si="22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-18T07:27:28-0600',mode:absolute,to:'2017-07-18T10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4.9299999999999997E-2</v>
      </c>
      <c r="Z53" s="197">
        <f t="shared" si="8"/>
        <v>23.327999999999999</v>
      </c>
      <c r="AA53" s="197">
        <f t="shared" si="9"/>
        <v>23.278700000000001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139</v>
      </c>
      <c r="AE53" s="77" t="str">
        <f t="shared" si="11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53" s="74" t="str">
        <f t="shared" si="12"/>
        <v>"C:\Program Files (x86)\AstroGrep\AstroGrep.exe" /e /r /s /spath="%USERPROFILE%\AppData\Local\Temp\OnboardLogs" /stypes="app*4062*20170718*"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139-18 --locoid 4062 --swversion DE.1.0.9.0 --startMP 204:493 --initTime 2017-07-18T08:27:28 --startdatetime 2017-07-18T08:30:55 --delay 1 --endMP 204:233280 --enddatetime 2017-07-18T09:07:30 --enforcementcount 0 &gt;&gt;C:\Users\stu\Documents\GitHub\eaglep3-reporting\EC\2017-07-18-refined-times.txt</v>
      </c>
      <c r="AI5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{"issue":{"subject":"","project_id":79,"tracker_id":40,"status_id":1,"priority_id":2,"assigned_to_id":23,"start_date":"2017-07-18","description":"","custom_fields":[{"id":1,"name":"Subdivision","value":"EC"},{"id":4,"name":"Milepost","value":"23.328"},{"id":17,"name":"Train ID","value":"139-18"},{"id":16,"name":"Locomotive ID","value":"4062"},{"id":130,"name":"Impact","value":""},{"id":150,"name":"Time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4062 --day 2017-07-18</v>
      </c>
      <c r="AN5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646</v>
      </c>
      <c r="B54" s="7">
        <v>4061</v>
      </c>
      <c r="C54" s="21" t="s">
        <v>199</v>
      </c>
      <c r="D54" s="21" t="s">
        <v>600</v>
      </c>
      <c r="E54" s="13">
        <v>42934.392071759263</v>
      </c>
      <c r="F54" s="13">
        <v>42934.394293981481</v>
      </c>
      <c r="G54" s="7">
        <v>1</v>
      </c>
      <c r="H54" s="21" t="s">
        <v>554</v>
      </c>
      <c r="I54" s="13">
        <v>42934.421932870369</v>
      </c>
      <c r="J54" s="7">
        <v>0</v>
      </c>
      <c r="K54" s="89" t="str">
        <f t="shared" si="0"/>
        <v>4061/4062</v>
      </c>
      <c r="L54" s="21" t="str">
        <f>VLOOKUP(A54,'Trips&amp;Operators'!$C$1:$G$99999,5,FALSE)</f>
        <v>STARKS ANGELINA</v>
      </c>
      <c r="M54" s="6">
        <f t="shared" si="1"/>
        <v>2.7638888888759539E-2</v>
      </c>
      <c r="N54" s="7">
        <f t="shared" si="24"/>
        <v>39.799999999813735</v>
      </c>
      <c r="O54" s="7"/>
      <c r="P54" s="7"/>
      <c r="Q54" s="22"/>
      <c r="R54" s="170"/>
      <c r="S54" s="213">
        <f t="shared" si="22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-18T08:24:35-0600',mode:absolute,to:'2017-07-18T11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23.296299999999999</v>
      </c>
      <c r="Z54" s="197">
        <f t="shared" si="8"/>
        <v>1.34E-2</v>
      </c>
      <c r="AA54" s="197">
        <f t="shared" si="9"/>
        <v>23.282899999999998</v>
      </c>
      <c r="AB54" s="54" t="str">
        <f>VLOOKUP(A54,Enforcements!$C$7:$K$13,8,0)</f>
        <v>Speed (6)</v>
      </c>
      <c r="AC54" s="51" t="str">
        <f>VLOOKUP(A54,Enforcements!$C$7:$E$13,3,0)</f>
        <v>PERMANENT SPEED RESTRICTION</v>
      </c>
      <c r="AD54" s="206">
        <f t="shared" si="10"/>
        <v>140</v>
      </c>
      <c r="AE54" s="77" t="str">
        <f t="shared" si="11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54" s="74" t="str">
        <f t="shared" si="12"/>
        <v>"C:\Program Files (x86)\AstroGrep\AstroGrep.exe" /e /r /s /spath="%USERPROFILE%\AppData\Local\Temp\OnboardLogs" /stypes="app*4061*20170718*"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140-18 --locoid 4061 --swversion DE.1.0.9.0 --startMP 204:232963 --initTime 2017-07-18T09:24:35 --startdatetime 2017-07-18T09:27:47 --delay 1 --endMP 204:134 --enddatetime 2017-07-18T10:07:35 --enforcementcount 0 &gt;&gt;C:\Users\stu\Documents\GitHub\eaglep3-reporting\EC\2017-07-18-refined-times.txt</v>
      </c>
      <c r="AI5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{"issue":{"subject":"","project_id":79,"tracker_id":40,"status_id":1,"priority_id":2,"assigned_to_id":23,"start_date":"2017-07-18","description":"","custom_fields":[{"id":1,"name":"Subdivision","value":"EC"},{"id":4,"name":"Milepost","value":"0.0134"},{"id":17,"name":"Train ID","value":"140-18"},{"id":16,"name":"Locomotive ID","value":"4061"},{"id":130,"name":"Impact","value":""},{"id":150,"name":"Time of Event (Mountain Time)","value":"10:07:35"},{"id":151,"name":"Denver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4061 --day 2017-07-18</v>
      </c>
      <c r="AN5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722</v>
      </c>
      <c r="B55" s="7">
        <v>4064</v>
      </c>
      <c r="C55" s="21" t="s">
        <v>199</v>
      </c>
      <c r="D55" s="21" t="s">
        <v>894</v>
      </c>
      <c r="E55" s="13">
        <v>42934.362604166665</v>
      </c>
      <c r="F55" s="13">
        <v>42934.365162037036</v>
      </c>
      <c r="G55" s="7">
        <v>1</v>
      </c>
      <c r="H55" s="21" t="s">
        <v>895</v>
      </c>
      <c r="I55" s="13">
        <v>42934.38994212963</v>
      </c>
      <c r="J55" s="7">
        <v>0</v>
      </c>
      <c r="K55" s="89" t="str">
        <f t="shared" si="0"/>
        <v>4063/4064</v>
      </c>
      <c r="L55" s="21" t="str">
        <f>VLOOKUP(A55,'Trips&amp;Operators'!$C$1:$G$99999,5,FALSE)</f>
        <v>LOZA FIDEL</v>
      </c>
      <c r="M55" s="6">
        <f t="shared" si="1"/>
        <v>2.4780092593573499E-2</v>
      </c>
      <c r="N55" s="7">
        <f t="shared" si="24"/>
        <v>35.683333334745839</v>
      </c>
      <c r="O55" s="7"/>
      <c r="P55" s="7"/>
      <c r="Q55" s="22"/>
      <c r="R55" s="170"/>
      <c r="S55" s="213">
        <f t="shared" si="22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-18T07:42:09-0600',mode:absolute,to:'2017-07-18T10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7"/>
        <v>4.8399999999999999E-2</v>
      </c>
      <c r="Z55" s="197">
        <f t="shared" si="8"/>
        <v>23.340800000000002</v>
      </c>
      <c r="AA55" s="197">
        <f t="shared" si="9"/>
        <v>23.292400000000001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141</v>
      </c>
      <c r="AE55" s="77" t="str">
        <f t="shared" si="11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55" s="74" t="str">
        <f t="shared" si="12"/>
        <v>"C:\Program Files (x86)\AstroGrep\AstroGrep.exe" /e /r /s /spath="%USERPROFILE%\AppData\Local\Temp\OnboardLogs" /stypes="app*4064*20170718*"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141-18 --locoid 4064 --swversion DE.1.0.9.0 --startMP 204:484 --initTime 2017-07-18T08:42:09 --startdatetime 2017-07-18T08:45:50 --delay 1 --endMP 204:233408 --enddatetime 2017-07-18T09:21:31 --enforcementcount 0 &gt;&gt;C:\Users\stu\Documents\GitHub\eaglep3-reporting\EC\2017-07-18-refined-times.txt</v>
      </c>
      <c r="AI5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{"issue":{"subject":"","project_id":79,"tracker_id":40,"status_id":1,"priority_id":2,"assigned_to_id":23,"start_date":"2017-07-18","description":"","custom_fields":[{"id":1,"name":"Subdivision","value":"EC"},{"id":4,"name":"Milepost","value":"23.3408"},{"id":17,"name":"Train ID","value":"141-18"},{"id":16,"name":"Locomotive ID","value":"4064"},{"id":130,"name":"Impact","value":""},{"id":150,"name":"Time of Event (Mountain Time)","value":"09:21:31"},{"id":151,"name":"Denver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4064 --day 2017-07-18</v>
      </c>
      <c r="AN5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730</v>
      </c>
      <c r="B56" s="7">
        <v>4063</v>
      </c>
      <c r="C56" s="21" t="s">
        <v>199</v>
      </c>
      <c r="D56" s="21" t="s">
        <v>896</v>
      </c>
      <c r="E56" s="13">
        <v>42934.400995370372</v>
      </c>
      <c r="F56" s="13">
        <v>42934.404398148145</v>
      </c>
      <c r="G56" s="7">
        <v>1</v>
      </c>
      <c r="H56" s="21" t="s">
        <v>353</v>
      </c>
      <c r="I56" s="13">
        <v>42934.430335648147</v>
      </c>
      <c r="J56" s="7">
        <v>0</v>
      </c>
      <c r="K56" s="89" t="str">
        <f t="shared" si="0"/>
        <v>4063/4064</v>
      </c>
      <c r="L56" s="21" t="str">
        <f>VLOOKUP(A56,'Trips&amp;Operators'!$C$1:$G$99999,5,FALSE)</f>
        <v>LOZA FIDEL</v>
      </c>
      <c r="M56" s="6">
        <f t="shared" si="1"/>
        <v>2.5937500002328306E-2</v>
      </c>
      <c r="N56" s="7">
        <f t="shared" si="24"/>
        <v>37.350000003352761</v>
      </c>
      <c r="O56" s="7"/>
      <c r="P56" s="7"/>
      <c r="Q56" s="22"/>
      <c r="R56" s="170"/>
      <c r="S56" s="213">
        <f t="shared" si="22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-18T08:37:26-0600',mode:absolute,to:'2017-07-18T11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7"/>
        <v>23.3093</v>
      </c>
      <c r="Z56" s="197">
        <f t="shared" si="8"/>
        <v>1.41E-2</v>
      </c>
      <c r="AA56" s="197">
        <f t="shared" si="9"/>
        <v>23.295200000000001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142</v>
      </c>
      <c r="AE56" s="77" t="str">
        <f t="shared" si="11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56" s="74" t="str">
        <f t="shared" si="12"/>
        <v>"C:\Program Files (x86)\AstroGrep\AstroGrep.exe" /e /r /s /spath="%USERPROFILE%\AppData\Local\Temp\OnboardLogs" /stypes="app*4063*20170718*"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142-18 --locoid 4063 --swversion DE.1.0.9.0 --startMP 204:233093 --initTime 2017-07-18T09:37:26 --startdatetime 2017-07-18T09:42:20 --delay 1 --endMP 204:141 --enddatetime 2017-07-18T10:19:41 --enforcementcount 0 &gt;&gt;C:\Users\stu\Documents\GitHub\eaglep3-reporting\EC\2017-07-18-refined-times.txt</v>
      </c>
      <c r="AI5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{"issue":{"subject":"","project_id":79,"tracker_id":40,"status_id":1,"priority_id":2,"assigned_to_id":23,"start_date":"2017-07-18","description":"","custom_fields":[{"id":1,"name":"Subdivision","value":"EC"},{"id":4,"name":"Milepost","value":"0.0141"},{"id":17,"name":"Train ID","value":"142-18"},{"id":16,"name":"Locomotive ID","value":"4063"},{"id":130,"name":"Impact","value":""},{"id":150,"name":"Time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4063 --day 2017-07-18</v>
      </c>
      <c r="AN5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724</v>
      </c>
      <c r="B57" s="7">
        <v>4012</v>
      </c>
      <c r="C57" s="21" t="s">
        <v>199</v>
      </c>
      <c r="D57" s="21" t="s">
        <v>413</v>
      </c>
      <c r="E57" s="13">
        <v>42934.370937500003</v>
      </c>
      <c r="F57" s="13">
        <v>42934.375509259262</v>
      </c>
      <c r="G57" s="7">
        <v>1</v>
      </c>
      <c r="H57" s="21" t="s">
        <v>603</v>
      </c>
      <c r="I57" s="13">
        <v>42934.400729166664</v>
      </c>
      <c r="J57" s="7">
        <v>0</v>
      </c>
      <c r="K57" s="89" t="str">
        <f t="shared" si="0"/>
        <v>4011/4012</v>
      </c>
      <c r="L57" s="21" t="str">
        <f>VLOOKUP(A57,'Trips&amp;Operators'!$C$1:$G$99999,5,FALSE)</f>
        <v>ELBAUM MIKE</v>
      </c>
      <c r="M57" s="6">
        <f t="shared" si="1"/>
        <v>2.5219907402060926E-2</v>
      </c>
      <c r="N57" s="7">
        <f t="shared" si="24"/>
        <v>36.316666658967733</v>
      </c>
      <c r="O57" s="7"/>
      <c r="P57" s="7"/>
      <c r="Q57" s="22"/>
      <c r="R57" s="170"/>
      <c r="S57" s="213">
        <f t="shared" si="22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-18T07:54:09-0600',mode:absolute,to:'2017-07-18T10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4.58E-2</v>
      </c>
      <c r="Z57" s="197">
        <f t="shared" si="8"/>
        <v>23.327400000000001</v>
      </c>
      <c r="AA57" s="197">
        <f t="shared" si="9"/>
        <v>23.281600000000001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143</v>
      </c>
      <c r="AE57" s="77" t="str">
        <f t="shared" si="11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57" s="74" t="str">
        <f t="shared" si="12"/>
        <v>"C:\Program Files (x86)\AstroGrep\AstroGrep.exe" /e /r /s /spath="%USERPROFILE%\AppData\Local\Temp\OnboardLogs" /stypes="app*4012*20170718*"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143-18 --locoid 4012 --swversion DE.1.0.9.0 --startMP 204:458 --initTime 2017-07-18T08:54:09 --startdatetime 2017-07-18T09:00:44 --delay 1 --endMP 204:233274 --enddatetime 2017-07-18T09:37:03 --enforcementcount 0 &gt;&gt;C:\Users\stu\Documents\GitHub\eaglep3-reporting\EC\2017-07-18-refined-times.txt</v>
      </c>
      <c r="AI5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{"issue":{"subject":"","project_id":79,"tracker_id":40,"status_id":1,"priority_id":2,"assigned_to_id":23,"start_date":"2017-07-18","description":"","custom_fields":[{"id":1,"name":"Subdivision","value":"EC"},{"id":4,"name":"Milepost","value":"23.3274"},{"id":17,"name":"Train ID","value":"143-18"},{"id":16,"name":"Locomotive ID","value":"4012"},{"id":130,"name":"Impact","value":""},{"id":150,"name":"Time of Event (Mountain Time)","value":"09:37:03"},{"id":151,"name":"Denver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4012 --day 2017-07-18</v>
      </c>
      <c r="AN5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731</v>
      </c>
      <c r="B58" s="7">
        <v>4011</v>
      </c>
      <c r="C58" s="21" t="s">
        <v>199</v>
      </c>
      <c r="D58" s="21" t="s">
        <v>897</v>
      </c>
      <c r="E58" s="13">
        <v>42934.402546296296</v>
      </c>
      <c r="F58" s="13">
        <v>42934.415138888886</v>
      </c>
      <c r="G58" s="7">
        <v>1</v>
      </c>
      <c r="H58" s="21" t="s">
        <v>898</v>
      </c>
      <c r="I58" s="13">
        <v>42934.44258101852</v>
      </c>
      <c r="J58" s="7">
        <v>0</v>
      </c>
      <c r="K58" s="89" t="str">
        <f t="shared" si="0"/>
        <v>4011/4012</v>
      </c>
      <c r="L58" s="21" t="str">
        <f>VLOOKUP(A58,'Trips&amp;Operators'!$C$1:$G$99999,5,FALSE)</f>
        <v>ELBAUM MIKE</v>
      </c>
      <c r="M58" s="6">
        <f t="shared" si="1"/>
        <v>2.7442129634437151E-2</v>
      </c>
      <c r="N58" s="7">
        <f t="shared" si="24"/>
        <v>39.516666673589498</v>
      </c>
      <c r="O58" s="7"/>
      <c r="P58" s="7"/>
      <c r="Q58" s="22"/>
      <c r="R58" s="170"/>
      <c r="S58" s="213">
        <f t="shared" si="22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-18T08:39:40-0600',mode:absolute,to:'2017-07-18T11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23.294799999999999</v>
      </c>
      <c r="Z58" s="197">
        <f t="shared" si="8"/>
        <v>1.2999999999999999E-2</v>
      </c>
      <c r="AA58" s="197">
        <f t="shared" si="9"/>
        <v>23.281799999999997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144</v>
      </c>
      <c r="AE58" s="77" t="str">
        <f t="shared" si="11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58" s="74" t="str">
        <f t="shared" si="12"/>
        <v>"C:\Program Files (x86)\AstroGrep\AstroGrep.exe" /e /r /s /spath="%USERPROFILE%\AppData\Local\Temp\OnboardLogs" /stypes="app*4011*20170718*"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144-18 --locoid 4011 --swversion DE.1.0.9.0 --startMP 204:232948 --initTime 2017-07-18T09:39:40 --startdatetime 2017-07-18T09:57:48 --delay 1 --endMP 204:130 --enddatetime 2017-07-18T10:37:19 --enforcementcount 0 &gt;&gt;C:\Users\stu\Documents\GitHub\eaglep3-reporting\EC\2017-07-18-refined-times.txt</v>
      </c>
      <c r="AI5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{"issue":{"subject":"","project_id":79,"tracker_id":40,"status_id":1,"priority_id":2,"assigned_to_id":23,"start_date":"2017-07-18","description":"","custom_fields":[{"id":1,"name":"Subdivision","value":"EC"},{"id":4,"name":"Milepost","value":"0.013"},{"id":17,"name":"Train ID","value":"144-18"},{"id":16,"name":"Locomotive ID","value":"4011"},{"id":130,"name":"Impact","value":""},{"id":150,"name":"Time of Event (Mountain Time)","value":"10:37:19"},{"id":151,"name":"Denver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4011 --day 2017-07-18</v>
      </c>
      <c r="AN5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726</v>
      </c>
      <c r="B59" s="7">
        <v>4006</v>
      </c>
      <c r="C59" s="21" t="s">
        <v>199</v>
      </c>
      <c r="D59" s="21" t="s">
        <v>346</v>
      </c>
      <c r="E59" s="13">
        <v>42934.383402777778</v>
      </c>
      <c r="F59" s="13">
        <v>42934.385937500003</v>
      </c>
      <c r="G59" s="7">
        <v>1</v>
      </c>
      <c r="H59" s="21" t="s">
        <v>595</v>
      </c>
      <c r="I59" s="13">
        <v>42934.411203703705</v>
      </c>
      <c r="J59" s="7">
        <v>0</v>
      </c>
      <c r="K59" s="89" t="str">
        <f t="shared" si="0"/>
        <v>4005/4006</v>
      </c>
      <c r="L59" s="21" t="str">
        <f>VLOOKUP(A59,'Trips&amp;Operators'!$C$1:$G$99999,5,FALSE)</f>
        <v>DAVIDSON DAVID</v>
      </c>
      <c r="M59" s="6">
        <f t="shared" si="1"/>
        <v>2.5266203701903578E-2</v>
      </c>
      <c r="N59" s="7">
        <f t="shared" si="24"/>
        <v>36.383333330741152</v>
      </c>
      <c r="O59" s="7"/>
      <c r="P59" s="7"/>
      <c r="Q59" s="22"/>
      <c r="R59" s="170"/>
      <c r="S59" s="213">
        <f t="shared" si="22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-18T08:12:06-0600',mode:absolute,to:'2017-07-18T10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7"/>
        <v>4.6600000000000003E-2</v>
      </c>
      <c r="Z59" s="197">
        <f t="shared" si="8"/>
        <v>23.328900000000001</v>
      </c>
      <c r="AA59" s="197">
        <f t="shared" si="9"/>
        <v>23.282299999999999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145</v>
      </c>
      <c r="AE59" s="77" t="str">
        <f t="shared" si="11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59" s="74" t="str">
        <f t="shared" si="12"/>
        <v>"C:\Program Files (x86)\AstroGrep\AstroGrep.exe" /e /r /s /spath="%USERPROFILE%\AppData\Local\Temp\OnboardLogs" /stypes="app*4006*20170718*" /stext=" 15:.+((SYSTEM_STATE.+slice.+state.+changed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145-18 --locoid 4006 --swversion DE.1.0.9.0 --startMP 204:466 --initTime 2017-07-18T09:12:06 --startdatetime 2017-07-18T09:15:45 --delay 1 --endMP 204:233289 --enddatetime 2017-07-18T09:52:08 --enforcementcount 0 &gt;&gt;C:\Users\stu\Documents\GitHub\eaglep3-reporting\EC\2017-07-18-refined-times.txt</v>
      </c>
      <c r="AI59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{"issue":{"subject":"","project_id":79,"tracker_id":40,"status_id":1,"priority_id":2,"assigned_to_id":23,"start_date":"2017-07-18","description":"","custom_fields":[{"id":1,"name":"Subdivision","value":"EC"},{"id":4,"name":"Milepost","value":"23.3289"},{"id":17,"name":"Train ID","value":"145-18"},{"id":16,"name":"Locomotive ID","value":"4006"},{"id":130,"name":"Impact","value":""},{"id":150,"name":"Time of Event (Mountain Time)","value":"09:52:08"},{"id":151,"name":"Denver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4006 --day 2017-07-18</v>
      </c>
      <c r="AN59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735</v>
      </c>
      <c r="B60" s="7">
        <v>4005</v>
      </c>
      <c r="C60" s="21" t="s">
        <v>199</v>
      </c>
      <c r="D60" s="21" t="s">
        <v>587</v>
      </c>
      <c r="E60" s="13">
        <v>42934.415729166663</v>
      </c>
      <c r="F60" s="13">
        <v>42934.42528935185</v>
      </c>
      <c r="G60" s="7">
        <v>1</v>
      </c>
      <c r="H60" s="21" t="s">
        <v>343</v>
      </c>
      <c r="I60" s="13">
        <v>42934.452523148146</v>
      </c>
      <c r="J60" s="7">
        <v>0</v>
      </c>
      <c r="K60" s="89" t="str">
        <f t="shared" si="0"/>
        <v>4005/4006</v>
      </c>
      <c r="L60" s="21" t="str">
        <f>VLOOKUP(A60,'Trips&amp;Operators'!$C$1:$G$99999,5,FALSE)</f>
        <v>DAVIDSON DAVID</v>
      </c>
      <c r="M60" s="6">
        <f t="shared" si="1"/>
        <v>2.7233796296059154E-2</v>
      </c>
      <c r="N60" s="7">
        <f t="shared" si="24"/>
        <v>39.216666666325182</v>
      </c>
      <c r="O60" s="7"/>
      <c r="P60" s="7"/>
      <c r="Q60" s="22"/>
      <c r="R60" s="170"/>
      <c r="S60" s="213">
        <f t="shared" si="22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-18T08:58:39-0600',mode:absolute,to:'2017-07-18T11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7"/>
        <v>23.296800000000001</v>
      </c>
      <c r="Z60" s="197">
        <f t="shared" si="8"/>
        <v>1.4999999999999999E-2</v>
      </c>
      <c r="AA60" s="197">
        <f t="shared" si="9"/>
        <v>23.2818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146</v>
      </c>
      <c r="AE60" s="77" t="str">
        <f t="shared" si="11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60" s="74" t="str">
        <f t="shared" si="12"/>
        <v>"C:\Program Files (x86)\AstroGrep\AstroGrep.exe" /e /r /s /spath="%USERPROFILE%\AppData\Local\Temp\OnboardLogs" /stypes="app*4005*20170718*"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146-18 --locoid 4005 --swversion DE.1.0.9.0 --startMP 204:232968 --initTime 2017-07-18T09:58:39 --startdatetime 2017-07-18T10:12:25 --delay 1 --endMP 204:150 --enddatetime 2017-07-18T10:51:38 --enforcementcount 0 &gt;&gt;C:\Users\stu\Documents\GitHub\eaglep3-reporting\EC\2017-07-18-refined-times.txt</v>
      </c>
      <c r="AI6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{"issue":{"subject":"","project_id":79,"tracker_id":40,"status_id":1,"priority_id":2,"assigned_to_id":23,"start_date":"2017-07-18","description":"","custom_fields":[{"id":1,"name":"Subdivision","value":"EC"},{"id":4,"name":"Milepost","value":"0.015"},{"id":17,"name":"Train ID","value":"146-18"},{"id":16,"name":"Locomotive ID","value":"4005"},{"id":130,"name":"Impact","value":""},{"id":150,"name":"Time of Event (Mountain Time)","value":"10:51:38"},{"id":151,"name":"Denver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4005 --day 2017-07-18</v>
      </c>
      <c r="AN6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729</v>
      </c>
      <c r="B61" s="7">
        <v>4008</v>
      </c>
      <c r="C61" s="21" t="s">
        <v>199</v>
      </c>
      <c r="D61" s="21" t="s">
        <v>416</v>
      </c>
      <c r="E61" s="13">
        <v>42934.391898148147</v>
      </c>
      <c r="F61" s="13">
        <v>42934.396527777775</v>
      </c>
      <c r="G61" s="7">
        <v>1</v>
      </c>
      <c r="H61" s="21" t="s">
        <v>431</v>
      </c>
      <c r="I61" s="13">
        <v>42934.420486111114</v>
      </c>
      <c r="J61" s="7">
        <v>0</v>
      </c>
      <c r="K61" s="89" t="str">
        <f t="shared" si="0"/>
        <v>4007/4008</v>
      </c>
      <c r="L61" s="21" t="str">
        <f>VLOOKUP(A61,'Trips&amp;Operators'!$C$1:$G$99999,5,FALSE)</f>
        <v>MAELZER KURT</v>
      </c>
      <c r="M61" s="6">
        <f t="shared" si="1"/>
        <v>2.3958333338669036E-2</v>
      </c>
      <c r="N61" s="7">
        <f t="shared" si="24"/>
        <v>34.500000007683411</v>
      </c>
      <c r="O61" s="7"/>
      <c r="P61" s="7"/>
      <c r="Q61" s="22"/>
      <c r="R61" s="170"/>
      <c r="S61" s="213">
        <f t="shared" si="22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-18T08:24:20-0600',mode:absolute,to:'2017-07-18T11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7"/>
        <v>4.4400000000000002E-2</v>
      </c>
      <c r="Z61" s="197">
        <f t="shared" si="8"/>
        <v>23.330100000000002</v>
      </c>
      <c r="AA61" s="197">
        <f t="shared" si="9"/>
        <v>23.285700000000002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147</v>
      </c>
      <c r="AE61" s="77" t="str">
        <f t="shared" si="11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61" s="74" t="str">
        <f t="shared" si="12"/>
        <v>"C:\Program Files (x86)\AstroGrep\AstroGrep.exe" /e /r /s /spath="%USERPROFILE%\AppData\Local\Temp\OnboardLogs" /stypes="app*4008*20170718*"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147-18 --locoid 4008 --swversion DE.1.0.9.0 --startMP 204:444 --initTime 2017-07-18T09:24:20 --startdatetime 2017-07-18T09:31:00 --delay 1 --endMP 204:233301 --enddatetime 2017-07-18T10:05:30 --enforcementcount 0 &gt;&gt;C:\Users\stu\Documents\GitHub\eaglep3-reporting\EC\2017-07-18-refined-times.txt</v>
      </c>
      <c r="AI6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{"issue":{"subject":"","project_id":79,"tracker_id":40,"status_id":1,"priority_id":2,"assigned_to_id":23,"start_date":"2017-07-18","description":"","custom_fields":[{"id":1,"name":"Subdivision","value":"EC"},{"id":4,"name":"Milepost","value":"23.3301"},{"id":17,"name":"Train ID","value":"147-18"},{"id":16,"name":"Locomotive ID","value":"4008"},{"id":130,"name":"Impact","value":""},{"id":150,"name":"Time of Event (Mountain Time)","value":"10:05:30"},{"id":151,"name":"Denver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4008 --day 2017-07-18</v>
      </c>
      <c r="AN6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738</v>
      </c>
      <c r="B62" s="7">
        <v>4007</v>
      </c>
      <c r="C62" s="21" t="s">
        <v>199</v>
      </c>
      <c r="D62" s="21" t="s">
        <v>509</v>
      </c>
      <c r="E62" s="13">
        <v>42934.433668981481</v>
      </c>
      <c r="F62" s="13">
        <v>42934.435624999998</v>
      </c>
      <c r="G62" s="7">
        <v>1</v>
      </c>
      <c r="H62" s="21" t="s">
        <v>511</v>
      </c>
      <c r="I62" s="13">
        <v>42934.462037037039</v>
      </c>
      <c r="J62" s="7">
        <v>0</v>
      </c>
      <c r="K62" s="89" t="str">
        <f t="shared" si="0"/>
        <v>4007/4008</v>
      </c>
      <c r="L62" s="21" t="str">
        <f>VLOOKUP(A62,'Trips&amp;Operators'!$C$1:$G$99999,5,FALSE)</f>
        <v>MAELZER KURT</v>
      </c>
      <c r="M62" s="6">
        <f t="shared" si="1"/>
        <v>2.641203704115469E-2</v>
      </c>
      <c r="N62" s="7">
        <f t="shared" si="24"/>
        <v>38.033333339262754</v>
      </c>
      <c r="O62" s="7"/>
      <c r="P62" s="7"/>
      <c r="Q62" s="22"/>
      <c r="R62" s="170"/>
      <c r="S62" s="213">
        <f t="shared" si="22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-18T09:24:29-0600',mode:absolute,to:'2017-07-18T12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7"/>
        <v>23.297499999999999</v>
      </c>
      <c r="Z62" s="197">
        <f t="shared" si="8"/>
        <v>1.29E-2</v>
      </c>
      <c r="AA62" s="197">
        <f t="shared" si="9"/>
        <v>23.284600000000001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148</v>
      </c>
      <c r="AE62" s="77" t="str">
        <f t="shared" si="11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62" s="74" t="str">
        <f t="shared" si="12"/>
        <v>"C:\Program Files (x86)\AstroGrep\AstroGrep.exe" /e /r /s /spath="%USERPROFILE%\AppData\Local\Temp\OnboardLogs" /stypes="app*4007*20170718*"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148-18 --locoid 4007 --swversion DE.1.0.9.0 --startMP 204:232975 --initTime 2017-07-18T10:24:29 --startdatetime 2017-07-18T10:27:18 --delay 1 --endMP 204:129 --enddatetime 2017-07-18T11:05:20 --enforcementcount 0 &gt;&gt;C:\Users\stu\Documents\GitHub\eaglep3-reporting\EC\2017-07-18-refined-times.txt</v>
      </c>
      <c r="AI6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{"issue":{"subject":"","project_id":79,"tracker_id":40,"status_id":1,"priority_id":2,"assigned_to_id":23,"start_date":"2017-07-18","description":"","custom_fields":[{"id":1,"name":"Subdivision","value":"EC"},{"id":4,"name":"Milepost","value":"0.0129"},{"id":17,"name":"Train ID","value":"148-18"},{"id":16,"name":"Locomotive ID","value":"4007"},{"id":130,"name":"Impact","value":""},{"id":150,"name":"Time of Event (Mountain Time)","value":"11:05:20"},{"id":151,"name":"Denver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4007 --day 2017-07-18</v>
      </c>
      <c r="AN6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733</v>
      </c>
      <c r="B63" s="7">
        <v>4002</v>
      </c>
      <c r="C63" s="21" t="s">
        <v>199</v>
      </c>
      <c r="D63" s="21" t="s">
        <v>422</v>
      </c>
      <c r="E63" s="13">
        <v>42934.403506944444</v>
      </c>
      <c r="F63" s="13">
        <v>42934.406793981485</v>
      </c>
      <c r="G63" s="7">
        <v>1</v>
      </c>
      <c r="H63" s="21" t="s">
        <v>602</v>
      </c>
      <c r="I63" s="13">
        <v>42934.431296296294</v>
      </c>
      <c r="J63" s="7">
        <v>0</v>
      </c>
      <c r="K63" s="89" t="str">
        <f t="shared" si="0"/>
        <v>4001/4002</v>
      </c>
      <c r="L63" s="21" t="str">
        <f>VLOOKUP(A63,'Trips&amp;Operators'!$C$1:$G$99999,5,FALSE)</f>
        <v>NICHOLSON WESLEY</v>
      </c>
      <c r="M63" s="6">
        <f t="shared" si="1"/>
        <v>2.4502314809069503E-2</v>
      </c>
      <c r="N63" s="7">
        <f t="shared" si="24"/>
        <v>35.283333325060084</v>
      </c>
      <c r="O63" s="7"/>
      <c r="P63" s="7"/>
      <c r="Q63" s="22"/>
      <c r="R63" s="170"/>
      <c r="S63" s="213">
        <f t="shared" si="22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-18T08:41:03-0600',mode:absolute,to:'2017-07-18T11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7"/>
        <v>4.3499999999999997E-2</v>
      </c>
      <c r="Z63" s="197">
        <f t="shared" si="8"/>
        <v>23.3308</v>
      </c>
      <c r="AA63" s="197">
        <f t="shared" si="9"/>
        <v>23.287299999999998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149</v>
      </c>
      <c r="AE63" s="77" t="str">
        <f t="shared" si="11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63" s="74" t="str">
        <f t="shared" si="12"/>
        <v>"C:\Program Files (x86)\AstroGrep\AstroGrep.exe" /e /r /s /spath="%USERPROFILE%\AppData\Local\Temp\OnboardLogs" /stypes="app*4002*20170718*"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149-18 --locoid 4002 --swversion DE.1.0.9.0 --startMP 204:435 --initTime 2017-07-18T09:41:03 --startdatetime 2017-07-18T09:45:47 --delay 1 --endMP 204:233308 --enddatetime 2017-07-18T10:21:04 --enforcementcount 0 &gt;&gt;C:\Users\stu\Documents\GitHub\eaglep3-reporting\EC\2017-07-18-refined-times.txt</v>
      </c>
      <c r="AI6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{"issue":{"subject":"","project_id":79,"tracker_id":40,"status_id":1,"priority_id":2,"assigned_to_id":23,"start_date":"2017-07-18","description":"","custom_fields":[{"id":1,"name":"Subdivision","value":"EC"},{"id":4,"name":"Milepost","value":"23.3308"},{"id":17,"name":"Train ID","value":"149-18"},{"id":16,"name":"Locomotive ID","value":"4002"},{"id":130,"name":"Impact","value":""},{"id":150,"name":"Time of Event (Mountain Time)","value":"10:21:04"},{"id":151,"name":"Denver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4002 --day 2017-07-18</v>
      </c>
      <c r="AN6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739</v>
      </c>
      <c r="B64" s="7">
        <v>4001</v>
      </c>
      <c r="C64" s="21" t="s">
        <v>199</v>
      </c>
      <c r="D64" s="21" t="s">
        <v>881</v>
      </c>
      <c r="E64" s="13">
        <v>42934.43582175926</v>
      </c>
      <c r="F64" s="13">
        <v>42934.44604166667</v>
      </c>
      <c r="G64" s="7">
        <v>1</v>
      </c>
      <c r="H64" s="21" t="s">
        <v>353</v>
      </c>
      <c r="I64" s="13">
        <v>42934.472372685188</v>
      </c>
      <c r="J64" s="7">
        <v>0</v>
      </c>
      <c r="K64" s="89" t="str">
        <f t="shared" si="0"/>
        <v>4001/4002</v>
      </c>
      <c r="L64" s="21" t="str">
        <f>VLOOKUP(A64,'Trips&amp;Operators'!$C$1:$G$99999,5,FALSE)</f>
        <v>NICHOLSON WESLEY</v>
      </c>
      <c r="M64" s="6">
        <f t="shared" si="1"/>
        <v>2.6331018518249039E-2</v>
      </c>
      <c r="N64" s="7">
        <f t="shared" si="24"/>
        <v>37.916666666278616</v>
      </c>
      <c r="O64" s="7"/>
      <c r="P64" s="7"/>
      <c r="Q64" s="22"/>
      <c r="R64" s="170"/>
      <c r="S64" s="213">
        <f t="shared" si="22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-18T09:27:35-0600',mode:absolute,to:'2017-07-18T12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197" t="str">
        <f>IF(AA64&lt;VLOOKUP(AG64,Variables!$AC$3:$AD$8,2,FALSE),"Y","N")</f>
        <v>N</v>
      </c>
      <c r="X64" s="197">
        <f t="shared" si="23"/>
        <v>1</v>
      </c>
      <c r="Y64" s="197">
        <f t="shared" si="7"/>
        <v>23.300999999999998</v>
      </c>
      <c r="Z64" s="197">
        <f t="shared" si="8"/>
        <v>1.41E-2</v>
      </c>
      <c r="AA64" s="197">
        <f t="shared" si="9"/>
        <v>23.286899999999999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150</v>
      </c>
      <c r="AE64" s="77" t="str">
        <f t="shared" si="11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64" s="74" t="str">
        <f t="shared" si="12"/>
        <v>"C:\Program Files (x86)\AstroGrep\AstroGrep.exe" /e /r /s /spath="%USERPROFILE%\AppData\Local\Temp\OnboardLogs" /stypes="app*4001*20170718*"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150-18 --locoid 4001 --swversion DE.1.0.9.0 --startMP 204:233010 --initTime 2017-07-18T10:27:35 --startdatetime 2017-07-18T10:42:18 --delay 1 --endMP 204:141 --enddatetime 2017-07-18T11:20:13 --enforcementcount 0 &gt;&gt;C:\Users\stu\Documents\GitHub\eaglep3-reporting\EC\2017-07-18-refined-times.txt</v>
      </c>
      <c r="AI6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{"issue":{"subject":"","project_id":79,"tracker_id":40,"status_id":1,"priority_id":2,"assigned_to_id":23,"start_date":"2017-07-18","description":"","custom_fields":[{"id":1,"name":"Subdivision","value":"EC"},{"id":4,"name":"Milepost","value":"0.0141"},{"id":17,"name":"Train ID","value":"150-18"},{"id":16,"name":"Locomotive ID","value":"4001"},{"id":130,"name":"Impact","value":""},{"id":150,"name":"Time of Event (Mountain Time)","value":"11:20:13"},{"id":151,"name":"Denver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4001 --day 2017-07-18</v>
      </c>
      <c r="AN6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734</v>
      </c>
      <c r="B65" s="7">
        <v>4026</v>
      </c>
      <c r="C65" s="21" t="s">
        <v>199</v>
      </c>
      <c r="D65" s="21" t="s">
        <v>899</v>
      </c>
      <c r="E65" s="13">
        <v>42934.411921296298</v>
      </c>
      <c r="F65" s="13">
        <v>42934.417407407411</v>
      </c>
      <c r="G65" s="7">
        <v>2</v>
      </c>
      <c r="H65" s="21" t="s">
        <v>548</v>
      </c>
      <c r="I65" s="13">
        <v>42934.442835648151</v>
      </c>
      <c r="J65" s="7">
        <v>0</v>
      </c>
      <c r="K65" s="89" t="str">
        <f t="shared" si="0"/>
        <v>4025/4026</v>
      </c>
      <c r="L65" s="21" t="str">
        <f>VLOOKUP(A65,'Trips&amp;Operators'!$C$1:$G$99999,5,FALSE)</f>
        <v>MILLER KEVIN</v>
      </c>
      <c r="M65" s="6">
        <f t="shared" si="1"/>
        <v>2.5428240740438923E-2</v>
      </c>
      <c r="N65" s="7">
        <f t="shared" si="24"/>
        <v>36.616666666232049</v>
      </c>
      <c r="O65" s="7"/>
      <c r="P65" s="7"/>
      <c r="Q65" s="22"/>
      <c r="R65" s="170"/>
      <c r="S65" s="213">
        <f t="shared" si="22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-18T08:53:10-0600',mode:absolute,to:'2017-07-18T11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197" t="str">
        <f>IF(AA65&lt;VLOOKUP(AG65,Variables!$AC$3:$AD$8,2,FALSE),"Y","N")</f>
        <v>N</v>
      </c>
      <c r="X65" s="197">
        <f t="shared" si="23"/>
        <v>1</v>
      </c>
      <c r="Y65" s="197">
        <f t="shared" si="7"/>
        <v>4.8800000000000003E-2</v>
      </c>
      <c r="Z65" s="197">
        <f t="shared" si="8"/>
        <v>23.328800000000001</v>
      </c>
      <c r="AA65" s="197">
        <f t="shared" si="9"/>
        <v>23.28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151</v>
      </c>
      <c r="AE65" s="77" t="str">
        <f t="shared" si="11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65" s="74" t="str">
        <f t="shared" si="12"/>
        <v>"C:\Program Files (x86)\AstroGrep\AstroGrep.exe" /e /r /s /spath="%USERPROFILE%\AppData\Local\Temp\OnboardLogs" /stypes="app*4026*20170718*"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151-18 --locoid 4026 --swversion DE.1.0.9.0 --startMP 204:488 --initTime 2017-07-18T09:53:10 --startdatetime 2017-07-18T10:01:04 --delay 2 --endMP 204:233288 --enddatetime 2017-07-18T10:37:41 --enforcementcount 0 &gt;&gt;C:\Users\stu\Documents\GitHub\eaglep3-reporting\EC\2017-07-18-refined-times.txt</v>
      </c>
      <c r="AI6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{"issue":{"subject":"","project_id":79,"tracker_id":40,"status_id":1,"priority_id":2,"assigned_to_id":23,"start_date":"2017-07-18","description":"","custom_fields":[{"id":1,"name":"Subdivision","value":"EC"},{"id":4,"name":"Milepost","value":"23.3288"},{"id":17,"name":"Train ID","value":"151-18"},{"id":16,"name":"Locomotive ID","value":"4026"},{"id":130,"name":"Impact","value":""},{"id":150,"name":"Time of Event (Mountain Time)","value":"10:37:41"},{"id":151,"name":"Denver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4026 --day 2017-07-18</v>
      </c>
      <c r="AN6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741</v>
      </c>
      <c r="B66" s="7">
        <v>4025</v>
      </c>
      <c r="C66" s="21" t="s">
        <v>199</v>
      </c>
      <c r="D66" s="21" t="s">
        <v>507</v>
      </c>
      <c r="E66" s="13">
        <v>42934.444826388892</v>
      </c>
      <c r="F66" s="13">
        <v>42934.457511574074</v>
      </c>
      <c r="G66" s="7">
        <v>1</v>
      </c>
      <c r="H66" s="21" t="s">
        <v>479</v>
      </c>
      <c r="I66" s="13">
        <v>42934.485486111109</v>
      </c>
      <c r="J66" s="7">
        <v>0</v>
      </c>
      <c r="K66" s="89" t="str">
        <f t="shared" si="0"/>
        <v>4025/4026</v>
      </c>
      <c r="L66" s="21" t="str">
        <f>VLOOKUP(A66,'Trips&amp;Operators'!$C$1:$G$99999,5,FALSE)</f>
        <v>MILLER KEVIN</v>
      </c>
      <c r="M66" s="6">
        <f t="shared" si="1"/>
        <v>2.7974537035333924E-2</v>
      </c>
      <c r="N66" s="7">
        <f t="shared" si="24"/>
        <v>40.283333330880851</v>
      </c>
      <c r="O66" s="7"/>
      <c r="P66" s="7"/>
      <c r="Q66" s="22"/>
      <c r="R66" s="170"/>
      <c r="S66" s="213">
        <f t="shared" si="22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-18T09:40:33-0600',mode:absolute,to:'2017-07-18T12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197" t="str">
        <f>IF(AA66&lt;VLOOKUP(AG66,Variables!$AC$3:$AD$8,2,FALSE),"Y","N")</f>
        <v>N</v>
      </c>
      <c r="X66" s="197">
        <f t="shared" si="23"/>
        <v>1</v>
      </c>
      <c r="Y66" s="197">
        <f t="shared" si="7"/>
        <v>23.296500000000002</v>
      </c>
      <c r="Z66" s="197">
        <f t="shared" si="8"/>
        <v>1.5800000000000002E-2</v>
      </c>
      <c r="AA66" s="197">
        <f t="shared" si="9"/>
        <v>23.280700000000003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152</v>
      </c>
      <c r="AE66" s="77" t="str">
        <f t="shared" si="11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66" s="74" t="str">
        <f t="shared" si="12"/>
        <v>"C:\Program Files (x86)\AstroGrep\AstroGrep.exe" /e /r /s /spath="%USERPROFILE%\AppData\Local\Temp\OnboardLogs" /stypes="app*4025*20170718*"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152-18 --locoid 4025 --swversion DE.1.0.9.0 --startMP 204:232965 --initTime 2017-07-18T10:40:33 --startdatetime 2017-07-18T10:58:49 --delay 1 --endMP 204:158 --enddatetime 2017-07-18T11:39:06 --enforcementcount 0 &gt;&gt;C:\Users\stu\Documents\GitHub\eaglep3-reporting\EC\2017-07-18-refined-times.txt</v>
      </c>
      <c r="AI6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{"issue":{"subject":"","project_id":79,"tracker_id":40,"status_id":1,"priority_id":2,"assigned_to_id":23,"start_date":"2017-07-18","description":"","custom_fields":[{"id":1,"name":"Subdivision","value":"EC"},{"id":4,"name":"Milepost","value":"0.0158"},{"id":17,"name":"Train ID","value":"152-18"},{"id":16,"name":"Locomotive ID","value":"4025"},{"id":130,"name":"Impact","value":""},{"id":150,"name":"Time of Event (Mountain Time)","value":"11:39:06"},{"id":151,"name":"Denver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4025 --day 2017-07-18</v>
      </c>
      <c r="AN6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736</v>
      </c>
      <c r="B67" s="7">
        <v>4062</v>
      </c>
      <c r="C67" s="21" t="s">
        <v>199</v>
      </c>
      <c r="D67" s="21" t="s">
        <v>545</v>
      </c>
      <c r="E67" s="13">
        <v>42934.424166666664</v>
      </c>
      <c r="F67" s="13">
        <v>42934.428043981483</v>
      </c>
      <c r="G67" s="7">
        <v>2</v>
      </c>
      <c r="H67" s="21" t="s">
        <v>873</v>
      </c>
      <c r="I67" s="13">
        <v>42934.45380787037</v>
      </c>
      <c r="J67" s="7">
        <v>0</v>
      </c>
      <c r="K67" s="89" t="str">
        <f t="shared" si="0"/>
        <v>4061/4062</v>
      </c>
      <c r="L67" s="21" t="str">
        <f>VLOOKUP(A67,'Trips&amp;Operators'!$C$1:$G$99999,5,FALSE)</f>
        <v>LANGERAK WILLIAM</v>
      </c>
      <c r="M67" s="6">
        <f t="shared" si="1"/>
        <v>2.5763888887013309E-2</v>
      </c>
      <c r="N67" s="7">
        <f t="shared" si="24"/>
        <v>37.099999997299165</v>
      </c>
      <c r="O67" s="7"/>
      <c r="P67" s="7"/>
      <c r="Q67" s="22"/>
      <c r="R67" s="170"/>
      <c r="S67" s="213">
        <f t="shared" si="22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-18T09:10:48-0600',mode:absolute,to:'2017-07-18T11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7" s="197" t="str">
        <f>IF(AA67&lt;VLOOKUP(AG67,Variables!$AC$3:$AD$8,2,FALSE),"Y","N")</f>
        <v>N</v>
      </c>
      <c r="X67" s="197">
        <f t="shared" si="23"/>
        <v>1</v>
      </c>
      <c r="Y67" s="197">
        <f t="shared" si="7"/>
        <v>4.3700000000000003E-2</v>
      </c>
      <c r="Z67" s="197">
        <f t="shared" si="8"/>
        <v>23.328299999999999</v>
      </c>
      <c r="AA67" s="197">
        <f t="shared" si="9"/>
        <v>23.284599999999998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153</v>
      </c>
      <c r="AE67" s="77" t="str">
        <f t="shared" si="11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67" s="74" t="str">
        <f t="shared" si="12"/>
        <v>"C:\Program Files (x86)\AstroGrep\AstroGrep.exe" /e /r /s /spath="%USERPROFILE%\AppData\Local\Temp\OnboardLogs" /stypes="app*4062*20170718*"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153-18 --locoid 4062 --swversion DE.1.0.9.0 --startMP 204:437 --initTime 2017-07-18T10:10:48 --startdatetime 2017-07-18T10:16:23 --delay 2 --endMP 204:233283 --enddatetime 2017-07-18T10:53:29 --enforcementcount 0 &gt;&gt;C:\Users\stu\Documents\GitHub\eaglep3-reporting\EC\2017-07-18-refined-times.txt</v>
      </c>
      <c r="AI6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{"issue":{"subject":"","project_id":79,"tracker_id":40,"status_id":1,"priority_id":2,"assigned_to_id":23,"start_date":"2017-07-18","description":"","custom_fields":[{"id":1,"name":"Subdivision","value":"EC"},{"id":4,"name":"Milepost","value":"23.3283"},{"id":17,"name":"Train ID","value":"153-18"},{"id":16,"name":"Locomotive ID","value":"4062"},{"id":130,"name":"Impact","value":""},{"id":150,"name":"Time of Event (Mountain Time)","value":"10:53:29"},{"id":151,"name":"Denver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4062 --day 2017-07-18</v>
      </c>
      <c r="AN6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746</v>
      </c>
      <c r="B68" s="7">
        <v>4061</v>
      </c>
      <c r="C68" s="21" t="s">
        <v>199</v>
      </c>
      <c r="D68" s="21" t="s">
        <v>549</v>
      </c>
      <c r="E68" s="13">
        <v>42934.457141203704</v>
      </c>
      <c r="F68" s="13">
        <v>42934.467233796298</v>
      </c>
      <c r="G68" s="7">
        <v>1</v>
      </c>
      <c r="H68" s="21" t="s">
        <v>354</v>
      </c>
      <c r="I68" s="13">
        <v>42934.494537037041</v>
      </c>
      <c r="J68" s="7">
        <v>0</v>
      </c>
      <c r="K68" s="89" t="str">
        <f t="shared" si="0"/>
        <v>4061/4062</v>
      </c>
      <c r="L68" s="21" t="str">
        <f>VLOOKUP(A68,'Trips&amp;Operators'!$C$1:$G$99999,5,FALSE)</f>
        <v>LANGERAK WILLIAM</v>
      </c>
      <c r="M68" s="6">
        <f t="shared" si="1"/>
        <v>2.7303240742185153E-2</v>
      </c>
      <c r="N68" s="7">
        <f t="shared" si="24"/>
        <v>39.31666666874662</v>
      </c>
      <c r="O68" s="7"/>
      <c r="P68" s="7"/>
      <c r="Q68" s="22"/>
      <c r="R68" s="170"/>
      <c r="S68" s="213">
        <f t="shared" si="22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-18T09:58:17-0600',mode:absolute,to:'2017-07-18T12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8" s="197" t="str">
        <f>IF(AA68&lt;VLOOKUP(AG68,Variables!$AC$3:$AD$8,2,FALSE),"Y","N")</f>
        <v>N</v>
      </c>
      <c r="X68" s="197">
        <f t="shared" si="23"/>
        <v>1</v>
      </c>
      <c r="Y68" s="197">
        <f t="shared" si="7"/>
        <v>23.297699999999999</v>
      </c>
      <c r="Z68" s="197">
        <f t="shared" si="8"/>
        <v>1.47E-2</v>
      </c>
      <c r="AA68" s="197">
        <f t="shared" si="9"/>
        <v>23.282999999999998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154</v>
      </c>
      <c r="AE68" s="77" t="str">
        <f t="shared" si="11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68" s="74" t="str">
        <f t="shared" si="12"/>
        <v>"C:\Program Files (x86)\AstroGrep\AstroGrep.exe" /e /r /s /spath="%USERPROFILE%\AppData\Local\Temp\OnboardLogs" /stypes="app*4061*20170718*"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154-18 --locoid 4061 --swversion DE.1.0.9.0 --startMP 204:232977 --initTime 2017-07-18T10:58:17 --startdatetime 2017-07-18T11:12:49 --delay 1 --endMP 204:147 --enddatetime 2017-07-18T11:52:08 --enforcementcount 0 &gt;&gt;C:\Users\stu\Documents\GitHub\eaglep3-reporting\EC\2017-07-18-refined-times.txt</v>
      </c>
      <c r="AI68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{"issue":{"subject":"","project_id":79,"tracker_id":40,"status_id":1,"priority_id":2,"assigned_to_id":23,"start_date":"2017-07-18","description":"","custom_fields":[{"id":1,"name":"Subdivision","value":"EC"},{"id":4,"name":"Milepost","value":"0.0147"},{"id":17,"name":"Train ID","value":"154-18"},{"id":16,"name":"Locomotive ID","value":"4061"},{"id":130,"name":"Impact","value":""},{"id":150,"name":"Time of Event (Mountain Time)","value":"11:52:08"},{"id":151,"name":"Denver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4061 --day 2017-07-18</v>
      </c>
      <c r="AN68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647</v>
      </c>
      <c r="B69" s="7">
        <v>4064</v>
      </c>
      <c r="C69" s="21" t="s">
        <v>199</v>
      </c>
      <c r="D69" s="21" t="s">
        <v>900</v>
      </c>
      <c r="E69" s="13">
        <v>42934.446574074071</v>
      </c>
      <c r="F69" s="13">
        <v>42934.447465277779</v>
      </c>
      <c r="G69" s="7">
        <v>1</v>
      </c>
      <c r="H69" s="21" t="s">
        <v>421</v>
      </c>
      <c r="I69" s="13">
        <v>42934.465243055558</v>
      </c>
      <c r="J69" s="7">
        <v>0</v>
      </c>
      <c r="K69" s="89" t="str">
        <f t="shared" si="0"/>
        <v>4063/4064</v>
      </c>
      <c r="L69" s="21" t="str">
        <f>VLOOKUP(A69,'Trips&amp;Operators'!$C$1:$G$99999,5,FALSE)</f>
        <v>GONZALEZ ARMANDO</v>
      </c>
      <c r="M69" s="6">
        <f t="shared" si="1"/>
        <v>1.7777777778974269E-2</v>
      </c>
      <c r="N69" s="7"/>
      <c r="O69" s="7"/>
      <c r="P69" s="7">
        <f>24*60*SUM($M69:$M69)</f>
        <v>25.600000001722947</v>
      </c>
      <c r="Q69" s="22"/>
      <c r="R69" s="170" t="s">
        <v>1062</v>
      </c>
      <c r="S69" s="213">
        <f>1/IF(AG69="EC",12,1)*SUM(U69:U70)</f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9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-18T09:43:04-0600',mode:absolute,to:'2017-07-18T12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197" t="str">
        <f>IF(AA69&lt;VLOOKUP(AG69,Variables!$AC$3:$AD$8,2,FALSE),"Y","N")</f>
        <v>Y</v>
      </c>
      <c r="X69" s="197">
        <f t="shared" si="23"/>
        <v>1</v>
      </c>
      <c r="Y69" s="197">
        <f t="shared" si="7"/>
        <v>3.7189999999999999</v>
      </c>
      <c r="Z69" s="197">
        <f t="shared" si="8"/>
        <v>23.329699999999999</v>
      </c>
      <c r="AA69" s="197">
        <f t="shared" si="9"/>
        <v>19.610699999999998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155</v>
      </c>
      <c r="AE69" s="77" t="str">
        <f t="shared" si="11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69" s="74" t="str">
        <f t="shared" si="12"/>
        <v>"C:\Program Files (x86)\AstroGrep\AstroGrep.exe" /e /r /s /spath="%USERPROFILE%\AppData\Local\Temp\OnboardLogs" /stypes="app*4064*20170718*"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155-18 --locoid 4064 --swversion DE.1.0.9.0 --startMP 204:37190 --initTime 2017-07-18T10:43:04 --startdatetime 2017-07-18T10:44:21 --delay 1 --endMP 204:233297 --enddatetime 2017-07-18T11:09:57 --enforcementcount 0 &gt;&gt;C:\Users\stu\Documents\GitHub\eaglep3-reporting\EC\2017-07-18-refined-times.txt</v>
      </c>
      <c r="AI69" s="96" t="str">
        <f t="shared" si="19"/>
        <v>echo {"issue":{"subject":"Minor onboard in-route failure caused signal status unknown banner","project_id":79,"tracker_id":40,"status_id":1,"priority_id":2,"assigned_to_id":23,"start_date":"2017-07-18","description":"","custom_fields":[{"id":1,"name":"Subdivision","value":"EC"},{"id":4,"name":"Milepost","value":"23.3297"},{"id":17,"name":"Train ID","value":"155-18"},{"id":16,"name":"Locomotive ID","value":"4064"},{"id":130,"name":"Impact","value":""},{"id":150,"name":"Time of Event (Mountain Time)","value":"11:09:57"},{"id":151,"name":"Denver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4064 --day 2017-07-18</v>
      </c>
      <c r="AN69" s="151" t="str">
        <f t="shared" si="21"/>
        <v>echo {"issue":{"subject":"Minor onboard in-route failure caused signal status unknown banner","project_id":30,"tracker_id":4,"status_id":1,"priority_id":1,"assigned_to_id":10,"start_date":"2017-07-18","description":"","custom_fields":[{"id":30,"name":"Category","value":"Issue"},{"id":3,"name":"Functional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647</v>
      </c>
      <c r="B70" s="7">
        <v>4064</v>
      </c>
      <c r="C70" s="21" t="s">
        <v>199</v>
      </c>
      <c r="D70" s="21" t="s">
        <v>882</v>
      </c>
      <c r="E70" s="13">
        <v>42934.432685185187</v>
      </c>
      <c r="F70" s="13">
        <v>42934.447465277779</v>
      </c>
      <c r="G70" s="7">
        <v>1</v>
      </c>
      <c r="H70" s="21" t="s">
        <v>901</v>
      </c>
      <c r="I70" s="13">
        <v>42934.465243055558</v>
      </c>
      <c r="J70" s="7">
        <v>0</v>
      </c>
      <c r="K70" s="89" t="str">
        <f t="shared" si="0"/>
        <v>4063/4064</v>
      </c>
      <c r="L70" s="21" t="str">
        <f>VLOOKUP(A70,'Trips&amp;Operators'!$C$1:$G$99999,5,FALSE)</f>
        <v>GONZALEZ ARMANDO</v>
      </c>
      <c r="M70" s="6">
        <f t="shared" si="1"/>
        <v>1.7777777778974269E-2</v>
      </c>
      <c r="N70" s="7"/>
      <c r="O70" s="7"/>
      <c r="P70" s="7"/>
      <c r="Q70" s="22"/>
      <c r="R70" s="170"/>
      <c r="S70" s="213"/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3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-18T09:23:04-0600',mode:absolute,to:'2017-07-18T12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0" s="197" t="str">
        <f>IF(AA70&lt;VLOOKUP(AG70,Variables!$AC$3:$AD$8,2,FALSE),"Y","N")</f>
        <v>Y</v>
      </c>
      <c r="X70" s="197">
        <f t="shared" si="23"/>
        <v>0</v>
      </c>
      <c r="Y70" s="197">
        <f t="shared" si="7"/>
        <v>4.3999999999999997E-2</v>
      </c>
      <c r="Z70" s="197">
        <f t="shared" si="8"/>
        <v>3.6534</v>
      </c>
      <c r="AA70" s="197">
        <f t="shared" si="9"/>
        <v>3.6093999999999999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155</v>
      </c>
      <c r="AE70" s="77" t="str">
        <f t="shared" si="11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70" s="74" t="str">
        <f t="shared" si="12"/>
        <v>"C:\Program Files (x86)\AstroGrep\AstroGrep.exe" /e /r /s /spath="%USERPROFILE%\AppData\Local\Temp\OnboardLogs" /stypes="app*4064*20170718*"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155-18 --locoid 4064 --swversion DE.1.0.9.0 --startMP 204:440 --initTime 2017-07-18T10:23:04 --startdatetime 2017-07-18T10:44:21 --delay 1 --endMP 204:36534 --enddatetime 2017-07-18T11:09:57 --enforcementcount 0 &gt;&gt;C:\Users\stu\Documents\GitHub\eaglep3-reporting\EC\2017-07-18-refined-times.txt</v>
      </c>
      <c r="AI70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{"issue":{"subject":"","project_id":79,"tracker_id":40,"status_id":1,"priority_id":2,"assigned_to_id":23,"start_date":"2017-07-18","description":"","custom_fields":[{"id":1,"name":"Subdivision","value":"EC"},{"id":4,"name":"Milepost","value":"3.6534"},{"id":17,"name":"Train ID","value":"155-18"},{"id":16,"name":"Locomotive ID","value":"4064"},{"id":130,"name":"Impact","value":""},{"id":150,"name":"Time of Event (Mountain Time)","value":"11:09:57"},{"id":151,"name":"Denver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4064 --day 2017-07-18</v>
      </c>
      <c r="AN70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749</v>
      </c>
      <c r="B71" s="7">
        <v>4063</v>
      </c>
      <c r="C71" s="21" t="s">
        <v>199</v>
      </c>
      <c r="D71" s="21" t="s">
        <v>585</v>
      </c>
      <c r="E71" s="13">
        <v>42934.474895833337</v>
      </c>
      <c r="F71" s="13">
        <v>42934.477384259262</v>
      </c>
      <c r="G71" s="7">
        <v>1</v>
      </c>
      <c r="H71" s="21" t="s">
        <v>399</v>
      </c>
      <c r="I71" s="13">
        <v>42934.50409722222</v>
      </c>
      <c r="J71" s="7">
        <v>0</v>
      </c>
      <c r="K71" s="89" t="str">
        <f t="shared" si="0"/>
        <v>4063/4064</v>
      </c>
      <c r="L71" s="21" t="str">
        <f>VLOOKUP(A71,'Trips&amp;Operators'!$C$1:$G$99999,5,FALSE)</f>
        <v>GONZALEZ ARMANDO</v>
      </c>
      <c r="M71" s="6">
        <f t="shared" si="1"/>
        <v>2.6712962957390118E-2</v>
      </c>
      <c r="N71" s="7">
        <f t="shared" ref="N71:N85" si="25">24*60*SUM($M71:$M71)</f>
        <v>38.46666665864177</v>
      </c>
      <c r="O71" s="7"/>
      <c r="P71" s="7"/>
      <c r="Q71" s="22"/>
      <c r="R71" s="170"/>
      <c r="S71" s="213">
        <f t="shared" ref="S71:S102" si="26">1/IF(AG71="EC",12,1)*SUM(U71:U71)</f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-18T10:23:51-0600',mode:absolute,to:'2017-07-18T13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1" s="197" t="str">
        <f>IF(AA71&lt;VLOOKUP(AG71,Variables!$AC$3:$AD$8,2,FALSE),"Y","N")</f>
        <v>N</v>
      </c>
      <c r="X71" s="197">
        <f t="shared" si="23"/>
        <v>1</v>
      </c>
      <c r="Y71" s="197">
        <f t="shared" si="7"/>
        <v>23.297999999999998</v>
      </c>
      <c r="Z71" s="197">
        <f t="shared" si="8"/>
        <v>1.38E-2</v>
      </c>
      <c r="AA71" s="197">
        <f t="shared" si="9"/>
        <v>23.284199999999998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156</v>
      </c>
      <c r="AE71" s="77" t="str">
        <f t="shared" si="11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71" s="74" t="str">
        <f t="shared" si="12"/>
        <v>"C:\Program Files (x86)\AstroGrep\AstroGrep.exe" /e /r /s /spath="%USERPROFILE%\AppData\Local\Temp\OnboardLogs" /stypes="app*4063*20170718*"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156-18 --locoid 4063 --swversion DE.1.0.9.0 --startMP 204:232980 --initTime 2017-07-18T11:23:51 --startdatetime 2017-07-18T11:27:26 --delay 1 --endMP 204:138 --enddatetime 2017-07-18T12:05:54 --enforcementcount 0 &gt;&gt;C:\Users\stu\Documents\GitHub\eaglep3-reporting\EC\2017-07-18-refined-times.txt</v>
      </c>
      <c r="AI71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{"issue":{"subject":"","project_id":79,"tracker_id":40,"status_id":1,"priority_id":2,"assigned_to_id":23,"start_date":"2017-07-18","description":"","custom_fields":[{"id":1,"name":"Subdivision","value":"EC"},{"id":4,"name":"Milepost","value":"0.0138"},{"id":17,"name":"Train ID","value":"156-18"},{"id":16,"name":"Locomotive ID","value":"4063"},{"id":130,"name":"Impact","value":""},{"id":150,"name":"Time of Event (Mountain Time)","value":"12:05:54"},{"id":151,"name":"Denver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4063 --day 2017-07-18</v>
      </c>
      <c r="AN71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744</v>
      </c>
      <c r="B72" s="7">
        <v>4012</v>
      </c>
      <c r="C72" s="21" t="s">
        <v>199</v>
      </c>
      <c r="D72" s="21" t="s">
        <v>342</v>
      </c>
      <c r="E72" s="13">
        <v>42934.446111111109</v>
      </c>
      <c r="F72" s="13">
        <v>42934.448599537034</v>
      </c>
      <c r="G72" s="7">
        <v>2</v>
      </c>
      <c r="H72" s="21" t="s">
        <v>584</v>
      </c>
      <c r="I72" s="13">
        <v>42934.474421296298</v>
      </c>
      <c r="J72" s="7">
        <v>0</v>
      </c>
      <c r="K72" s="89" t="str">
        <f t="shared" si="0"/>
        <v>4011/4012</v>
      </c>
      <c r="L72" s="21" t="str">
        <f>VLOOKUP(A72,'Trips&amp;Operators'!$C$1:$G$99999,5,FALSE)</f>
        <v>DAVIS MICHAEL</v>
      </c>
      <c r="M72" s="6">
        <f t="shared" si="1"/>
        <v>2.5821759263635613E-2</v>
      </c>
      <c r="N72" s="7">
        <f t="shared" si="25"/>
        <v>37.183333339635283</v>
      </c>
      <c r="O72" s="7"/>
      <c r="P72" s="7"/>
      <c r="Q72" s="22"/>
      <c r="R72" s="170"/>
      <c r="S72" s="213">
        <f t="shared" si="26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-18T09:42:24-0600',mode:absolute,to:'2017-07-18T12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197" t="str">
        <f>IF(AA72&lt;VLOOKUP(AG72,Variables!$AC$3:$AD$8,2,FALSE),"Y","N")</f>
        <v>N</v>
      </c>
      <c r="X72" s="197">
        <f t="shared" si="23"/>
        <v>1</v>
      </c>
      <c r="Y72" s="197">
        <f t="shared" si="7"/>
        <v>4.4600000000000001E-2</v>
      </c>
      <c r="Z72" s="197">
        <f t="shared" si="8"/>
        <v>23.332100000000001</v>
      </c>
      <c r="AA72" s="197">
        <f t="shared" si="9"/>
        <v>23.287500000000001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157</v>
      </c>
      <c r="AE72" s="77" t="str">
        <f t="shared" si="11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72" s="74" t="str">
        <f t="shared" si="12"/>
        <v>"C:\Program Files (x86)\AstroGrep\AstroGrep.exe" /e /r /s /spath="%USERPROFILE%\AppData\Local\Temp\OnboardLogs" /stypes="app*4012*20170718*"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157-18 --locoid 4012 --swversion DE.1.0.9.0 --startMP 204:446 --initTime 2017-07-18T10:42:24 --startdatetime 2017-07-18T10:45:59 --delay 2 --endMP 204:233321 --enddatetime 2017-07-18T11:23:10 --enforcementcount 0 &gt;&gt;C:\Users\stu\Documents\GitHub\eaglep3-reporting\EC\2017-07-18-refined-times.txt</v>
      </c>
      <c r="AI72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{"issue":{"subject":"","project_id":79,"tracker_id":40,"status_id":1,"priority_id":2,"assigned_to_id":23,"start_date":"2017-07-18","description":"","custom_fields":[{"id":1,"name":"Subdivision","value":"EC"},{"id":4,"name":"Milepost","value":"23.3321"},{"id":17,"name":"Train ID","value":"157-18"},{"id":16,"name":"Locomotive ID","value":"4012"},{"id":130,"name":"Impact","value":""},{"id":150,"name":"Time of Event (Mountain Time)","value":"11:23:10"},{"id":151,"name":"Denver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4012 --day 2017-07-18</v>
      </c>
      <c r="AN72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752</v>
      </c>
      <c r="B73" s="7">
        <v>4011</v>
      </c>
      <c r="C73" s="21" t="s">
        <v>199</v>
      </c>
      <c r="D73" s="21" t="s">
        <v>495</v>
      </c>
      <c r="E73" s="13">
        <v>42934.484965277778</v>
      </c>
      <c r="F73" s="13">
        <v>42934.487928240742</v>
      </c>
      <c r="G73" s="7">
        <v>2</v>
      </c>
      <c r="H73" s="21" t="s">
        <v>344</v>
      </c>
      <c r="I73" s="13">
        <v>42934.514641203707</v>
      </c>
      <c r="J73" s="7">
        <v>0</v>
      </c>
      <c r="K73" s="89" t="str">
        <f t="shared" si="0"/>
        <v>4011/4012</v>
      </c>
      <c r="L73" s="21" t="str">
        <f>VLOOKUP(A73,'Trips&amp;Operators'!$C$1:$G$99999,5,FALSE)</f>
        <v>DAVIS MICHAEL</v>
      </c>
      <c r="M73" s="6">
        <f t="shared" si="1"/>
        <v>2.6712962964666076E-2</v>
      </c>
      <c r="N73" s="7">
        <f t="shared" si="25"/>
        <v>38.466666669119149</v>
      </c>
      <c r="O73" s="7"/>
      <c r="P73" s="7"/>
      <c r="Q73" s="22"/>
      <c r="R73" s="170"/>
      <c r="S73" s="213">
        <f t="shared" si="26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-18T10:38:21-0600',mode:absolute,to:'2017-07-18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7" t="str">
        <f>IF(AA73&lt;VLOOKUP(AG73,Variables!$AC$3:$AD$8,2,FALSE),"Y","N")</f>
        <v>N</v>
      </c>
      <c r="X73" s="197">
        <f t="shared" si="23"/>
        <v>1</v>
      </c>
      <c r="Y73" s="197">
        <f t="shared" si="7"/>
        <v>23.299399999999999</v>
      </c>
      <c r="Z73" s="197">
        <f t="shared" si="8"/>
        <v>1.49E-2</v>
      </c>
      <c r="AA73" s="197">
        <f t="shared" si="9"/>
        <v>23.284499999999998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158</v>
      </c>
      <c r="AE73" s="77" t="str">
        <f t="shared" si="11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73" s="74" t="str">
        <f t="shared" si="12"/>
        <v>"C:\Program Files (x86)\AstroGrep\AstroGrep.exe" /e /r /s /spath="%USERPROFILE%\AppData\Local\Temp\OnboardLogs" /stypes="app*4011*20170718*"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158-18 --locoid 4011 --swversion DE.1.0.9.0 --startMP 204:232994 --initTime 2017-07-18T11:38:21 --startdatetime 2017-07-18T11:42:37 --delay 2 --endMP 204:149 --enddatetime 2017-07-18T12:21:05 --enforcementcount 0 &gt;&gt;C:\Users\stu\Documents\GitHub\eaglep3-reporting\EC\2017-07-18-refined-times.txt</v>
      </c>
      <c r="AI73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{"issue":{"subject":"","project_id":79,"tracker_id":40,"status_id":1,"priority_id":2,"assigned_to_id":23,"start_date":"2017-07-18","description":"","custom_fields":[{"id":1,"name":"Subdivision","value":"EC"},{"id":4,"name":"Milepost","value":"0.0149"},{"id":17,"name":"Train ID","value":"158-18"},{"id":16,"name":"Locomotive ID","value":"4011"},{"id":130,"name":"Impact","value":""},{"id":150,"name":"Time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4011 --day 2017-07-18</v>
      </c>
      <c r="AN73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745</v>
      </c>
      <c r="B74" s="7">
        <v>4006</v>
      </c>
      <c r="C74" s="21" t="s">
        <v>199</v>
      </c>
      <c r="D74" s="21" t="s">
        <v>346</v>
      </c>
      <c r="E74" s="13">
        <v>42934.453761574077</v>
      </c>
      <c r="F74" s="13">
        <v>42934.45884259259</v>
      </c>
      <c r="G74" s="7">
        <v>1</v>
      </c>
      <c r="H74" s="21" t="s">
        <v>421</v>
      </c>
      <c r="I74" s="13">
        <v>42934.48474537037</v>
      </c>
      <c r="J74" s="7">
        <v>0</v>
      </c>
      <c r="K74" s="89" t="str">
        <f t="shared" si="0"/>
        <v>4005/4006</v>
      </c>
      <c r="L74" s="21" t="str">
        <f>VLOOKUP(A74,'Trips&amp;Operators'!$C$1:$G$99999,5,FALSE)</f>
        <v>DAVIDSON DAVID</v>
      </c>
      <c r="M74" s="6">
        <f t="shared" si="1"/>
        <v>2.5902777779265307E-2</v>
      </c>
      <c r="N74" s="7">
        <f t="shared" si="25"/>
        <v>37.300000002142042</v>
      </c>
      <c r="O74" s="7"/>
      <c r="P74" s="7"/>
      <c r="Q74" s="22"/>
      <c r="R74" s="170"/>
      <c r="S74" s="213">
        <f t="shared" si="26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-18T09:53:25-0600',mode:absolute,to:'2017-07-18T12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4" s="197" t="str">
        <f>IF(AA74&lt;VLOOKUP(AG74,Variables!$AC$3:$AD$8,2,FALSE),"Y","N")</f>
        <v>N</v>
      </c>
      <c r="X74" s="197">
        <f t="shared" si="23"/>
        <v>1</v>
      </c>
      <c r="Y74" s="197">
        <f t="shared" si="7"/>
        <v>4.6600000000000003E-2</v>
      </c>
      <c r="Z74" s="197">
        <f t="shared" si="8"/>
        <v>23.329699999999999</v>
      </c>
      <c r="AA74" s="197">
        <f t="shared" si="9"/>
        <v>23.283099999999997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159</v>
      </c>
      <c r="AE74" s="77" t="str">
        <f t="shared" si="11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74" s="74" t="str">
        <f t="shared" si="12"/>
        <v>"C:\Program Files (x86)\AstroGrep\AstroGrep.exe" /e /r /s /spath="%USERPROFILE%\AppData\Local\Temp\OnboardLogs" /stypes="app*4006*20170718*"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159-18 --locoid 4006 --swversion DE.1.0.9.0 --startMP 204:466 --initTime 2017-07-18T10:53:25 --startdatetime 2017-07-18T11:00:44 --delay 1 --endMP 204:233297 --enddatetime 2017-07-18T11:38:02 --enforcementcount 0 &gt;&gt;C:\Users\stu\Documents\GitHub\eaglep3-reporting\EC\2017-07-18-refined-times.txt</v>
      </c>
      <c r="AI74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{"issue":{"subject":"","project_id":79,"tracker_id":40,"status_id":1,"priority_id":2,"assigned_to_id":23,"start_date":"2017-07-18","description":"","custom_fields":[{"id":1,"name":"Subdivision","value":"EC"},{"id":4,"name":"Milepost","value":"23.3297"},{"id":17,"name":"Train ID","value":"159-18"},{"id":16,"name":"Locomotive ID","value":"4006"},{"id":130,"name":"Impact","value":""},{"id":150,"name":"Time of Event (Mountain Time)","value":"11:38:02"},{"id":151,"name":"Denver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4006 --day 2017-07-18</v>
      </c>
      <c r="AN74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753</v>
      </c>
      <c r="B75" s="7">
        <v>4005</v>
      </c>
      <c r="C75" s="21" t="s">
        <v>199</v>
      </c>
      <c r="D75" s="21" t="s">
        <v>547</v>
      </c>
      <c r="E75" s="13">
        <v>42934.486504629633</v>
      </c>
      <c r="F75" s="13">
        <v>42934.498171296298</v>
      </c>
      <c r="G75" s="7">
        <v>1</v>
      </c>
      <c r="H75" s="21" t="s">
        <v>479</v>
      </c>
      <c r="I75" s="13">
        <v>42934.525416666664</v>
      </c>
      <c r="J75" s="7">
        <v>0</v>
      </c>
      <c r="K75" s="89" t="str">
        <f t="shared" si="0"/>
        <v>4005/4006</v>
      </c>
      <c r="L75" s="21" t="str">
        <f>VLOOKUP(A75,'Trips&amp;Operators'!$C$1:$G$99999,5,FALSE)</f>
        <v>DAVIDSON DAVID</v>
      </c>
      <c r="M75" s="6">
        <f t="shared" si="1"/>
        <v>2.7245370365562849E-2</v>
      </c>
      <c r="N75" s="7">
        <f t="shared" si="25"/>
        <v>39.233333326410502</v>
      </c>
      <c r="O75" s="7"/>
      <c r="P75" s="7"/>
      <c r="Q75" s="22"/>
      <c r="R75" s="170"/>
      <c r="S75" s="213">
        <f t="shared" si="26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-18T10:40:34-0600',mode:absolute,to:'2017-07-18T13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5" s="197" t="str">
        <f>IF(AA75&lt;VLOOKUP(AG75,Variables!$AC$3:$AD$8,2,FALSE),"Y","N")</f>
        <v>N</v>
      </c>
      <c r="X75" s="197">
        <f t="shared" si="23"/>
        <v>1</v>
      </c>
      <c r="Y75" s="197">
        <f t="shared" si="7"/>
        <v>23.2988</v>
      </c>
      <c r="Z75" s="197">
        <f t="shared" si="8"/>
        <v>1.5800000000000002E-2</v>
      </c>
      <c r="AA75" s="197">
        <f t="shared" si="9"/>
        <v>23.283000000000001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160</v>
      </c>
      <c r="AE75" s="77" t="str">
        <f t="shared" si="11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75" s="74" t="str">
        <f t="shared" si="12"/>
        <v>"C:\Program Files (x86)\AstroGrep\AstroGrep.exe" /e /r /s /spath="%USERPROFILE%\AppData\Local\Temp\OnboardLogs" /stypes="app*4005*20170718*"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160-18 --locoid 4005 --swversion DE.1.0.9.0 --startMP 204:232988 --initTime 2017-07-18T11:40:34 --startdatetime 2017-07-18T11:57:22 --delay 1 --endMP 204:158 --enddatetime 2017-07-18T12:36:36 --enforcementcount 0 &gt;&gt;C:\Users\stu\Documents\GitHub\eaglep3-reporting\EC\2017-07-18-refined-times.txt</v>
      </c>
      <c r="AI75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{"issue":{"subject":"","project_id":79,"tracker_id":40,"status_id":1,"priority_id":2,"assigned_to_id":23,"start_date":"2017-07-18","description":"","custom_fields":[{"id":1,"name":"Subdivision","value":"EC"},{"id":4,"name":"Milepost","value":"0.0158"},{"id":17,"name":"Train ID","value":"160-18"},{"id":16,"name":"Locomotive ID","value":"4005"},{"id":130,"name":"Impact","value":""},{"id":150,"name":"Time of Event (Mountain Time)","value":"12:36:36"},{"id":151,"name":"Denver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4005 --day 2017-07-18</v>
      </c>
      <c r="AN75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748</v>
      </c>
      <c r="B76" s="7">
        <v>4008</v>
      </c>
      <c r="C76" s="21" t="s">
        <v>199</v>
      </c>
      <c r="D76" s="21" t="s">
        <v>902</v>
      </c>
      <c r="E76" s="13">
        <v>42934.464398148149</v>
      </c>
      <c r="F76" s="13">
        <v>42934.469282407408</v>
      </c>
      <c r="G76" s="7">
        <v>1</v>
      </c>
      <c r="H76" s="21" t="s">
        <v>903</v>
      </c>
      <c r="I76" s="13">
        <v>42934.494131944448</v>
      </c>
      <c r="J76" s="7">
        <v>0</v>
      </c>
      <c r="K76" s="89" t="str">
        <f t="shared" si="0"/>
        <v>4007/4008</v>
      </c>
      <c r="L76" s="21" t="str">
        <f>VLOOKUP(A76,'Trips&amp;Operators'!$C$1:$G$99999,5,FALSE)</f>
        <v>MOSES BRADLEY</v>
      </c>
      <c r="M76" s="6">
        <f t="shared" si="1"/>
        <v>2.4849537039699499E-2</v>
      </c>
      <c r="N76" s="7">
        <f t="shared" si="25"/>
        <v>35.783333337167278</v>
      </c>
      <c r="O76" s="7"/>
      <c r="P76" s="7"/>
      <c r="Q76" s="22"/>
      <c r="R76" s="170"/>
      <c r="S76" s="213">
        <f t="shared" si="26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-18T10:08:44-0600',mode:absolute,to:'2017-07-18T12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197" t="str">
        <f>IF(AA76&lt;VLOOKUP(AG76,Variables!$AC$3:$AD$8,2,FALSE),"Y","N")</f>
        <v>N</v>
      </c>
      <c r="X76" s="197">
        <f t="shared" si="23"/>
        <v>1</v>
      </c>
      <c r="Y76" s="197">
        <f t="shared" si="7"/>
        <v>4.1799999999999997E-2</v>
      </c>
      <c r="Z76" s="197">
        <f t="shared" si="8"/>
        <v>23.332899999999999</v>
      </c>
      <c r="AA76" s="197">
        <f t="shared" si="9"/>
        <v>23.2911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161</v>
      </c>
      <c r="AE76" s="77" t="str">
        <f t="shared" si="11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76" s="74" t="str">
        <f t="shared" si="12"/>
        <v>"C:\Program Files (x86)\AstroGrep\AstroGrep.exe" /e /r /s /spath="%USERPROFILE%\AppData\Local\Temp\OnboardLogs" /stypes="app*4008*20170718*" /stext=" 17:.+((SYSTEM_STATE.+slice.+state.+changed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161-18 --locoid 4008 --swversion DE.1.0.9.0 --startMP 204:418 --initTime 2017-07-18T11:08:44 --startdatetime 2017-07-18T11:15:46 --delay 1 --endMP 204:233329 --enddatetime 2017-07-18T11:51:33 --enforcementcount 0 &gt;&gt;C:\Users\stu\Documents\GitHub\eaglep3-reporting\EC\2017-07-18-refined-times.txt</v>
      </c>
      <c r="AI76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{"issue":{"subject":"","project_id":79,"tracker_id":40,"status_id":1,"priority_id":2,"assigned_to_id":23,"start_date":"2017-07-18","description":"","custom_fields":[{"id":1,"name":"Subdivision","value":"EC"},{"id":4,"name":"Milepost","value":"23.3329"},{"id":17,"name":"Train ID","value":"161-18"},{"id":16,"name":"Locomotive ID","value":"4008"},{"id":130,"name":"Impact","value":""},{"id":150,"name":"Time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4008 --day 2017-07-18</v>
      </c>
      <c r="AN76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652</v>
      </c>
      <c r="B77" s="7">
        <v>4007</v>
      </c>
      <c r="C77" s="21" t="s">
        <v>199</v>
      </c>
      <c r="D77" s="21" t="s">
        <v>523</v>
      </c>
      <c r="E77" s="13">
        <v>42934.506365740737</v>
      </c>
      <c r="F77" s="13">
        <v>42934.508668981478</v>
      </c>
      <c r="G77" s="7">
        <v>1</v>
      </c>
      <c r="H77" s="21" t="s">
        <v>904</v>
      </c>
      <c r="I77" s="13">
        <v>42934.534884259258</v>
      </c>
      <c r="J77" s="7">
        <v>0</v>
      </c>
      <c r="K77" s="89" t="str">
        <f t="shared" ref="K77:K140" si="27">IF(ISEVEN(B77),(B77-1)&amp;"/"&amp;B77,B77&amp;"/"&amp;(B77+1))</f>
        <v>4007/4008</v>
      </c>
      <c r="L77" s="21" t="str">
        <f>VLOOKUP(A77,'Trips&amp;Operators'!$C$1:$G$99999,5,FALSE)</f>
        <v>MOSES BRADLEY</v>
      </c>
      <c r="M77" s="6">
        <f t="shared" ref="M77:M140" si="28">I77-F77</f>
        <v>2.6215277779556345E-2</v>
      </c>
      <c r="N77" s="7">
        <f t="shared" si="25"/>
        <v>37.750000002561137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29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-18T11:09:10-0600',mode:absolute,to:'2017-07-18T13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40" si="32">RIGHT(D77,LEN(D77)-4)/10000</f>
        <v>23.301100000000002</v>
      </c>
      <c r="Z77" s="197">
        <f t="shared" ref="Z77:Z140" si="33">RIGHT(H77,LEN(H77)-4)/10000</f>
        <v>2.3400000000000001E-2</v>
      </c>
      <c r="AA77" s="197">
        <f t="shared" ref="AA77:AA140" si="34">ABS(Z77-Y77)</f>
        <v>23.277700000000003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162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/stypes="app*4007*20170718*"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162-18 --locoid 4007 --swversion DE.1.0.9.0 --startMP 204:233011 --initTime 2017-07-18T12:09:10 --startdatetime 2017-07-18T12:12:29 --delay 1 --endMP 204:234 --enddatetime 2017-07-18T12:50:14 --enforcementcount 0 &gt;&gt;C:\Users\stu\Documents\GitHub\eaglep3-reporting\EC\2017-07-18-refined-times.txt</v>
      </c>
      <c r="AI77" s="96" t="str">
        <f t="shared" si="19"/>
        <v>echo {"issue":{"subject":"","project_id":79,"tracker_id":40,"status_id":1,"priority_id":2,"assigned_to_id":23,"start_date":"2017-07-18","description":"","custom_fields":[{"id":1,"name":"Subdivision","value":"EC"},{"id":4,"name":"Milepost","value":"0.0234"},{"id":17,"name":"Train ID","value":"162-18"},{"id":16,"name":"Locomotive ID","value":"4007"},{"id":130,"name":"Impact","value":""},{"id":150,"name":"Time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4007 --day 2017-07-18</v>
      </c>
      <c r="AN77" s="151" t="str">
        <f t="shared" si="21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649</v>
      </c>
      <c r="B78" s="7">
        <v>4002</v>
      </c>
      <c r="C78" s="21" t="s">
        <v>199</v>
      </c>
      <c r="D78" s="21" t="s">
        <v>350</v>
      </c>
      <c r="E78" s="13">
        <v>42934.474999999999</v>
      </c>
      <c r="F78" s="13">
        <v>42934.479687500003</v>
      </c>
      <c r="G78" s="7">
        <v>4</v>
      </c>
      <c r="H78" s="21" t="s">
        <v>905</v>
      </c>
      <c r="I78" s="13">
        <v>42934.504282407404</v>
      </c>
      <c r="J78" s="7">
        <v>0</v>
      </c>
      <c r="K78" s="89" t="str">
        <f t="shared" si="27"/>
        <v>4001/4002</v>
      </c>
      <c r="L78" s="21" t="str">
        <f>VLOOKUP(A78,'Trips&amp;Operators'!$C$1:$G$99999,5,FALSE)</f>
        <v>PAGE MARCUS</v>
      </c>
      <c r="M78" s="6">
        <f t="shared" si="28"/>
        <v>2.4594907401478849E-2</v>
      </c>
      <c r="N78" s="7">
        <f t="shared" si="25"/>
        <v>35.416666658129543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-18T10:24:00-0600',mode:absolute,to:'2017-07-18T13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4.4699999999999997E-2</v>
      </c>
      <c r="Z78" s="197">
        <f t="shared" si="33"/>
        <v>23.340499999999999</v>
      </c>
      <c r="AA78" s="197">
        <f t="shared" si="34"/>
        <v>23.2958</v>
      </c>
      <c r="AB78" s="54" t="str">
        <f>VLOOKUP(A78,Enforcements!$C$7:$K$13,8,0)</f>
        <v>Speed (6)</v>
      </c>
      <c r="AC78" s="51" t="str">
        <f>VLOOKUP(A78,Enforcements!$C$7:$E$13,3,0)</f>
        <v>PERMANENT SPEED RESTRICTION</v>
      </c>
      <c r="AD78" s="206">
        <f t="shared" si="35"/>
        <v>163</v>
      </c>
      <c r="AE78" s="77" t="str">
        <f t="shared" si="3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78" s="74" t="str">
        <f t="shared" si="37"/>
        <v>"C:\Program Files (x86)\AstroGrep\AstroGrep.exe" /e /r /s /spath="%USERPROFILE%\AppData\Local\Temp\OnboardLogs" /stypes="app*4002*20170718*"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163-18 --locoid 4002 --swversion DE.1.0.9.0 --startMP 204:447 --initTime 2017-07-18T11:24:00 --startdatetime 2017-07-18T11:30:45 --delay 4 --endMP 204:233405 --enddatetime 2017-07-18T12:06:10 --enforcementcount 0 &gt;&gt;C:\Users\stu\Documents\GitHub\eaglep3-reporting\EC\2017-07-18-refined-times.txt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{"issue":{"subject":"","project_id":79,"tracker_id":40,"status_id":1,"priority_id":2,"assigned_to_id":23,"start_date":"2017-07-18","description":"","custom_fields":[{"id":1,"name":"Subdivision","value":"EC"},{"id":4,"name":"Milepost","value":"23.3405"},{"id":17,"name":"Train ID","value":"163-18"},{"id":16,"name":"Locomotive ID","value":"4002"},{"id":130,"name":"Impact","value":""},{"id":150,"name":"Time of Event (Mountain Time)","value":"12:06:10"},{"id":151,"name":"Denver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4002 --day 2017-07-18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653</v>
      </c>
      <c r="B79" s="7">
        <v>4001</v>
      </c>
      <c r="C79" s="21" t="s">
        <v>199</v>
      </c>
      <c r="D79" s="21" t="s">
        <v>906</v>
      </c>
      <c r="E79" s="13">
        <v>42934.506458333337</v>
      </c>
      <c r="F79" s="13">
        <v>42934.518900462965</v>
      </c>
      <c r="G79" s="7">
        <v>2</v>
      </c>
      <c r="H79" s="21" t="s">
        <v>907</v>
      </c>
      <c r="I79" s="13">
        <v>42934.544675925928</v>
      </c>
      <c r="J79" s="7">
        <v>0</v>
      </c>
      <c r="K79" s="89" t="str">
        <f t="shared" si="27"/>
        <v>4001/4002</v>
      </c>
      <c r="L79" s="21" t="str">
        <f>VLOOKUP(A79,'Trips&amp;Operators'!$C$1:$G$99999,5,FALSE)</f>
        <v>PAGE MARCUS</v>
      </c>
      <c r="M79" s="6">
        <f t="shared" si="28"/>
        <v>2.5775462963792961E-2</v>
      </c>
      <c r="N79" s="7">
        <f t="shared" si="25"/>
        <v>37.116666667861864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-18T11:09:18-0600',mode:absolute,to:'2017-07-18T14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23.308399999999999</v>
      </c>
      <c r="Z79" s="197">
        <f t="shared" si="33"/>
        <v>1.2500000000000001E-2</v>
      </c>
      <c r="AA79" s="197">
        <f t="shared" si="34"/>
        <v>23.2959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164</v>
      </c>
      <c r="AE79" s="77" t="str">
        <f t="shared" si="3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79" s="74" t="str">
        <f t="shared" si="37"/>
        <v>"C:\Program Files (x86)\AstroGrep\AstroGrep.exe" /e /r /s /spath="%USERPROFILE%\AppData\Local\Temp\OnboardLogs" /stypes="app*4001*20170718*"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164-18 --locoid 4001 --swversion DE.1.0.9.0 --startMP 204:233084 --initTime 2017-07-18T12:09:18 --startdatetime 2017-07-18T12:27:13 --delay 2 --endMP 204:125 --enddatetime 2017-07-18T13:04:20 --enforcementcount 0 &gt;&gt;C:\Users\stu\Documents\GitHub\eaglep3-reporting\EC\2017-07-18-refined-times.txt</v>
      </c>
      <c r="AI7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{"issue":{"subject":"","project_id":79,"tracker_id":40,"status_id":1,"priority_id":2,"assigned_to_id":23,"start_date":"2017-07-18","description":"","custom_fields":[{"id":1,"name":"Subdivision","value":"EC"},{"id":4,"name":"Milepost","value":"0.0125"},{"id":17,"name":"Train ID","value":"164-18"},{"id":16,"name":"Locomotive ID","value":"4001"},{"id":130,"name":"Impact","value":""},{"id":150,"name":"Time of Event (Mountain Time)","value":"13:04:20"},{"id":151,"name":"Denver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4001 --day 2017-07-18</v>
      </c>
      <c r="AN79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650</v>
      </c>
      <c r="B80" s="7">
        <v>4026</v>
      </c>
      <c r="C80" s="21" t="s">
        <v>199</v>
      </c>
      <c r="D80" s="21" t="s">
        <v>347</v>
      </c>
      <c r="E80" s="13">
        <v>42934.487233796295</v>
      </c>
      <c r="F80" s="13">
        <v>42934.49019675926</v>
      </c>
      <c r="G80" s="7">
        <v>1</v>
      </c>
      <c r="H80" s="21" t="s">
        <v>908</v>
      </c>
      <c r="I80" s="13">
        <v>42934.514525462961</v>
      </c>
      <c r="J80" s="7">
        <v>0</v>
      </c>
      <c r="K80" s="89" t="str">
        <f t="shared" si="27"/>
        <v>4025/4026</v>
      </c>
      <c r="L80" s="21" t="str">
        <f>VLOOKUP(A80,'Trips&amp;Operators'!$C$1:$G$99999,5,FALSE)</f>
        <v>LEVIN SCOTT</v>
      </c>
      <c r="M80" s="6">
        <f t="shared" si="28"/>
        <v>2.4328703701030463E-2</v>
      </c>
      <c r="N80" s="7">
        <f t="shared" si="25"/>
        <v>35.033333329483867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-18T10:41:37-0600',mode:absolute,to:'2017-07-18T13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4.5100000000000001E-2</v>
      </c>
      <c r="Z80" s="197">
        <f t="shared" si="33"/>
        <v>23.3353</v>
      </c>
      <c r="AA80" s="197">
        <f t="shared" si="34"/>
        <v>23.290199999999999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165</v>
      </c>
      <c r="AE80" s="77" t="str">
        <f t="shared" si="36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80" s="74" t="str">
        <f t="shared" si="37"/>
        <v>"C:\Program Files (x86)\AstroGrep\AstroGrep.exe" /e /r /s /spath="%USERPROFILE%\AppData\Local\Temp\OnboardLogs" /stypes="app*4026*20170718*"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165-18 --locoid 4026 --swversion DE.1.0.9.0 --startMP 204:451 --initTime 2017-07-18T11:41:37 --startdatetime 2017-07-18T11:45:53 --delay 1 --endMP 204:233353 --enddatetime 2017-07-18T12:20:55 --enforcementcount 0 &gt;&gt;C:\Users\stu\Documents\GitHub\eaglep3-reporting\EC\2017-07-18-refined-times.txt</v>
      </c>
      <c r="AI8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{"issue":{"subject":"","project_id":79,"tracker_id":40,"status_id":1,"priority_id":2,"assigned_to_id":23,"start_date":"2017-07-18","description":"","custom_fields":[{"id":1,"name":"Subdivision","value":"EC"},{"id":4,"name":"Milepost","value":"23.3353"},{"id":17,"name":"Train ID","value":"165-18"},{"id":16,"name":"Locomotive ID","value":"4026"},{"id":130,"name":"Impact","value":""},{"id":150,"name":"Time of Event (Mountain Time)","value":"12:20:55"},{"id":151,"name":"Denver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4026 --day 2017-07-18</v>
      </c>
      <c r="AN80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4025</v>
      </c>
      <c r="C81" s="21" t="s">
        <v>199</v>
      </c>
      <c r="D81" s="21" t="s">
        <v>523</v>
      </c>
      <c r="E81" s="13">
        <v>42934.526886574073</v>
      </c>
      <c r="F81" s="13">
        <v>42934.529618055552</v>
      </c>
      <c r="G81" s="7">
        <v>1</v>
      </c>
      <c r="H81" s="21" t="s">
        <v>554</v>
      </c>
      <c r="I81" s="13">
        <v>42934.555567129632</v>
      </c>
      <c r="J81" s="7">
        <v>0</v>
      </c>
      <c r="K81" s="89" t="str">
        <f t="shared" si="27"/>
        <v>4025/4026</v>
      </c>
      <c r="L81" s="21" t="str">
        <f>VLOOKUP(A81,'Trips&amp;Operators'!$C$1:$G$99999,5,FALSE)</f>
        <v>LEVIN SCOTT</v>
      </c>
      <c r="M81" s="6">
        <f t="shared" si="28"/>
        <v>2.5949074079107959E-2</v>
      </c>
      <c r="N81" s="7">
        <f t="shared" si="25"/>
        <v>37.366666673915461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-18T11:38:43-0600',mode:absolute,to:'2017-07-18T14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23.301100000000002</v>
      </c>
      <c r="Z81" s="197">
        <f t="shared" si="33"/>
        <v>1.34E-2</v>
      </c>
      <c r="AA81" s="197">
        <f t="shared" si="34"/>
        <v>23.287700000000001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166</v>
      </c>
      <c r="AE81" s="77" t="str">
        <f t="shared" si="36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81" s="74" t="str">
        <f t="shared" si="37"/>
        <v>"C:\Program Files (x86)\AstroGrep\AstroGrep.exe" /e /r /s /spath="%USERPROFILE%\AppData\Local\Temp\OnboardLogs" /stypes="app*4025*20170718*"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166-18 --locoid 4025 --swversion DE.1.0.9.0 --startMP 204:233011 --initTime 2017-07-18T12:38:43 --startdatetime 2017-07-18T12:42:39 --delay 1 --endMP 204:134 --enddatetime 2017-07-18T13:20:01 --enforcementcount 0 &gt;&gt;C:\Users\stu\Documents\GitHub\eaglep3-reporting\EC\2017-07-18-refined-times.txt</v>
      </c>
      <c r="AI8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{"issue":{"subject":"","project_id":79,"tracker_id":40,"status_id":1,"priority_id":2,"assigned_to_id":23,"start_date":"2017-07-18","description":"","custom_fields":[{"id":1,"name":"Subdivision","value":"EC"},{"id":4,"name":"Milepost","value":"0.0134"},{"id":17,"name":"Train ID","value":"166-18"},{"id":16,"name":"Locomotive ID","value":"4025"},{"id":130,"name":"Impact","value":""},{"id":150,"name":"Time of Event (Mountain Time)","value":"13:20:01"},{"id":151,"name":"Denver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4025 --day 2017-07-18</v>
      </c>
      <c r="AN81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754</v>
      </c>
      <c r="B82" s="7">
        <v>4062</v>
      </c>
      <c r="C82" s="21" t="s">
        <v>199</v>
      </c>
      <c r="D82" s="21" t="s">
        <v>413</v>
      </c>
      <c r="E82" s="13">
        <v>42934.497719907406</v>
      </c>
      <c r="F82" s="13">
        <v>42934.500590277778</v>
      </c>
      <c r="G82" s="7">
        <v>2</v>
      </c>
      <c r="H82" s="21" t="s">
        <v>909</v>
      </c>
      <c r="I82" s="13">
        <v>42934.526516203703</v>
      </c>
      <c r="J82" s="7">
        <v>0</v>
      </c>
      <c r="K82" s="89" t="str">
        <f t="shared" si="27"/>
        <v>4061/4062</v>
      </c>
      <c r="L82" s="21" t="str">
        <f>VLOOKUP(A82,'Trips&amp;Operators'!$C$1:$G$99999,5,FALSE)</f>
        <v>ANDERS STEVEN</v>
      </c>
      <c r="M82" s="6">
        <f t="shared" si="28"/>
        <v>2.5925925925548654E-2</v>
      </c>
      <c r="N82" s="7">
        <f t="shared" si="25"/>
        <v>37.333333332790062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-18T10:56:43-0600',mode:absolute,to:'2017-07-18T13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4.58E-2</v>
      </c>
      <c r="Z82" s="197">
        <f t="shared" si="33"/>
        <v>23.3324</v>
      </c>
      <c r="AA82" s="197">
        <f t="shared" si="34"/>
        <v>23.2866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167</v>
      </c>
      <c r="AE82" s="77" t="str">
        <f t="shared" si="3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82" s="74" t="str">
        <f t="shared" si="37"/>
        <v>"C:\Program Files (x86)\AstroGrep\AstroGrep.exe" /e /r /s /spath="%USERPROFILE%\AppData\Local\Temp\OnboardLogs" /stypes="app*4062*20170718*"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167-18 --locoid 4062 --swversion DE.1.0.9.0 --startMP 204:458 --initTime 2017-07-18T11:56:43 --startdatetime 2017-07-18T12:00:51 --delay 2 --endMP 204:233324 --enddatetime 2017-07-18T12:38:11 --enforcementcount 0 &gt;&gt;C:\Users\stu\Documents\GitHub\eaglep3-reporting\EC\2017-07-18-refined-times.txt</v>
      </c>
      <c r="AI8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{"issue":{"subject":"","project_id":79,"tracker_id":40,"status_id":1,"priority_id":2,"assigned_to_id":23,"start_date":"2017-07-18","description":"","custom_fields":[{"id":1,"name":"Subdivision","value":"EC"},{"id":4,"name":"Milepost","value":"23.3324"},{"id":17,"name":"Train ID","value":"167-18"},{"id":16,"name":"Locomotive ID","value":"4062"},{"id":130,"name":"Impact","value":""},{"id":150,"name":"Time of Event (Mountain Time)","value":"12:38:11"},{"id":151,"name":"Denver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4062 --day 2017-07-18</v>
      </c>
      <c r="AN82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760</v>
      </c>
      <c r="B83" s="7">
        <v>4061</v>
      </c>
      <c r="C83" s="21" t="s">
        <v>199</v>
      </c>
      <c r="D83" s="21" t="s">
        <v>556</v>
      </c>
      <c r="E83" s="13">
        <v>42934.533553240741</v>
      </c>
      <c r="F83" s="13">
        <v>42934.539965277778</v>
      </c>
      <c r="G83" s="7">
        <v>1</v>
      </c>
      <c r="H83" s="21" t="s">
        <v>554</v>
      </c>
      <c r="I83" s="13">
        <v>42934.570775462962</v>
      </c>
      <c r="J83" s="7">
        <v>0</v>
      </c>
      <c r="K83" s="89" t="str">
        <f t="shared" si="27"/>
        <v>4061/4062</v>
      </c>
      <c r="L83" s="21" t="str">
        <f>VLOOKUP(A83,'Trips&amp;Operators'!$C$1:$G$99999,5,FALSE)</f>
        <v>ANDERS STEVEN</v>
      </c>
      <c r="M83" s="6">
        <f t="shared" si="28"/>
        <v>3.0810185184236616E-2</v>
      </c>
      <c r="N83" s="7">
        <f t="shared" si="25"/>
        <v>44.366666665300727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-18T11:48:19-0600',mode:absolute,to:'2017-07-18T14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23.296700000000001</v>
      </c>
      <c r="Z83" s="197">
        <f t="shared" si="33"/>
        <v>1.34E-2</v>
      </c>
      <c r="AA83" s="197">
        <f t="shared" si="34"/>
        <v>23.283300000000001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168</v>
      </c>
      <c r="AE83" s="77" t="str">
        <f t="shared" si="3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83" s="74" t="str">
        <f t="shared" si="37"/>
        <v>"C:\Program Files (x86)\AstroGrep\AstroGrep.exe" /e /r /s /spath="%USERPROFILE%\AppData\Local\Temp\OnboardLogs" /stypes="app*4061*20170718*"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168-18 --locoid 4061 --swversion DE.1.0.9.0 --startMP 204:232967 --initTime 2017-07-18T12:48:19 --startdatetime 2017-07-18T12:57:33 --delay 1 --endMP 204:134 --enddatetime 2017-07-18T13:41:55 --enforcementcount 0 &gt;&gt;C:\Users\stu\Documents\GitHub\eaglep3-reporting\EC\2017-07-18-refined-times.txt</v>
      </c>
      <c r="AI8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{"issue":{"subject":"","project_id":79,"tracker_id":40,"status_id":1,"priority_id":2,"assigned_to_id":23,"start_date":"2017-07-18","description":"","custom_fields":[{"id":1,"name":"Subdivision","value":"EC"},{"id":4,"name":"Milepost","value":"0.0134"},{"id":17,"name":"Train ID","value":"168-18"},{"id":16,"name":"Locomotive ID","value":"4061"},{"id":130,"name":"Impact","value":""},{"id":150,"name":"Time of Event (Mountain Time)","value":"13:41:55"},{"id":151,"name":"Denver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4061 --day 2017-07-18</v>
      </c>
      <c r="AN83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755</v>
      </c>
      <c r="B84" s="7">
        <v>4064</v>
      </c>
      <c r="C84" s="21" t="s">
        <v>199</v>
      </c>
      <c r="D84" s="21" t="s">
        <v>416</v>
      </c>
      <c r="E84" s="13">
        <v>42934.507233796299</v>
      </c>
      <c r="F84" s="13">
        <v>42934.511145833334</v>
      </c>
      <c r="G84" s="7">
        <v>1</v>
      </c>
      <c r="H84" s="21" t="s">
        <v>910</v>
      </c>
      <c r="I84" s="13">
        <v>42934.53701388889</v>
      </c>
      <c r="J84" s="7">
        <v>0</v>
      </c>
      <c r="K84" s="89" t="str">
        <f t="shared" si="27"/>
        <v>4063/4064</v>
      </c>
      <c r="L84" s="21" t="str">
        <f>VLOOKUP(A84,'Trips&amp;Operators'!$C$1:$G$99999,5,FALSE)</f>
        <v>THOMPSON LESTER</v>
      </c>
      <c r="M84" s="6">
        <f t="shared" si="28"/>
        <v>2.5868055556202307E-2</v>
      </c>
      <c r="N84" s="7">
        <f t="shared" si="25"/>
        <v>37.250000000931323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-18T11:10:25-0600',mode:absolute,to:'2017-07-18T13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4.4400000000000002E-2</v>
      </c>
      <c r="Z84" s="197">
        <f t="shared" si="33"/>
        <v>23.333600000000001</v>
      </c>
      <c r="AA84" s="197">
        <f t="shared" si="34"/>
        <v>23.289200000000001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169</v>
      </c>
      <c r="AE84" s="77" t="str">
        <f t="shared" si="36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84" s="74" t="str">
        <f t="shared" si="37"/>
        <v>"C:\Program Files (x86)\AstroGrep\AstroGrep.exe" /e /r /s /spath="%USERPROFILE%\AppData\Local\Temp\OnboardLogs" /stypes="app*4064*20170718*" /stext=" 18:.+((SYSTEM_STATE.+slice.+state.+changed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169-18 --locoid 4064 --swversion DE.1.0.9.0 --startMP 204:444 --initTime 2017-07-18T12:10:25 --startdatetime 2017-07-18T12:16:03 --delay 1 --endMP 204:233336 --enddatetime 2017-07-18T12:53:18 --enforcementcount 0 &gt;&gt;C:\Users\stu\Documents\GitHub\eaglep3-reporting\EC\2017-07-18-refined-times.txt</v>
      </c>
      <c r="AI8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{"issue":{"subject":"","project_id":79,"tracker_id":40,"status_id":1,"priority_id":2,"assigned_to_id":23,"start_date":"2017-07-18","description":"","custom_fields":[{"id":1,"name":"Subdivision","value":"EC"},{"id":4,"name":"Milepost","value":"23.3336"},{"id":17,"name":"Train ID","value":"169-18"},{"id":16,"name":"Locomotive ID","value":"4064"},{"id":130,"name":"Impact","value":""},{"id":150,"name":"Time of Event (Mountain Time)","value":"12:53:18"},{"id":151,"name":"Denver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4064 --day 2017-07-18</v>
      </c>
      <c r="AN84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765</v>
      </c>
      <c r="B85" s="7">
        <v>4063</v>
      </c>
      <c r="C85" s="21" t="s">
        <v>199</v>
      </c>
      <c r="D85" s="21" t="s">
        <v>495</v>
      </c>
      <c r="E85" s="13">
        <v>42934.547673611109</v>
      </c>
      <c r="F85" s="13">
        <v>42934.550717592596</v>
      </c>
      <c r="G85" s="7">
        <v>1</v>
      </c>
      <c r="H85" s="21" t="s">
        <v>344</v>
      </c>
      <c r="I85" s="13">
        <v>42934.580740740741</v>
      </c>
      <c r="J85" s="7">
        <v>0</v>
      </c>
      <c r="K85" s="89" t="str">
        <f t="shared" si="27"/>
        <v>4063/4064</v>
      </c>
      <c r="L85" s="21" t="str">
        <f>VLOOKUP(A85,'Trips&amp;Operators'!$C$1:$G$99999,5,FALSE)</f>
        <v>THOMPSON LESTER</v>
      </c>
      <c r="M85" s="6">
        <f t="shared" si="28"/>
        <v>3.0023148145119194E-2</v>
      </c>
      <c r="N85" s="7">
        <f t="shared" si="25"/>
        <v>43.233333328971639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-18T12:08:39-0600',mode:absolute,to:'2017-07-18T14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23.299399999999999</v>
      </c>
      <c r="Z85" s="197">
        <f t="shared" si="33"/>
        <v>1.49E-2</v>
      </c>
      <c r="AA85" s="197">
        <f t="shared" si="34"/>
        <v>23.284499999999998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170</v>
      </c>
      <c r="AE85" s="77" t="str">
        <f t="shared" si="36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85" s="74" t="str">
        <f t="shared" si="37"/>
        <v>"C:\Program Files (x86)\AstroGrep\AstroGrep.exe" /e /r /s /spath="%USERPROFILE%\AppData\Local\Temp\OnboardLogs" /stypes="app*4063*20170718*"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170-18 --locoid 4063 --swversion DE.1.0.9.0 --startMP 204:232994 --initTime 2017-07-18T13:08:39 --startdatetime 2017-07-18T13:13:02 --delay 1 --endMP 204:149 --enddatetime 2017-07-18T13:56:16 --enforcementcount 0 &gt;&gt;C:\Users\stu\Documents\GitHub\eaglep3-reporting\EC\2017-07-18-refined-times.txt</v>
      </c>
      <c r="AI8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{"issue":{"subject":"","project_id":79,"tracker_id":40,"status_id":1,"priority_id":2,"assigned_to_id":23,"start_date":"2017-07-18","description":"","custom_fields":[{"id":1,"name":"Subdivision","value":"EC"},{"id":4,"name":"Milepost","value":"0.0149"},{"id":17,"name":"Train ID","value":"170-18"},{"id":16,"name":"Locomotive ID","value":"4063"},{"id":130,"name":"Impact","value":""},{"id":150,"name":"Time of Event (Mountain Time)","value":"13:56:16"},{"id":151,"name":"Denver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4063 --day 2017-07-18</v>
      </c>
      <c r="AN85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757</v>
      </c>
      <c r="B86" s="7">
        <v>4012</v>
      </c>
      <c r="C86" s="21" t="s">
        <v>199</v>
      </c>
      <c r="D86" s="21" t="s">
        <v>911</v>
      </c>
      <c r="E86" s="13">
        <v>42934.524699074071</v>
      </c>
      <c r="F86" s="13">
        <v>42934.525636574072</v>
      </c>
      <c r="G86" s="7">
        <v>1</v>
      </c>
      <c r="H86" s="21" t="s">
        <v>497</v>
      </c>
      <c r="I86" s="13">
        <v>42934.545949074076</v>
      </c>
      <c r="J86" s="7">
        <v>0</v>
      </c>
      <c r="K86" s="89" t="str">
        <f t="shared" si="27"/>
        <v>4011/4012</v>
      </c>
      <c r="L86" s="21" t="str">
        <f>VLOOKUP(A86,'Trips&amp;Operators'!$C$1:$G$99999,5,FALSE)</f>
        <v>NEWELL JAMES</v>
      </c>
      <c r="M86" s="6">
        <f t="shared" si="28"/>
        <v>2.0312500004365575E-2</v>
      </c>
      <c r="N86" s="7"/>
      <c r="O86" s="7"/>
      <c r="P86" s="7">
        <f>24*60*SUM($M86:$M86)</f>
        <v>29.250000006286427</v>
      </c>
      <c r="Q86" s="22"/>
      <c r="R86" s="170" t="s">
        <v>627</v>
      </c>
      <c r="S86" s="213">
        <f t="shared" si="26"/>
        <v>1</v>
      </c>
      <c r="T86" s="195" t="str">
        <f t="shared" si="29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-18T11:35:34-0600',mode:absolute,to:'2017-07-18T14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197" t="str">
        <f>IF(AA86&lt;VLOOKUP(AG86,Variables!$AC$3:$AD$8,2,FALSE),"Y","N")</f>
        <v>Y</v>
      </c>
      <c r="X86" s="197">
        <f t="shared" si="31"/>
        <v>1</v>
      </c>
      <c r="Y86" s="197">
        <f t="shared" si="32"/>
        <v>1.9123000000000001</v>
      </c>
      <c r="Z86" s="197">
        <f t="shared" si="33"/>
        <v>23.330500000000001</v>
      </c>
      <c r="AA86" s="197">
        <f t="shared" si="34"/>
        <v>21.418199999999999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171</v>
      </c>
      <c r="AE86" s="77" t="str">
        <f t="shared" si="36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86" s="74" t="str">
        <f t="shared" si="37"/>
        <v>"C:\Program Files (x86)\AstroGrep\AstroGrep.exe" /e /r /s /spath="%USERPROFILE%\AppData\Local\Temp\OnboardLogs" /stypes="app*4012*20170718*"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171-18 --locoid 4012 --swversion DE.1.0.9.0 --startMP 204:19123 --initTime 2017-07-18T12:35:34 --startdatetime 2017-07-18T12:36:55 --delay 1 --endMP 204:233305 --enddatetime 2017-07-18T13:06:10 --enforcementcount 0 &gt;&gt;C:\Users\stu\Documents\GitHub\eaglep3-reporting\EC\2017-07-18-refined-times.txt</v>
      </c>
      <c r="AI86" s="96" t="str">
        <f t="shared" si="40"/>
        <v>echo {"issue":{"subject":"Selected wrong track","project_id":79,"tracker_id":40,"status_id":1,"priority_id":2,"assigned_to_id":23,"start_date":"2017-07-18","description":"","custom_fields":[{"id":1,"name":"Subdivision","value":"EC"},{"id":4,"name":"Milepost","value":"23.3305"},{"id":17,"name":"Train ID","value":"171-18"},{"id":16,"name":"Locomotive ID","value":"4012"},{"id":130,"name":"Impact","value":""},{"id":150,"name":"Time of Event (Mountain Time)","value":"13:06:10"},{"id":151,"name":"Denver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4012 --day 2017-07-18</v>
      </c>
      <c r="AN86" s="151" t="str">
        <f t="shared" si="42"/>
        <v>echo {"issue":{"subject":"Selected wrong track","project_id":30,"tracker_id":4,"status_id":1,"priority_id":1,"assigned_to_id":10,"start_date":"2017-07-18","description":"","custom_fields":[{"id":30,"name":"Category","value":"Issue"},{"id":3,"name":"Functional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4012</v>
      </c>
      <c r="C87" s="21" t="s">
        <v>199</v>
      </c>
      <c r="D87" s="21" t="s">
        <v>882</v>
      </c>
      <c r="E87" s="13">
        <v>42934.516087962962</v>
      </c>
      <c r="F87" s="13">
        <v>42934.525636574072</v>
      </c>
      <c r="G87" s="7">
        <v>1</v>
      </c>
      <c r="H87" s="21" t="s">
        <v>912</v>
      </c>
      <c r="I87" s="13">
        <v>42934.545949074076</v>
      </c>
      <c r="J87" s="7">
        <v>0</v>
      </c>
      <c r="K87" s="89" t="str">
        <f t="shared" si="27"/>
        <v>4011/4012</v>
      </c>
      <c r="L87" s="21" t="str">
        <f>VLOOKUP(A87,'Trips&amp;Operators'!$C$1:$G$99999,5,FALSE)</f>
        <v>NEWELL JAMES</v>
      </c>
      <c r="M87" s="6">
        <f t="shared" si="28"/>
        <v>2.0312500004365575E-2</v>
      </c>
      <c r="N87" s="7"/>
      <c r="O87" s="7"/>
      <c r="P87" s="7"/>
      <c r="Q87" s="22"/>
      <c r="R87" s="170"/>
      <c r="S87" s="213">
        <f t="shared" si="26"/>
        <v>0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-18T11:23:10-0600',mode:absolute,to:'2017-07-18T14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7" t="str">
        <f>IF(AA87&lt;VLOOKUP(AG87,Variables!$AC$3:$AD$8,2,FALSE),"Y","N")</f>
        <v>Y</v>
      </c>
      <c r="X87" s="197">
        <f t="shared" si="31"/>
        <v>0</v>
      </c>
      <c r="Y87" s="197">
        <f t="shared" si="32"/>
        <v>4.3999999999999997E-2</v>
      </c>
      <c r="Z87" s="197">
        <f t="shared" si="33"/>
        <v>0.1231</v>
      </c>
      <c r="AA87" s="197">
        <f t="shared" si="34"/>
        <v>7.9100000000000004E-2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171</v>
      </c>
      <c r="AE87" s="77" t="str">
        <f t="shared" si="36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87" s="74" t="str">
        <f t="shared" si="37"/>
        <v>"C:\Program Files (x86)\AstroGrep\AstroGrep.exe" /e /r /s /spath="%USERPROFILE%\AppData\Local\Temp\OnboardLogs" /stypes="app*4012*20170718*"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171-18 --locoid 4012 --swversion DE.1.0.9.0 --startMP 204:440 --initTime 2017-07-18T12:23:10 --startdatetime 2017-07-18T12:36:55 --delay 1 --endMP 204:1231 --enddatetime 2017-07-18T13:06:10 --enforcementcount 0 &gt;&gt;C:\Users\stu\Documents\GitHub\eaglep3-reporting\EC\2017-07-18-refined-times.txt</v>
      </c>
      <c r="AI8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{"issue":{"subject":"","project_id":79,"tracker_id":40,"status_id":1,"priority_id":2,"assigned_to_id":23,"start_date":"2017-07-18","description":"","custom_fields":[{"id":1,"name":"Subdivision","value":"EC"},{"id":4,"name":"Milepost","value":"0.1231"},{"id":17,"name":"Train ID","value":"171-18"},{"id":16,"name":"Locomotive ID","value":"4012"},{"id":130,"name":"Impact","value":""},{"id":150,"name":"Time of Event (Mountain Time)","value":"13:06:10"},{"id":151,"name":"Denver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4012 --day 2017-07-18</v>
      </c>
      <c r="AN87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764</v>
      </c>
      <c r="B88" s="7">
        <v>4011</v>
      </c>
      <c r="C88" s="21" t="s">
        <v>199</v>
      </c>
      <c r="D88" s="21" t="s">
        <v>432</v>
      </c>
      <c r="E88" s="13">
        <v>42934.547523148147</v>
      </c>
      <c r="F88" s="13">
        <v>42934.560567129629</v>
      </c>
      <c r="G88" s="7">
        <v>1</v>
      </c>
      <c r="H88" s="21" t="s">
        <v>913</v>
      </c>
      <c r="I88" s="13">
        <v>42934.588784722226</v>
      </c>
      <c r="J88" s="7">
        <v>0</v>
      </c>
      <c r="K88" s="89" t="str">
        <f t="shared" si="27"/>
        <v>4011/4012</v>
      </c>
      <c r="L88" s="21" t="str">
        <f>VLOOKUP(A88,'Trips&amp;Operators'!$C$1:$G$99999,5,FALSE)</f>
        <v>NEWELL JAMES</v>
      </c>
      <c r="M88" s="6">
        <f t="shared" si="28"/>
        <v>2.8217592596774921E-2</v>
      </c>
      <c r="N88" s="7">
        <f t="shared" ref="N88:N119" si="43">24*60*SUM($M88:$M88)</f>
        <v>40.633333339355886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-18T12:08:26-0600',mode:absolute,to:'2017-07-18T15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23.2971</v>
      </c>
      <c r="Z88" s="197">
        <f t="shared" si="33"/>
        <v>8.7099999999999997E-2</v>
      </c>
      <c r="AA88" s="197">
        <f t="shared" si="34"/>
        <v>23.21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172</v>
      </c>
      <c r="AE88" s="77" t="str">
        <f t="shared" si="36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88" s="74" t="str">
        <f t="shared" si="37"/>
        <v>"C:\Program Files (x86)\AstroGrep\AstroGrep.exe" /e /r /s /spath="%USERPROFILE%\AppData\Local\Temp\OnboardLogs" /stypes="app*4011*20170718*"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172-18 --locoid 4011 --swversion DE.1.0.9.0 --startMP 204:232971 --initTime 2017-07-18T13:08:26 --startdatetime 2017-07-18T13:27:13 --delay 1 --endMP 204:871 --enddatetime 2017-07-18T14:07:51 --enforcementcount 0 &gt;&gt;C:\Users\stu\Documents\GitHub\eaglep3-reporting\EC\2017-07-18-refined-times.txt</v>
      </c>
      <c r="AI8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{"issue":{"subject":"","project_id":79,"tracker_id":40,"status_id":1,"priority_id":2,"assigned_to_id":23,"start_date":"2017-07-18","description":"","custom_fields":[{"id":1,"name":"Subdivision","value":"EC"},{"id":4,"name":"Milepost","value":"0.0871"},{"id":17,"name":"Train ID","value":"172-18"},{"id":16,"name":"Locomotive ID","value":"4011"},{"id":130,"name":"Impact","value":""},{"id":150,"name":"Time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4011 --day 2017-07-18</v>
      </c>
      <c r="AN88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759</v>
      </c>
      <c r="B89" s="7">
        <v>4006</v>
      </c>
      <c r="C89" s="21" t="s">
        <v>199</v>
      </c>
      <c r="D89" s="21" t="s">
        <v>496</v>
      </c>
      <c r="E89" s="13">
        <v>42934.527430555558</v>
      </c>
      <c r="F89" s="13">
        <v>42934.531782407408</v>
      </c>
      <c r="G89" s="7">
        <v>2</v>
      </c>
      <c r="H89" s="21" t="s">
        <v>543</v>
      </c>
      <c r="I89" s="13">
        <v>42934.556435185186</v>
      </c>
      <c r="J89" s="7">
        <v>0</v>
      </c>
      <c r="K89" s="89" t="str">
        <f t="shared" si="27"/>
        <v>4005/4006</v>
      </c>
      <c r="L89" s="21" t="str">
        <f>VLOOKUP(A89,'Trips&amp;Operators'!$C$1:$G$99999,5,FALSE)</f>
        <v>MCREYNOLDS KYLE</v>
      </c>
      <c r="M89" s="6">
        <f t="shared" si="28"/>
        <v>2.4652777778101154E-2</v>
      </c>
      <c r="N89" s="7">
        <f t="shared" si="43"/>
        <v>35.500000000465661</v>
      </c>
      <c r="O89" s="7"/>
      <c r="P89" s="7"/>
      <c r="Q89" s="22"/>
      <c r="R89" s="170"/>
      <c r="S89" s="213">
        <f t="shared" si="26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-18T11:39:30-0600',mode:absolute,to:'2017-07-18T14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4.6699999999999998E-2</v>
      </c>
      <c r="Z89" s="197">
        <f t="shared" si="33"/>
        <v>23.330400000000001</v>
      </c>
      <c r="AA89" s="197">
        <f t="shared" si="34"/>
        <v>23.2837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173</v>
      </c>
      <c r="AE89" s="77" t="str">
        <f t="shared" si="36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89" s="74" t="str">
        <f t="shared" si="37"/>
        <v>"C:\Program Files (x86)\AstroGrep\AstroGrep.exe" /e /r /s /spath="%USERPROFILE%\AppData\Local\Temp\OnboardLogs" /stypes="app*4006*20170718*"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173-18 --locoid 4006 --swversion DE.1.0.9.0 --startMP 204:467 --initTime 2017-07-18T12:39:30 --startdatetime 2017-07-18T12:45:46 --delay 2 --endMP 204:233304 --enddatetime 2017-07-18T13:21:16 --enforcementcount 0 &gt;&gt;C:\Users\stu\Documents\GitHub\eaglep3-reporting\EC\2017-07-18-refined-times.txt</v>
      </c>
      <c r="AI8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{"issue":{"subject":"","project_id":79,"tracker_id":40,"status_id":1,"priority_id":2,"assigned_to_id":23,"start_date":"2017-07-18","description":"","custom_fields":[{"id":1,"name":"Subdivision","value":"EC"},{"id":4,"name":"Milepost","value":"23.3304"},{"id":17,"name":"Train ID","value":"173-18"},{"id":16,"name":"Locomotive ID","value":"4006"},{"id":130,"name":"Impact","value":""},{"id":150,"name":"Time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4006 --day 2017-07-18</v>
      </c>
      <c r="AN89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767</v>
      </c>
      <c r="B90" s="7">
        <v>4005</v>
      </c>
      <c r="C90" s="21" t="s">
        <v>199</v>
      </c>
      <c r="D90" s="21" t="s">
        <v>914</v>
      </c>
      <c r="E90" s="13">
        <v>42934.565821759257</v>
      </c>
      <c r="F90" s="13">
        <v>42934.571018518516</v>
      </c>
      <c r="G90" s="7">
        <v>1</v>
      </c>
      <c r="H90" s="21" t="s">
        <v>381</v>
      </c>
      <c r="I90" s="13">
        <v>42934.601215277777</v>
      </c>
      <c r="J90" s="7">
        <v>0</v>
      </c>
      <c r="K90" s="89" t="str">
        <f t="shared" si="27"/>
        <v>4005/4006</v>
      </c>
      <c r="L90" s="21" t="str">
        <f>VLOOKUP(A90,'Trips&amp;Operators'!$C$1:$G$99999,5,FALSE)</f>
        <v>MCREYNOLDS KYLE</v>
      </c>
      <c r="M90" s="6">
        <f t="shared" si="28"/>
        <v>3.0196759260434192E-2</v>
      </c>
      <c r="N90" s="7">
        <f t="shared" si="43"/>
        <v>43.483333335025236</v>
      </c>
      <c r="O90" s="7"/>
      <c r="P90" s="7"/>
      <c r="Q90" s="22"/>
      <c r="R90" s="170"/>
      <c r="S90" s="213">
        <f t="shared" si="26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-18T12:34:47-0600',mode:absolute,to:'2017-07-18T15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23.299099999999999</v>
      </c>
      <c r="Z90" s="197">
        <f t="shared" si="33"/>
        <v>1.54E-2</v>
      </c>
      <c r="AA90" s="197">
        <f t="shared" si="34"/>
        <v>23.2837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174</v>
      </c>
      <c r="AE90" s="77" t="str">
        <f t="shared" si="36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90" s="74" t="str">
        <f t="shared" si="37"/>
        <v>"C:\Program Files (x86)\AstroGrep\AstroGrep.exe" /e /r /s /spath="%USERPROFILE%\AppData\Local\Temp\OnboardLogs" /stypes="app*4005*20170718*"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174-18 --locoid 4005 --swversion DE.1.0.9.0 --startMP 204:232991 --initTime 2017-07-18T13:34:47 --startdatetime 2017-07-18T13:42:16 --delay 1 --endMP 204:154 --enddatetime 2017-07-18T14:25:45 --enforcementcount 0 &gt;&gt;C:\Users\stu\Documents\GitHub\eaglep3-reporting\EC\2017-07-18-refined-times.txt</v>
      </c>
      <c r="AI9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{"issue":{"subject":"","project_id":79,"tracker_id":40,"status_id":1,"priority_id":2,"assigned_to_id":23,"start_date":"2017-07-18","description":"","custom_fields":[{"id":1,"name":"Subdivision","value":"EC"},{"id":4,"name":"Milepost","value":"0.0154"},{"id":17,"name":"Train ID","value":"174-18"},{"id":16,"name":"Locomotive ID","value":"4005"},{"id":130,"name":"Impact","value":""},{"id":150,"name":"Time of Event (Mountain Time)","value":"14:25:45"},{"id":151,"name":"Denver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4005 --day 2017-07-18</v>
      </c>
      <c r="AN90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761</v>
      </c>
      <c r="B91" s="7">
        <v>4008</v>
      </c>
      <c r="C91" s="21" t="s">
        <v>199</v>
      </c>
      <c r="D91" s="21" t="s">
        <v>915</v>
      </c>
      <c r="E91" s="13">
        <v>42934.539594907408</v>
      </c>
      <c r="F91" s="13">
        <v>42934.542291666665</v>
      </c>
      <c r="G91" s="7">
        <v>1</v>
      </c>
      <c r="H91" s="21" t="s">
        <v>916</v>
      </c>
      <c r="I91" s="13">
        <v>42934.566504629627</v>
      </c>
      <c r="J91" s="7">
        <v>0</v>
      </c>
      <c r="K91" s="89" t="str">
        <f t="shared" si="27"/>
        <v>4007/4008</v>
      </c>
      <c r="L91" s="21" t="str">
        <f>VLOOKUP(A91,'Trips&amp;Operators'!$C$1:$G$99999,5,FALSE)</f>
        <v>MOSES BRADLEY</v>
      </c>
      <c r="M91" s="6">
        <f t="shared" si="28"/>
        <v>2.421296296233777E-2</v>
      </c>
      <c r="N91" s="7">
        <f t="shared" si="43"/>
        <v>34.866666665766388</v>
      </c>
      <c r="O91" s="7"/>
      <c r="P91" s="7"/>
      <c r="Q91" s="22"/>
      <c r="R91" s="170"/>
      <c r="S91" s="213">
        <f t="shared" si="26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-18T11:57:01-0600',mode:absolute,to:'2017-07-18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5.3699999999999998E-2</v>
      </c>
      <c r="Z91" s="197">
        <f t="shared" si="33"/>
        <v>23.332000000000001</v>
      </c>
      <c r="AA91" s="197">
        <f t="shared" si="34"/>
        <v>23.278300000000002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175</v>
      </c>
      <c r="AE91" s="77" t="str">
        <f t="shared" si="36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91" s="74" t="str">
        <f t="shared" si="37"/>
        <v>"C:\Program Files (x86)\AstroGrep\AstroGrep.exe" /e /r /s /spath="%USERPROFILE%\AppData\Local\Temp\OnboardLogs" /stypes="app*4008*20170718*"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175-18 --locoid 4008 --swversion DE.1.0.9.0 --startMP 204:537 --initTime 2017-07-18T12:57:01 --startdatetime 2017-07-18T13:00:54 --delay 1 --endMP 204:233320 --enddatetime 2017-07-18T13:35:46 --enforcementcount 0 &gt;&gt;C:\Users\stu\Documents\GitHub\eaglep3-reporting\EC\2017-07-18-refined-times.txt</v>
      </c>
      <c r="AI9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{"issue":{"subject":"","project_id":79,"tracker_id":40,"status_id":1,"priority_id":2,"assigned_to_id":23,"start_date":"2017-07-18","description":"","custom_fields":[{"id":1,"name":"Subdivision","value":"EC"},{"id":4,"name":"Milepost","value":"23.332"},{"id":17,"name":"Train ID","value":"175-18"},{"id":16,"name":"Locomotive ID","value":"4008"},{"id":130,"name":"Impact","value":""},{"id":150,"name":"Time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4008 --day 2017-07-18</v>
      </c>
      <c r="AN91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770</v>
      </c>
      <c r="B92" s="7">
        <v>4007</v>
      </c>
      <c r="C92" s="21" t="s">
        <v>199</v>
      </c>
      <c r="D92" s="21" t="s">
        <v>396</v>
      </c>
      <c r="E92" s="13">
        <v>42934.577546296299</v>
      </c>
      <c r="F92" s="13">
        <v>42934.581597222219</v>
      </c>
      <c r="G92" s="7">
        <v>1</v>
      </c>
      <c r="H92" s="21" t="s">
        <v>399</v>
      </c>
      <c r="I92" s="13">
        <v>42934.609224537038</v>
      </c>
      <c r="J92" s="7">
        <v>0</v>
      </c>
      <c r="K92" s="89" t="str">
        <f t="shared" si="27"/>
        <v>4007/4008</v>
      </c>
      <c r="L92" s="21" t="str">
        <f>VLOOKUP(A92,'Trips&amp;Operators'!$C$1:$G$99999,5,FALSE)</f>
        <v>MOSES BRADLEY</v>
      </c>
      <c r="M92" s="6">
        <f t="shared" si="28"/>
        <v>2.7627314819255844E-2</v>
      </c>
      <c r="N92" s="7">
        <f t="shared" si="43"/>
        <v>39.783333339728415</v>
      </c>
      <c r="O92" s="7"/>
      <c r="P92" s="7"/>
      <c r="Q92" s="22"/>
      <c r="R92" s="170"/>
      <c r="S92" s="213">
        <f t="shared" si="26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-18T12:51:40-0600',mode:absolute,to:'2017-07-18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23.299600000000002</v>
      </c>
      <c r="Z92" s="197">
        <f t="shared" si="33"/>
        <v>1.38E-2</v>
      </c>
      <c r="AA92" s="197">
        <f t="shared" si="34"/>
        <v>23.285800000000002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176</v>
      </c>
      <c r="AE92" s="77" t="str">
        <f t="shared" si="3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92" s="74" t="str">
        <f t="shared" si="37"/>
        <v>"C:\Program Files (x86)\AstroGrep\AstroGrep.exe" /e /r /s /spath="%USERPROFILE%\AppData\Local\Temp\OnboardLogs" /stypes="app*4007*20170718*"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176-18 --locoid 4007 --swversion DE.1.0.9.0 --startMP 204:232996 --initTime 2017-07-18T13:51:40 --startdatetime 2017-07-18T13:57:30 --delay 1 --endMP 204:138 --enddatetime 2017-07-18T14:37:17 --enforcementcount 0 &gt;&gt;C:\Users\stu\Documents\GitHub\eaglep3-reporting\EC\2017-07-18-refined-times.txt</v>
      </c>
      <c r="AI9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{"issue":{"subject":"","project_id":79,"tracker_id":40,"status_id":1,"priority_id":2,"assigned_to_id":23,"start_date":"2017-07-18","description":"","custom_fields":[{"id":1,"name":"Subdivision","value":"EC"},{"id":4,"name":"Milepost","value":"0.0138"},{"id":17,"name":"Train ID","value":"176-18"},{"id":16,"name":"Locomotive ID","value":"4007"},{"id":130,"name":"Impact","value":""},{"id":150,"name":"Time of Event (Mountain Time)","value":"14:37:17"},{"id":151,"name":"Denver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4007 --day 2017-07-18</v>
      </c>
      <c r="AN92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762</v>
      </c>
      <c r="B93" s="7">
        <v>4002</v>
      </c>
      <c r="C93" s="21" t="s">
        <v>199</v>
      </c>
      <c r="D93" s="21" t="s">
        <v>544</v>
      </c>
      <c r="E93" s="13">
        <v>42934.547037037039</v>
      </c>
      <c r="F93" s="13">
        <v>42934.553240740737</v>
      </c>
      <c r="G93" s="7">
        <v>1</v>
      </c>
      <c r="H93" s="21" t="s">
        <v>917</v>
      </c>
      <c r="I93" s="13">
        <v>42934.581342592595</v>
      </c>
      <c r="J93" s="7">
        <v>0</v>
      </c>
      <c r="K93" s="89" t="str">
        <f t="shared" si="27"/>
        <v>4001/4002</v>
      </c>
      <c r="L93" s="21" t="str">
        <f>VLOOKUP(A93,'Trips&amp;Operators'!$C$1:$G$99999,5,FALSE)</f>
        <v>PAGE MARCUS</v>
      </c>
      <c r="M93" s="6">
        <f t="shared" si="28"/>
        <v>2.8101851858082227E-2</v>
      </c>
      <c r="N93" s="7">
        <f t="shared" si="43"/>
        <v>40.466666675638407</v>
      </c>
      <c r="O93" s="7"/>
      <c r="P93" s="7"/>
      <c r="Q93" s="22"/>
      <c r="R93" s="170"/>
      <c r="S93" s="213">
        <f t="shared" si="26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-18T12:07:44-0600',mode:absolute,to:'2017-07-18T14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4.3099999999999999E-2</v>
      </c>
      <c r="Z93" s="197">
        <f t="shared" si="33"/>
        <v>23.332699999999999</v>
      </c>
      <c r="AA93" s="197">
        <f t="shared" si="34"/>
        <v>23.2896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177</v>
      </c>
      <c r="AE93" s="77" t="str">
        <f t="shared" si="3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93" s="74" t="str">
        <f t="shared" si="37"/>
        <v>"C:\Program Files (x86)\AstroGrep\AstroGrep.exe" /e /r /s /spath="%USERPROFILE%\AppData\Local\Temp\OnboardLogs" /stypes="app*4002*20170718*" /stext=" 19:.+((SYSTEM_STATE.+slice.+state.+changed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177-18 --locoid 4002 --swversion DE.1.0.9.0 --startMP 204:431 --initTime 2017-07-18T13:07:44 --startdatetime 2017-07-18T13:16:40 --delay 1 --endMP 204:233327 --enddatetime 2017-07-18T13:57:08 --enforcementcount 0 &gt;&gt;C:\Users\stu\Documents\GitHub\eaglep3-reporting\EC\2017-07-18-refined-times.txt</v>
      </c>
      <c r="AI9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{"issue":{"subject":"","project_id":79,"tracker_id":40,"status_id":1,"priority_id":2,"assigned_to_id":23,"start_date":"2017-07-18","description":"","custom_fields":[{"id":1,"name":"Subdivision","value":"EC"},{"id":4,"name":"Milepost","value":"23.3327"},{"id":17,"name":"Train ID","value":"177-18"},{"id":16,"name":"Locomotive ID","value":"4002"},{"id":130,"name":"Impact","value":""},{"id":150,"name":"Time of Event (Mountain Time)","value":"13:57:08"},{"id":151,"name":"Denver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4002 --day 2017-07-18</v>
      </c>
      <c r="AN93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773</v>
      </c>
      <c r="B94" s="7">
        <v>4001</v>
      </c>
      <c r="C94" s="21" t="s">
        <v>199</v>
      </c>
      <c r="D94" s="21" t="s">
        <v>914</v>
      </c>
      <c r="E94" s="13">
        <v>42934.583865740744</v>
      </c>
      <c r="F94" s="13">
        <v>42934.591886574075</v>
      </c>
      <c r="G94" s="7">
        <v>1</v>
      </c>
      <c r="H94" s="21" t="s">
        <v>391</v>
      </c>
      <c r="I94" s="13">
        <v>42934.620752314811</v>
      </c>
      <c r="J94" s="7">
        <v>0</v>
      </c>
      <c r="K94" s="89" t="str">
        <f t="shared" si="27"/>
        <v>4001/4002</v>
      </c>
      <c r="L94" s="21" t="str">
        <f>VLOOKUP(A94,'Trips&amp;Operators'!$C$1:$G$99999,5,FALSE)</f>
        <v>PAGE MARCUS</v>
      </c>
      <c r="M94" s="6">
        <f t="shared" si="28"/>
        <v>2.8865740736364387E-2</v>
      </c>
      <c r="N94" s="7">
        <f t="shared" si="43"/>
        <v>41.566666660364717</v>
      </c>
      <c r="O94" s="7"/>
      <c r="P94" s="7"/>
      <c r="Q94" s="22"/>
      <c r="R94" s="170"/>
      <c r="S94" s="213">
        <f t="shared" si="26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-18T13:00:46-0600',mode:absolute,to:'2017-07-18T15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23.299099999999999</v>
      </c>
      <c r="Z94" s="197">
        <f t="shared" si="33"/>
        <v>1.5599999999999999E-2</v>
      </c>
      <c r="AA94" s="197">
        <f t="shared" si="34"/>
        <v>23.2835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178</v>
      </c>
      <c r="AE94" s="77" t="str">
        <f t="shared" si="3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94" s="74" t="str">
        <f t="shared" si="37"/>
        <v>"C:\Program Files (x86)\AstroGrep\AstroGrep.exe" /e /r /s /spath="%USERPROFILE%\AppData\Local\Temp\OnboardLogs" /stypes="app*4001*20170718*"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178-18 --locoid 4001 --swversion DE.1.0.9.0 --startMP 204:232991 --initTime 2017-07-18T14:00:46 --startdatetime 2017-07-18T14:12:19 --delay 1 --endMP 204:156 --enddatetime 2017-07-18T14:53:53 --enforcementcount 0 &gt;&gt;C:\Users\stu\Documents\GitHub\eaglep3-reporting\EC\2017-07-18-refined-times.txt</v>
      </c>
      <c r="AI9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{"issue":{"subject":"","project_id":79,"tracker_id":40,"status_id":1,"priority_id":2,"assigned_to_id":23,"start_date":"2017-07-18","description":"","custom_fields":[{"id":1,"name":"Subdivision","value":"EC"},{"id":4,"name":"Milepost","value":"0.0156"},{"id":17,"name":"Train ID","value":"178-18"},{"id":16,"name":"Locomotive ID","value":"4001"},{"id":130,"name":"Impact","value":""},{"id":150,"name":"Time of Event (Mountain Time)","value":"14:53:53"},{"id":151,"name":"Denver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4001 --day 2017-07-18</v>
      </c>
      <c r="AN94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766</v>
      </c>
      <c r="B95" s="7">
        <v>4026</v>
      </c>
      <c r="C95" s="21" t="s">
        <v>199</v>
      </c>
      <c r="D95" s="21" t="s">
        <v>544</v>
      </c>
      <c r="E95" s="13">
        <v>42934.561041666668</v>
      </c>
      <c r="F95" s="13">
        <v>42934.563298611109</v>
      </c>
      <c r="G95" s="7">
        <v>1</v>
      </c>
      <c r="H95" s="21" t="s">
        <v>605</v>
      </c>
      <c r="I95" s="13">
        <v>42934.588043981479</v>
      </c>
      <c r="J95" s="7">
        <v>0</v>
      </c>
      <c r="K95" s="89" t="str">
        <f t="shared" si="27"/>
        <v>4025/4026</v>
      </c>
      <c r="L95" s="21" t="str">
        <f>VLOOKUP(A95,'Trips&amp;Operators'!$C$1:$G$99999,5,FALSE)</f>
        <v>LEVIN SCOTT</v>
      </c>
      <c r="M95" s="6">
        <f t="shared" si="28"/>
        <v>2.47453703705105E-2</v>
      </c>
      <c r="N95" s="7">
        <f t="shared" si="43"/>
        <v>35.63333333353512</v>
      </c>
      <c r="O95" s="7"/>
      <c r="P95" s="7"/>
      <c r="Q95" s="22"/>
      <c r="R95" s="170"/>
      <c r="S95" s="213">
        <f t="shared" si="26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-18T12:27:54-0600',mode:absolute,to:'2017-07-18T15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4.3099999999999999E-2</v>
      </c>
      <c r="Z95" s="197">
        <f t="shared" si="33"/>
        <v>23.338000000000001</v>
      </c>
      <c r="AA95" s="197">
        <f t="shared" si="34"/>
        <v>23.294900000000002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179</v>
      </c>
      <c r="AE95" s="77" t="str">
        <f t="shared" si="36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95" s="74" t="str">
        <f t="shared" si="37"/>
        <v>"C:\Program Files (x86)\AstroGrep\AstroGrep.exe" /e /r /s /spath="%USERPROFILE%\AppData\Local\Temp\OnboardLogs" /stypes="app*4026*20170718*"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179-18 --locoid 4026 --swversion DE.1.0.9.0 --startMP 204:431 --initTime 2017-07-18T13:27:54 --startdatetime 2017-07-18T13:31:09 --delay 1 --endMP 204:233380 --enddatetime 2017-07-18T14:06:47 --enforcementcount 0 &gt;&gt;C:\Users\stu\Documents\GitHub\eaglep3-reporting\EC\2017-07-18-refined-times.txt</v>
      </c>
      <c r="AI9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{"issue":{"subject":"","project_id":79,"tracker_id":40,"status_id":1,"priority_id":2,"assigned_to_id":23,"start_date":"2017-07-18","description":"","custom_fields":[{"id":1,"name":"Subdivision","value":"EC"},{"id":4,"name":"Milepost","value":"23.338"},{"id":17,"name":"Train ID","value":"179-18"},{"id":16,"name":"Locomotive ID","value":"4026"},{"id":130,"name":"Impact","value":""},{"id":150,"name":"Time of Event (Mountain Time)","value":"14:06:47"},{"id":151,"name":"Denver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4026 --day 2017-07-18</v>
      </c>
      <c r="AN95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776</v>
      </c>
      <c r="B96" s="7">
        <v>4025</v>
      </c>
      <c r="C96" s="21" t="s">
        <v>199</v>
      </c>
      <c r="D96" s="21" t="s">
        <v>918</v>
      </c>
      <c r="E96" s="13">
        <v>42934.598703703705</v>
      </c>
      <c r="F96" s="13">
        <v>42934.603773148148</v>
      </c>
      <c r="G96" s="7">
        <v>1</v>
      </c>
      <c r="H96" s="21" t="s">
        <v>399</v>
      </c>
      <c r="I96" s="13">
        <v>42934.630879629629</v>
      </c>
      <c r="J96" s="7">
        <v>0</v>
      </c>
      <c r="K96" s="89" t="str">
        <f t="shared" si="27"/>
        <v>4025/4026</v>
      </c>
      <c r="L96" s="21" t="str">
        <f>VLOOKUP(A96,'Trips&amp;Operators'!$C$1:$G$99999,5,FALSE)</f>
        <v>LEVIN SCOTT</v>
      </c>
      <c r="M96" s="6">
        <f t="shared" si="28"/>
        <v>2.7106481480586808E-2</v>
      </c>
      <c r="N96" s="7">
        <f t="shared" si="43"/>
        <v>39.033333332045004</v>
      </c>
      <c r="O96" s="7"/>
      <c r="P96" s="7"/>
      <c r="Q96" s="22"/>
      <c r="R96" s="170"/>
      <c r="S96" s="213">
        <f t="shared" si="26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-18T13:22:08-0600',mode:absolute,to:'2017-07-18T16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23.308199999999999</v>
      </c>
      <c r="Z96" s="197">
        <f t="shared" si="33"/>
        <v>1.38E-2</v>
      </c>
      <c r="AA96" s="197">
        <f t="shared" si="34"/>
        <v>23.2944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180</v>
      </c>
      <c r="AE96" s="77" t="str">
        <f t="shared" si="36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96" s="74" t="str">
        <f t="shared" si="37"/>
        <v>"C:\Program Files (x86)\AstroGrep\AstroGrep.exe" /e /r /s /spath="%USERPROFILE%\AppData\Local\Temp\OnboardLogs" /stypes="app*4025*20170718*"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180-18 --locoid 4025 --swversion DE.1.0.9.0 --startMP 204:233082 --initTime 2017-07-18T14:22:08 --startdatetime 2017-07-18T14:29:26 --delay 1 --endMP 204:138 --enddatetime 2017-07-18T15:08:28 --enforcementcount 0 &gt;&gt;C:\Users\stu\Documents\GitHub\eaglep3-reporting\EC\2017-07-18-refined-times.txt</v>
      </c>
      <c r="AI96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{"issue":{"subject":"","project_id":79,"tracker_id":40,"status_id":1,"priority_id":2,"assigned_to_id":23,"start_date":"2017-07-18","description":"","custom_fields":[{"id":1,"name":"Subdivision","value":"EC"},{"id":4,"name":"Milepost","value":"0.0138"},{"id":17,"name":"Train ID","value":"180-18"},{"id":16,"name":"Locomotive ID","value":"4025"},{"id":130,"name":"Impact","value":""},{"id":150,"name":"Time of Event (Mountain Time)","value":"15:08:28"},{"id":151,"name":"Denver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4025 --day 2017-07-18</v>
      </c>
      <c r="AN96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769</v>
      </c>
      <c r="B97" s="7">
        <v>4062</v>
      </c>
      <c r="C97" s="21" t="s">
        <v>199</v>
      </c>
      <c r="D97" s="21" t="s">
        <v>522</v>
      </c>
      <c r="E97" s="13">
        <v>42934.572106481479</v>
      </c>
      <c r="F97" s="13">
        <v>42934.573761574073</v>
      </c>
      <c r="G97" s="7">
        <v>1</v>
      </c>
      <c r="H97" s="21" t="s">
        <v>594</v>
      </c>
      <c r="I97" s="13">
        <v>42934.600358796299</v>
      </c>
      <c r="J97" s="7">
        <v>0</v>
      </c>
      <c r="K97" s="89" t="str">
        <f t="shared" si="27"/>
        <v>4061/4062</v>
      </c>
      <c r="L97" s="21" t="str">
        <f>VLOOKUP(A97,'Trips&amp;Operators'!$C$1:$G$99999,5,FALSE)</f>
        <v>ANDERS STEVEN</v>
      </c>
      <c r="M97" s="6">
        <f t="shared" si="28"/>
        <v>2.6597222225973383E-2</v>
      </c>
      <c r="N97" s="7">
        <f t="shared" si="43"/>
        <v>38.300000005401671</v>
      </c>
      <c r="O97" s="7"/>
      <c r="P97" s="7"/>
      <c r="Q97" s="22"/>
      <c r="R97" s="170"/>
      <c r="S97" s="213">
        <f t="shared" si="26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-18T12:43:50-0600',mode:absolute,to:'2017-07-18T15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4.5999999999999999E-2</v>
      </c>
      <c r="Z97" s="197">
        <f t="shared" si="33"/>
        <v>23.3355</v>
      </c>
      <c r="AA97" s="197">
        <f t="shared" si="34"/>
        <v>23.2895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181</v>
      </c>
      <c r="AE97" s="77" t="str">
        <f t="shared" si="3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97" s="74" t="str">
        <f t="shared" si="37"/>
        <v>"C:\Program Files (x86)\AstroGrep\AstroGrep.exe" /e /r /s /spath="%USERPROFILE%\AppData\Local\Temp\OnboardLogs" /stypes="app*4062*20170718*"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181-18 --locoid 4062 --swversion DE.1.0.9.0 --startMP 204:460 --initTime 2017-07-18T13:43:50 --startdatetime 2017-07-18T13:46:13 --delay 1 --endMP 204:233355 --enddatetime 2017-07-18T14:24:31 --enforcementcount 0 &gt;&gt;C:\Users\stu\Documents\GitHub\eaglep3-reporting\EC\2017-07-18-refined-times.txt</v>
      </c>
      <c r="AI9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{"issue":{"subject":"","project_id":79,"tracker_id":40,"status_id":1,"priority_id":2,"assigned_to_id":23,"start_date":"2017-07-18","description":"","custom_fields":[{"id":1,"name":"Subdivision","value":"EC"},{"id":4,"name":"Milepost","value":"23.3355"},{"id":17,"name":"Train ID","value":"181-18"},{"id":16,"name":"Locomotive ID","value":"4062"},{"id":130,"name":"Impact","value":""},{"id":150,"name":"Time of Event (Mountain Time)","value":"14:24:31"},{"id":151,"name":"Denver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4062 --day 2017-07-18</v>
      </c>
      <c r="AN97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778</v>
      </c>
      <c r="B98" s="7">
        <v>4061</v>
      </c>
      <c r="C98" s="21" t="s">
        <v>199</v>
      </c>
      <c r="D98" s="21" t="s">
        <v>919</v>
      </c>
      <c r="E98" s="13">
        <v>42934.608495370368</v>
      </c>
      <c r="F98" s="13">
        <v>42934.612870370373</v>
      </c>
      <c r="G98" s="7">
        <v>1</v>
      </c>
      <c r="H98" s="21" t="s">
        <v>466</v>
      </c>
      <c r="I98" s="13">
        <v>42934.641493055555</v>
      </c>
      <c r="J98" s="7">
        <v>0</v>
      </c>
      <c r="K98" s="89" t="str">
        <f t="shared" si="27"/>
        <v>4061/4062</v>
      </c>
      <c r="L98" s="21" t="str">
        <f>VLOOKUP(A98,'Trips&amp;Operators'!$C$1:$G$99999,5,FALSE)</f>
        <v>ANDERS STEVEN</v>
      </c>
      <c r="M98" s="6">
        <f t="shared" si="28"/>
        <v>2.8622685182199348E-2</v>
      </c>
      <c r="N98" s="7">
        <f t="shared" si="43"/>
        <v>41.216666662367061</v>
      </c>
      <c r="O98" s="7"/>
      <c r="P98" s="7"/>
      <c r="Q98" s="22"/>
      <c r="R98" s="170"/>
      <c r="S98" s="213">
        <f t="shared" si="26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-18T13:36:14-0600',mode:absolute,to:'2017-07-18T16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23.305099999999999</v>
      </c>
      <c r="Z98" s="197">
        <f t="shared" si="33"/>
        <v>1.61E-2</v>
      </c>
      <c r="AA98" s="197">
        <f t="shared" si="34"/>
        <v>23.288999999999998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182</v>
      </c>
      <c r="AE98" s="77" t="str">
        <f t="shared" si="3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98" s="74" t="str">
        <f t="shared" si="37"/>
        <v>"C:\Program Files (x86)\AstroGrep\AstroGrep.exe" /e /r /s /spath="%USERPROFILE%\AppData\Local\Temp\OnboardLogs" /stypes="app*4061*20170718*"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182-18 --locoid 4061 --swversion DE.1.0.9.0 --startMP 204:233051 --initTime 2017-07-18T14:36:14 --startdatetime 2017-07-18T14:42:32 --delay 1 --endMP 204:161 --enddatetime 2017-07-18T15:23:45 --enforcementcount 0 &gt;&gt;C:\Users\stu\Documents\GitHub\eaglep3-reporting\EC\2017-07-18-refined-times.txt</v>
      </c>
      <c r="AI9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{"issue":{"subject":"","project_id":79,"tracker_id":40,"status_id":1,"priority_id":2,"assigned_to_id":23,"start_date":"2017-07-18","description":"","custom_fields":[{"id":1,"name":"Subdivision","value":"EC"},{"id":4,"name":"Milepost","value":"0.0161"},{"id":17,"name":"Train ID","value":"182-18"},{"id":16,"name":"Locomotive ID","value":"4061"},{"id":130,"name":"Impact","value":""},{"id":150,"name":"Time of Event (Mountain Time)","value":"15:23:45"},{"id":151,"name":"Denver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4061 --day 2017-07-18</v>
      </c>
      <c r="AN98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772</v>
      </c>
      <c r="B99" s="7">
        <v>4064</v>
      </c>
      <c r="C99" s="21" t="s">
        <v>199</v>
      </c>
      <c r="D99" s="21" t="s">
        <v>403</v>
      </c>
      <c r="E99" s="13">
        <v>42934.582280092596</v>
      </c>
      <c r="F99" s="13">
        <v>42934.585243055553</v>
      </c>
      <c r="G99" s="7">
        <v>1</v>
      </c>
      <c r="H99" s="21" t="s">
        <v>415</v>
      </c>
      <c r="I99" s="13">
        <v>42934.612060185187</v>
      </c>
      <c r="J99" s="7">
        <v>0</v>
      </c>
      <c r="K99" s="89" t="str">
        <f t="shared" si="27"/>
        <v>4063/4064</v>
      </c>
      <c r="L99" s="21" t="str">
        <f>VLOOKUP(A99,'Trips&amp;Operators'!$C$1:$G$99999,5,FALSE)</f>
        <v>THOMPSON LESTER</v>
      </c>
      <c r="M99" s="6">
        <f t="shared" si="28"/>
        <v>2.6817129633855075E-2</v>
      </c>
      <c r="N99" s="7">
        <f t="shared" si="43"/>
        <v>38.616666672751307</v>
      </c>
      <c r="O99" s="7"/>
      <c r="P99" s="7"/>
      <c r="Q99" s="22"/>
      <c r="R99" s="170"/>
      <c r="S99" s="213">
        <f t="shared" si="26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-18T12:58:29-0600',mode:absolute,to:'2017-07-18T15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4.5499999999999999E-2</v>
      </c>
      <c r="Z99" s="197">
        <f t="shared" si="33"/>
        <v>23.331199999999999</v>
      </c>
      <c r="AA99" s="197">
        <f t="shared" si="34"/>
        <v>23.285699999999999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183</v>
      </c>
      <c r="AE99" s="77" t="str">
        <f t="shared" si="36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99" s="74" t="str">
        <f t="shared" si="37"/>
        <v>"C:\Program Files (x86)\AstroGrep\AstroGrep.exe" /e /r /s /spath="%USERPROFILE%\AppData\Local\Temp\OnboardLogs" /stypes="app*4064*20170718*"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183-18 --locoid 4064 --swversion DE.1.0.9.0 --startMP 204:455 --initTime 2017-07-18T13:58:29 --startdatetime 2017-07-18T14:02:45 --delay 1 --endMP 204:233312 --enddatetime 2017-07-18T14:41:22 --enforcementcount 0 &gt;&gt;C:\Users\stu\Documents\GitHub\eaglep3-reporting\EC\2017-07-18-refined-times.txt</v>
      </c>
      <c r="AI9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{"issue":{"subject":"","project_id":79,"tracker_id":40,"status_id":1,"priority_id":2,"assigned_to_id":23,"start_date":"2017-07-18","description":"","custom_fields":[{"id":1,"name":"Subdivision","value":"EC"},{"id":4,"name":"Milepost","value":"23.3312"},{"id":17,"name":"Train ID","value":"183-18"},{"id":16,"name":"Locomotive ID","value":"4064"},{"id":130,"name":"Impact","value":""},{"id":150,"name":"Time of Event (Mountain Time)","value":"14:41:22"},{"id":151,"name":"Denver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4064 --day 2017-07-18</v>
      </c>
      <c r="AN99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782</v>
      </c>
      <c r="B100" s="7">
        <v>4063</v>
      </c>
      <c r="C100" s="21" t="s">
        <v>199</v>
      </c>
      <c r="D100" s="21" t="s">
        <v>555</v>
      </c>
      <c r="E100" s="13">
        <v>42934.620891203704</v>
      </c>
      <c r="F100" s="13">
        <v>42934.623136574075</v>
      </c>
      <c r="G100" s="7">
        <v>1</v>
      </c>
      <c r="H100" s="21" t="s">
        <v>343</v>
      </c>
      <c r="I100" s="13">
        <v>42934.651226851849</v>
      </c>
      <c r="J100" s="7">
        <v>0</v>
      </c>
      <c r="K100" s="89" t="str">
        <f t="shared" si="27"/>
        <v>4063/4064</v>
      </c>
      <c r="L100" s="21" t="str">
        <f>VLOOKUP(A100,'Trips&amp;Operators'!$C$1:$G$99999,5,FALSE)</f>
        <v>THOMPSON LESTER</v>
      </c>
      <c r="M100" s="6">
        <f t="shared" si="28"/>
        <v>2.8090277774026617E-2</v>
      </c>
      <c r="N100" s="7">
        <f t="shared" si="43"/>
        <v>40.449999994598329</v>
      </c>
      <c r="O100" s="7"/>
      <c r="P100" s="7"/>
      <c r="Q100" s="22"/>
      <c r="R100" s="170"/>
      <c r="S100" s="213">
        <f t="shared" si="26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-18T13:54:05-0600',mode:absolute,to:'2017-07-18T16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23.298200000000001</v>
      </c>
      <c r="Z100" s="197">
        <f t="shared" si="33"/>
        <v>1.4999999999999999E-2</v>
      </c>
      <c r="AA100" s="197">
        <f t="shared" si="34"/>
        <v>23.283200000000001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184</v>
      </c>
      <c r="AE100" s="77" t="str">
        <f t="shared" si="36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100" s="74" t="str">
        <f t="shared" si="37"/>
        <v>"C:\Program Files (x86)\AstroGrep\AstroGrep.exe" /e /r /s /spath="%USERPROFILE%\AppData\Local\Temp\OnboardLogs" /stypes="app*4063*20170718*"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184-18 --locoid 4063 --swversion DE.1.0.9.0 --startMP 204:232982 --initTime 2017-07-18T14:54:05 --startdatetime 2017-07-18T14:57:19 --delay 1 --endMP 204:150 --enddatetime 2017-07-18T15:37:46 --enforcementcount 0 &gt;&gt;C:\Users\stu\Documents\GitHub\eaglep3-reporting\EC\2017-07-18-refined-times.txt</v>
      </c>
      <c r="AI10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{"issue":{"subject":"","project_id":79,"tracker_id":40,"status_id":1,"priority_id":2,"assigned_to_id":23,"start_date":"2017-07-18","description":"","custom_fields":[{"id":1,"name":"Subdivision","value":"EC"},{"id":4,"name":"Milepost","value":"0.015"},{"id":17,"name":"Train ID","value":"184-18"},{"id":16,"name":"Locomotive ID","value":"4063"},{"id":130,"name":"Impact","value":""},{"id":150,"name":"Time of Event (Mountain Time)","value":"15:37:46"},{"id":151,"name":"Denver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4063 --day 2017-07-18</v>
      </c>
      <c r="AN100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4014</v>
      </c>
      <c r="C101" s="21" t="s">
        <v>199</v>
      </c>
      <c r="D101" s="21" t="s">
        <v>596</v>
      </c>
      <c r="E101" s="13">
        <v>42934.585497685184</v>
      </c>
      <c r="F101" s="13">
        <v>42934.594270833331</v>
      </c>
      <c r="G101" s="7">
        <v>1</v>
      </c>
      <c r="H101" s="21" t="s">
        <v>519</v>
      </c>
      <c r="I101" s="13">
        <v>42934.61922453704</v>
      </c>
      <c r="J101" s="7">
        <v>0</v>
      </c>
      <c r="K101" s="89" t="str">
        <f t="shared" si="27"/>
        <v>4013/4014</v>
      </c>
      <c r="L101" s="21" t="str">
        <f>VLOOKUP(A101,'Trips&amp;Operators'!$C$1:$G$99999,5,FALSE)</f>
        <v>DE LA ROSA ALEX</v>
      </c>
      <c r="M101" s="6">
        <f t="shared" si="28"/>
        <v>2.4953703708888497E-2</v>
      </c>
      <c r="N101" s="7">
        <f t="shared" si="43"/>
        <v>35.933333340799436</v>
      </c>
      <c r="O101" s="7"/>
      <c r="P101" s="7"/>
      <c r="Q101" s="22"/>
      <c r="R101" s="170"/>
      <c r="S101" s="213">
        <f t="shared" si="26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-18T13:03:07-0600',mode:absolute,to:'2017-07-18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4.7800000000000002E-2</v>
      </c>
      <c r="Z101" s="197">
        <f t="shared" si="33"/>
        <v>23.3291</v>
      </c>
      <c r="AA101" s="197">
        <f t="shared" si="34"/>
        <v>23.281300000000002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185</v>
      </c>
      <c r="AE101" s="77" t="str">
        <f t="shared" si="3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01" s="74" t="str">
        <f t="shared" si="37"/>
        <v>"C:\Program Files (x86)\AstroGrep\AstroGrep.exe" /e /r /s /spath="%USERPROFILE%\AppData\Local\Temp\OnboardLogs" /stypes="app*4014*20170718*" /stext=" 20:.+((SYSTEM_STATE.+slice.+state.+changed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185-18 --locoid 4014 --swversion DE.1.0.9.0 --startMP 204:478 --initTime 2017-07-18T14:03:07 --startdatetime 2017-07-18T14:15:45 --delay 1 --endMP 204:233291 --enddatetime 2017-07-18T14:51:41 --enforcementcount 0 &gt;&gt;C:\Users\stu\Documents\GitHub\eaglep3-reporting\EC\2017-07-18-refined-times.txt</v>
      </c>
      <c r="AI10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{"issue":{"subject":"","project_id":79,"tracker_id":40,"status_id":1,"priority_id":2,"assigned_to_id":23,"start_date":"2017-07-18","description":"","custom_fields":[{"id":1,"name":"Subdivision","value":"EC"},{"id":4,"name":"Milepost","value":"23.3291"},{"id":17,"name":"Train ID","value":"185-18"},{"id":16,"name":"Locomotive ID","value":"4014"},{"id":130,"name":"Impact","value":""},{"id":150,"name":"Time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4014 --day 2017-07-18</v>
      </c>
      <c r="AN101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784</v>
      </c>
      <c r="B102" s="7">
        <v>4013</v>
      </c>
      <c r="C102" s="21" t="s">
        <v>199</v>
      </c>
      <c r="D102" s="21" t="s">
        <v>920</v>
      </c>
      <c r="E102" s="13">
        <v>42934.629965277774</v>
      </c>
      <c r="F102" s="13">
        <v>42934.633599537039</v>
      </c>
      <c r="G102" s="7">
        <v>1</v>
      </c>
      <c r="H102" s="21" t="s">
        <v>508</v>
      </c>
      <c r="I102" s="13">
        <v>42934.660960648151</v>
      </c>
      <c r="J102" s="7">
        <v>0</v>
      </c>
      <c r="K102" s="89" t="str">
        <f t="shared" si="27"/>
        <v>4013/4014</v>
      </c>
      <c r="L102" s="21" t="str">
        <f>VLOOKUP(A102,'Trips&amp;Operators'!$C$1:$G$99999,5,FALSE)</f>
        <v>DE LA ROSA ALEX</v>
      </c>
      <c r="M102" s="6">
        <f t="shared" si="28"/>
        <v>2.73611111115315E-2</v>
      </c>
      <c r="N102" s="7">
        <f t="shared" si="43"/>
        <v>39.40000000060536</v>
      </c>
      <c r="O102" s="7"/>
      <c r="P102" s="7"/>
      <c r="Q102" s="22"/>
      <c r="R102" s="170"/>
      <c r="S102" s="213">
        <f t="shared" si="26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-18T14:07:09-0600',mode:absolute,to:'2017-07-18T16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23.299800000000001</v>
      </c>
      <c r="Z102" s="197">
        <f t="shared" si="33"/>
        <v>1.52E-2</v>
      </c>
      <c r="AA102" s="197">
        <f t="shared" si="34"/>
        <v>23.284600000000001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186</v>
      </c>
      <c r="AE102" s="77" t="str">
        <f t="shared" si="36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102" s="74" t="str">
        <f t="shared" si="37"/>
        <v>"C:\Program Files (x86)\AstroGrep\AstroGrep.exe" /e /r /s /spath="%USERPROFILE%\AppData\Local\Temp\OnboardLogs" /stypes="app*4013*20170718*"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186-18 --locoid 4013 --swversion DE.1.0.9.0 --startMP 204:232998 --initTime 2017-07-18T15:07:09 --startdatetime 2017-07-18T15:12:23 --delay 1 --endMP 204:152 --enddatetime 2017-07-18T15:51:47 --enforcementcount 0 &gt;&gt;C:\Users\stu\Documents\GitHub\eaglep3-reporting\EC\2017-07-18-refined-times.txt</v>
      </c>
      <c r="AI10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{"issue":{"subject":"","project_id":79,"tracker_id":40,"status_id":1,"priority_id":2,"assigned_to_id":23,"start_date":"2017-07-18","description":"","custom_fields":[{"id":1,"name":"Subdivision","value":"EC"},{"id":4,"name":"Milepost","value":"0.0152"},{"id":17,"name":"Train ID","value":"186-18"},{"id":16,"name":"Locomotive ID","value":"4013"},{"id":130,"name":"Impact","value":""},{"id":150,"name":"Time of Event (Mountain Time)","value":"15:51:47"},{"id":151,"name":"Denver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4013 --day 2017-07-18</v>
      </c>
      <c r="AN102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777</v>
      </c>
      <c r="B103" s="7">
        <v>4006</v>
      </c>
      <c r="C103" s="21" t="s">
        <v>199</v>
      </c>
      <c r="D103" s="21" t="s">
        <v>899</v>
      </c>
      <c r="E103" s="13">
        <v>42934.602708333332</v>
      </c>
      <c r="F103" s="13">
        <v>42934.604756944442</v>
      </c>
      <c r="G103" s="7">
        <v>1</v>
      </c>
      <c r="H103" s="21" t="s">
        <v>593</v>
      </c>
      <c r="I103" s="13">
        <v>42934.630740740744</v>
      </c>
      <c r="J103" s="7">
        <v>0</v>
      </c>
      <c r="K103" s="89" t="str">
        <f t="shared" si="27"/>
        <v>4005/4006</v>
      </c>
      <c r="L103" s="21" t="str">
        <f>VLOOKUP(A103,'Trips&amp;Operators'!$C$1:$G$99999,5,FALSE)</f>
        <v>MCREYNOLDS KYLE</v>
      </c>
      <c r="M103" s="6">
        <f t="shared" si="28"/>
        <v>2.5983796302170958E-2</v>
      </c>
      <c r="N103" s="7">
        <f t="shared" si="43"/>
        <v>37.41666667512618</v>
      </c>
      <c r="O103" s="7"/>
      <c r="P103" s="7"/>
      <c r="Q103" s="22"/>
      <c r="R103" s="170"/>
      <c r="S103" s="213">
        <f t="shared" ref="S103:S134" si="44">1/IF(AG103="EC",12,1)*SUM(U103:U103)</f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-18T13:27:54-0600',mode:absolute,to:'2017-07-18T16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4.8800000000000003E-2</v>
      </c>
      <c r="Z103" s="197">
        <f t="shared" si="33"/>
        <v>23.328600000000002</v>
      </c>
      <c r="AA103" s="197">
        <f t="shared" si="34"/>
        <v>23.279800000000002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187</v>
      </c>
      <c r="AE103" s="77" t="str">
        <f t="shared" si="36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103" s="74" t="str">
        <f t="shared" si="37"/>
        <v>"C:\Program Files (x86)\AstroGrep\AstroGrep.exe" /e /r /s /spath="%USERPROFILE%\AppData\Local\Temp\OnboardLogs" /stypes="app*4006*20170718*"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187-18 --locoid 4006 --swversion DE.1.0.9.0 --startMP 204:488 --initTime 2017-07-18T14:27:54 --startdatetime 2017-07-18T14:30:51 --delay 1 --endMP 204:233286 --enddatetime 2017-07-18T15:08:16 --enforcementcount 0 &gt;&gt;C:\Users\stu\Documents\GitHub\eaglep3-reporting\EC\2017-07-18-refined-times.txt</v>
      </c>
      <c r="AI10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{"issue":{"subject":"","project_id":79,"tracker_id":40,"status_id":1,"priority_id":2,"assigned_to_id":23,"start_date":"2017-07-18","description":"","custom_fields":[{"id":1,"name":"Subdivision","value":"EC"},{"id":4,"name":"Milepost","value":"23.3286"},{"id":17,"name":"Train ID","value":"187-18"},{"id":16,"name":"Locomotive ID","value":"4006"},{"id":130,"name":"Impact","value":""},{"id":150,"name":"Time of Event (Mountain Time)","value":"15:08:16"},{"id":151,"name":"Denver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4006 --day 2017-07-18</v>
      </c>
      <c r="AN103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785</v>
      </c>
      <c r="B104" s="7">
        <v>4005</v>
      </c>
      <c r="C104" s="21" t="s">
        <v>199</v>
      </c>
      <c r="D104" s="21" t="s">
        <v>555</v>
      </c>
      <c r="E104" s="13">
        <v>42934.632951388892</v>
      </c>
      <c r="F104" s="13">
        <v>42934.644293981481</v>
      </c>
      <c r="G104" s="7">
        <v>1</v>
      </c>
      <c r="H104" s="21" t="s">
        <v>354</v>
      </c>
      <c r="I104" s="13">
        <v>42934.670439814814</v>
      </c>
      <c r="J104" s="7">
        <v>0</v>
      </c>
      <c r="K104" s="89" t="str">
        <f t="shared" si="27"/>
        <v>4005/4006</v>
      </c>
      <c r="L104" s="21" t="str">
        <f>VLOOKUP(A104,'Trips&amp;Operators'!$C$1:$G$99999,5,FALSE)</f>
        <v>MCREYNOLDS KYLE</v>
      </c>
      <c r="M104" s="6">
        <f t="shared" si="28"/>
        <v>2.6145833333430346E-2</v>
      </c>
      <c r="N104" s="7">
        <f t="shared" si="43"/>
        <v>37.650000000139698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-18T14:11:27-0600',mode:absolute,to:'2017-07-18T17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23.298200000000001</v>
      </c>
      <c r="Z104" s="197">
        <f t="shared" si="33"/>
        <v>1.47E-2</v>
      </c>
      <c r="AA104" s="197">
        <f t="shared" si="34"/>
        <v>23.2835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188</v>
      </c>
      <c r="AE104" s="77" t="str">
        <f t="shared" si="36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104" s="74" t="str">
        <f t="shared" si="37"/>
        <v>"C:\Program Files (x86)\AstroGrep\AstroGrep.exe" /e /r /s /spath="%USERPROFILE%\AppData\Local\Temp\OnboardLogs" /stypes="app*4005*20170718*"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188-18 --locoid 4005 --swversion DE.1.0.9.0 --startMP 204:232982 --initTime 2017-07-18T15:11:27 --startdatetime 2017-07-18T15:27:47 --delay 1 --endMP 204:147 --enddatetime 2017-07-18T16:05:26 --enforcementcount 0 &gt;&gt;C:\Users\stu\Documents\GitHub\eaglep3-reporting\EC\2017-07-18-refined-times.txt</v>
      </c>
      <c r="AI10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{"issue":{"subject":"","project_id":79,"tracker_id":40,"status_id":1,"priority_id":2,"assigned_to_id":23,"start_date":"2017-07-18","description":"","custom_fields":[{"id":1,"name":"Subdivision","value":"EC"},{"id":4,"name":"Milepost","value":"0.0147"},{"id":17,"name":"Train ID","value":"188-18"},{"id":16,"name":"Locomotive ID","value":"4005"},{"id":130,"name":"Impact","value":""},{"id":150,"name":"Time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4005 --day 2017-07-18</v>
      </c>
      <c r="AN104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780</v>
      </c>
      <c r="B105" s="7">
        <v>4008</v>
      </c>
      <c r="C105" s="21" t="s">
        <v>199</v>
      </c>
      <c r="D105" s="21" t="s">
        <v>921</v>
      </c>
      <c r="E105" s="13">
        <v>42934.611620370371</v>
      </c>
      <c r="F105" s="13">
        <v>42934.615208333336</v>
      </c>
      <c r="G105" s="7">
        <v>2</v>
      </c>
      <c r="H105" s="21" t="s">
        <v>586</v>
      </c>
      <c r="I105" s="13">
        <v>42934.641435185185</v>
      </c>
      <c r="J105" s="7">
        <v>0</v>
      </c>
      <c r="K105" s="89" t="str">
        <f t="shared" si="27"/>
        <v>4007/4008</v>
      </c>
      <c r="L105" s="21" t="str">
        <f>VLOOKUP(A105,'Trips&amp;Operators'!$C$1:$G$99999,5,FALSE)</f>
        <v>STEWART MICHAEL</v>
      </c>
      <c r="M105" s="6">
        <f t="shared" si="28"/>
        <v>2.622685184906004E-2</v>
      </c>
      <c r="N105" s="7">
        <f t="shared" si="43"/>
        <v>37.766666662646458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-18T13:40:44-0600',mode:absolute,to:'2017-07-18T16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4.8899999999999999E-2</v>
      </c>
      <c r="Z105" s="197">
        <f t="shared" si="33"/>
        <v>23.328099999999999</v>
      </c>
      <c r="AA105" s="197">
        <f t="shared" si="34"/>
        <v>23.279199999999999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189</v>
      </c>
      <c r="AE105" s="77" t="str">
        <f t="shared" si="36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05" s="74" t="str">
        <f t="shared" si="37"/>
        <v>"C:\Program Files (x86)\AstroGrep\AstroGrep.exe" /e /r /s /spath="%USERPROFILE%\AppData\Local\Temp\OnboardLogs" /stypes="app*4008*20170718*"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189-18 --locoid 4008 --swversion DE.1.0.9.0 --startMP 204:489 --initTime 2017-07-18T14:40:44 --startdatetime 2017-07-18T14:45:54 --delay 2 --endMP 204:233281 --enddatetime 2017-07-18T15:23:40 --enforcementcount 0 &gt;&gt;C:\Users\stu\Documents\GitHub\eaglep3-reporting\EC\2017-07-18-refined-times.txt</v>
      </c>
      <c r="AI10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{"issue":{"subject":"","project_id":79,"tracker_id":40,"status_id":1,"priority_id":2,"assigned_to_id":23,"start_date":"2017-07-18","description":"","custom_fields":[{"id":1,"name":"Subdivision","value":"EC"},{"id":4,"name":"Milepost","value":"23.3281"},{"id":17,"name":"Train ID","value":"189-18"},{"id":16,"name":"Locomotive ID","value":"4008"},{"id":130,"name":"Impact","value":""},{"id":150,"name":"Time of Event (Mountain Time)","value":"15:23:40"},{"id":151,"name":"Denver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4008 --day 2017-07-18</v>
      </c>
      <c r="AN105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792</v>
      </c>
      <c r="B106" s="7">
        <v>4007</v>
      </c>
      <c r="C106" s="21" t="s">
        <v>199</v>
      </c>
      <c r="D106" s="21" t="s">
        <v>922</v>
      </c>
      <c r="E106" s="13">
        <v>42934.651250000003</v>
      </c>
      <c r="F106" s="13">
        <v>42934.654490740744</v>
      </c>
      <c r="G106" s="7">
        <v>1</v>
      </c>
      <c r="H106" s="21" t="s">
        <v>391</v>
      </c>
      <c r="I106" s="13">
        <v>42934.682141203702</v>
      </c>
      <c r="J106" s="7">
        <v>0</v>
      </c>
      <c r="K106" s="89" t="str">
        <f t="shared" si="27"/>
        <v>4007/4008</v>
      </c>
      <c r="L106" s="21" t="str">
        <f>VLOOKUP(A106,'Trips&amp;Operators'!$C$1:$G$99999,5,FALSE)</f>
        <v>STEWART MICHAEL</v>
      </c>
      <c r="M106" s="6">
        <f t="shared" si="28"/>
        <v>2.7650462958263233E-2</v>
      </c>
      <c r="N106" s="7">
        <f t="shared" si="43"/>
        <v>39.816666659899056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-18T14:37:48-0600',mode:absolute,to:'2017-07-18T17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23.295500000000001</v>
      </c>
      <c r="Z106" s="197">
        <f t="shared" si="33"/>
        <v>1.5599999999999999E-2</v>
      </c>
      <c r="AA106" s="197">
        <f t="shared" si="34"/>
        <v>23.279900000000001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190</v>
      </c>
      <c r="AE106" s="77" t="str">
        <f t="shared" si="3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06" s="74" t="str">
        <f t="shared" si="37"/>
        <v>"C:\Program Files (x86)\AstroGrep\AstroGrep.exe" /e /r /s /spath="%USERPROFILE%\AppData\Local\Temp\OnboardLogs" /stypes="app*4007*20170718*"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190-18 --locoid 4007 --swversion DE.1.0.9.0 --startMP 204:232955 --initTime 2017-07-18T15:37:48 --startdatetime 2017-07-18T15:42:28 --delay 1 --endMP 204:156 --enddatetime 2017-07-18T16:22:17 --enforcementcount 0 &gt;&gt;C:\Users\stu\Documents\GitHub\eaglep3-reporting\EC\2017-07-18-refined-times.txt</v>
      </c>
      <c r="AI106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{"issue":{"subject":"","project_id":79,"tracker_id":40,"status_id":1,"priority_id":2,"assigned_to_id":23,"start_date":"2017-07-18","description":"","custom_fields":[{"id":1,"name":"Subdivision","value":"EC"},{"id":4,"name":"Milepost","value":"0.0156"},{"id":17,"name":"Train ID","value":"190-18"},{"id":16,"name":"Locomotive ID","value":"4007"},{"id":130,"name":"Impact","value":""},{"id":150,"name":"Time of Event (Mountain Time)","value":"16:22:17"},{"id":151,"name":"Denver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4007 --day 2017-07-18</v>
      </c>
      <c r="AN106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783</v>
      </c>
      <c r="B107" s="7">
        <v>4002</v>
      </c>
      <c r="C107" s="21" t="s">
        <v>199</v>
      </c>
      <c r="D107" s="21" t="s">
        <v>413</v>
      </c>
      <c r="E107" s="13">
        <v>42934.622291666667</v>
      </c>
      <c r="F107" s="13">
        <v>42934.625543981485</v>
      </c>
      <c r="G107" s="7">
        <v>1</v>
      </c>
      <c r="H107" s="21" t="s">
        <v>923</v>
      </c>
      <c r="I107" s="13">
        <v>42934.650335648148</v>
      </c>
      <c r="J107" s="7">
        <v>0</v>
      </c>
      <c r="K107" s="89" t="str">
        <f t="shared" si="27"/>
        <v>4001/4002</v>
      </c>
      <c r="L107" s="21" t="str">
        <f>VLOOKUP(A107,'Trips&amp;Operators'!$C$1:$G$99999,5,FALSE)</f>
        <v>PAGE MARCUS</v>
      </c>
      <c r="M107" s="6">
        <f t="shared" si="28"/>
        <v>2.4791666663077194E-2</v>
      </c>
      <c r="N107" s="7">
        <f t="shared" si="43"/>
        <v>35.69999999483116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-18T13:56:06-0600',mode:absolute,to:'2017-07-18T16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4.58E-2</v>
      </c>
      <c r="Z107" s="197">
        <f t="shared" si="33"/>
        <v>23.335899999999999</v>
      </c>
      <c r="AA107" s="197">
        <f t="shared" si="34"/>
        <v>23.290099999999999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191</v>
      </c>
      <c r="AE107" s="77" t="str">
        <f t="shared" si="3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107" s="74" t="str">
        <f t="shared" si="37"/>
        <v>"C:\Program Files (x86)\AstroGrep\AstroGrep.exe" /e /r /s /spath="%USERPROFILE%\AppData\Local\Temp\OnboardLogs" /stypes="app*4002*20170718*"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191-18 --locoid 4002 --swversion DE.1.0.9.0 --startMP 204:458 --initTime 2017-07-18T14:56:06 --startdatetime 2017-07-18T15:00:47 --delay 1 --endMP 204:233359 --enddatetime 2017-07-18T15:36:29 --enforcementcount 0 &gt;&gt;C:\Users\stu\Documents\GitHub\eaglep3-reporting\EC\2017-07-18-refined-times.txt</v>
      </c>
      <c r="AI10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{"issue":{"subject":"","project_id":79,"tracker_id":40,"status_id":1,"priority_id":2,"assigned_to_id":23,"start_date":"2017-07-18","description":"","custom_fields":[{"id":1,"name":"Subdivision","value":"EC"},{"id":4,"name":"Milepost","value":"23.3359"},{"id":17,"name":"Train ID","value":"191-18"},{"id":16,"name":"Locomotive ID","value":"4002"},{"id":130,"name":"Impact","value":""},{"id":150,"name":"Time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4002 --day 2017-07-18</v>
      </c>
      <c r="AN107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791</v>
      </c>
      <c r="B108" s="7">
        <v>4001</v>
      </c>
      <c r="C108" s="21" t="s">
        <v>199</v>
      </c>
      <c r="D108" s="21" t="s">
        <v>551</v>
      </c>
      <c r="E108" s="13">
        <v>42934.651412037034</v>
      </c>
      <c r="F108" s="13">
        <v>42934.664861111109</v>
      </c>
      <c r="G108" s="7">
        <v>1</v>
      </c>
      <c r="H108" s="21" t="s">
        <v>345</v>
      </c>
      <c r="I108" s="13">
        <v>42934.690312500003</v>
      </c>
      <c r="J108" s="7">
        <v>0</v>
      </c>
      <c r="K108" s="89" t="str">
        <f t="shared" si="27"/>
        <v>4001/4002</v>
      </c>
      <c r="L108" s="21" t="str">
        <f>VLOOKUP(A108,'Trips&amp;Operators'!$C$1:$G$99999,5,FALSE)</f>
        <v>PAGE MARCUS</v>
      </c>
      <c r="M108" s="6">
        <f t="shared" si="28"/>
        <v>2.5451388893998228E-2</v>
      </c>
      <c r="N108" s="7">
        <f t="shared" si="43"/>
        <v>36.650000007357448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-18T14:38:02-0600',mode:absolute,to:'2017-07-18T17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23.3034</v>
      </c>
      <c r="Z108" s="197">
        <f t="shared" si="33"/>
        <v>1.43E-2</v>
      </c>
      <c r="AA108" s="197">
        <f t="shared" si="34"/>
        <v>23.289100000000001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192</v>
      </c>
      <c r="AE108" s="77" t="str">
        <f t="shared" si="3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108" s="74" t="str">
        <f t="shared" si="37"/>
        <v>"C:\Program Files (x86)\AstroGrep\AstroGrep.exe" /e /r /s /spath="%USERPROFILE%\AppData\Local\Temp\OnboardLogs" /stypes="app*4001*20170718*"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192-18 --locoid 4001 --swversion DE.1.0.9.0 --startMP 204:233034 --initTime 2017-07-18T15:38:02 --startdatetime 2017-07-18T15:57:24 --delay 1 --endMP 204:143 --enddatetime 2017-07-18T16:34:03 --enforcementcount 0 &gt;&gt;C:\Users\stu\Documents\GitHub\eaglep3-reporting\EC\2017-07-18-refined-times.txt</v>
      </c>
      <c r="AI10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{"issue":{"subject":"","project_id":79,"tracker_id":40,"status_id":1,"priority_id":2,"assigned_to_id":23,"start_date":"2017-07-18","description":"","custom_fields":[{"id":1,"name":"Subdivision","value":"EC"},{"id":4,"name":"Milepost","value":"0.0143"},{"id":17,"name":"Train ID","value":"192-18"},{"id":16,"name":"Locomotive ID","value":"4001"},{"id":130,"name":"Impact","value":""},{"id":150,"name":"Time of Event (Mountain Time)","value":"16:34:03"},{"id":151,"name":"Denver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4001 --day 2017-07-18</v>
      </c>
      <c r="AN108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654</v>
      </c>
      <c r="B109" s="7">
        <v>4026</v>
      </c>
      <c r="C109" s="21" t="s">
        <v>199</v>
      </c>
      <c r="D109" s="21" t="s">
        <v>541</v>
      </c>
      <c r="E109" s="13">
        <v>42934.632233796299</v>
      </c>
      <c r="F109" s="13">
        <v>42934.636076388888</v>
      </c>
      <c r="G109" s="7">
        <v>1</v>
      </c>
      <c r="H109" s="21" t="s">
        <v>924</v>
      </c>
      <c r="I109" s="13">
        <v>42934.661666666667</v>
      </c>
      <c r="J109" s="7">
        <v>0</v>
      </c>
      <c r="K109" s="89" t="str">
        <f t="shared" si="27"/>
        <v>4025/4026</v>
      </c>
      <c r="L109" s="21" t="str">
        <f>VLOOKUP(A109,'Trips&amp;Operators'!$C$1:$G$99999,5,FALSE)</f>
        <v>LEVIN SCOTT</v>
      </c>
      <c r="M109" s="6">
        <f t="shared" si="28"/>
        <v>2.5590277778974269E-2</v>
      </c>
      <c r="N109" s="7">
        <f t="shared" si="43"/>
        <v>36.850000001722947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-18T14:10:25-0600',mode:absolute,to:'2017-07-18T16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97" t="str">
        <f>IF(AA109&lt;VLOOKUP(AG109,Variables!$AC$3:$AD$8,2,FALSE),"Y","N")</f>
        <v>N</v>
      </c>
      <c r="X109" s="197">
        <f t="shared" ref="X109:X145" si="45">VALUE(LEFT(AD109,4))-VALUE(LEFT(AD108,4))</f>
        <v>1</v>
      </c>
      <c r="Y109" s="197">
        <f t="shared" si="32"/>
        <v>4.4900000000000002E-2</v>
      </c>
      <c r="Z109" s="197">
        <f t="shared" si="33"/>
        <v>23.340199999999999</v>
      </c>
      <c r="AA109" s="197">
        <f t="shared" si="34"/>
        <v>23.295300000000001</v>
      </c>
      <c r="AB109" s="54" t="str">
        <f>VLOOKUP(A109,Enforcements!$C$7:$K$13,8,0)</f>
        <v>Bulletin (2)</v>
      </c>
      <c r="AC109" s="51" t="str">
        <f>VLOOKUP(A109,Enforcements!$C$7:$E$13,3,0)</f>
        <v>GRADE CROSSING</v>
      </c>
      <c r="AD109" s="206">
        <f t="shared" si="35"/>
        <v>193</v>
      </c>
      <c r="AE109" s="77" t="str">
        <f t="shared" si="36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109" s="74" t="str">
        <f t="shared" si="37"/>
        <v>"C:\Program Files (x86)\AstroGrep\AstroGrep.exe" /e /r /s /spath="%USERPROFILE%\AppData\Local\Temp\OnboardLogs" /stypes="app*4026*20170718*" /stext=" 21:.+((SYSTEM_STATE.+slice.+state.+changed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193-18 --locoid 4026 --swversion DE.1.0.9.0 --startMP 204:449 --initTime 2017-07-18T15:10:25 --startdatetime 2017-07-18T15:15:57 --delay 1 --endMP 204:233402 --enddatetime 2017-07-18T15:52:48 --enforcementcount 0 &gt;&gt;C:\Users\stu\Documents\GitHub\eaglep3-reporting\EC\2017-07-18-refined-times.txt</v>
      </c>
      <c r="AI10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{"issue":{"subject":"","project_id":79,"tracker_id":40,"status_id":1,"priority_id":2,"assigned_to_id":23,"start_date":"2017-07-18","description":"","custom_fields":[{"id":1,"name":"Subdivision","value":"EC"},{"id":4,"name":"Milepost","value":"23.3402"},{"id":17,"name":"Train ID","value":"193-18"},{"id":16,"name":"Locomotive ID","value":"4026"},{"id":130,"name":"Impact","value":""},{"id":150,"name":"Time of Event (Mountain Time)","value":"15:52:48"},{"id":151,"name":"Denver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4026 --day 2017-07-18</v>
      </c>
      <c r="AN109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797</v>
      </c>
      <c r="B110" s="7">
        <v>4025</v>
      </c>
      <c r="C110" s="21" t="s">
        <v>199</v>
      </c>
      <c r="D110" s="21" t="s">
        <v>925</v>
      </c>
      <c r="E110" s="13">
        <v>42934.672812500001</v>
      </c>
      <c r="F110" s="13">
        <v>42934.675393518519</v>
      </c>
      <c r="G110" s="7">
        <v>2</v>
      </c>
      <c r="H110" s="21" t="s">
        <v>420</v>
      </c>
      <c r="I110" s="13">
        <v>42934.701238425929</v>
      </c>
      <c r="J110" s="7">
        <v>0</v>
      </c>
      <c r="K110" s="89" t="str">
        <f t="shared" si="27"/>
        <v>4025/4026</v>
      </c>
      <c r="L110" s="21" t="str">
        <f>VLOOKUP(A110,'Trips&amp;Operators'!$C$1:$G$99999,5,FALSE)</f>
        <v>LEVIN SCOTT</v>
      </c>
      <c r="M110" s="6">
        <f t="shared" si="28"/>
        <v>2.584490740991896E-2</v>
      </c>
      <c r="N110" s="7">
        <f t="shared" si="43"/>
        <v>37.216666670283303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-18T15:08:51-0600',mode:absolute,to:'2017-07-18T17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32"/>
        <v>23.311699999999998</v>
      </c>
      <c r="Z110" s="197">
        <f t="shared" si="33"/>
        <v>1.3599999999999999E-2</v>
      </c>
      <c r="AA110" s="197">
        <f t="shared" si="34"/>
        <v>23.298099999999998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194</v>
      </c>
      <c r="AE110" s="77" t="str">
        <f t="shared" si="36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110" s="74" t="str">
        <f t="shared" si="37"/>
        <v>"C:\Program Files (x86)\AstroGrep\AstroGrep.exe" /e /r /s /spath="%USERPROFILE%\AppData\Local\Temp\OnboardLogs" /stypes="app*4025*20170718*"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194-18 --locoid 4025 --swversion DE.1.0.9.0 --startMP 204:233117 --initTime 2017-07-18T16:08:51 --startdatetime 2017-07-18T16:12:34 --delay 2 --endMP 204:136 --enddatetime 2017-07-18T16:49:47 --enforcementcount 0 &gt;&gt;C:\Users\stu\Documents\GitHub\eaglep3-reporting\EC\2017-07-18-refined-times.txt</v>
      </c>
      <c r="AI11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{"issue":{"subject":"","project_id":79,"tracker_id":40,"status_id":1,"priority_id":2,"assigned_to_id":23,"start_date":"2017-07-18","description":"","custom_fields":[{"id":1,"name":"Subdivision","value":"EC"},{"id":4,"name":"Milepost","value":"0.0136"},{"id":17,"name":"Train ID","value":"194-18"},{"id":16,"name":"Locomotive ID","value":"4025"},{"id":130,"name":"Impact","value":""},{"id":150,"name":"Time of Event (Mountain Time)","value":"16:49:47"},{"id":151,"name":"Denver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4025 --day 2017-07-18</v>
      </c>
      <c r="AN110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788</v>
      </c>
      <c r="B111" s="7">
        <v>4062</v>
      </c>
      <c r="C111" s="21" t="s">
        <v>199</v>
      </c>
      <c r="D111" s="21" t="s">
        <v>545</v>
      </c>
      <c r="E111" s="13">
        <v>42934.643518518518</v>
      </c>
      <c r="F111" s="13">
        <v>42934.646643518521</v>
      </c>
      <c r="G111" s="7">
        <v>1</v>
      </c>
      <c r="H111" s="21" t="s">
        <v>926</v>
      </c>
      <c r="I111" s="13">
        <v>42934.672777777778</v>
      </c>
      <c r="J111" s="7">
        <v>0</v>
      </c>
      <c r="K111" s="89" t="str">
        <f t="shared" si="27"/>
        <v>4061/4062</v>
      </c>
      <c r="L111" s="21" t="str">
        <f>VLOOKUP(A111,'Trips&amp;Operators'!$C$1:$G$99999,5,FALSE)</f>
        <v>ANDERS STEVEN</v>
      </c>
      <c r="M111" s="6">
        <f t="shared" si="28"/>
        <v>2.6134259256650694E-2</v>
      </c>
      <c r="N111" s="7">
        <f t="shared" si="43"/>
        <v>37.633333329576999</v>
      </c>
      <c r="O111" s="7"/>
      <c r="P111" s="7"/>
      <c r="Q111" s="22"/>
      <c r="R111" s="170"/>
      <c r="S111" s="213">
        <f t="shared" si="44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-18T14:26:40-0600',mode:absolute,to:'2017-07-18T17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32"/>
        <v>4.3700000000000003E-2</v>
      </c>
      <c r="Z111" s="197">
        <f t="shared" si="33"/>
        <v>23.335100000000001</v>
      </c>
      <c r="AA111" s="197">
        <f t="shared" si="34"/>
        <v>23.291399999999999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195</v>
      </c>
      <c r="AE111" s="77" t="str">
        <f t="shared" si="3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11" s="74" t="str">
        <f t="shared" si="37"/>
        <v>"C:\Program Files (x86)\AstroGrep\AstroGrep.exe" /e /r /s /spath="%USERPROFILE%\AppData\Local\Temp\OnboardLogs" /stypes="app*4062*20170718*"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195-18 --locoid 4062 --swversion DE.1.0.9.0 --startMP 204:437 --initTime 2017-07-18T15:26:40 --startdatetime 2017-07-18T15:31:10 --delay 1 --endMP 204:233351 --enddatetime 2017-07-18T16:08:48 --enforcementcount 0 &gt;&gt;C:\Users\stu\Documents\GitHub\eaglep3-reporting\EC\2017-07-18-refined-times.txt</v>
      </c>
      <c r="AI11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{"issue":{"subject":"","project_id":79,"tracker_id":40,"status_id":1,"priority_id":2,"assigned_to_id":23,"start_date":"2017-07-18","description":"","custom_fields":[{"id":1,"name":"Subdivision","value":"EC"},{"id":4,"name":"Milepost","value":"23.3351"},{"id":17,"name":"Train ID","value":"195-18"},{"id":16,"name":"Locomotive ID","value":"4062"},{"id":130,"name":"Impact","value":""},{"id":150,"name":"Time of Event (Mountain Time)","value":"16:08:48"},{"id":151,"name":"Denver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4062 --day 2017-07-18</v>
      </c>
      <c r="AN111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799</v>
      </c>
      <c r="B112" s="7">
        <v>4061</v>
      </c>
      <c r="C112" s="21" t="s">
        <v>199</v>
      </c>
      <c r="D112" s="21" t="s">
        <v>927</v>
      </c>
      <c r="E112" s="13">
        <v>42934.680266203701</v>
      </c>
      <c r="F112" s="13">
        <v>42934.685671296298</v>
      </c>
      <c r="G112" s="7">
        <v>1</v>
      </c>
      <c r="H112" s="21" t="s">
        <v>423</v>
      </c>
      <c r="I112" s="13">
        <v>42934.712407407409</v>
      </c>
      <c r="J112" s="7">
        <v>0</v>
      </c>
      <c r="K112" s="89" t="str">
        <f t="shared" si="27"/>
        <v>4061/4062</v>
      </c>
      <c r="L112" s="21" t="str">
        <f>VLOOKUP(A112,'Trips&amp;Operators'!$C$1:$G$99999,5,FALSE)</f>
        <v>ANDERS STEVEN</v>
      </c>
      <c r="M112" s="6">
        <f t="shared" si="28"/>
        <v>2.6736111110949423E-2</v>
      </c>
      <c r="N112" s="7">
        <f t="shared" si="43"/>
        <v>38.499999999767169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-18T15:19:35-0600',mode:absolute,to:'2017-07-18T18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32"/>
        <v>23.306899999999999</v>
      </c>
      <c r="Z112" s="197">
        <f t="shared" si="33"/>
        <v>1.6E-2</v>
      </c>
      <c r="AA112" s="197">
        <f t="shared" si="34"/>
        <v>23.290900000000001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196</v>
      </c>
      <c r="AE112" s="77" t="str">
        <f t="shared" si="3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12" s="74" t="str">
        <f t="shared" si="37"/>
        <v>"C:\Program Files (x86)\AstroGrep\AstroGrep.exe" /e /r /s /spath="%USERPROFILE%\AppData\Local\Temp\OnboardLogs" /stypes="app*4061*20170718*"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196-18 --locoid 4061 --swversion DE.1.0.9.0 --startMP 204:233069 --initTime 2017-07-18T16:19:35 --startdatetime 2017-07-18T16:27:22 --delay 1 --endMP 204:160 --enddatetime 2017-07-18T17:05:52 --enforcementcount 0 &gt;&gt;C:\Users\stu\Documents\GitHub\eaglep3-reporting\EC\2017-07-18-refined-times.txt</v>
      </c>
      <c r="AI11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{"issue":{"subject":"","project_id":79,"tracker_id":40,"status_id":1,"priority_id":2,"assigned_to_id":23,"start_date":"2017-07-18","description":"","custom_fields":[{"id":1,"name":"Subdivision","value":"EC"},{"id":4,"name":"Milepost","value":"0.016"},{"id":17,"name":"Train ID","value":"196-18"},{"id":16,"name":"Locomotive ID","value":"4061"},{"id":130,"name":"Impact","value":""},{"id":150,"name":"Time of Event (Mountain Time)","value":"17:05:52"},{"id":151,"name":"Denver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4061 --day 2017-07-18</v>
      </c>
      <c r="AN112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793</v>
      </c>
      <c r="B113" s="7">
        <v>4064</v>
      </c>
      <c r="C113" s="21" t="s">
        <v>199</v>
      </c>
      <c r="D113" s="21" t="s">
        <v>541</v>
      </c>
      <c r="E113" s="13">
        <v>42934.654189814813</v>
      </c>
      <c r="F113" s="13">
        <v>42934.656956018516</v>
      </c>
      <c r="G113" s="7">
        <v>1</v>
      </c>
      <c r="H113" s="21" t="s">
        <v>604</v>
      </c>
      <c r="I113" s="13">
        <v>42934.682372685187</v>
      </c>
      <c r="J113" s="7">
        <v>0</v>
      </c>
      <c r="K113" s="89" t="str">
        <f t="shared" si="27"/>
        <v>4063/4064</v>
      </c>
      <c r="L113" s="21" t="str">
        <f>VLOOKUP(A113,'Trips&amp;Operators'!$C$1:$G$99999,5,FALSE)</f>
        <v>THOMPSON LESTER</v>
      </c>
      <c r="M113" s="6">
        <f t="shared" si="28"/>
        <v>2.5416666670935228E-2</v>
      </c>
      <c r="N113" s="7">
        <f t="shared" si="43"/>
        <v>36.600000006146729</v>
      </c>
      <c r="O113" s="7"/>
      <c r="P113" s="7"/>
      <c r="Q113" s="22"/>
      <c r="R113" s="170"/>
      <c r="S113" s="213">
        <f t="shared" si="44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-18T14:42:02-0600',mode:absolute,to:'2017-07-18T17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32"/>
        <v>4.4900000000000002E-2</v>
      </c>
      <c r="Z113" s="197">
        <f t="shared" si="33"/>
        <v>23.335699999999999</v>
      </c>
      <c r="AA113" s="197">
        <f t="shared" si="34"/>
        <v>23.290800000000001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197</v>
      </c>
      <c r="AE113" s="77" t="str">
        <f t="shared" si="36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113" s="74" t="str">
        <f t="shared" si="37"/>
        <v>"C:\Program Files (x86)\AstroGrep\AstroGrep.exe" /e /r /s /spath="%USERPROFILE%\AppData\Local\Temp\OnboardLogs" /stypes="app*4064*20170718*"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197-18 --locoid 4064 --swversion DE.1.0.9.0 --startMP 204:449 --initTime 2017-07-18T15:42:02 --startdatetime 2017-07-18T15:46:01 --delay 1 --endMP 204:233357 --enddatetime 2017-07-18T16:22:37 --enforcementcount 0 &gt;&gt;C:\Users\stu\Documents\GitHub\eaglep3-reporting\EC\2017-07-18-refined-times.txt</v>
      </c>
      <c r="AI11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{"issue":{"subject":"","project_id":79,"tracker_id":40,"status_id":1,"priority_id":2,"assigned_to_id":23,"start_date":"2017-07-18","description":"","custom_fields":[{"id":1,"name":"Subdivision","value":"EC"},{"id":4,"name":"Milepost","value":"23.3357"},{"id":17,"name":"Train ID","value":"197-18"},{"id":16,"name":"Locomotive ID","value":"4064"},{"id":130,"name":"Impact","value":""},{"id":150,"name":"Time of Event (Mountain Time)","value":"16:22:37"},{"id":151,"name":"Denver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4064 --day 2017-07-18</v>
      </c>
      <c r="AN113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803</v>
      </c>
      <c r="B114" s="7">
        <v>4063</v>
      </c>
      <c r="C114" s="21" t="s">
        <v>199</v>
      </c>
      <c r="D114" s="21" t="s">
        <v>610</v>
      </c>
      <c r="E114" s="13">
        <v>42934.693206018521</v>
      </c>
      <c r="F114" s="13">
        <v>42934.696111111109</v>
      </c>
      <c r="G114" s="7">
        <v>1</v>
      </c>
      <c r="H114" s="21" t="s">
        <v>351</v>
      </c>
      <c r="I114" s="13">
        <v>42934.723634259259</v>
      </c>
      <c r="J114" s="7">
        <v>0</v>
      </c>
      <c r="K114" s="89" t="str">
        <f t="shared" si="27"/>
        <v>4063/4064</v>
      </c>
      <c r="L114" s="21" t="str">
        <f>VLOOKUP(A114,'Trips&amp;Operators'!$C$1:$G$99999,5,FALSE)</f>
        <v>THOMPSON LESTER</v>
      </c>
      <c r="M114" s="6">
        <f t="shared" si="28"/>
        <v>2.7523148150066845E-2</v>
      </c>
      <c r="N114" s="7">
        <f t="shared" si="43"/>
        <v>39.633333336096257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-18T15:38:13-0600',mode:absolute,to:'2017-07-18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32"/>
        <v>23.303599999999999</v>
      </c>
      <c r="Z114" s="197">
        <f t="shared" si="33"/>
        <v>1.3899999999999999E-2</v>
      </c>
      <c r="AA114" s="197">
        <f t="shared" si="34"/>
        <v>23.2897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198</v>
      </c>
      <c r="AE114" s="77" t="str">
        <f t="shared" si="36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114" s="74" t="str">
        <f t="shared" si="37"/>
        <v>"C:\Program Files (x86)\AstroGrep\AstroGrep.exe" /e /r /s /spath="%USERPROFILE%\AppData\Local\Temp\OnboardLogs" /stypes="app*4063*20170718*"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198-18 --locoid 4063 --swversion DE.1.0.9.0 --startMP 204:233036 --initTime 2017-07-18T16:38:13 --startdatetime 2017-07-18T16:42:24 --delay 1 --endMP 204:139 --enddatetime 2017-07-18T17:22:02 --enforcementcount 0 &gt;&gt;C:\Users\stu\Documents\GitHub\eaglep3-reporting\EC\2017-07-18-refined-times.txt</v>
      </c>
      <c r="AI11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{"issue":{"subject":"","project_id":79,"tracker_id":40,"status_id":1,"priority_id":2,"assigned_to_id":23,"start_date":"2017-07-18","description":"","custom_fields":[{"id":1,"name":"Subdivision","value":"EC"},{"id":4,"name":"Milepost","value":"0.0139"},{"id":17,"name":"Train ID","value":"198-18"},{"id":16,"name":"Locomotive ID","value":"4063"},{"id":130,"name":"Impact","value":""},{"id":150,"name":"Time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4063 --day 2017-07-18</v>
      </c>
      <c r="AN114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794</v>
      </c>
      <c r="B115" s="7">
        <v>4014</v>
      </c>
      <c r="C115" s="21" t="s">
        <v>199</v>
      </c>
      <c r="D115" s="21" t="s">
        <v>347</v>
      </c>
      <c r="E115" s="13">
        <v>42934.663263888891</v>
      </c>
      <c r="F115" s="13">
        <v>42934.667013888888</v>
      </c>
      <c r="G115" s="7">
        <v>1</v>
      </c>
      <c r="H115" s="21" t="s">
        <v>910</v>
      </c>
      <c r="I115" s="13">
        <v>42934.692939814813</v>
      </c>
      <c r="J115" s="7">
        <v>0</v>
      </c>
      <c r="K115" s="89" t="str">
        <f t="shared" si="27"/>
        <v>4013/4014</v>
      </c>
      <c r="L115" s="21" t="str">
        <f>VLOOKUP(A115,'Trips&amp;Operators'!$C$1:$G$99999,5,FALSE)</f>
        <v>DAVIS MICHAEL</v>
      </c>
      <c r="M115" s="6">
        <f t="shared" si="28"/>
        <v>2.5925925925548654E-2</v>
      </c>
      <c r="N115" s="7">
        <f t="shared" si="43"/>
        <v>37.333333332790062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-18T14:55:06-0600',mode:absolute,to:'2017-07-18T17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32"/>
        <v>4.5100000000000001E-2</v>
      </c>
      <c r="Z115" s="197">
        <f t="shared" si="33"/>
        <v>23.333600000000001</v>
      </c>
      <c r="AA115" s="197">
        <f t="shared" si="34"/>
        <v>23.288499999999999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199</v>
      </c>
      <c r="AE115" s="77" t="str">
        <f t="shared" si="3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15" s="74" t="str">
        <f t="shared" si="37"/>
        <v>"C:\Program Files (x86)\AstroGrep\AstroGrep.exe" /e /r /s /spath="%USERPROFILE%\AppData\Local\Temp\OnboardLogs" /stypes="app*4014*20170718*"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199-18 --locoid 4014 --swversion DE.1.0.9.0 --startMP 204:451 --initTime 2017-07-18T15:55:06 --startdatetime 2017-07-18T16:00:30 --delay 1 --endMP 204:233336 --enddatetime 2017-07-18T16:37:50 --enforcementcount 0 &gt;&gt;C:\Users\stu\Documents\GitHub\eaglep3-reporting\EC\2017-07-18-refined-times.txt</v>
      </c>
      <c r="AI11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{"issue":{"subject":"","project_id":79,"tracker_id":40,"status_id":1,"priority_id":2,"assigned_to_id":23,"start_date":"2017-07-18","description":"","custom_fields":[{"id":1,"name":"Subdivision","value":"EC"},{"id":4,"name":"Milepost","value":"23.3336"},{"id":17,"name":"Train ID","value":"199-18"},{"id":16,"name":"Locomotive ID","value":"4014"},{"id":130,"name":"Impact","value":""},{"id":150,"name":"Time of Event (Mountain Time)","value":"16:37:50"},{"id":151,"name":"Denver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4014 --day 2017-07-18</v>
      </c>
      <c r="AN115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805</v>
      </c>
      <c r="B116" s="7">
        <v>4013</v>
      </c>
      <c r="C116" s="21" t="s">
        <v>199</v>
      </c>
      <c r="D116" s="21" t="s">
        <v>928</v>
      </c>
      <c r="E116" s="13">
        <v>42934.703645833331</v>
      </c>
      <c r="F116" s="13">
        <v>42934.706701388888</v>
      </c>
      <c r="G116" s="7">
        <v>2</v>
      </c>
      <c r="H116" s="21" t="s">
        <v>353</v>
      </c>
      <c r="I116" s="13">
        <v>42934.734305555554</v>
      </c>
      <c r="J116" s="7">
        <v>0</v>
      </c>
      <c r="K116" s="89" t="str">
        <f t="shared" si="27"/>
        <v>4013/4014</v>
      </c>
      <c r="L116" s="21" t="str">
        <f>VLOOKUP(A116,'Trips&amp;Operators'!$C$1:$G$99999,5,FALSE)</f>
        <v>DAVIS MICHAEL</v>
      </c>
      <c r="M116" s="6">
        <f t="shared" si="28"/>
        <v>2.7604166665696539E-2</v>
      </c>
      <c r="N116" s="7">
        <f t="shared" si="43"/>
        <v>39.749999998603016</v>
      </c>
      <c r="O116" s="7"/>
      <c r="P116" s="7"/>
      <c r="Q116" s="22"/>
      <c r="R116" s="170"/>
      <c r="S116" s="213">
        <f t="shared" si="44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-18T15:53:15-0600',mode:absolute,to:'2017-07-18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32"/>
        <v>23.302099999999999</v>
      </c>
      <c r="Z116" s="197">
        <f t="shared" si="33"/>
        <v>1.41E-2</v>
      </c>
      <c r="AA116" s="197">
        <f t="shared" si="34"/>
        <v>23.288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200</v>
      </c>
      <c r="AE116" s="77" t="str">
        <f t="shared" si="36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116" s="74" t="str">
        <f t="shared" si="37"/>
        <v>"C:\Program Files (x86)\AstroGrep\AstroGrep.exe" /e /r /s /spath="%USERPROFILE%\AppData\Local\Temp\OnboardLogs" /stypes="app*4013*20170718*"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200-18 --locoid 4013 --swversion DE.1.0.9.0 --startMP 204:233021 --initTime 2017-07-18T16:53:15 --startdatetime 2017-07-18T16:57:39 --delay 2 --endMP 204:141 --enddatetime 2017-07-18T17:37:24 --enforcementcount 0 &gt;&gt;C:\Users\stu\Documents\GitHub\eaglep3-reporting\EC\2017-07-18-refined-times.txt</v>
      </c>
      <c r="AI116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{"issue":{"subject":"","project_id":79,"tracker_id":40,"status_id":1,"priority_id":2,"assigned_to_id":23,"start_date":"2017-07-18","description":"","custom_fields":[{"id":1,"name":"Subdivision","value":"EC"},{"id":4,"name":"Milepost","value":"0.0141"},{"id":17,"name":"Train ID","value":"200-18"},{"id":16,"name":"Locomotive ID","value":"4013"},{"id":130,"name":"Impact","value":""},{"id":150,"name":"Time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4013 --day 2017-07-18</v>
      </c>
      <c r="AN116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796</v>
      </c>
      <c r="B117" s="7">
        <v>4006</v>
      </c>
      <c r="C117" s="21" t="s">
        <v>199</v>
      </c>
      <c r="D117" s="21" t="s">
        <v>342</v>
      </c>
      <c r="E117" s="13">
        <v>42934.672129629631</v>
      </c>
      <c r="F117" s="13">
        <v>42934.67765046296</v>
      </c>
      <c r="G117" s="7">
        <v>1</v>
      </c>
      <c r="H117" s="21" t="s">
        <v>597</v>
      </c>
      <c r="I117" s="13">
        <v>42934.702303240738</v>
      </c>
      <c r="J117" s="7">
        <v>0</v>
      </c>
      <c r="K117" s="89" t="str">
        <f t="shared" si="27"/>
        <v>4005/4006</v>
      </c>
      <c r="L117" s="21" t="str">
        <f>VLOOKUP(A117,'Trips&amp;Operators'!$C$1:$G$99999,5,FALSE)</f>
        <v>MCREYNOLDS KYLE</v>
      </c>
      <c r="M117" s="6">
        <f t="shared" si="28"/>
        <v>2.4652777778101154E-2</v>
      </c>
      <c r="N117" s="7">
        <f t="shared" si="43"/>
        <v>35.500000000465661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-18T15:07:52-0600',mode:absolute,to:'2017-07-18T17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32"/>
        <v>4.4600000000000001E-2</v>
      </c>
      <c r="Z117" s="197">
        <f t="shared" si="33"/>
        <v>23.331900000000001</v>
      </c>
      <c r="AA117" s="197">
        <f t="shared" si="34"/>
        <v>23.287300000000002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201</v>
      </c>
      <c r="AE117" s="77" t="str">
        <f t="shared" si="36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117" s="74" t="str">
        <f t="shared" si="37"/>
        <v>"C:\Program Files (x86)\AstroGrep\AstroGrep.exe" /e /r /s /spath="%USERPROFILE%\AppData\Local\Temp\OnboardLogs" /stypes="app*4006*20170718*" /stext=" 22:.+((SYSTEM_STATE.+slice.+state.+changed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201-18 --locoid 4006 --swversion DE.1.0.9.0 --startMP 204:446 --initTime 2017-07-18T16:07:52 --startdatetime 2017-07-18T16:15:49 --delay 1 --endMP 204:233319 --enddatetime 2017-07-18T16:51:19 --enforcementcount 0 &gt;&gt;C:\Users\stu\Documents\GitHub\eaglep3-reporting\EC\2017-07-18-refined-times.txt</v>
      </c>
      <c r="AI11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{"issue":{"subject":"","project_id":79,"tracker_id":40,"status_id":1,"priority_id":2,"assigned_to_id":23,"start_date":"2017-07-18","description":"","custom_fields":[{"id":1,"name":"Subdivision","value":"EC"},{"id":4,"name":"Milepost","value":"23.3319"},{"id":17,"name":"Train ID","value":"201-18"},{"id":16,"name":"Locomotive ID","value":"4006"},{"id":130,"name":"Impact","value":""},{"id":150,"name":"Time of Event (Mountain Time)","value":"16:51:19"},{"id":151,"name":"Denver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4006 --day 2017-07-18</v>
      </c>
      <c r="AN117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806</v>
      </c>
      <c r="B118" s="7">
        <v>4005</v>
      </c>
      <c r="C118" s="21" t="s">
        <v>199</v>
      </c>
      <c r="D118" s="21" t="s">
        <v>920</v>
      </c>
      <c r="E118" s="13">
        <v>42934.70989583333</v>
      </c>
      <c r="F118" s="13">
        <v>42934.716840277775</v>
      </c>
      <c r="G118" s="7">
        <v>1</v>
      </c>
      <c r="H118" s="21" t="s">
        <v>508</v>
      </c>
      <c r="I118" s="13">
        <v>42934.743807870371</v>
      </c>
      <c r="J118" s="7">
        <v>0</v>
      </c>
      <c r="K118" s="89" t="str">
        <f t="shared" si="27"/>
        <v>4005/4006</v>
      </c>
      <c r="L118" s="21" t="str">
        <f>VLOOKUP(A118,'Trips&amp;Operators'!$C$1:$G$99999,5,FALSE)</f>
        <v>MCREYNOLDS KYLE</v>
      </c>
      <c r="M118" s="6">
        <f t="shared" si="28"/>
        <v>2.6967592595610768E-2</v>
      </c>
      <c r="N118" s="7">
        <f t="shared" si="43"/>
        <v>38.833333337679505</v>
      </c>
      <c r="O118" s="7"/>
      <c r="P118" s="7"/>
      <c r="Q118" s="22"/>
      <c r="R118" s="170"/>
      <c r="S118" s="213">
        <f t="shared" si="44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-18T16:02:15-0600',mode:absolute,to:'2017-07-18T18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32"/>
        <v>23.299800000000001</v>
      </c>
      <c r="Z118" s="197">
        <f t="shared" si="33"/>
        <v>1.52E-2</v>
      </c>
      <c r="AA118" s="197">
        <f t="shared" si="34"/>
        <v>23.284600000000001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202</v>
      </c>
      <c r="AE118" s="77" t="str">
        <f t="shared" si="36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118" s="74" t="str">
        <f t="shared" si="37"/>
        <v>"C:\Program Files (x86)\AstroGrep\AstroGrep.exe" /e /r /s /spath="%USERPROFILE%\AppData\Local\Temp\OnboardLogs" /stypes="app*4005*20170718*"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202-18 --locoid 4005 --swversion DE.1.0.9.0 --startMP 204:232998 --initTime 2017-07-18T17:02:15 --startdatetime 2017-07-18T17:12:15 --delay 1 --endMP 204:152 --enddatetime 2017-07-18T17:51:05 --enforcementcount 0 &gt;&gt;C:\Users\stu\Documents\GitHub\eaglep3-reporting\EC\2017-07-18-refined-times.txt</v>
      </c>
      <c r="AI11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{"issue":{"subject":"","project_id":79,"tracker_id":40,"status_id":1,"priority_id":2,"assigned_to_id":23,"start_date":"2017-07-18","description":"","custom_fields":[{"id":1,"name":"Subdivision","value":"EC"},{"id":4,"name":"Milepost","value":"0.0152"},{"id":17,"name":"Train ID","value":"202-18"},{"id":16,"name":"Locomotive ID","value":"4005"},{"id":130,"name":"Impact","value":""},{"id":150,"name":"Time of Event (Mountain Time)","value":"17:51:05"},{"id":151,"name":"Denver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4005 --day 2017-07-18</v>
      </c>
      <c r="AN118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800</v>
      </c>
      <c r="B119" s="7">
        <v>4008</v>
      </c>
      <c r="C119" s="21" t="s">
        <v>199</v>
      </c>
      <c r="D119" s="21" t="s">
        <v>397</v>
      </c>
      <c r="E119" s="13">
        <v>42934.684675925928</v>
      </c>
      <c r="F119" s="13">
        <v>42934.688090277778</v>
      </c>
      <c r="G119" s="7">
        <v>1</v>
      </c>
      <c r="H119" s="21" t="s">
        <v>421</v>
      </c>
      <c r="I119" s="13">
        <v>42934.71371527778</v>
      </c>
      <c r="J119" s="7">
        <v>0</v>
      </c>
      <c r="K119" s="89" t="str">
        <f t="shared" si="27"/>
        <v>4007/4008</v>
      </c>
      <c r="L119" s="21" t="str">
        <f>VLOOKUP(A119,'Trips&amp;Operators'!$C$1:$G$99999,5,FALSE)</f>
        <v>STEWART MICHAEL</v>
      </c>
      <c r="M119" s="6">
        <f t="shared" si="28"/>
        <v>2.5625000002037268E-2</v>
      </c>
      <c r="N119" s="7">
        <f t="shared" si="43"/>
        <v>36.900000002933666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-18T15:25:56-0600',mode:absolute,to:'2017-07-18T18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32"/>
        <v>4.6899999999999997E-2</v>
      </c>
      <c r="Z119" s="197">
        <f t="shared" si="33"/>
        <v>23.329699999999999</v>
      </c>
      <c r="AA119" s="197">
        <f t="shared" si="34"/>
        <v>23.282799999999998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203</v>
      </c>
      <c r="AE119" s="77" t="str">
        <f t="shared" si="36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19" s="74" t="str">
        <f t="shared" si="37"/>
        <v>"C:\Program Files (x86)\AstroGrep\AstroGrep.exe" /e /r /s /spath="%USERPROFILE%\AppData\Local\Temp\OnboardLogs" /stypes="app*4008*20170718*"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203-18 --locoid 4008 --swversion DE.1.0.9.0 --startMP 204:469 --initTime 2017-07-18T16:25:56 --startdatetime 2017-07-18T16:30:51 --delay 1 --endMP 204:233297 --enddatetime 2017-07-18T17:07:45 --enforcementcount 0 &gt;&gt;C:\Users\stu\Documents\GitHub\eaglep3-reporting\EC\2017-07-18-refined-times.txt</v>
      </c>
      <c r="AI11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{"issue":{"subject":"","project_id":79,"tracker_id":40,"status_id":1,"priority_id":2,"assigned_to_id":23,"start_date":"2017-07-18","description":"","custom_fields":[{"id":1,"name":"Subdivision","value":"EC"},{"id":4,"name":"Milepost","value":"23.3297"},{"id":17,"name":"Train ID","value":"203-18"},{"id":16,"name":"Locomotive ID","value":"4008"},{"id":130,"name":"Impact","value":""},{"id":150,"name":"Time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4008 --day 2017-07-18</v>
      </c>
      <c r="AN119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808</v>
      </c>
      <c r="B120" s="7">
        <v>4007</v>
      </c>
      <c r="C120" s="21" t="s">
        <v>199</v>
      </c>
      <c r="D120" s="21" t="s">
        <v>929</v>
      </c>
      <c r="E120" s="13">
        <v>42934.724293981482</v>
      </c>
      <c r="F120" s="13">
        <v>42934.727314814816</v>
      </c>
      <c r="G120" s="7">
        <v>1</v>
      </c>
      <c r="H120" s="21" t="s">
        <v>423</v>
      </c>
      <c r="I120" s="13">
        <v>42934.75476851852</v>
      </c>
      <c r="J120" s="7">
        <v>0</v>
      </c>
      <c r="K120" s="89" t="str">
        <f t="shared" si="27"/>
        <v>4007/4008</v>
      </c>
      <c r="L120" s="21" t="str">
        <f>VLOOKUP(A120,'Trips&amp;Operators'!$C$1:$G$99999,5,FALSE)</f>
        <v>STEWART MICHAEL</v>
      </c>
      <c r="M120" s="6">
        <f t="shared" si="28"/>
        <v>2.7453703703940846E-2</v>
      </c>
      <c r="N120" s="7">
        <f t="shared" ref="N120:N152" si="46">24*60*SUM($M120:$M120)</f>
        <v>39.533333333674818</v>
      </c>
      <c r="O120" s="7"/>
      <c r="P120" s="7"/>
      <c r="Q120" s="22"/>
      <c r="R120" s="170"/>
      <c r="S120" s="213">
        <f t="shared" si="44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-18T16:22:59-0600',mode:absolute,to:'2017-07-18T19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32"/>
        <v>23.2959</v>
      </c>
      <c r="Z120" s="197">
        <f t="shared" si="33"/>
        <v>1.6E-2</v>
      </c>
      <c r="AA120" s="197">
        <f t="shared" si="34"/>
        <v>23.279900000000001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204</v>
      </c>
      <c r="AE120" s="77" t="str">
        <f t="shared" si="3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20" s="74" t="str">
        <f t="shared" si="37"/>
        <v>"C:\Program Files (x86)\AstroGrep\AstroGrep.exe" /e /r /s /spath="%USERPROFILE%\AppData\Local\Temp\OnboardLogs" /stypes="app*4007*20170719*"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204-18 --locoid 4007 --swversion DE.1.0.9.0 --startMP 204:232959 --initTime 2017-07-18T17:22:59 --startdatetime 2017-07-18T17:27:20 --delay 1 --endMP 204:160 --enddatetime 2017-07-18T18:06:52 --enforcementcount 0 &gt;&gt;C:\Users\stu\Documents\GitHub\eaglep3-reporting\EC\2017-07-18-refined-times.txt</v>
      </c>
      <c r="AI12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{"issue":{"subject":"","project_id":79,"tracker_id":40,"status_id":1,"priority_id":2,"assigned_to_id":23,"start_date":"2017-07-18","description":"","custom_fields":[{"id":1,"name":"Subdivision","value":"EC"},{"id":4,"name":"Milepost","value":"0.016"},{"id":17,"name":"Train ID","value":"204-18"},{"id":16,"name":"Locomotive ID","value":"4007"},{"id":130,"name":"Impact","value":""},{"id":150,"name":"Time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4007 --day 2017-07-18</v>
      </c>
      <c r="AN120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655</v>
      </c>
      <c r="B121" s="7">
        <v>4002</v>
      </c>
      <c r="C121" s="21" t="s">
        <v>199</v>
      </c>
      <c r="D121" s="21" t="s">
        <v>416</v>
      </c>
      <c r="E121" s="13">
        <v>42934.693472222221</v>
      </c>
      <c r="F121" s="13">
        <v>42934.698460648149</v>
      </c>
      <c r="G121" s="7">
        <v>1</v>
      </c>
      <c r="H121" s="21" t="s">
        <v>584</v>
      </c>
      <c r="I121" s="13">
        <v>42934.724444444444</v>
      </c>
      <c r="J121" s="7">
        <v>0</v>
      </c>
      <c r="K121" s="89" t="str">
        <f t="shared" si="27"/>
        <v>4001/4002</v>
      </c>
      <c r="L121" s="21" t="str">
        <f>VLOOKUP(A121,'Trips&amp;Operators'!$C$1:$G$99999,5,FALSE)</f>
        <v>PAGE MARCUS</v>
      </c>
      <c r="M121" s="6">
        <f t="shared" si="28"/>
        <v>2.5983796294895001E-2</v>
      </c>
      <c r="N121" s="7">
        <f t="shared" si="46"/>
        <v>37.416666664648801</v>
      </c>
      <c r="O121" s="7"/>
      <c r="P121" s="7"/>
      <c r="Q121" s="22"/>
      <c r="R121" s="170"/>
      <c r="S121" s="213">
        <f t="shared" si="44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-18T15:38:36-0600',mode:absolute,to:'2017-07-18T18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32"/>
        <v>4.4400000000000002E-2</v>
      </c>
      <c r="Z121" s="197">
        <f t="shared" si="33"/>
        <v>23.332100000000001</v>
      </c>
      <c r="AA121" s="197">
        <f t="shared" si="34"/>
        <v>23.287700000000001</v>
      </c>
      <c r="AB121" s="54" t="str">
        <f>VLOOKUP(A121,Enforcements!$C$7:$K$13,8,0)</f>
        <v>Bulletin (2)</v>
      </c>
      <c r="AC121" s="51" t="str">
        <f>VLOOKUP(A121,Enforcements!$C$7:$E$13,3,0)</f>
        <v>GRADE CROSSING</v>
      </c>
      <c r="AD121" s="206">
        <f t="shared" si="35"/>
        <v>205</v>
      </c>
      <c r="AE121" s="77" t="str">
        <f t="shared" si="3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121" s="74" t="str">
        <f t="shared" si="37"/>
        <v>"C:\Program Files (x86)\AstroGrep\AstroGrep.exe" /e /r /s /spath="%USERPROFILE%\AppData\Local\Temp\OnboardLogs" /stypes="app*4002*20170718*"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205-18 --locoid 4002 --swversion DE.1.0.9.0 --startMP 204:444 --initTime 2017-07-18T16:38:36 --startdatetime 2017-07-18T16:45:47 --delay 1 --endMP 204:233321 --enddatetime 2017-07-18T17:23:12 --enforcementcount 0 &gt;&gt;C:\Users\stu\Documents\GitHub\eaglep3-reporting\EC\2017-07-18-refined-times.txt</v>
      </c>
      <c r="AI12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{"issue":{"subject":"","project_id":79,"tracker_id":40,"status_id":1,"priority_id":2,"assigned_to_id":23,"start_date":"2017-07-18","description":"","custom_fields":[{"id":1,"name":"Subdivision","value":"EC"},{"id":4,"name":"Milepost","value":"23.3321"},{"id":17,"name":"Train ID","value":"205-18"},{"id":16,"name":"Locomotive ID","value":"4002"},{"id":130,"name":"Impact","value":""},{"id":150,"name":"Time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4002 --day 2017-07-18</v>
      </c>
      <c r="AN121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809</v>
      </c>
      <c r="B122" s="7">
        <v>4001</v>
      </c>
      <c r="C122" s="21" t="s">
        <v>199</v>
      </c>
      <c r="D122" s="21" t="s">
        <v>920</v>
      </c>
      <c r="E122" s="13">
        <v>42934.726319444446</v>
      </c>
      <c r="F122" s="13">
        <v>42934.737824074073</v>
      </c>
      <c r="G122" s="7">
        <v>1</v>
      </c>
      <c r="H122" s="21" t="s">
        <v>344</v>
      </c>
      <c r="I122" s="13">
        <v>42934.766608796293</v>
      </c>
      <c r="J122" s="7">
        <v>0</v>
      </c>
      <c r="K122" s="89" t="str">
        <f t="shared" si="27"/>
        <v>4001/4002</v>
      </c>
      <c r="L122" s="21" t="str">
        <f>VLOOKUP(A122,'Trips&amp;Operators'!$C$1:$G$99999,5,FALSE)</f>
        <v>PAGE MARCUS</v>
      </c>
      <c r="M122" s="6">
        <f t="shared" si="28"/>
        <v>2.8784722220734693E-2</v>
      </c>
      <c r="N122" s="7">
        <f t="shared" si="46"/>
        <v>41.449999997857958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-18T16:25:54-0600',mode:absolute,to:'2017-07-18T19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2"/>
        <v>23.299800000000001</v>
      </c>
      <c r="Z122" s="197">
        <f t="shared" si="33"/>
        <v>1.49E-2</v>
      </c>
      <c r="AA122" s="197">
        <f t="shared" si="34"/>
        <v>23.2849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206</v>
      </c>
      <c r="AE122" s="77" t="str">
        <f t="shared" si="3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122" s="74" t="str">
        <f t="shared" si="37"/>
        <v>"C:\Program Files (x86)\AstroGrep\AstroGrep.exe" /e /r /s /spath="%USERPROFILE%\AppData\Local\Temp\OnboardLogs" /stypes="app*4001*20170719*"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206-18 --locoid 4001 --swversion DE.1.0.9.0 --startMP 204:232998 --initTime 2017-07-18T17:25:54 --startdatetime 2017-07-18T17:42:28 --delay 1 --endMP 204:149 --enddatetime 2017-07-18T18:23:55 --enforcementcount 0 &gt;&gt;C:\Users\stu\Documents\GitHub\eaglep3-reporting\EC\2017-07-18-refined-times.txt</v>
      </c>
      <c r="AI12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{"issue":{"subject":"","project_id":79,"tracker_id":40,"status_id":1,"priority_id":2,"assigned_to_id":23,"start_date":"2017-07-18","description":"","custom_fields":[{"id":1,"name":"Subdivision","value":"EC"},{"id":4,"name":"Milepost","value":"0.0149"},{"id":17,"name":"Train ID","value":"206-18"},{"id":16,"name":"Locomotive ID","value":"4001"},{"id":130,"name":"Impact","value":""},{"id":150,"name":"Time of Event (Mountain Time)","value":"18:23:55"},{"id":151,"name":"Denver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4001 --day 2017-07-18</v>
      </c>
      <c r="AN122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804</v>
      </c>
      <c r="B123" s="7">
        <v>4026</v>
      </c>
      <c r="C123" s="21" t="s">
        <v>199</v>
      </c>
      <c r="D123" s="21" t="s">
        <v>422</v>
      </c>
      <c r="E123" s="13">
        <v>42934.704363425924</v>
      </c>
      <c r="F123" s="13">
        <v>42934.708865740744</v>
      </c>
      <c r="G123" s="7">
        <v>0</v>
      </c>
      <c r="H123" s="21" t="s">
        <v>930</v>
      </c>
      <c r="I123" s="13">
        <v>42934.733576388891</v>
      </c>
      <c r="J123" s="7">
        <v>0</v>
      </c>
      <c r="K123" s="89" t="str">
        <f t="shared" si="27"/>
        <v>4025/4026</v>
      </c>
      <c r="L123" s="21" t="str">
        <f>VLOOKUP(A123,'Trips&amp;Operators'!$C$1:$G$99999,5,FALSE)</f>
        <v>LEVIN SCOTT</v>
      </c>
      <c r="M123" s="6">
        <f t="shared" si="28"/>
        <v>2.47106481474475E-2</v>
      </c>
      <c r="N123" s="7">
        <f t="shared" si="46"/>
        <v>35.583333332324401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-18T15:54:17-0600',mode:absolute,to:'2017-07-18T18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2"/>
        <v>4.3499999999999997E-2</v>
      </c>
      <c r="Z123" s="197">
        <f t="shared" si="33"/>
        <v>23.336200000000002</v>
      </c>
      <c r="AA123" s="197">
        <f t="shared" si="34"/>
        <v>23.2927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207</v>
      </c>
      <c r="AE123" s="77" t="str">
        <f t="shared" si="36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123" s="74" t="str">
        <f t="shared" si="37"/>
        <v>"C:\Program Files (x86)\AstroGrep\AstroGrep.exe" /e /r /s /spath="%USERPROFILE%\AppData\Local\Temp\OnboardLogs" /stypes="app*4026*20170718*"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207-18 --locoid 4026 --swversion DE.1.0.9.0 --startMP 204:435 --initTime 2017-07-18T16:54:17 --startdatetime 2017-07-18T17:00:46 --delay 0 --endMP 204:233362 --enddatetime 2017-07-18T17:36:21 --enforcementcount 0 &gt;&gt;C:\Users\stu\Documents\GitHub\eaglep3-reporting\EC\2017-07-18-refined-times.txt</v>
      </c>
      <c r="AI12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{"issue":{"subject":"","project_id":79,"tracker_id":40,"status_id":1,"priority_id":2,"assigned_to_id":23,"start_date":"2017-07-18","description":"","custom_fields":[{"id":1,"name":"Subdivision","value":"EC"},{"id":4,"name":"Milepost","value":"23.3362"},{"id":17,"name":"Train ID","value":"207-18"},{"id":16,"name":"Locomotive ID","value":"4026"},{"id":130,"name":"Impact","value":""},{"id":150,"name":"Time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4026 --day 2017-07-18</v>
      </c>
      <c r="AN123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816</v>
      </c>
      <c r="B124" s="7">
        <v>4025</v>
      </c>
      <c r="C124" s="21" t="s">
        <v>199</v>
      </c>
      <c r="D124" s="21" t="s">
        <v>610</v>
      </c>
      <c r="E124" s="13">
        <v>42934.745810185188</v>
      </c>
      <c r="F124" s="13">
        <v>42934.748136574075</v>
      </c>
      <c r="G124" s="7">
        <v>1</v>
      </c>
      <c r="H124" s="21" t="s">
        <v>869</v>
      </c>
      <c r="I124" s="13">
        <v>42934.773969907408</v>
      </c>
      <c r="J124" s="7">
        <v>0</v>
      </c>
      <c r="K124" s="89" t="str">
        <f t="shared" si="27"/>
        <v>4025/4026</v>
      </c>
      <c r="L124" s="21" t="str">
        <f>VLOOKUP(A124,'Trips&amp;Operators'!$C$1:$G$99999,5,FALSE)</f>
        <v>LEVIN SCOTT</v>
      </c>
      <c r="M124" s="6">
        <f t="shared" si="28"/>
        <v>2.5833333333139308E-2</v>
      </c>
      <c r="N124" s="7">
        <f t="shared" si="46"/>
        <v>37.199999999720603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-18T16:53:58-0600',mode:absolute,to:'2017-07-18T19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2"/>
        <v>23.303599999999999</v>
      </c>
      <c r="Z124" s="197">
        <f t="shared" si="33"/>
        <v>1.32E-2</v>
      </c>
      <c r="AA124" s="197">
        <f t="shared" si="34"/>
        <v>23.290399999999998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208</v>
      </c>
      <c r="AE124" s="77" t="str">
        <f t="shared" si="36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124" s="74" t="str">
        <f t="shared" si="37"/>
        <v>"C:\Program Files (x86)\AstroGrep\AstroGrep.exe" /e /r /s /spath="%USERPROFILE%\AppData\Local\Temp\OnboardLogs" /stypes="app*4025*20170719*"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208-18 --locoid 4025 --swversion DE.1.0.9.0 --startMP 204:233036 --initTime 2017-07-18T17:53:58 --startdatetime 2017-07-18T17:57:19 --delay 1 --endMP 204:132 --enddatetime 2017-07-18T18:34:31 --enforcementcount 0 &gt;&gt;C:\Users\stu\Documents\GitHub\eaglep3-reporting\EC\2017-07-18-refined-times.txt</v>
      </c>
      <c r="AI12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{"issue":{"subject":"","project_id":79,"tracker_id":40,"status_id":1,"priority_id":2,"assigned_to_id":23,"start_date":"2017-07-18","description":"","custom_fields":[{"id":1,"name":"Subdivision","value":"EC"},{"id":4,"name":"Milepost","value":"0.0132"},{"id":17,"name":"Train ID","value":"208-18"},{"id":16,"name":"Locomotive ID","value":"4025"},{"id":130,"name":"Impact","value":""},{"id":150,"name":"Time of Event (Mountain Time)","value":"18:34:31"},{"id":151,"name":"Denver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4025 --day 2017-07-18</v>
      </c>
      <c r="AN124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658</v>
      </c>
      <c r="B125" s="7">
        <v>4062</v>
      </c>
      <c r="C125" s="21" t="s">
        <v>199</v>
      </c>
      <c r="D125" s="21" t="s">
        <v>403</v>
      </c>
      <c r="E125" s="13">
        <v>42934.714479166665</v>
      </c>
      <c r="F125" s="13">
        <v>42934.719293981485</v>
      </c>
      <c r="G125" s="7">
        <v>1</v>
      </c>
      <c r="H125" s="21" t="s">
        <v>873</v>
      </c>
      <c r="I125" s="13">
        <v>42934.74722222222</v>
      </c>
      <c r="J125" s="7">
        <v>0</v>
      </c>
      <c r="K125" s="89" t="str">
        <f t="shared" si="27"/>
        <v>4061/4062</v>
      </c>
      <c r="L125" s="21" t="str">
        <f>VLOOKUP(A125,'Trips&amp;Operators'!$C$1:$G$99999,5,FALSE)</f>
        <v>ANDERS STEVEN</v>
      </c>
      <c r="M125" s="6">
        <f t="shared" si="28"/>
        <v>2.7928240735491272E-2</v>
      </c>
      <c r="N125" s="7">
        <f t="shared" si="46"/>
        <v>40.216666659107432</v>
      </c>
      <c r="O125" s="7"/>
      <c r="P125" s="7"/>
      <c r="Q125" s="22"/>
      <c r="R125" s="170"/>
      <c r="S125" s="213">
        <f t="shared" si="44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-18T16:08:51-0600',mode:absolute,to:'2017-07-18T18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2"/>
        <v>4.5499999999999999E-2</v>
      </c>
      <c r="Z125" s="197">
        <f t="shared" si="33"/>
        <v>23.328299999999999</v>
      </c>
      <c r="AA125" s="197">
        <f t="shared" si="34"/>
        <v>23.282799999999998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209</v>
      </c>
      <c r="AE125" s="77" t="str">
        <f t="shared" si="3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25" s="74" t="str">
        <f t="shared" si="37"/>
        <v>"C:\Program Files (x86)\AstroGrep\AstroGrep.exe" /e /r /s /spath="%USERPROFILE%\AppData\Local\Temp\OnboardLogs" /stypes="app*4062*20170718*" /stext=" 23:.+((SYSTEM_STATE.+slice.+state.+changed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209-18 --locoid 4062 --swversion DE.1.0.9.0 --startMP 204:455 --initTime 2017-07-18T17:08:51 --startdatetime 2017-07-18T17:15:47 --delay 1 --endMP 204:233283 --enddatetime 2017-07-18T17:56:00 --enforcementcount 0 &gt;&gt;C:\Users\stu\Documents\GitHub\eaglep3-reporting\EC\2017-07-18-refined-times.txt</v>
      </c>
      <c r="AI12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{"issue":{"subject":"","project_id":79,"tracker_id":40,"status_id":1,"priority_id":2,"assigned_to_id":23,"start_date":"2017-07-18","description":"","custom_fields":[{"id":1,"name":"Subdivision","value":"EC"},{"id":4,"name":"Milepost","value":"23.3283"},{"id":17,"name":"Train ID","value":"209-18"},{"id":16,"name":"Locomotive ID","value":"4062"},{"id":130,"name":"Impact","value":""},{"id":150,"name":"Time of Event (Mountain Time)","value":"17:56:00"},{"id":151,"name":"Denver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4062 --day 2017-07-18</v>
      </c>
      <c r="AN125" s="151" t="str">
        <f t="shared" si="4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819</v>
      </c>
      <c r="B126" s="7">
        <v>4061</v>
      </c>
      <c r="C126" s="21" t="s">
        <v>199</v>
      </c>
      <c r="D126" s="21" t="s">
        <v>553</v>
      </c>
      <c r="E126" s="13">
        <v>42934.755243055559</v>
      </c>
      <c r="F126" s="13">
        <v>42934.758587962962</v>
      </c>
      <c r="G126" s="7">
        <v>1</v>
      </c>
      <c r="H126" s="21" t="s">
        <v>351</v>
      </c>
      <c r="I126" s="13">
        <v>42934.787199074075</v>
      </c>
      <c r="J126" s="7">
        <v>0</v>
      </c>
      <c r="K126" s="89" t="str">
        <f t="shared" si="27"/>
        <v>4061/4062</v>
      </c>
      <c r="L126" s="21" t="str">
        <f>VLOOKUP(A126,'Trips&amp;Operators'!$C$1:$G$99999,5,FALSE)</f>
        <v>ANDERS STEVEN</v>
      </c>
      <c r="M126" s="6">
        <f t="shared" si="28"/>
        <v>2.8611111112695653E-2</v>
      </c>
      <c r="N126" s="7">
        <f t="shared" si="46"/>
        <v>41.20000000228174</v>
      </c>
      <c r="O126" s="7"/>
      <c r="P126" s="7"/>
      <c r="Q126" s="22"/>
      <c r="R126" s="170"/>
      <c r="S126" s="213">
        <f t="shared" si="44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-18T17:07:33-0600',mode:absolute,to:'2017-07-18T19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2"/>
        <v>23.297899999999998</v>
      </c>
      <c r="Z126" s="197">
        <f t="shared" si="33"/>
        <v>1.3899999999999999E-2</v>
      </c>
      <c r="AA126" s="197">
        <f t="shared" si="34"/>
        <v>23.283999999999999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210</v>
      </c>
      <c r="AE126" s="77" t="str">
        <f t="shared" si="3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26" s="74" t="str">
        <f t="shared" si="37"/>
        <v>"C:\Program Files (x86)\AstroGrep\AstroGrep.exe" /e /r /s /spath="%USERPROFILE%\AppData\Local\Temp\OnboardLogs" /stypes="app*4061*20170719*"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210-18 --locoid 4061 --swversion DE.1.0.9.0 --startMP 204:232979 --initTime 2017-07-18T18:07:33 --startdatetime 2017-07-18T18:12:22 --delay 1 --endMP 204:139 --enddatetime 2017-07-18T18:53:34 --enforcementcount 0 &gt;&gt;C:\Users\stu\Documents\GitHub\eaglep3-reporting\EC\2017-07-18-refined-times.txt</v>
      </c>
      <c r="AI126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{"issue":{"subject":"","project_id":79,"tracker_id":40,"status_id":1,"priority_id":2,"assigned_to_id":23,"start_date":"2017-07-18","description":"","custom_fields":[{"id":1,"name":"Subdivision","value":"EC"},{"id":4,"name":"Milepost","value":"0.0139"},{"id":17,"name":"Train ID","value":"210-18"},{"id":16,"name":"Locomotive ID","value":"4061"},{"id":130,"name":"Impact","value":""},{"id":150,"name":"Time of Event (Mountain Time)","value":"18:53:34"},{"id":151,"name":"Denver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4061 --day 2017-07-18</v>
      </c>
      <c r="AN126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660</v>
      </c>
      <c r="B127" s="7">
        <v>4064</v>
      </c>
      <c r="C127" s="21" t="s">
        <v>199</v>
      </c>
      <c r="D127" s="21" t="s">
        <v>196</v>
      </c>
      <c r="E127" s="13">
        <v>42934.727442129632</v>
      </c>
      <c r="F127" s="13">
        <v>42934.729768518519</v>
      </c>
      <c r="G127" s="7">
        <v>2</v>
      </c>
      <c r="H127" s="21" t="s">
        <v>590</v>
      </c>
      <c r="I127" s="13">
        <v>42934.755844907406</v>
      </c>
      <c r="J127" s="7">
        <v>0</v>
      </c>
      <c r="K127" s="89" t="str">
        <f t="shared" si="27"/>
        <v>4063/4064</v>
      </c>
      <c r="L127" s="21" t="str">
        <f>VLOOKUP(A127,'Trips&amp;Operators'!$C$1:$G$99999,5,FALSE)</f>
        <v>THOMPSON LESTER</v>
      </c>
      <c r="M127" s="6">
        <f t="shared" si="28"/>
        <v>2.6076388887304347E-2</v>
      </c>
      <c r="N127" s="7">
        <f t="shared" si="46"/>
        <v>37.54999999771826</v>
      </c>
      <c r="O127" s="7"/>
      <c r="P127" s="7"/>
      <c r="Q127" s="22"/>
      <c r="R127" s="170"/>
      <c r="S127" s="213">
        <f t="shared" si="44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-18T16:27:31-0600',mode:absolute,to:'2017-07-18T19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2"/>
        <v>4.5699999999999998E-2</v>
      </c>
      <c r="Z127" s="197">
        <f t="shared" si="33"/>
        <v>23.329899999999999</v>
      </c>
      <c r="AA127" s="197">
        <f t="shared" si="34"/>
        <v>23.284199999999998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211</v>
      </c>
      <c r="AE127" s="77" t="str">
        <f t="shared" si="36"/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AF127" s="74" t="str">
        <f t="shared" si="37"/>
        <v>"C:\Program Files (x86)\AstroGrep\AstroGrep.exe" /e /r /s /spath="%USERPROFILE%\AppData\Local\Temp\OnboardLogs" /stypes="app*4064*20170719*"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211-18 --locoid 4064 --swversion DE.1.0.9.0 --startMP 204:457 --initTime 2017-07-18T17:27:31 --startdatetime 2017-07-18T17:30:52 --delay 2 --endMP 204:233299 --enddatetime 2017-07-18T18:08:25 --enforcementcount 0 &gt;&gt;C:\Users\stu\Documents\GitHub\eaglep3-reporting\EC\2017-07-18-refined-times.txt</v>
      </c>
      <c r="AI12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{"issue":{"subject":"","project_id":79,"tracker_id":40,"status_id":1,"priority_id":2,"assigned_to_id":23,"start_date":"2017-07-18","description":"","custom_fields":[{"id":1,"name":"Subdivision","value":"EC"},{"id":4,"name":"Milepost","value":"23.3299"},{"id":17,"name":"Train ID","value":"211-18"},{"id":16,"name":"Locomotive ID","value":"4064"},{"id":130,"name":"Impact","value":""},{"id":150,"name":"Time of Event (Mountain Time)","value":"18:08:25"},{"id":151,"name":"Denver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4064 --day 2017-07-18</v>
      </c>
      <c r="AN127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661</v>
      </c>
      <c r="B128" s="7">
        <v>4063</v>
      </c>
      <c r="C128" s="21" t="s">
        <v>199</v>
      </c>
      <c r="D128" s="21" t="s">
        <v>555</v>
      </c>
      <c r="E128" s="13">
        <v>42934.766446759262</v>
      </c>
      <c r="F128" s="13">
        <v>42934.769097222219</v>
      </c>
      <c r="G128" s="7">
        <v>1</v>
      </c>
      <c r="H128" s="21" t="s">
        <v>419</v>
      </c>
      <c r="I128" s="13">
        <v>42934.795983796299</v>
      </c>
      <c r="J128" s="7">
        <v>0</v>
      </c>
      <c r="K128" s="89" t="str">
        <f t="shared" si="27"/>
        <v>4063/4064</v>
      </c>
      <c r="L128" s="21" t="str">
        <f>VLOOKUP(A128,'Trips&amp;Operators'!$C$1:$G$99999,5,FALSE)</f>
        <v>THOMPSON LESTER</v>
      </c>
      <c r="M128" s="6">
        <f t="shared" si="28"/>
        <v>2.6886574079981074E-2</v>
      </c>
      <c r="N128" s="7">
        <f t="shared" si="46"/>
        <v>38.716666675172746</v>
      </c>
      <c r="O128" s="7"/>
      <c r="P128" s="7"/>
      <c r="Q128" s="22"/>
      <c r="R128" s="170"/>
      <c r="S128" s="213">
        <f t="shared" si="44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-18T17:23:41-0600',mode:absolute,to:'2017-07-18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2"/>
        <v>23.298200000000001</v>
      </c>
      <c r="Z128" s="197">
        <f t="shared" si="33"/>
        <v>1.6299999999999999E-2</v>
      </c>
      <c r="AA128" s="197">
        <f t="shared" si="34"/>
        <v>23.2819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212</v>
      </c>
      <c r="AE128" s="77" t="str">
        <f t="shared" si="36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128" s="74" t="str">
        <f t="shared" si="37"/>
        <v>"C:\Program Files (x86)\AstroGrep\AstroGrep.exe" /e /r /s /spath="%USERPROFILE%\AppData\Local\Temp\OnboardLogs" /stypes="app*4063*20170719*"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212-18 --locoid 4063 --swversion DE.1.0.9.0 --startMP 204:232982 --initTime 2017-07-18T18:23:41 --startdatetime 2017-07-18T18:27:30 --delay 1 --endMP 204:163 --enddatetime 2017-07-18T19:06:13 --enforcementcount 0 &gt;&gt;C:\Users\stu\Documents\GitHub\eaglep3-reporting\EC\2017-07-18-refined-times.txt</v>
      </c>
      <c r="AI12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{"issue":{"subject":"","project_id":79,"tracker_id":40,"status_id":1,"priority_id":2,"assigned_to_id":23,"start_date":"2017-07-18","description":"","custom_fields":[{"id":1,"name":"Subdivision","value":"EC"},{"id":4,"name":"Milepost","value":"0.0163"},{"id":17,"name":"Train ID","value":"212-18"},{"id":16,"name":"Locomotive ID","value":"4063"},{"id":130,"name":"Impact","value":""},{"id":150,"name":"Time of Event (Mountain Time)","value":"19:06:13"},{"id":151,"name":"Denver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4063 --day 2017-07-18</v>
      </c>
      <c r="AN128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815</v>
      </c>
      <c r="B129" s="7">
        <v>4014</v>
      </c>
      <c r="C129" s="21" t="s">
        <v>199</v>
      </c>
      <c r="D129" s="21" t="s">
        <v>476</v>
      </c>
      <c r="E129" s="13">
        <v>42934.736979166664</v>
      </c>
      <c r="F129" s="13">
        <v>42934.740115740744</v>
      </c>
      <c r="G129" s="7">
        <v>1</v>
      </c>
      <c r="H129" s="21" t="s">
        <v>931</v>
      </c>
      <c r="I129" s="13">
        <v>42934.765439814815</v>
      </c>
      <c r="J129" s="7">
        <v>0</v>
      </c>
      <c r="K129" s="89" t="str">
        <f t="shared" si="27"/>
        <v>4013/4014</v>
      </c>
      <c r="L129" s="21" t="str">
        <f>VLOOKUP(A129,'Trips&amp;Operators'!$C$1:$G$99999,5,FALSE)</f>
        <v>CASSIDY BRANDON</v>
      </c>
      <c r="M129" s="6">
        <f t="shared" si="28"/>
        <v>2.5324074071249925E-2</v>
      </c>
      <c r="N129" s="7">
        <f t="shared" si="46"/>
        <v>36.466666662599891</v>
      </c>
      <c r="O129" s="7"/>
      <c r="P129" s="7"/>
      <c r="Q129" s="22"/>
      <c r="R129" s="170"/>
      <c r="S129" s="213">
        <f t="shared" si="44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-18T16:41:15-0600',mode:absolute,to:'2017-07-18T19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2"/>
        <v>4.6399999999999997E-2</v>
      </c>
      <c r="Z129" s="197">
        <f t="shared" si="33"/>
        <v>23.329499999999999</v>
      </c>
      <c r="AA129" s="197">
        <f t="shared" si="34"/>
        <v>23.283100000000001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213</v>
      </c>
      <c r="AE129" s="77" t="str">
        <f t="shared" si="3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29" s="74" t="str">
        <f t="shared" si="37"/>
        <v>"C:\Program Files (x86)\AstroGrep\AstroGrep.exe" /e /r /s /spath="%USERPROFILE%\AppData\Local\Temp\OnboardLogs" /stypes="app*4014*20170719*"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213-18 --locoid 4014 --swversion DE.1.0.9.0 --startMP 204:464 --initTime 2017-07-18T17:41:15 --startdatetime 2017-07-18T17:45:46 --delay 1 --endMP 204:233295 --enddatetime 2017-07-18T18:22:14 --enforcementcount 0 &gt;&gt;C:\Users\stu\Documents\GitHub\eaglep3-reporting\EC\2017-07-18-refined-times.txt</v>
      </c>
      <c r="AI12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{"issue":{"subject":"","project_id":79,"tracker_id":40,"status_id":1,"priority_id":2,"assigned_to_id":23,"start_date":"2017-07-18","description":"","custom_fields":[{"id":1,"name":"Subdivision","value":"EC"},{"id":4,"name":"Milepost","value":"23.3295"},{"id":17,"name":"Train ID","value":"213-18"},{"id":16,"name":"Locomotive ID","value":"4014"},{"id":130,"name":"Impact","value":""},{"id":150,"name":"Time of Event (Mountain Time)","value":"18:22:14"},{"id":151,"name":"Denver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4014 --day 2017-07-18</v>
      </c>
      <c r="AN129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823</v>
      </c>
      <c r="B130" s="7">
        <v>4013</v>
      </c>
      <c r="C130" s="21" t="s">
        <v>199</v>
      </c>
      <c r="D130" s="21" t="s">
        <v>914</v>
      </c>
      <c r="E130" s="13">
        <v>42934.774143518516</v>
      </c>
      <c r="F130" s="13">
        <v>42934.779421296298</v>
      </c>
      <c r="G130" s="7">
        <v>1</v>
      </c>
      <c r="H130" s="21" t="s">
        <v>354</v>
      </c>
      <c r="I130" s="13">
        <v>42934.806261574071</v>
      </c>
      <c r="J130" s="7">
        <v>0</v>
      </c>
      <c r="K130" s="89" t="str">
        <f t="shared" si="27"/>
        <v>4013/4014</v>
      </c>
      <c r="L130" s="21" t="str">
        <f>VLOOKUP(A130,'Trips&amp;Operators'!$C$1:$G$99999,5,FALSE)</f>
        <v>CASSIDY BRANDON</v>
      </c>
      <c r="M130" s="6">
        <f t="shared" si="28"/>
        <v>2.6840277772862464E-2</v>
      </c>
      <c r="N130" s="7">
        <f t="shared" si="46"/>
        <v>38.649999992921948</v>
      </c>
      <c r="O130" s="7"/>
      <c r="P130" s="7"/>
      <c r="Q130" s="22"/>
      <c r="R130" s="170"/>
      <c r="S130" s="213">
        <f t="shared" si="44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-18T17:34:46-0600',mode:absolute,to:'2017-07-18T20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2"/>
        <v>23.299099999999999</v>
      </c>
      <c r="Z130" s="197">
        <f t="shared" si="33"/>
        <v>1.47E-2</v>
      </c>
      <c r="AA130" s="197">
        <f t="shared" si="34"/>
        <v>23.284399999999998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214</v>
      </c>
      <c r="AE130" s="77" t="str">
        <f t="shared" si="36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130" s="74" t="str">
        <f t="shared" si="37"/>
        <v>"C:\Program Files (x86)\AstroGrep\AstroGrep.exe" /e /r /s /spath="%USERPROFILE%\AppData\Local\Temp\OnboardLogs" /stypes="app*4013*20170719*"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214-18 --locoid 4013 --swversion DE.1.0.9.0 --startMP 204:232991 --initTime 2017-07-18T18:34:46 --startdatetime 2017-07-18T18:42:22 --delay 1 --endMP 204:147 --enddatetime 2017-07-18T19:21:01 --enforcementcount 0 &gt;&gt;C:\Users\stu\Documents\GitHub\eaglep3-reporting\EC\2017-07-18-refined-times.txt</v>
      </c>
      <c r="AI13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{"issue":{"subject":"","project_id":79,"tracker_id":40,"status_id":1,"priority_id":2,"assigned_to_id":23,"start_date":"2017-07-18","description":"","custom_fields":[{"id":1,"name":"Subdivision","value":"EC"},{"id":4,"name":"Milepost","value":"0.0147"},{"id":17,"name":"Train ID","value":"214-18"},{"id":16,"name":"Locomotive ID","value":"4013"},{"id":130,"name":"Impact","value":""},{"id":150,"name":"Time of Event (Mountain Time)","value":"19:21:01"},{"id":151,"name":"Denver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4013 --day 2017-07-18</v>
      </c>
      <c r="AN130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817</v>
      </c>
      <c r="B131" s="7">
        <v>4006</v>
      </c>
      <c r="C131" s="21" t="s">
        <v>199</v>
      </c>
      <c r="D131" s="21" t="s">
        <v>424</v>
      </c>
      <c r="E131" s="13">
        <v>42934.747256944444</v>
      </c>
      <c r="F131" s="13">
        <v>42934.750509259262</v>
      </c>
      <c r="G131" s="7">
        <v>1</v>
      </c>
      <c r="H131" s="21" t="s">
        <v>415</v>
      </c>
      <c r="I131" s="13">
        <v>42934.775659722225</v>
      </c>
      <c r="J131" s="7">
        <v>0</v>
      </c>
      <c r="K131" s="89" t="str">
        <f t="shared" si="27"/>
        <v>4005/4006</v>
      </c>
      <c r="L131" s="21" t="str">
        <f>VLOOKUP(A131,'Trips&amp;Operators'!$C$1:$G$99999,5,FALSE)</f>
        <v>MCREYNOLDS KYLE</v>
      </c>
      <c r="M131" s="6">
        <f t="shared" si="28"/>
        <v>2.5150462963210884E-2</v>
      </c>
      <c r="N131" s="7">
        <f t="shared" si="46"/>
        <v>36.216666667023674</v>
      </c>
      <c r="O131" s="7"/>
      <c r="P131" s="7"/>
      <c r="Q131" s="22"/>
      <c r="R131" s="170"/>
      <c r="S131" s="213">
        <f t="shared" si="44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-18T16:56:03-0600',mode:absolute,to:'2017-07-18T19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2"/>
        <v>4.7100000000000003E-2</v>
      </c>
      <c r="Z131" s="197">
        <f t="shared" si="33"/>
        <v>23.331199999999999</v>
      </c>
      <c r="AA131" s="197">
        <f t="shared" si="34"/>
        <v>23.284099999999999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215</v>
      </c>
      <c r="AE131" s="77" t="str">
        <f t="shared" si="36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131" s="74" t="str">
        <f t="shared" si="37"/>
        <v>"C:\Program Files (x86)\AstroGrep\AstroGrep.exe" /e /r /s /spath="%USERPROFILE%\AppData\Local\Temp\OnboardLogs" /stypes="app*4006*20170719*"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215-18 --locoid 4006 --swversion DE.1.0.9.0 --startMP 204:471 --initTime 2017-07-18T17:56:03 --startdatetime 2017-07-18T18:00:44 --delay 1 --endMP 204:233312 --enddatetime 2017-07-18T18:36:57 --enforcementcount 0 &gt;&gt;C:\Users\stu\Documents\GitHub\eaglep3-reporting\EC\2017-07-18-refined-times.txt</v>
      </c>
      <c r="AI13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{"issue":{"subject":"","project_id":79,"tracker_id":40,"status_id":1,"priority_id":2,"assigned_to_id":23,"start_date":"2017-07-18","description":"","custom_fields":[{"id":1,"name":"Subdivision","value":"EC"},{"id":4,"name":"Milepost","value":"23.3312"},{"id":17,"name":"Train ID","value":"215-18"},{"id":16,"name":"Locomotive ID","value":"4006"},{"id":130,"name":"Impact","value":""},{"id":150,"name":"Time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4006 --day 2017-07-18</v>
      </c>
      <c r="AN131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826</v>
      </c>
      <c r="B132" s="7">
        <v>4005</v>
      </c>
      <c r="C132" s="21" t="s">
        <v>199</v>
      </c>
      <c r="D132" s="21" t="s">
        <v>591</v>
      </c>
      <c r="E132" s="13">
        <v>42934.778391203705</v>
      </c>
      <c r="F132" s="13">
        <v>42934.789733796293</v>
      </c>
      <c r="G132" s="7">
        <v>1</v>
      </c>
      <c r="H132" s="21" t="s">
        <v>381</v>
      </c>
      <c r="I132" s="13">
        <v>42934.815844907411</v>
      </c>
      <c r="J132" s="7">
        <v>0</v>
      </c>
      <c r="K132" s="89" t="str">
        <f t="shared" si="27"/>
        <v>4005/4006</v>
      </c>
      <c r="L132" s="21" t="str">
        <f>VLOOKUP(A132,'Trips&amp;Operators'!$C$1:$G$99999,5,FALSE)</f>
        <v>MCREYNOLDS KYLE</v>
      </c>
      <c r="M132" s="6">
        <f t="shared" si="28"/>
        <v>2.6111111117643304E-2</v>
      </c>
      <c r="N132" s="7">
        <f t="shared" si="46"/>
        <v>37.600000009406358</v>
      </c>
      <c r="O132" s="7"/>
      <c r="P132" s="7"/>
      <c r="Q132" s="22"/>
      <c r="R132" s="170"/>
      <c r="S132" s="213">
        <f t="shared" si="44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-18T17:40:53-0600',mode:absolute,to:'2017-07-18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2"/>
        <v>23.297799999999999</v>
      </c>
      <c r="Z132" s="197">
        <f t="shared" si="33"/>
        <v>1.54E-2</v>
      </c>
      <c r="AA132" s="197">
        <f t="shared" si="34"/>
        <v>23.282399999999999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216</v>
      </c>
      <c r="AE132" s="77" t="str">
        <f t="shared" si="36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132" s="74" t="str">
        <f t="shared" si="37"/>
        <v>"C:\Program Files (x86)\AstroGrep\AstroGrep.exe" /e /r /s /spath="%USERPROFILE%\AppData\Local\Temp\OnboardLogs" /stypes="app*4005*20170719*"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216-18 --locoid 4005 --swversion DE.1.0.9.0 --startMP 204:232978 --initTime 2017-07-18T18:40:53 --startdatetime 2017-07-18T18:57:13 --delay 1 --endMP 204:154 --enddatetime 2017-07-18T19:34:49 --enforcementcount 0 &gt;&gt;C:\Users\stu\Documents\GitHub\eaglep3-reporting\EC\2017-07-18-refined-times.txt</v>
      </c>
      <c r="AI132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{"issue":{"subject":"","project_id":79,"tracker_id":40,"status_id":1,"priority_id":2,"assigned_to_id":23,"start_date":"2017-07-18","description":"","custom_fields":[{"id":1,"name":"Subdivision","value":"EC"},{"id":4,"name":"Milepost","value":"0.0154"},{"id":17,"name":"Train ID","value":"216-18"},{"id":16,"name":"Locomotive ID","value":"4005"},{"id":130,"name":"Impact","value":""},{"id":150,"name":"Time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4005 --day 2017-07-18</v>
      </c>
      <c r="AN132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820</v>
      </c>
      <c r="B133" s="7">
        <v>4008</v>
      </c>
      <c r="C133" s="21" t="s">
        <v>199</v>
      </c>
      <c r="D133" s="21" t="s">
        <v>424</v>
      </c>
      <c r="E133" s="13">
        <v>42934.756655092591</v>
      </c>
      <c r="F133" s="13">
        <v>42934.761053240742</v>
      </c>
      <c r="G133" s="7">
        <v>2</v>
      </c>
      <c r="H133" s="21" t="s">
        <v>932</v>
      </c>
      <c r="I133" s="13">
        <v>42934.786087962966</v>
      </c>
      <c r="J133" s="7">
        <v>0</v>
      </c>
      <c r="K133" s="89" t="str">
        <f t="shared" si="27"/>
        <v>4007/4008</v>
      </c>
      <c r="L133" s="21" t="str">
        <f>VLOOKUP(A133,'Trips&amp;Operators'!$C$1:$G$99999,5,FALSE)</f>
        <v>FORTUNATO FRANK</v>
      </c>
      <c r="M133" s="6">
        <f t="shared" si="28"/>
        <v>2.5034722224518191E-2</v>
      </c>
      <c r="N133" s="7">
        <f t="shared" si="46"/>
        <v>36.050000003306195</v>
      </c>
      <c r="O133" s="7"/>
      <c r="P133" s="7"/>
      <c r="Q133" s="22"/>
      <c r="R133" s="170"/>
      <c r="S133" s="213">
        <f t="shared" si="44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-18T17:09:35-0600',mode:absolute,to:'2017-07-18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2"/>
        <v>4.7100000000000003E-2</v>
      </c>
      <c r="Z133" s="197">
        <f t="shared" si="33"/>
        <v>23.33</v>
      </c>
      <c r="AA133" s="197">
        <f t="shared" si="34"/>
        <v>23.282899999999998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217</v>
      </c>
      <c r="AE133" s="77" t="str">
        <f t="shared" si="36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33" s="74" t="str">
        <f t="shared" si="37"/>
        <v>"C:\Program Files (x86)\AstroGrep\AstroGrep.exe" /e /r /s /spath="%USERPROFILE%\AppData\Local\Temp\OnboardLogs" /stypes="app*4008*20170719*" /stext=" 00:.+((SYSTEM_STATE.+slice.+state.+changed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217-18 --locoid 4008 --swversion DE.1.0.9.0 --startMP 204:471 --initTime 2017-07-18T18:09:35 --startdatetime 2017-07-18T18:15:55 --delay 2 --endMP 204:233300 --enddatetime 2017-07-18T18:51:58 --enforcementcount 0 &gt;&gt;C:\Users\stu\Documents\GitHub\eaglep3-reporting\EC\2017-07-18-refined-times.txt</v>
      </c>
      <c r="AI133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{"issue":{"subject":"","project_id":79,"tracker_id":40,"status_id":1,"priority_id":2,"assigned_to_id":23,"start_date":"2017-07-18","description":"","custom_fields":[{"id":1,"name":"Subdivision","value":"EC"},{"id":4,"name":"Milepost","value":"23.33"},{"id":17,"name":"Train ID","value":"217-18"},{"id":16,"name":"Locomotive ID","value":"4008"},{"id":130,"name":"Impact","value":""},{"id":150,"name":"Time of Event (Mountain Time)","value":"18:51:58"},{"id":151,"name":"Denver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4008 --day 2017-07-18</v>
      </c>
      <c r="AN133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663</v>
      </c>
      <c r="B134" s="7">
        <v>4007</v>
      </c>
      <c r="C134" s="21" t="s">
        <v>199</v>
      </c>
      <c r="D134" s="21" t="s">
        <v>510</v>
      </c>
      <c r="E134" s="13">
        <v>42934.79</v>
      </c>
      <c r="F134" s="13">
        <v>42934.800150462965</v>
      </c>
      <c r="G134" s="7">
        <v>1</v>
      </c>
      <c r="H134" s="21" t="s">
        <v>554</v>
      </c>
      <c r="I134" s="13">
        <v>42934.827314814815</v>
      </c>
      <c r="J134" s="7">
        <v>0</v>
      </c>
      <c r="K134" s="89" t="str">
        <f t="shared" si="27"/>
        <v>4007/4008</v>
      </c>
      <c r="L134" s="21" t="str">
        <f>VLOOKUP(A134,'Trips&amp;Operators'!$C$1:$G$99999,5,FALSE)</f>
        <v>FORTUNATO FRANK</v>
      </c>
      <c r="M134" s="6">
        <f t="shared" si="28"/>
        <v>2.7164351849933155E-2</v>
      </c>
      <c r="N134" s="7">
        <f t="shared" si="46"/>
        <v>39.116666663903743</v>
      </c>
      <c r="O134" s="7"/>
      <c r="P134" s="7"/>
      <c r="Q134" s="22"/>
      <c r="R134" s="170"/>
      <c r="S134" s="213">
        <f t="shared" si="44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-18T17:57:36-0600',mode:absolute,to:'2017-07-18T20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2"/>
        <v>23.301300000000001</v>
      </c>
      <c r="Z134" s="197">
        <f t="shared" si="33"/>
        <v>1.34E-2</v>
      </c>
      <c r="AA134" s="197">
        <f t="shared" si="34"/>
        <v>23.2879</v>
      </c>
      <c r="AB134" s="54" t="str">
        <f>VLOOKUP(A134,Enforcements!$C$7:$K$13,8,0)</f>
        <v>Bulletin (2)</v>
      </c>
      <c r="AC134" s="51" t="str">
        <f>VLOOKUP(A134,Enforcements!$C$7:$E$13,3,0)</f>
        <v>GRADE CROSSING</v>
      </c>
      <c r="AD134" s="206">
        <f t="shared" si="35"/>
        <v>218</v>
      </c>
      <c r="AE134" s="77" t="str">
        <f t="shared" si="3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34" s="74" t="str">
        <f t="shared" si="37"/>
        <v>"C:\Program Files (x86)\AstroGrep\AstroGrep.exe" /e /r /s /spath="%USERPROFILE%\AppData\Local\Temp\OnboardLogs" /stypes="app*4007*20170719*" /stext=" 01:.+((SYSTEM_STATE.+slice.+state.+changed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218-18 --locoid 4007 --swversion DE.1.0.9.0 --startMP 204:233013 --initTime 2017-07-18T18:57:36 --startdatetime 2017-07-18T19:12:13 --delay 1 --endMP 204:134 --enddatetime 2017-07-18T19:51:20 --enforcementcount 0 &gt;&gt;C:\Users\stu\Documents\GitHub\eaglep3-reporting\EC\2017-07-18-refined-times.txt</v>
      </c>
      <c r="AI134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{"issue":{"subject":"","project_id":79,"tracker_id":40,"status_id":1,"priority_id":2,"assigned_to_id":23,"start_date":"2017-07-18","description":"","custom_fields":[{"id":1,"name":"Subdivision","value":"EC"},{"id":4,"name":"Milepost","value":"0.0134"},{"id":17,"name":"Train ID","value":"218-18"},{"id":16,"name":"Locomotive ID","value":"4007"},{"id":130,"name":"Impact","value":""},{"id":150,"name":"Time of Event (Mountain Time)","value":"19:51:20"},{"id":151,"name":"Denver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4007 --day 2017-07-18</v>
      </c>
      <c r="AN134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822</v>
      </c>
      <c r="B135" s="7">
        <v>4002</v>
      </c>
      <c r="C135" s="21" t="s">
        <v>199</v>
      </c>
      <c r="D135" s="21" t="s">
        <v>380</v>
      </c>
      <c r="E135" s="13">
        <v>42934.768194444441</v>
      </c>
      <c r="F135" s="13">
        <v>42934.77140046296</v>
      </c>
      <c r="G135" s="7">
        <v>2</v>
      </c>
      <c r="H135" s="21" t="s">
        <v>604</v>
      </c>
      <c r="I135" s="13">
        <v>42934.796307870369</v>
      </c>
      <c r="J135" s="7">
        <v>0</v>
      </c>
      <c r="K135" s="89" t="str">
        <f t="shared" si="27"/>
        <v>4001/4002</v>
      </c>
      <c r="L135" s="21" t="str">
        <f>VLOOKUP(A135,'Trips&amp;Operators'!$C$1:$G$99999,5,FALSE)</f>
        <v>LAMAR NEKESHA</v>
      </c>
      <c r="M135" s="6">
        <f t="shared" si="28"/>
        <v>2.4907407409045845E-2</v>
      </c>
      <c r="N135" s="7">
        <f t="shared" si="46"/>
        <v>35.866666669026017</v>
      </c>
      <c r="O135" s="7"/>
      <c r="P135" s="7"/>
      <c r="Q135" s="22"/>
      <c r="R135" s="170"/>
      <c r="S135" s="213">
        <f t="shared" ref="S135:S161" si="47">1/IF(AG135="EC",12,1)*SUM(U135:U135)</f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-18T17:26:12-0600',mode:absolute,to:'2017-07-18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2"/>
        <v>4.6199999999999998E-2</v>
      </c>
      <c r="Z135" s="197">
        <f t="shared" si="33"/>
        <v>23.335699999999999</v>
      </c>
      <c r="AA135" s="197">
        <f t="shared" si="34"/>
        <v>23.2895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219</v>
      </c>
      <c r="AE135" s="77" t="str">
        <f t="shared" si="3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135" s="74" t="str">
        <f t="shared" si="37"/>
        <v>"C:\Program Files (x86)\AstroGrep\AstroGrep.exe" /e /r /s /spath="%USERPROFILE%\AppData\Local\Temp\OnboardLogs" /stypes="app*4002*20170719*"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219-18 --locoid 4002 --swversion DE.1.0.9.0 --startMP 204:462 --initTime 2017-07-18T18:26:12 --startdatetime 2017-07-18T18:30:49 --delay 2 --endMP 204:233357 --enddatetime 2017-07-18T19:06:41 --enforcementcount 0 &gt;&gt;C:\Users\stu\Documents\GitHub\eaglep3-reporting\EC\2017-07-18-refined-times.txt</v>
      </c>
      <c r="AI135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{"issue":{"subject":"","project_id":79,"tracker_id":40,"status_id":1,"priority_id":2,"assigned_to_id":23,"start_date":"2017-07-18","description":"","custom_fields":[{"id":1,"name":"Subdivision","value":"EC"},{"id":4,"name":"Milepost","value":"23.3357"},{"id":17,"name":"Train ID","value":"219-18"},{"id":16,"name":"Locomotive ID","value":"4002"},{"id":130,"name":"Impact","value":""},{"id":150,"name":"Time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4002 --day 2017-07-18</v>
      </c>
      <c r="AN135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4001</v>
      </c>
      <c r="C136" s="21" t="s">
        <v>199</v>
      </c>
      <c r="D136" s="21" t="s">
        <v>555</v>
      </c>
      <c r="E136" s="13">
        <v>42934.80746527778</v>
      </c>
      <c r="F136" s="13">
        <v>42934.810567129629</v>
      </c>
      <c r="G136" s="7">
        <v>2</v>
      </c>
      <c r="H136" s="21" t="s">
        <v>609</v>
      </c>
      <c r="I136" s="13">
        <v>42934.836793981478</v>
      </c>
      <c r="J136" s="7">
        <v>0</v>
      </c>
      <c r="K136" s="89" t="str">
        <f t="shared" si="27"/>
        <v>4001/4002</v>
      </c>
      <c r="L136" s="21" t="str">
        <f>VLOOKUP(A136,'Trips&amp;Operators'!$C$1:$G$99999,5,FALSE)</f>
        <v>LAMAR NEKESHA</v>
      </c>
      <c r="M136" s="6">
        <f t="shared" si="28"/>
        <v>2.622685184906004E-2</v>
      </c>
      <c r="N136" s="7">
        <f t="shared" si="46"/>
        <v>37.766666662646458</v>
      </c>
      <c r="O136" s="7"/>
      <c r="P136" s="7"/>
      <c r="Q136" s="22"/>
      <c r="R136" s="170"/>
      <c r="S136" s="213">
        <f t="shared" si="47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-18T18:22:45-0600',mode:absolute,to:'2017-07-18T21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2"/>
        <v>23.298200000000001</v>
      </c>
      <c r="Z136" s="197">
        <f t="shared" si="33"/>
        <v>1.7600000000000001E-2</v>
      </c>
      <c r="AA136" s="197">
        <f t="shared" si="34"/>
        <v>23.2806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220</v>
      </c>
      <c r="AE136" s="77" t="str">
        <f t="shared" si="3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136" s="74" t="str">
        <f t="shared" si="37"/>
        <v>"C:\Program Files (x86)\AstroGrep\AstroGrep.exe" /e /r /s /spath="%USERPROFILE%\AppData\Local\Temp\OnboardLogs" /stypes="app*4001*20170719*"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220-18 --locoid 4001 --swversion DE.1.0.9.0 --startMP 204:232982 --initTime 2017-07-18T19:22:45 --startdatetime 2017-07-18T19:27:13 --delay 2 --endMP 204:176 --enddatetime 2017-07-18T20:04:59 --enforcementcount 0 &gt;&gt;C:\Users\stu\Documents\GitHub\eaglep3-reporting\EC\2017-07-18-refined-times.txt</v>
      </c>
      <c r="AI136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{"issue":{"subject":"","project_id":79,"tracker_id":40,"status_id":1,"priority_id":2,"assigned_to_id":23,"start_date":"2017-07-18","description":"","custom_fields":[{"id":1,"name":"Subdivision","value":"EC"},{"id":4,"name":"Milepost","value":"0.0176"},{"id":17,"name":"Train ID","value":"220-18"},{"id":16,"name":"Locomotive ID","value":"4001"},{"id":130,"name":"Impact","value":""},{"id":150,"name":"Time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4001 --day 2017-07-18</v>
      </c>
      <c r="AN136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828</v>
      </c>
      <c r="B137" s="7">
        <v>4062</v>
      </c>
      <c r="C137" s="21" t="s">
        <v>199</v>
      </c>
      <c r="D137" s="21" t="s">
        <v>424</v>
      </c>
      <c r="E137" s="13">
        <v>42934.788888888892</v>
      </c>
      <c r="F137" s="13">
        <v>42934.792245370372</v>
      </c>
      <c r="G137" s="7">
        <v>1</v>
      </c>
      <c r="H137" s="21" t="s">
        <v>933</v>
      </c>
      <c r="I137" s="13">
        <v>42934.817696759259</v>
      </c>
      <c r="J137" s="7">
        <v>0</v>
      </c>
      <c r="K137" s="89" t="str">
        <f t="shared" si="27"/>
        <v>4061/4062</v>
      </c>
      <c r="L137" s="21" t="str">
        <f>VLOOKUP(A137,'Trips&amp;Operators'!$C$1:$G$99999,5,FALSE)</f>
        <v>HAITHCOX MICHAEL</v>
      </c>
      <c r="M137" s="6">
        <f t="shared" si="28"/>
        <v>2.545138888672227E-2</v>
      </c>
      <c r="N137" s="7">
        <f t="shared" si="46"/>
        <v>36.649999996880069</v>
      </c>
      <c r="O137" s="7"/>
      <c r="P137" s="7"/>
      <c r="Q137" s="22"/>
      <c r="R137" s="170"/>
      <c r="S137" s="213">
        <f t="shared" si="47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-18T17:56:00-0600',mode:absolute,to:'2017-07-18T20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2"/>
        <v>4.7100000000000003E-2</v>
      </c>
      <c r="Z137" s="197">
        <f t="shared" si="33"/>
        <v>23.331399999999999</v>
      </c>
      <c r="AA137" s="197">
        <f t="shared" si="34"/>
        <v>23.284299999999998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221</v>
      </c>
      <c r="AE137" s="77" t="str">
        <f t="shared" si="3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37" s="74" t="str">
        <f t="shared" si="37"/>
        <v>"C:\Program Files (x86)\AstroGrep\AstroGrep.exe" /e /r /s /spath="%USERPROFILE%\AppData\Local\Temp\OnboardLogs" /stypes="app*4062*20170719*" /stext=" 01:.+((SYSTEM_STATE.+slice.+state.+changed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221-18 --locoid 4062 --swversion DE.1.0.9.0 --startMP 204:471 --initTime 2017-07-18T18:56:00 --startdatetime 2017-07-18T19:00:50 --delay 1 --endMP 204:233314 --enddatetime 2017-07-18T19:37:29 --enforcementcount 0 &gt;&gt;C:\Users\stu\Documents\GitHub\eaglep3-reporting\EC\2017-07-18-refined-times.txt</v>
      </c>
      <c r="AI137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{"issue":{"subject":"","project_id":79,"tracker_id":40,"status_id":1,"priority_id":2,"assigned_to_id":23,"start_date":"2017-07-18","description":"","custom_fields":[{"id":1,"name":"Subdivision","value":"EC"},{"id":4,"name":"Milepost","value":"23.3314"},{"id":17,"name":"Train ID","value":"221-18"},{"id":16,"name":"Locomotive ID","value":"4062"},{"id":130,"name":"Impact","value":""},{"id":150,"name":"Time of Event (Mountain Time)","value":"19:37:29"},{"id":151,"name":"Denver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4062 --day 2017-07-18</v>
      </c>
      <c r="AN137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835</v>
      </c>
      <c r="B138" s="7">
        <v>4061</v>
      </c>
      <c r="C138" s="21" t="s">
        <v>199</v>
      </c>
      <c r="D138" s="21" t="s">
        <v>494</v>
      </c>
      <c r="E138" s="13">
        <v>42934.820590277777</v>
      </c>
      <c r="F138" s="13">
        <v>42934.831469907411</v>
      </c>
      <c r="G138" s="7">
        <v>1</v>
      </c>
      <c r="H138" s="21" t="s">
        <v>381</v>
      </c>
      <c r="I138" s="13">
        <v>42934.858831018515</v>
      </c>
      <c r="J138" s="7">
        <v>0</v>
      </c>
      <c r="K138" s="89" t="str">
        <f t="shared" si="27"/>
        <v>4061/4062</v>
      </c>
      <c r="L138" s="21" t="str">
        <f>VLOOKUP(A138,'Trips&amp;Operators'!$C$1:$G$99999,5,FALSE)</f>
        <v>HAITHCOX MICHAEL</v>
      </c>
      <c r="M138" s="6">
        <f t="shared" si="28"/>
        <v>2.7361111104255542E-2</v>
      </c>
      <c r="N138" s="7">
        <f t="shared" si="46"/>
        <v>39.399999990127981</v>
      </c>
      <c r="O138" s="7"/>
      <c r="P138" s="7"/>
      <c r="Q138" s="22"/>
      <c r="R138" s="170"/>
      <c r="S138" s="213">
        <f t="shared" si="47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-18T18:41:39-0600',mode:absolute,to:'2017-07-18T21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2"/>
        <v>23.298400000000001</v>
      </c>
      <c r="Z138" s="197">
        <f t="shared" si="33"/>
        <v>1.54E-2</v>
      </c>
      <c r="AA138" s="197">
        <f t="shared" si="34"/>
        <v>23.283000000000001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222</v>
      </c>
      <c r="AE138" s="77" t="str">
        <f t="shared" si="3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38" s="74" t="str">
        <f t="shared" si="37"/>
        <v>"C:\Program Files (x86)\AstroGrep\AstroGrep.exe" /e /r /s /spath="%USERPROFILE%\AppData\Local\Temp\OnboardLogs" /stypes="app*4061*20170719*" /stext=" 02:.+((SYSTEM_STATE.+slice.+state.+changed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222-18 --locoid 4061 --swversion DE.1.0.9.0 --startMP 204:232984 --initTime 2017-07-18T19:41:39 --startdatetime 2017-07-18T19:57:19 --delay 1 --endMP 204:154 --enddatetime 2017-07-18T20:36:43 --enforcementcount 0 &gt;&gt;C:\Users\stu\Documents\GitHub\eaglep3-reporting\EC\2017-07-18-refined-times.txt</v>
      </c>
      <c r="AI138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{"issue":{"subject":"","project_id":79,"tracker_id":40,"status_id":1,"priority_id":2,"assigned_to_id":23,"start_date":"2017-07-18","description":"","custom_fields":[{"id":1,"name":"Subdivision","value":"EC"},{"id":4,"name":"Milepost","value":"0.0154"},{"id":17,"name":"Train ID","value":"222-18"},{"id":16,"name":"Locomotive ID","value":"4061"},{"id":130,"name":"Impact","value":""},{"id":150,"name":"Time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4061 --day 2017-07-18</v>
      </c>
      <c r="AN138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831</v>
      </c>
      <c r="B139" s="7">
        <v>4014</v>
      </c>
      <c r="C139" s="21" t="s">
        <v>199</v>
      </c>
      <c r="D139" s="21" t="s">
        <v>541</v>
      </c>
      <c r="E139" s="13">
        <v>42934.807708333334</v>
      </c>
      <c r="F139" s="13">
        <v>42934.813055555554</v>
      </c>
      <c r="G139" s="7">
        <v>1</v>
      </c>
      <c r="H139" s="21" t="s">
        <v>588</v>
      </c>
      <c r="I139" s="13">
        <v>42934.838842592595</v>
      </c>
      <c r="J139" s="7">
        <v>0</v>
      </c>
      <c r="K139" s="89" t="str">
        <f t="shared" si="27"/>
        <v>4013/4014</v>
      </c>
      <c r="L139" s="21" t="str">
        <f>VLOOKUP(A139,'Trips&amp;Operators'!$C$1:$G$99999,5,FALSE)</f>
        <v>CASSIDY BRANDON</v>
      </c>
      <c r="M139" s="6">
        <f t="shared" si="28"/>
        <v>2.5787037040572613E-2</v>
      </c>
      <c r="N139" s="7">
        <f t="shared" si="46"/>
        <v>37.133333338424563</v>
      </c>
      <c r="O139" s="7"/>
      <c r="P139" s="7"/>
      <c r="Q139" s="22"/>
      <c r="R139" s="170"/>
      <c r="S139" s="213">
        <f t="shared" si="47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-18T18:23:06-0600',mode:absolute,to:'2017-07-18T21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32"/>
        <v>4.4900000000000002E-2</v>
      </c>
      <c r="Z139" s="197">
        <f t="shared" si="33"/>
        <v>23.332999999999998</v>
      </c>
      <c r="AA139" s="197">
        <f t="shared" si="34"/>
        <v>23.2881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223</v>
      </c>
      <c r="AE139" s="77" t="str">
        <f t="shared" si="3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39" s="74" t="str">
        <f t="shared" si="37"/>
        <v>"C:\Program Files (x86)\AstroGrep\AstroGrep.exe" /e /r /s /spath="%USERPROFILE%\AppData\Local\Temp\OnboardLogs" /stypes="app*4014*20170719*"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223-18 --locoid 4014 --swversion DE.1.0.9.0 --startMP 204:449 --initTime 2017-07-18T19:23:06 --startdatetime 2017-07-18T19:30:48 --delay 1 --endMP 204:233330 --enddatetime 2017-07-18T20:07:56 --enforcementcount 0 &gt;&gt;C:\Users\stu\Documents\GitHub\eaglep3-reporting\EC\2017-07-18-refined-times.txt</v>
      </c>
      <c r="AI139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{"issue":{"subject":"","project_id":79,"tracker_id":40,"status_id":1,"priority_id":2,"assigned_to_id":23,"start_date":"2017-07-18","description":"","custom_fields":[{"id":1,"name":"Subdivision","value":"EC"},{"id":4,"name":"Milepost","value":"23.333"},{"id":17,"name":"Train ID","value":"223-18"},{"id":16,"name":"Locomotive ID","value":"4014"},{"id":130,"name":"Impact","value":""},{"id":150,"name":"Time of Event (Mountain Time)","value":"20:07:56"},{"id":151,"name":"Denver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4014 --day 2017-07-18</v>
      </c>
      <c r="AN139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664</v>
      </c>
      <c r="B140" s="7">
        <v>4013</v>
      </c>
      <c r="C140" s="21" t="s">
        <v>199</v>
      </c>
      <c r="D140" s="21" t="s">
        <v>920</v>
      </c>
      <c r="E140" s="13">
        <v>42934.848449074074</v>
      </c>
      <c r="F140" s="13">
        <v>42934.852268518516</v>
      </c>
      <c r="G140" s="7">
        <v>1</v>
      </c>
      <c r="H140" s="21" t="s">
        <v>608</v>
      </c>
      <c r="I140" s="13">
        <v>42934.879201388889</v>
      </c>
      <c r="J140" s="7">
        <v>0</v>
      </c>
      <c r="K140" s="89" t="str">
        <f t="shared" si="27"/>
        <v>4013/4014</v>
      </c>
      <c r="L140" s="21" t="str">
        <f>VLOOKUP(A140,'Trips&amp;Operators'!$C$1:$G$99999,5,FALSE)</f>
        <v>CASSIDY BRANDON</v>
      </c>
      <c r="M140" s="6">
        <f t="shared" si="28"/>
        <v>2.6932870372547768E-2</v>
      </c>
      <c r="N140" s="7">
        <f t="shared" si="46"/>
        <v>38.783333336468786</v>
      </c>
      <c r="O140" s="7"/>
      <c r="P140" s="7"/>
      <c r="Q140" s="22"/>
      <c r="R140" s="170"/>
      <c r="S140" s="213">
        <f t="shared" si="47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-18T19:21:46-0600',mode:absolute,to:'2017-07-18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2"/>
        <v>23.299800000000001</v>
      </c>
      <c r="Z140" s="197">
        <f t="shared" si="33"/>
        <v>1.14E-2</v>
      </c>
      <c r="AA140" s="197">
        <f t="shared" si="34"/>
        <v>23.288400000000003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224</v>
      </c>
      <c r="AE140" s="77" t="str">
        <f t="shared" si="36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140" s="74" t="str">
        <f t="shared" si="37"/>
        <v>"C:\Program Files (x86)\AstroGrep\AstroGrep.exe" /e /r /s /spath="%USERPROFILE%\AppData\Local\Temp\OnboardLogs" /stypes="app*4013*20170719*"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224-18 --locoid 4013 --swversion DE.1.0.9.0 --startMP 204:232998 --initTime 2017-07-18T20:21:46 --startdatetime 2017-07-18T20:27:16 --delay 1 --endMP 204:114 --enddatetime 2017-07-18T21:06:03 --enforcementcount 0 &gt;&gt;C:\Users\stu\Documents\GitHub\eaglep3-reporting\EC\2017-07-18-refined-times.txt</v>
      </c>
      <c r="AI140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{"issue":{"subject":"","project_id":79,"tracker_id":40,"status_id":1,"priority_id":2,"assigned_to_id":23,"start_date":"2017-07-18","description":"","custom_fields":[{"id":1,"name":"Subdivision","value":"EC"},{"id":4,"name":"Milepost","value":"0.0114"},{"id":17,"name":"Train ID","value":"224-18"},{"id":16,"name":"Locomotive ID","value":"4013"},{"id":130,"name":"Impact","value":""},{"id":150,"name":"Time of Event (Mountain Time)","value":"21:06:03"},{"id":151,"name":"Denver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4013 --day 2017-07-18</v>
      </c>
      <c r="AN140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836</v>
      </c>
      <c r="B141" s="7">
        <v>4008</v>
      </c>
      <c r="C141" s="21" t="s">
        <v>199</v>
      </c>
      <c r="D141" s="21" t="s">
        <v>397</v>
      </c>
      <c r="E141" s="13">
        <v>42934.830370370371</v>
      </c>
      <c r="F141" s="13">
        <v>42934.83384259259</v>
      </c>
      <c r="G141" s="7">
        <v>2</v>
      </c>
      <c r="H141" s="21" t="s">
        <v>590</v>
      </c>
      <c r="I141" s="13">
        <v>42934.859317129631</v>
      </c>
      <c r="J141" s="7">
        <v>0</v>
      </c>
      <c r="K141" s="89" t="str">
        <f t="shared" ref="K141:K204" si="48">IF(ISEVEN(B141),(B141-1)&amp;"/"&amp;B141,B141&amp;"/"&amp;(B141+1))</f>
        <v>4007/4008</v>
      </c>
      <c r="L141" s="21" t="str">
        <f>VLOOKUP(A141,'Trips&amp;Operators'!$C$1:$G$99999,5,FALSE)</f>
        <v>FORTUNATO FRANK</v>
      </c>
      <c r="M141" s="6">
        <f t="shared" ref="M141:M204" si="49">I141-F141</f>
        <v>2.5474537040281575E-2</v>
      </c>
      <c r="N141" s="7">
        <f t="shared" si="46"/>
        <v>36.683333338005468</v>
      </c>
      <c r="O141" s="7"/>
      <c r="P141" s="7"/>
      <c r="Q141" s="22"/>
      <c r="R141" s="170"/>
      <c r="S141" s="213">
        <f t="shared" si="47"/>
        <v>1</v>
      </c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-18T18:55:44-0600',mode:absolute,to:'2017-07-18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7" t="str">
        <f>IF(AA141&lt;VLOOKUP(AG141,Variables!$AC$3:$AD$8,2,FALSE),"Y","N")</f>
        <v>N</v>
      </c>
      <c r="X141" s="197">
        <f t="shared" si="45"/>
        <v>1</v>
      </c>
      <c r="Y141" s="197">
        <f t="shared" ref="Y141:Y204" si="52">RIGHT(D141,LEN(D141)-4)/10000</f>
        <v>4.6899999999999997E-2</v>
      </c>
      <c r="Z141" s="197">
        <f t="shared" ref="Z141:Z204" si="53">RIGHT(H141,LEN(H141)-4)/10000</f>
        <v>23.329899999999999</v>
      </c>
      <c r="AA141" s="197">
        <f t="shared" ref="AA141:AA204" si="54">ABS(Z141-Y141)</f>
        <v>23.282999999999998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5">VALUE(LEFT(A141,LEN(A141)-3))</f>
        <v>225</v>
      </c>
      <c r="AE141" s="77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41" s="74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/stypes="app*4008*20170719*"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58">DetSubdiv(A141)</f>
        <v>EC</v>
      </c>
      <c r="AH141" s="78" t="str">
        <f t="shared" si="39"/>
        <v>"%USERPROFILE%\Documents\GitHub\eaglep3\Utilities\RefineRTDCRunTimes.py" --tripid 225-18 --locoid 4008 --swversion DE.1.0.9.0 --startMP 204:469 --initTime 2017-07-18T19:55:44 --startdatetime 2017-07-18T20:00:44 --delay 2 --endMP 204:233299 --enddatetime 2017-07-18T20:37:25 --enforcementcount 0 &gt;&gt;C:\Users\stu\Documents\GitHub\eaglep3-reporting\EC\2017-07-18-refined-times.txt</v>
      </c>
      <c r="AI141" s="96" t="str">
        <f t="shared" si="40"/>
        <v>echo {"issue":{"subject":"","project_id":79,"tracker_id":40,"status_id":1,"priority_id":2,"assigned_to_id":23,"start_date":"2017-07-18","description":"","custom_fields":[{"id":1,"name":"Subdivision","value":"EC"},{"id":4,"name":"Milepost","value":"23.3299"},{"id":17,"name":"Train ID","value":"225-18"},{"id":16,"name":"Locomotive ID","value":"4008"},{"id":130,"name":"Impact","value":""},{"id":150,"name":"Time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4008 --day 2017-07-18</v>
      </c>
      <c r="AN141" s="151" t="str">
        <f t="shared" si="4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841</v>
      </c>
      <c r="B142" s="7">
        <v>4007</v>
      </c>
      <c r="C142" s="21" t="s">
        <v>199</v>
      </c>
      <c r="D142" s="21" t="s">
        <v>920</v>
      </c>
      <c r="E142" s="13">
        <v>42934.864374999997</v>
      </c>
      <c r="F142" s="13">
        <v>42934.873067129629</v>
      </c>
      <c r="G142" s="7">
        <v>2</v>
      </c>
      <c r="H142" s="21" t="s">
        <v>420</v>
      </c>
      <c r="I142" s="13">
        <v>42934.899664351855</v>
      </c>
      <c r="J142" s="7">
        <v>0</v>
      </c>
      <c r="K142" s="89" t="str">
        <f t="shared" si="48"/>
        <v>4007/4008</v>
      </c>
      <c r="L142" s="21" t="str">
        <f>VLOOKUP(A142,'Trips&amp;Operators'!$C$1:$G$99999,5,FALSE)</f>
        <v>FORTUNATO FRANK</v>
      </c>
      <c r="M142" s="6">
        <f t="shared" si="49"/>
        <v>2.6597222225973383E-2</v>
      </c>
      <c r="N142" s="7">
        <f t="shared" si="46"/>
        <v>38.300000005401671</v>
      </c>
      <c r="O142" s="7"/>
      <c r="P142" s="7"/>
      <c r="Q142" s="22"/>
      <c r="R142" s="170"/>
      <c r="S142" s="213">
        <f t="shared" si="47"/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-07-18T19:44:42-0600',mode:absolute,to:'2017-07-18T22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7" t="str">
        <f>IF(AA142&lt;VLOOKUP(AG142,Variables!$AC$3:$AD$8,2,FALSE),"Y","N")</f>
        <v>N</v>
      </c>
      <c r="X142" s="197">
        <f t="shared" si="45"/>
        <v>1</v>
      </c>
      <c r="Y142" s="197">
        <f t="shared" si="52"/>
        <v>23.299800000000001</v>
      </c>
      <c r="Z142" s="197">
        <f t="shared" si="53"/>
        <v>1.3599999999999999E-2</v>
      </c>
      <c r="AA142" s="197">
        <f t="shared" si="54"/>
        <v>23.286200000000001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5"/>
        <v>226</v>
      </c>
      <c r="AE142" s="77" t="str">
        <f t="shared" si="5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42" s="74" t="str">
        <f t="shared" si="57"/>
        <v>"C:\Program Files (x86)\AstroGrep\AstroGrep.exe" /e /r /s /spath="%USERPROFILE%\AppData\Local\Temp\OnboardLogs" /stypes="app*4007*20170719*" /stext=" 03:.+((SYSTEM_STATE.+slice.+state.+changed )|(ment ac)|(multiple cpu faults)|(system.+state.+changed )|(\[timeout)|(PRM\|1\|D)|(kpr)|(kdp)|(train st.+moving)|(\|lc)|(penalty))"</v>
      </c>
      <c r="AG142" s="209" t="str">
        <f t="shared" si="58"/>
        <v>EC</v>
      </c>
      <c r="AH142" s="78" t="str">
        <f t="shared" ref="AH142:AH202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226-18 --locoid 4007 --swversion DE.1.0.9.0 --startMP 204:232998 --initTime 2017-07-18T20:44:42 --startdatetime 2017-07-18T20:57:13 --delay 2 --endMP 204:136 --enddatetime 2017-07-18T21:35:31 --enforcementcount 0 &gt;&gt;C:\Users\stu\Documents\GitHub\eaglep3-reporting\EC\2017-07-18-refined-times.txt</v>
      </c>
      <c r="AI142" s="96" t="str">
        <f t="shared" ref="AI142:AI202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{"issue":{"subject":"","project_id":79,"tracker_id":40,"status_id":1,"priority_id":2,"assigned_to_id":23,"start_date":"2017-07-18","description":"","custom_fields":[{"id":1,"name":"Subdivision","value":"EC"},{"id":4,"name":"Milepost","value":"0.0136"},{"id":17,"name":"Train ID","value":"226-18"},{"id":16,"name":"Locomotive ID","value":"4007"},{"id":130,"name":"Impact","value":""},{"id":150,"name":"Time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2" si="61">"start /low /b "&amp;dls3logs&amp;" --loco "&amp;B142&amp;" --day "&amp;TEXT(F142,"YYYY-MM-DD")</f>
        <v>start /low /b %USERPROFILE%\Documents\GitHub\eaglep3\Utilities\DownloadLogsFromS3.py --loco 4007 --day 2017-07-18</v>
      </c>
      <c r="AN142" s="151" t="str">
        <f t="shared" ref="AN142:AN202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838</v>
      </c>
      <c r="B143" s="7">
        <v>4002</v>
      </c>
      <c r="C143" s="21" t="s">
        <v>199</v>
      </c>
      <c r="D143" s="21" t="s">
        <v>934</v>
      </c>
      <c r="E143" s="13">
        <v>42934.850069444445</v>
      </c>
      <c r="F143" s="13">
        <v>42934.854675925926</v>
      </c>
      <c r="G143" s="7">
        <v>1</v>
      </c>
      <c r="H143" s="21" t="s">
        <v>519</v>
      </c>
      <c r="I143" s="13">
        <v>42934.880370370367</v>
      </c>
      <c r="J143" s="7">
        <v>0</v>
      </c>
      <c r="K143" s="89" t="str">
        <f t="shared" si="48"/>
        <v>4001/4002</v>
      </c>
      <c r="L143" s="21" t="str">
        <f>VLOOKUP(A143,'Trips&amp;Operators'!$C$1:$G$99999,5,FALSE)</f>
        <v>LAMAR NEKESHA</v>
      </c>
      <c r="M143" s="6">
        <f t="shared" si="49"/>
        <v>2.569444444088731E-2</v>
      </c>
      <c r="N143" s="7">
        <f t="shared" si="46"/>
        <v>36.999999994877726</v>
      </c>
      <c r="O143" s="7"/>
      <c r="P143" s="7"/>
      <c r="Q143" s="22"/>
      <c r="R143" s="170"/>
      <c r="S143" s="213">
        <f t="shared" si="47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-07-18T19:24:06-0600',mode:absolute,to:'2017-07-18T22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7" t="str">
        <f>IF(AA143&lt;VLOOKUP(AG143,Variables!$AC$3:$AD$8,2,FALSE),"Y","N")</f>
        <v>N</v>
      </c>
      <c r="X143" s="197">
        <f t="shared" si="45"/>
        <v>1</v>
      </c>
      <c r="Y143" s="197">
        <f t="shared" si="52"/>
        <v>5.2900000000000003E-2</v>
      </c>
      <c r="Z143" s="197">
        <f t="shared" si="53"/>
        <v>23.3291</v>
      </c>
      <c r="AA143" s="197">
        <f t="shared" si="54"/>
        <v>23.276199999999999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5"/>
        <v>227</v>
      </c>
      <c r="AE143" s="77" t="str">
        <f t="shared" si="5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143" s="74" t="str">
        <f t="shared" si="57"/>
        <v>"C:\Program Files (x86)\AstroGrep\AstroGrep.exe" /e /r /s /spath="%USERPROFILE%\AppData\Local\Temp\OnboardLogs" /stypes="app*4002*20170719*" /stext=" 03:.+((SYSTEM_STATE.+slice.+state.+changed )|(ment ac)|(multiple cpu faults)|(system.+state.+changed )|(\[timeout)|(PRM\|1\|D)|(kpr)|(kdp)|(train st.+moving)|(\|lc)|(penalty))"</v>
      </c>
      <c r="AG143" s="209" t="str">
        <f t="shared" si="58"/>
        <v>EC</v>
      </c>
      <c r="AH143" s="78" t="str">
        <f t="shared" si="59"/>
        <v>"%USERPROFILE%\Documents\GitHub\eaglep3\Utilities\RefineRTDCRunTimes.py" --tripid 227-18 --locoid 4002 --swversion DE.1.0.9.0 --startMP 204:529 --initTime 2017-07-18T20:24:06 --startdatetime 2017-07-18T20:30:44 --delay 1 --endMP 204:233291 --enddatetime 2017-07-18T21:07:44 --enforcementcount 0 &gt;&gt;C:\Users\stu\Documents\GitHub\eaglep3-reporting\EC\2017-07-18-refined-times.txt</v>
      </c>
      <c r="AI143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{"issue":{"subject":"","project_id":79,"tracker_id":40,"status_id":1,"priority_id":2,"assigned_to_id":23,"start_date":"2017-07-18","description":"","custom_fields":[{"id":1,"name":"Subdivision","value":"EC"},{"id":4,"name":"Milepost","value":"23.3291"},{"id":17,"name":"Train ID","value":"227-18"},{"id":16,"name":"Locomotive ID","value":"4002"},{"id":130,"name":"Impact","value":""},{"id":150,"name":"Time of Event (Mountain Time)","value":"21:07:44"},{"id":151,"name":"Denver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1"/>
        <v>start /low /b %USERPROFILE%\Documents\GitHub\eaglep3\Utilities\DownloadLogsFromS3.py --loco 4002 --day 2017-07-18</v>
      </c>
      <c r="AN143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844</v>
      </c>
      <c r="B144" s="7">
        <v>4001</v>
      </c>
      <c r="C144" s="21" t="s">
        <v>199</v>
      </c>
      <c r="D144" s="21" t="s">
        <v>549</v>
      </c>
      <c r="E144" s="13">
        <v>42934.889317129629</v>
      </c>
      <c r="F144" s="13">
        <v>42934.894189814811</v>
      </c>
      <c r="G144" s="7">
        <v>1</v>
      </c>
      <c r="H144" s="21" t="s">
        <v>419</v>
      </c>
      <c r="I144" s="13">
        <v>42934.920729166668</v>
      </c>
      <c r="J144" s="7">
        <v>0</v>
      </c>
      <c r="K144" s="89" t="str">
        <f t="shared" si="48"/>
        <v>4001/4002</v>
      </c>
      <c r="L144" s="21" t="str">
        <f>VLOOKUP(A144,'Trips&amp;Operators'!$C$1:$G$99999,5,FALSE)</f>
        <v>LAMAR NEKESHA</v>
      </c>
      <c r="M144" s="6">
        <f t="shared" si="49"/>
        <v>2.6539351856627036E-2</v>
      </c>
      <c r="N144" s="7">
        <f t="shared" si="46"/>
        <v>38.216666673542932</v>
      </c>
      <c r="O144" s="7"/>
      <c r="P144" s="7"/>
      <c r="Q144" s="22"/>
      <c r="R144" s="170"/>
      <c r="S144" s="213">
        <f t="shared" si="47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-07-18T20:20:37-0600',mode:absolute,to:'2017-07-18T23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7" t="str">
        <f>IF(AA144&lt;VLOOKUP(AG144,Variables!$AC$3:$AD$8,2,FALSE),"Y","N")</f>
        <v>N</v>
      </c>
      <c r="X144" s="197">
        <f t="shared" si="45"/>
        <v>1</v>
      </c>
      <c r="Y144" s="197">
        <f t="shared" si="52"/>
        <v>23.297699999999999</v>
      </c>
      <c r="Z144" s="197">
        <f t="shared" si="53"/>
        <v>1.6299999999999999E-2</v>
      </c>
      <c r="AA144" s="197">
        <f t="shared" si="54"/>
        <v>23.281399999999998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5"/>
        <v>228</v>
      </c>
      <c r="AE144" s="77" t="str">
        <f t="shared" si="5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144" s="74" t="str">
        <f t="shared" si="57"/>
        <v>"C:\Program Files (x86)\AstroGrep\AstroGrep.exe" /e /r /s /spath="%USERPROFILE%\AppData\Local\Temp\OnboardLogs" /stypes="app*4001*20170719*" /stext=" 04:.+((SYSTEM_STATE.+slice.+state.+changed )|(ment ac)|(multiple cpu faults)|(system.+state.+changed )|(\[timeout)|(PRM\|1\|D)|(kpr)|(kdp)|(train st.+moving)|(\|lc)|(penalty))"</v>
      </c>
      <c r="AG144" s="209" t="str">
        <f t="shared" si="58"/>
        <v>EC</v>
      </c>
      <c r="AH144" s="78" t="str">
        <f t="shared" si="59"/>
        <v>"%USERPROFILE%\Documents\GitHub\eaglep3\Utilities\RefineRTDCRunTimes.py" --tripid 228-18 --locoid 4001 --swversion DE.1.0.9.0 --startMP 204:232977 --initTime 2017-07-18T21:20:37 --startdatetime 2017-07-18T21:27:38 --delay 1 --endMP 204:163 --enddatetime 2017-07-18T22:05:51 --enforcementcount 0 &gt;&gt;C:\Users\stu\Documents\GitHub\eaglep3-reporting\EC\2017-07-18-refined-times.txt</v>
      </c>
      <c r="AI144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{"issue":{"subject":"","project_id":79,"tracker_id":40,"status_id":1,"priority_id":2,"assigned_to_id":23,"start_date":"2017-07-18","description":"","custom_fields":[{"id":1,"name":"Subdivision","value":"EC"},{"id":4,"name":"Milepost","value":"0.0163"},{"id":17,"name":"Train ID","value":"228-18"},{"id":16,"name":"Locomotive ID","value":"4001"},{"id":130,"name":"Impact","value":""},{"id":150,"name":"Time of Event (Mountain Time)","value":"22:05:51"},{"id":151,"name":"Denver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1"/>
        <v>start /low /b %USERPROFILE%\Documents\GitHub\eaglep3\Utilities\DownloadLogsFromS3.py --loco 4001 --day 2017-07-18</v>
      </c>
      <c r="AN144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840</v>
      </c>
      <c r="B145" s="7">
        <v>4062</v>
      </c>
      <c r="C145" s="21" t="s">
        <v>199</v>
      </c>
      <c r="D145" s="21" t="s">
        <v>397</v>
      </c>
      <c r="E145" s="13">
        <v>42934.861631944441</v>
      </c>
      <c r="F145" s="13">
        <v>42934.875520833331</v>
      </c>
      <c r="G145" s="7">
        <v>1</v>
      </c>
      <c r="H145" s="21" t="s">
        <v>590</v>
      </c>
      <c r="I145" s="13">
        <v>42934.901759259257</v>
      </c>
      <c r="J145" s="7">
        <v>0</v>
      </c>
      <c r="K145" s="89" t="str">
        <f t="shared" si="48"/>
        <v>4061/4062</v>
      </c>
      <c r="L145" s="21" t="str">
        <f>VLOOKUP(A145,'Trips&amp;Operators'!$C$1:$G$99999,5,FALSE)</f>
        <v>HAITHCOX MICHAEL</v>
      </c>
      <c r="M145" s="6">
        <f t="shared" si="49"/>
        <v>2.6238425925839692E-2</v>
      </c>
      <c r="N145" s="7">
        <f t="shared" si="46"/>
        <v>37.783333333209157</v>
      </c>
      <c r="O145" s="7"/>
      <c r="P145" s="7"/>
      <c r="Q145" s="22"/>
      <c r="R145" s="170"/>
      <c r="S145" s="213">
        <f t="shared" si="47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-07-18T19:40:45-0600',mode:absolute,to:'2017-07-18T22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5" s="197" t="str">
        <f>IF(AA145&lt;VLOOKUP(AG145,Variables!$AC$3:$AD$8,2,FALSE),"Y","N")</f>
        <v>N</v>
      </c>
      <c r="X145" s="197">
        <f t="shared" si="45"/>
        <v>1</v>
      </c>
      <c r="Y145" s="197">
        <f t="shared" si="52"/>
        <v>4.6899999999999997E-2</v>
      </c>
      <c r="Z145" s="197">
        <f t="shared" si="53"/>
        <v>23.329899999999999</v>
      </c>
      <c r="AA145" s="197">
        <f t="shared" si="54"/>
        <v>23.282999999999998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5"/>
        <v>229</v>
      </c>
      <c r="AE145" s="77" t="str">
        <f t="shared" si="5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45" s="74" t="str">
        <f t="shared" si="57"/>
        <v>"C:\Program Files (x86)\AstroGrep\AstroGrep.exe" /e /r /s /spath="%USERPROFILE%\AppData\Local\Temp\OnboardLogs" /stypes="app*4062*20170719*" /stext=" 03:.+((SYSTEM_STATE.+slice.+state.+changed )|(ment ac)|(multiple cpu faults)|(system.+state.+changed )|(\[timeout)|(PRM\|1\|D)|(kpr)|(kdp)|(train st.+moving)|(\|lc)|(penalty))"</v>
      </c>
      <c r="AG145" s="209" t="str">
        <f t="shared" si="58"/>
        <v>EC</v>
      </c>
      <c r="AH145" s="78" t="str">
        <f t="shared" si="59"/>
        <v>"%USERPROFILE%\Documents\GitHub\eaglep3\Utilities\RefineRTDCRunTimes.py" --tripid 229-18 --locoid 4062 --swversion DE.1.0.9.0 --startMP 204:469 --initTime 2017-07-18T20:40:45 --startdatetime 2017-07-18T21:00:45 --delay 1 --endMP 204:233299 --enddatetime 2017-07-18T21:38:32 --enforcementcount 0 &gt;&gt;C:\Users\stu\Documents\GitHub\eaglep3-reporting\EC\2017-07-18-refined-times.txt</v>
      </c>
      <c r="AI145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{"issue":{"subject":"","project_id":79,"tracker_id":40,"status_id":1,"priority_id":2,"assigned_to_id":23,"start_date":"2017-07-18","description":"","custom_fields":[{"id":1,"name":"Subdivision","value":"EC"},{"id":4,"name":"Milepost","value":"23.3299"},{"id":17,"name":"Train ID","value":"229-18"},{"id":16,"name":"Locomotive ID","value":"4062"},{"id":130,"name":"Impact","value":""},{"id":150,"name":"Time of Event (Mountain Time)","value":"21:38:32"},{"id":151,"name":"Denver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1"/>
        <v>start /low /b %USERPROFILE%\Documents\GitHub\eaglep3\Utilities\DownloadLogsFromS3.py --loco 4062 --day 2017-07-18</v>
      </c>
      <c r="AN145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845</v>
      </c>
      <c r="B146" s="7">
        <v>4061</v>
      </c>
      <c r="C146" s="21" t="s">
        <v>199</v>
      </c>
      <c r="D146" s="21" t="s">
        <v>507</v>
      </c>
      <c r="E146" s="13">
        <v>42934.903136574074</v>
      </c>
      <c r="F146" s="13">
        <v>42934.905057870368</v>
      </c>
      <c r="G146" s="7">
        <v>3</v>
      </c>
      <c r="H146" s="21" t="s">
        <v>343</v>
      </c>
      <c r="I146" s="13">
        <v>42934.943159722221</v>
      </c>
      <c r="J146" s="7">
        <v>0</v>
      </c>
      <c r="K146" s="89" t="str">
        <f t="shared" si="48"/>
        <v>4061/4062</v>
      </c>
      <c r="L146" s="21" t="str">
        <f>VLOOKUP(A146,'Trips&amp;Operators'!$C$1:$G$99999,5,FALSE)</f>
        <v>HAITHCOX MICHAEL</v>
      </c>
      <c r="M146" s="6">
        <f t="shared" si="49"/>
        <v>3.8101851852843538E-2</v>
      </c>
      <c r="N146" s="7">
        <f t="shared" si="46"/>
        <v>54.866666668094695</v>
      </c>
      <c r="O146" s="7"/>
      <c r="P146" s="7"/>
      <c r="Q146" s="22"/>
      <c r="R146" s="170" t="s">
        <v>1063</v>
      </c>
      <c r="S146" s="213">
        <f t="shared" si="47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-07-18T20:40:31-0600',mode:absolute,to:'2017-07-18T23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6" s="197" t="str">
        <f>IF(AA146&lt;VLOOKUP(AG146,Variables!$AC$3:$AD$8,2,FALSE),"Y","N")</f>
        <v>N</v>
      </c>
      <c r="X146" s="197">
        <f t="shared" ref="X146:X150" si="63">VALUE(LEFT(AD146,4))-VALUE(LEFT(AD145,4))</f>
        <v>1</v>
      </c>
      <c r="Y146" s="197">
        <f t="shared" si="52"/>
        <v>23.296500000000002</v>
      </c>
      <c r="Z146" s="197">
        <f t="shared" si="53"/>
        <v>1.4999999999999999E-2</v>
      </c>
      <c r="AA146" s="197">
        <f t="shared" si="54"/>
        <v>23.281500000000001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5"/>
        <v>230</v>
      </c>
      <c r="AE146" s="77" t="str">
        <f t="shared" si="5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46" s="74" t="str">
        <f t="shared" si="57"/>
        <v>"C:\Program Files (x86)\AstroGrep\AstroGrep.exe" /e /r /s /spath="%USERPROFILE%\AppData\Local\Temp\OnboardLogs" /stypes="app*4061*20170719*" /stext=" 04:.+((SYSTEM_STATE.+slice.+state.+changed )|(ment ac)|(multiple cpu faults)|(system.+state.+changed )|(\[timeout)|(PRM\|1\|D)|(kpr)|(kdp)|(train st.+moving)|(\|lc)|(penalty))"</v>
      </c>
      <c r="AG146" s="209" t="str">
        <f t="shared" si="58"/>
        <v>EC</v>
      </c>
      <c r="AH146" s="78" t="str">
        <f t="shared" si="59"/>
        <v>"%USERPROFILE%\Documents\GitHub\eaglep3\Utilities\RefineRTDCRunTimes.py" --tripid 230-18 --locoid 4061 --swversion DE.1.0.9.0 --startMP 204:232965 --initTime 2017-07-18T21:40:31 --startdatetime 2017-07-18T21:43:17 --delay 3 --endMP 204:150 --enddatetime 2017-07-18T22:38:09 --enforcementcount 0 &gt;&gt;C:\Users\stu\Documents\GitHub\eaglep3-reporting\EC\2017-07-18-refined-times.txt</v>
      </c>
      <c r="AI146" s="96" t="str">
        <f t="shared" si="60"/>
        <v>echo {"issue":{"subject":"Delayed by onboard in-route failure","project_id":79,"tracker_id":40,"status_id":1,"priority_id":2,"assigned_to_id":23,"start_date":"2017-07-18","description":"","custom_fields":[{"id":1,"name":"Subdivision","value":"EC"},{"id":4,"name":"Milepost","value":"0.015"},{"id":17,"name":"Train ID","value":"230-18"},{"id":16,"name":"Locomotive ID","value":"4061"},{"id":130,"name":"Impact","value":""},{"id":150,"name":"Time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1"/>
        <v>start /low /b %USERPROFILE%\Documents\GitHub\eaglep3\Utilities\DownloadLogsFromS3.py --loco 4061 --day 2017-07-18</v>
      </c>
      <c r="AN146" s="151" t="str">
        <f t="shared" si="62"/>
        <v>echo {"issue":{"subject":"Delayed by onboard in-route failure","project_id":30,"tracker_id":4,"status_id":1,"priority_id":1,"assigned_to_id":10,"start_date":"2017-07-19","description":"","custom_fields":[{"id":30,"name":"Category","value":"Issue"},{"id":3,"name":"Functional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843</v>
      </c>
      <c r="B147" s="7">
        <v>4014</v>
      </c>
      <c r="C147" s="21" t="s">
        <v>199</v>
      </c>
      <c r="D147" s="21" t="s">
        <v>935</v>
      </c>
      <c r="E147" s="13">
        <v>42934.885891203703</v>
      </c>
      <c r="F147" s="13">
        <v>42934.896493055552</v>
      </c>
      <c r="G147" s="7">
        <v>1</v>
      </c>
      <c r="H147" s="21" t="s">
        <v>604</v>
      </c>
      <c r="I147" s="13">
        <v>42934.922696759262</v>
      </c>
      <c r="J147" s="7">
        <v>0</v>
      </c>
      <c r="K147" s="89" t="str">
        <f t="shared" si="48"/>
        <v>4013/4014</v>
      </c>
      <c r="L147" s="21" t="str">
        <f>VLOOKUP(A147,'Trips&amp;Operators'!$C$1:$G$99999,5,FALSE)</f>
        <v>CASSIDY BRANDON</v>
      </c>
      <c r="M147" s="6">
        <f t="shared" si="49"/>
        <v>2.620370371005265E-2</v>
      </c>
      <c r="N147" s="7">
        <f t="shared" si="46"/>
        <v>37.733333342475817</v>
      </c>
      <c r="O147" s="7"/>
      <c r="P147" s="7"/>
      <c r="Q147" s="22"/>
      <c r="R147" s="170"/>
      <c r="S147" s="213">
        <f t="shared" si="47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-07-18T20:15:41-0600',mode:absolute,to:'2017-07-18T23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97" t="str">
        <f>IF(AA147&lt;VLOOKUP(AG147,Variables!$AC$3:$AD$8,2,FALSE),"Y","N")</f>
        <v>N</v>
      </c>
      <c r="X147" s="197">
        <f t="shared" si="63"/>
        <v>1</v>
      </c>
      <c r="Y147" s="197">
        <f t="shared" si="52"/>
        <v>4.24E-2</v>
      </c>
      <c r="Z147" s="197">
        <f t="shared" si="53"/>
        <v>23.335699999999999</v>
      </c>
      <c r="AA147" s="197">
        <f t="shared" si="54"/>
        <v>23.293299999999999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5"/>
        <v>231</v>
      </c>
      <c r="AE147" s="77" t="str">
        <f t="shared" si="5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47" s="74" t="str">
        <f t="shared" si="57"/>
        <v>"C:\Program Files (x86)\AstroGrep\AstroGrep.exe" /e /r /s /spath="%USERPROFILE%\AppData\Local\Temp\OnboardLogs" /stypes="app*4014*20170719*" /stext=" 04:.+((SYSTEM_STATE.+slice.+state.+changed )|(ment ac)|(multiple cpu faults)|(system.+state.+changed )|(\[timeout)|(PRM\|1\|D)|(kpr)|(kdp)|(train st.+moving)|(\|lc)|(penalty))"</v>
      </c>
      <c r="AG147" s="209" t="str">
        <f t="shared" si="58"/>
        <v>EC</v>
      </c>
      <c r="AH147" s="78" t="str">
        <f t="shared" si="59"/>
        <v>"%USERPROFILE%\Documents\GitHub\eaglep3\Utilities\RefineRTDCRunTimes.py" --tripid 231-18 --locoid 4014 --swversion DE.1.0.9.0 --startMP 204:424 --initTime 2017-07-18T21:15:41 --startdatetime 2017-07-18T21:30:57 --delay 1 --endMP 204:233357 --enddatetime 2017-07-18T22:08:41 --enforcementcount 0 &gt;&gt;C:\Users\stu\Documents\GitHub\eaglep3-reporting\EC\2017-07-18-refined-times.txt</v>
      </c>
      <c r="AI147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{"issue":{"subject":"","project_id":79,"tracker_id":40,"status_id":1,"priority_id":2,"assigned_to_id":23,"start_date":"2017-07-18","description":"","custom_fields":[{"id":1,"name":"Subdivision","value":"EC"},{"id":4,"name":"Milepost","value":"23.3357"},{"id":17,"name":"Train ID","value":"231-18"},{"id":16,"name":"Locomotive ID","value":"4014"},{"id":130,"name":"Impact","value":""},{"id":150,"name":"Time of Event (Mountain Time)","value":"22:08:41"},{"id":151,"name":"Denver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1"/>
        <v>start /low /b %USERPROFILE%\Documents\GitHub\eaglep3\Utilities\DownloadLogsFromS3.py --loco 4014 --day 2017-07-18</v>
      </c>
      <c r="AN147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4013</v>
      </c>
      <c r="C148" s="21" t="s">
        <v>199</v>
      </c>
      <c r="D148" s="21" t="s">
        <v>936</v>
      </c>
      <c r="E148" s="13">
        <v>42934.932349537034</v>
      </c>
      <c r="F148" s="13">
        <v>42934.935601851852</v>
      </c>
      <c r="G148" s="7">
        <v>1</v>
      </c>
      <c r="H148" s="21" t="s">
        <v>937</v>
      </c>
      <c r="I148" s="13">
        <v>42934.964467592596</v>
      </c>
      <c r="J148" s="7">
        <v>0</v>
      </c>
      <c r="K148" s="89" t="str">
        <f t="shared" si="48"/>
        <v>4013/4014</v>
      </c>
      <c r="L148" s="21" t="str">
        <f>VLOOKUP(A148,'Trips&amp;Operators'!$C$1:$G$99999,5,FALSE)</f>
        <v>CASSIDY BRANDON</v>
      </c>
      <c r="M148" s="6">
        <f t="shared" si="49"/>
        <v>2.8865740743640345E-2</v>
      </c>
      <c r="N148" s="7">
        <f t="shared" si="46"/>
        <v>41.566666670842096</v>
      </c>
      <c r="O148" s="7"/>
      <c r="P148" s="7"/>
      <c r="Q148" s="22"/>
      <c r="R148" s="170"/>
      <c r="S148" s="213">
        <f t="shared" si="47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-07-18T21:22:35-0600',mode:absolute,to:'2017-07-19T00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97" t="str">
        <f>IF(AA148&lt;VLOOKUP(AG148,Variables!$AC$3:$AD$8,2,FALSE),"Y","N")</f>
        <v>N</v>
      </c>
      <c r="X148" s="197">
        <f t="shared" si="63"/>
        <v>1</v>
      </c>
      <c r="Y148" s="197">
        <f t="shared" si="52"/>
        <v>23.3019</v>
      </c>
      <c r="Z148" s="197">
        <f t="shared" si="53"/>
        <v>7.7999999999999996E-3</v>
      </c>
      <c r="AA148" s="197">
        <f t="shared" si="54"/>
        <v>23.2941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5"/>
        <v>232</v>
      </c>
      <c r="AE148" s="77" t="str">
        <f t="shared" si="56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148" s="74" t="str">
        <f t="shared" si="57"/>
        <v>"C:\Program Files (x86)\AstroGrep\AstroGrep.exe" /e /r /s /spath="%USERPROFILE%\AppData\Local\Temp\OnboardLogs" /stypes="app*4013*20170719*" /stext=" 05:.+((SYSTEM_STATE.+slice.+state.+changed )|(ment ac)|(multiple cpu faults)|(system.+state.+changed )|(\[timeout)|(PRM\|1\|D)|(kpr)|(kdp)|(train st.+moving)|(\|lc)|(penalty))"</v>
      </c>
      <c r="AG148" s="209" t="str">
        <f t="shared" si="58"/>
        <v>EC</v>
      </c>
      <c r="AH148" s="78" t="str">
        <f t="shared" si="59"/>
        <v>"%USERPROFILE%\Documents\GitHub\eaglep3\Utilities\RefineRTDCRunTimes.py" --tripid 232-18 --locoid 4013 --swversion DE.1.0.9.0 --startMP 204:233019 --initTime 2017-07-18T22:22:35 --startdatetime 2017-07-18T22:27:16 --delay 1 --endMP 204:78 --enddatetime 2017-07-18T23:08:50 --enforcementcount 0 &gt;&gt;C:\Users\stu\Documents\GitHub\eaglep3-reporting\EC\2017-07-18-refined-times.txt</v>
      </c>
      <c r="AI148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{"issue":{"subject":"","project_id":79,"tracker_id":40,"status_id":1,"priority_id":2,"assigned_to_id":23,"start_date":"2017-07-18","description":"","custom_fields":[{"id":1,"name":"Subdivision","value":"EC"},{"id":4,"name":"Milepost","value":"0.0078"},{"id":17,"name":"Train ID","value":"232-18"},{"id":16,"name":"Locomotive ID","value":"4013"},{"id":130,"name":"Impact","value":""},{"id":150,"name":"Time of Event (Mountain Time)","value":"23:08:50"},{"id":151,"name":"Denver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1"/>
        <v>start /low /b %USERPROFILE%\Documents\GitHub\eaglep3\Utilities\DownloadLogsFromS3.py --loco 4013 --day 2017-07-18</v>
      </c>
      <c r="AN148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05:08:50"},{"id":29,"name":"Sharepoint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846</v>
      </c>
      <c r="B149" s="7">
        <v>4008</v>
      </c>
      <c r="C149" s="21" t="s">
        <v>199</v>
      </c>
      <c r="D149" s="21" t="s">
        <v>493</v>
      </c>
      <c r="E149" s="13">
        <v>42934.903935185182</v>
      </c>
      <c r="F149" s="13">
        <v>42934.917314814818</v>
      </c>
      <c r="G149" s="7">
        <v>1</v>
      </c>
      <c r="H149" s="21" t="s">
        <v>521</v>
      </c>
      <c r="I149" s="13">
        <v>42934.943553240744</v>
      </c>
      <c r="J149" s="7">
        <v>0</v>
      </c>
      <c r="K149" s="89" t="str">
        <f t="shared" si="48"/>
        <v>4007/4008</v>
      </c>
      <c r="L149" s="21" t="str">
        <f>VLOOKUP(A149,'Trips&amp;Operators'!$C$1:$G$99999,5,FALSE)</f>
        <v>FORTUNATO FRANK</v>
      </c>
      <c r="M149" s="6">
        <f t="shared" si="49"/>
        <v>2.6238425925839692E-2</v>
      </c>
      <c r="N149" s="7">
        <f t="shared" si="46"/>
        <v>37.783333333209157</v>
      </c>
      <c r="O149" s="7"/>
      <c r="P149" s="7"/>
      <c r="Q149" s="22"/>
      <c r="R149" s="170"/>
      <c r="S149" s="213">
        <f t="shared" si="47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-07-18T20:41:40-0600',mode:absolute,to:'2017-07-18T23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7" t="str">
        <f>IF(AA149&lt;VLOOKUP(AG149,Variables!$AC$3:$AD$8,2,FALSE),"Y","N")</f>
        <v>N</v>
      </c>
      <c r="X149" s="197">
        <f t="shared" si="63"/>
        <v>1</v>
      </c>
      <c r="Y149" s="197">
        <f t="shared" si="52"/>
        <v>4.4200000000000003E-2</v>
      </c>
      <c r="Z149" s="197">
        <f t="shared" si="53"/>
        <v>23.333200000000001</v>
      </c>
      <c r="AA149" s="197">
        <f t="shared" si="54"/>
        <v>23.289000000000001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5"/>
        <v>233</v>
      </c>
      <c r="AE149" s="77" t="str">
        <f t="shared" si="56"/>
        <v>aws s3 cp s3://rtdc.mdm.uploadarchive.raw/RTDC4008/ "%USERPROFILE%\AppData\Local\Temp\OnboardLogs"\RTDC4008\2017-07-18 --exclude "*" --recursive --include "*20170718*" &amp; "%USERPROFILE%\Documents\GitHub\mrs-test-scripts\Headless Mode &amp; Sideloading\WalkAndUnGZ.bat" "%USERPROFILE%\AppData\Local\Temp\OnboardLogs"\RTDC4008\2017-07-18 &amp; 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</v>
      </c>
      <c r="AF149" s="74" t="str">
        <f t="shared" si="57"/>
        <v>"C:\Program Files (x86)\AstroGrep\AstroGrep.exe" /e /r /s /spath="%USERPROFILE%\AppData\Local\Temp\OnboardLogs" /stypes="app*4008*20170719*" /stext=" 04:.+((SYSTEM_STATE.+slice.+state.+changed )|(ment ac)|(multiple cpu faults)|(system.+state.+changed )|(\[timeout)|(PRM\|1\|D)|(kpr)|(kdp)|(train st.+moving)|(\|lc)|(penalty))"</v>
      </c>
      <c r="AG149" s="209" t="str">
        <f t="shared" si="58"/>
        <v>EC</v>
      </c>
      <c r="AH149" s="78" t="str">
        <f t="shared" si="59"/>
        <v>"%USERPROFILE%\Documents\GitHub\eaglep3\Utilities\RefineRTDCRunTimes.py" --tripid 233-18 --locoid 4008 --swversion DE.1.0.9.0 --startMP 204:442 --initTime 2017-07-18T21:41:40 --startdatetime 2017-07-18T22:00:56 --delay 1 --endMP 204:233332 --enddatetime 2017-07-18T22:38:43 --enforcementcount 0 &gt;&gt;C:\Users\stu\Documents\GitHub\eaglep3-reporting\EC\2017-07-18-refined-times.txt</v>
      </c>
      <c r="AI149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{"issue":{"subject":"","project_id":79,"tracker_id":40,"status_id":1,"priority_id":2,"assigned_to_id":23,"start_date":"2017-07-18","description":"","custom_fields":[{"id":1,"name":"Subdivision","value":"EC"},{"id":4,"name":"Milepost","value":"23.3332"},{"id":17,"name":"Train ID","value":"233-18"},{"id":16,"name":"Locomotive ID","value":"4008"},{"id":130,"name":"Impact","value":""},{"id":150,"name":"Time of Event (Mountain Time)","value":"22:38:43"},{"id":151,"name":"Denver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1"/>
        <v>start /low /b %USERPROFILE%\Documents\GitHub\eaglep3\Utilities\DownloadLogsFromS3.py --loco 4008 --day 2017-07-18</v>
      </c>
      <c r="AN149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851</v>
      </c>
      <c r="B150" s="7">
        <v>4007</v>
      </c>
      <c r="C150" s="21" t="s">
        <v>199</v>
      </c>
      <c r="D150" s="21" t="s">
        <v>938</v>
      </c>
      <c r="E150" s="13">
        <v>42934.94672453704</v>
      </c>
      <c r="F150" s="13">
        <v>42934.956400462965</v>
      </c>
      <c r="G150" s="7">
        <v>0</v>
      </c>
      <c r="H150" s="21" t="s">
        <v>939</v>
      </c>
      <c r="I150" s="13">
        <v>42934.985543981478</v>
      </c>
      <c r="J150" s="7">
        <v>0</v>
      </c>
      <c r="K150" s="89" t="str">
        <f t="shared" si="48"/>
        <v>4007/4008</v>
      </c>
      <c r="L150" s="21" t="str">
        <f>VLOOKUP(A150,'Trips&amp;Operators'!$C$1:$G$99999,5,FALSE)</f>
        <v>FORTUNATO FRANK</v>
      </c>
      <c r="M150" s="6">
        <f t="shared" si="49"/>
        <v>2.9143518513592426E-2</v>
      </c>
      <c r="N150" s="7">
        <f t="shared" si="46"/>
        <v>41.966666659573093</v>
      </c>
      <c r="O150" s="7"/>
      <c r="P150" s="7"/>
      <c r="Q150" s="22"/>
      <c r="R150" s="170" t="s">
        <v>1068</v>
      </c>
      <c r="S150" s="213">
        <f t="shared" si="47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-07-18T21:43:17-0600',mode:absolute,to:'2017-07-19T00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7" t="str">
        <f>IF(AA150&lt;VLOOKUP(AG150,Variables!$AC$3:$AD$8,2,FALSE),"Y","N")</f>
        <v>N</v>
      </c>
      <c r="X150" s="197">
        <f t="shared" si="63"/>
        <v>1</v>
      </c>
      <c r="Y150" s="197">
        <f t="shared" si="52"/>
        <v>23.3003</v>
      </c>
      <c r="Z150" s="197">
        <f t="shared" si="53"/>
        <v>2.3099999999999999E-2</v>
      </c>
      <c r="AA150" s="197">
        <f t="shared" si="54"/>
        <v>23.277200000000001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5"/>
        <v>234</v>
      </c>
      <c r="AE150" s="77" t="str">
        <f t="shared" si="56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150" s="74" t="str">
        <f t="shared" si="57"/>
        <v>"C:\Program Files (x86)\AstroGrep\AstroGrep.exe" /e /r /s /spath="%USERPROFILE%\AppData\Local\Temp\OnboardLogs" /stypes="app*4007*20170719*" /stext=" 05:.+((SYSTEM_STATE.+slice.+state.+changed )|(ment ac)|(multiple cpu faults)|(system.+state.+changed )|(\[timeout)|(PRM\|1\|D)|(kpr)|(kdp)|(train st.+moving)|(\|lc)|(penalty))"</v>
      </c>
      <c r="AG150" s="209" t="str">
        <f t="shared" si="58"/>
        <v>EC</v>
      </c>
      <c r="AH150" s="78" t="str">
        <f t="shared" si="59"/>
        <v>"%USERPROFILE%\Documents\GitHub\eaglep3\Utilities\RefineRTDCRunTimes.py" --tripid 234-18 --locoid 4007 --swversion DE.1.0.9.0 --startMP 204:233003 --initTime 2017-07-18T22:43:17 --startdatetime 2017-07-18T22:57:13 --delay 0 --endMP 204:231 --enddatetime 2017-07-18T23:39:11 --enforcementcount 0 &gt;&gt;C:\Users\stu\Documents\GitHub\eaglep3-reporting\EC\2017-07-18-refined-times.txt</v>
      </c>
      <c r="AI150" s="96" t="str">
        <f t="shared" si="60"/>
        <v>echo {"issue":{"subject":"Selected wrong track at first","project_id":79,"tracker_id":40,"status_id":1,"priority_id":2,"assigned_to_id":23,"start_date":"2017-07-18","description":"","custom_fields":[{"id":1,"name":"Subdivision","value":"EC"},{"id":4,"name":"Milepost","value":"0.0231"},{"id":17,"name":"Train ID","value":"234-18"},{"id":16,"name":"Locomotive ID","value":"4007"},{"id":130,"name":"Impact","value":""},{"id":150,"name":"Time of Event (Mountain Time)","value":"23:39:11"},{"id":151,"name":"Denver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1"/>
        <v>start /low /b %USERPROFILE%\Documents\GitHub\eaglep3\Utilities\DownloadLogsFromS3.py --loco 4007 --day 2017-07-18</v>
      </c>
      <c r="AN150" s="151" t="str">
        <f t="shared" si="62"/>
        <v>echo {"issue":{"subject":"Selected wrong track at first","project_id":30,"tracker_id":4,"status_id":1,"priority_id":1,"assigned_to_id":10,"start_date":"2017-07-19","description":"","custom_fields":[{"id":30,"name":"Category","value":"Issue"},{"id":3,"name":"Functional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05:39:11"},{"id":29,"name":"Sharepoint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849</v>
      </c>
      <c r="B151" s="7">
        <v>4002</v>
      </c>
      <c r="C151" s="21" t="s">
        <v>199</v>
      </c>
      <c r="D151" s="21" t="s">
        <v>380</v>
      </c>
      <c r="E151" s="13">
        <v>42934.932268518518</v>
      </c>
      <c r="F151" s="13">
        <v>42934.938009259262</v>
      </c>
      <c r="G151" s="7">
        <v>3</v>
      </c>
      <c r="H151" s="21" t="s">
        <v>932</v>
      </c>
      <c r="I151" s="13">
        <v>42934.964618055557</v>
      </c>
      <c r="J151" s="7">
        <v>0</v>
      </c>
      <c r="K151" s="89" t="str">
        <f t="shared" si="48"/>
        <v>4001/4002</v>
      </c>
      <c r="L151" s="21" t="str">
        <f>VLOOKUP(A151,'Trips&amp;Operators'!$C$1:$G$99999,5,FALSE)</f>
        <v>LAMAR NEKESHA</v>
      </c>
      <c r="M151" s="6">
        <f t="shared" si="49"/>
        <v>2.6608796295477077E-2</v>
      </c>
      <c r="N151" s="7">
        <f t="shared" si="46"/>
        <v>38.316666665486991</v>
      </c>
      <c r="O151" s="7"/>
      <c r="P151" s="7"/>
      <c r="Q151" s="22"/>
      <c r="R151" s="170"/>
      <c r="S151" s="213">
        <f t="shared" si="47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-07-18T21:22:28-0600',mode:absolute,to:'2017-07-19T00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97" t="str">
        <f>IF(AA151&lt;VLOOKUP(AG151,Variables!$AC$3:$AD$8,2,FALSE),"Y","N")</f>
        <v>N</v>
      </c>
      <c r="X151" s="197">
        <f t="shared" ref="X151:X182" si="64">VALUE(LEFT(AD151,4))-VALUE(LEFT(AD150,4))</f>
        <v>1</v>
      </c>
      <c r="Y151" s="197">
        <f t="shared" si="52"/>
        <v>4.6199999999999998E-2</v>
      </c>
      <c r="Z151" s="197">
        <f t="shared" si="53"/>
        <v>23.33</v>
      </c>
      <c r="AA151" s="197">
        <f t="shared" si="54"/>
        <v>23.283799999999999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5"/>
        <v>235</v>
      </c>
      <c r="AE151" s="77" t="str">
        <f t="shared" si="56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151" s="74" t="str">
        <f t="shared" si="57"/>
        <v>"C:\Program Files (x86)\AstroGrep\AstroGrep.exe" /e /r /s /spath="%USERPROFILE%\AppData\Local\Temp\OnboardLogs" /stypes="app*4002*20170719*" /stext=" 05:.+((SYSTEM_STATE.+slice.+state.+changed )|(ment ac)|(multiple cpu faults)|(system.+state.+changed )|(\[timeout)|(PRM\|1\|D)|(kpr)|(kdp)|(train st.+moving)|(\|lc)|(penalty))"</v>
      </c>
      <c r="AG151" s="209" t="str">
        <f t="shared" si="58"/>
        <v>EC</v>
      </c>
      <c r="AH151" s="78" t="str">
        <f t="shared" si="59"/>
        <v>"%USERPROFILE%\Documents\GitHub\eaglep3\Utilities\RefineRTDCRunTimes.py" --tripid 235-18 --locoid 4002 --swversion DE.1.0.9.0 --startMP 204:462 --initTime 2017-07-18T22:22:28 --startdatetime 2017-07-18T22:30:44 --delay 3 --endMP 204:233300 --enddatetime 2017-07-18T23:09:03 --enforcementcount 0 &gt;&gt;C:\Users\stu\Documents\GitHub\eaglep3-reporting\EC\2017-07-18-refined-times.txt</v>
      </c>
      <c r="AI151" s="96" t="str">
        <f t="shared" si="60"/>
        <v>echo {"issue":{"subject":"","project_id":79,"tracker_id":40,"status_id":1,"priority_id":2,"assigned_to_id":23,"start_date":"2017-07-18","description":"","custom_fields":[{"id":1,"name":"Subdivision","value":"EC"},{"id":4,"name":"Milepost","value":"23.33"},{"id":17,"name":"Train ID","value":"235-18"},{"id":16,"name":"Locomotive ID","value":"4002"},{"id":130,"name":"Impact","value":""},{"id":150,"name":"Time of Event (Mountain Time)","value":"23:09:03"},{"id":151,"name":"Denver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1"/>
        <v>start /low /b %USERPROFILE%\Documents\GitHub\eaglep3\Utilities\DownloadLogsFromS3.py --loco 4002 --day 2017-07-18</v>
      </c>
      <c r="AN151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05:09:03"},{"id":29,"name":"Sharepoint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853</v>
      </c>
      <c r="B152" s="7">
        <v>4001</v>
      </c>
      <c r="C152" s="21" t="s">
        <v>199</v>
      </c>
      <c r="D152" s="21" t="s">
        <v>592</v>
      </c>
      <c r="E152" s="13">
        <v>42934.971817129626</v>
      </c>
      <c r="F152" s="13">
        <v>42934.977314814816</v>
      </c>
      <c r="G152" s="7">
        <v>4</v>
      </c>
      <c r="H152" s="21" t="s">
        <v>381</v>
      </c>
      <c r="I152" s="13">
        <v>42935.003923611112</v>
      </c>
      <c r="J152" s="7">
        <v>0</v>
      </c>
      <c r="K152" s="89" t="str">
        <f t="shared" si="48"/>
        <v>4001/4002</v>
      </c>
      <c r="L152" s="21" t="str">
        <f>VLOOKUP(A152,'Trips&amp;Operators'!$C$1:$G$99999,5,FALSE)</f>
        <v>LAMAR NEKESHA</v>
      </c>
      <c r="M152" s="6">
        <f t="shared" si="49"/>
        <v>2.6608796295477077E-2</v>
      </c>
      <c r="N152" s="7">
        <f t="shared" si="46"/>
        <v>38.316666665486991</v>
      </c>
      <c r="O152" s="7"/>
      <c r="P152" s="7"/>
      <c r="Q152" s="22"/>
      <c r="R152" s="170"/>
      <c r="S152" s="213">
        <f t="shared" si="47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-07-18T22:19:25-0600',mode:absolute,to:'2017-07-19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97" t="str">
        <f>IF(AA152&lt;VLOOKUP(AG152,Variables!$AC$3:$AD$8,2,FALSE),"Y","N")</f>
        <v>N</v>
      </c>
      <c r="X152" s="197">
        <f t="shared" si="64"/>
        <v>1</v>
      </c>
      <c r="Y152" s="197">
        <f t="shared" si="52"/>
        <v>23.298500000000001</v>
      </c>
      <c r="Z152" s="197">
        <f t="shared" si="53"/>
        <v>1.54E-2</v>
      </c>
      <c r="AA152" s="197">
        <f t="shared" si="54"/>
        <v>23.283100000000001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5"/>
        <v>236</v>
      </c>
      <c r="AE152" s="77" t="str">
        <f t="shared" si="56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152" s="74" t="str">
        <f t="shared" si="57"/>
        <v>"C:\Program Files (x86)\AstroGrep\AstroGrep.exe" /e /r /s /spath="%USERPROFILE%\AppData\Local\Temp\OnboardLogs" /stypes="app*4001*20170719*" /stext=" 06:.+((SYSTEM_STATE.+slice.+state.+changed )|(ment ac)|(multiple cpu faults)|(system.+state.+changed )|(\[timeout)|(PRM\|1\|D)|(kpr)|(kdp)|(train st.+moving)|(\|lc)|(penalty))"</v>
      </c>
      <c r="AG152" s="209" t="str">
        <f t="shared" si="58"/>
        <v>EC</v>
      </c>
      <c r="AH152" s="78" t="str">
        <f t="shared" si="59"/>
        <v>"%USERPROFILE%\Documents\GitHub\eaglep3\Utilities\RefineRTDCRunTimes.py" --tripid 236-18 --locoid 4001 --swversion DE.1.0.9.0 --startMP 204:232985 --initTime 2017-07-18T23:19:25 --startdatetime 2017-07-18T23:27:20 --delay 4 --endMP 204:154 --enddatetime 2017-07-19T00:05:39 --enforcementcount 0 &gt;&gt;C:\Users\stu\Documents\GitHub\eaglep3-reporting\EC\2017-07-18-refined-times.txt</v>
      </c>
      <c r="AI152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{"issue":{"subject":"","project_id":79,"tracker_id":40,"status_id":1,"priority_id":2,"assigned_to_id":23,"start_date":"2017-07-19","description":"","custom_fields":[{"id":1,"name":"Subdivision","value":"EC"},{"id":4,"name":"Milepost","value":"0.0154"},{"id":17,"name":"Train ID","value":"236-18"},{"id":16,"name":"Locomotive ID","value":"4001"},{"id":130,"name":"Impact","value":""},{"id":150,"name":"Time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1"/>
        <v>start /low /b %USERPROFILE%\Documents\GitHub\eaglep3\Utilities\DownloadLogsFromS3.py --loco 4001 --day 2017-07-18</v>
      </c>
      <c r="AN152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666</v>
      </c>
      <c r="B153" s="7">
        <v>4062</v>
      </c>
      <c r="C153" s="21" t="s">
        <v>199</v>
      </c>
      <c r="D153" s="21" t="s">
        <v>349</v>
      </c>
      <c r="E153" s="13">
        <v>42934.944409722222</v>
      </c>
      <c r="F153" s="13">
        <v>42934.958865740744</v>
      </c>
      <c r="G153" s="7">
        <v>1</v>
      </c>
      <c r="H153" s="21" t="s">
        <v>940</v>
      </c>
      <c r="I153" s="13">
        <v>42934.98337962963</v>
      </c>
      <c r="J153" s="7">
        <v>0</v>
      </c>
      <c r="K153" s="89" t="str">
        <f t="shared" si="48"/>
        <v>4061/4062</v>
      </c>
      <c r="L153" s="21" t="str">
        <f>VLOOKUP(A153,'Trips&amp;Operators'!$C$1:$G$99999,5,FALSE)</f>
        <v>HAITHCOX MICHAEL</v>
      </c>
      <c r="M153" s="6">
        <f t="shared" si="49"/>
        <v>2.4513888885849155E-2</v>
      </c>
      <c r="N153" s="7"/>
      <c r="O153" s="7"/>
      <c r="P153" s="7">
        <f>24*60*SUM($M153:$M153)</f>
        <v>35.299999995622784</v>
      </c>
      <c r="Q153" s="22"/>
      <c r="R153" s="170" t="s">
        <v>1064</v>
      </c>
      <c r="S153" s="213">
        <f t="shared" si="47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-07-18T21:39:57-0600',mode:absolute,to:'2017-07-19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3" s="197" t="str">
        <f>IF(AA153&lt;VLOOKUP(AG153,Variables!$AC$3:$AD$8,2,FALSE),"Y","N")</f>
        <v>Y</v>
      </c>
      <c r="X153" s="197">
        <f t="shared" si="64"/>
        <v>1</v>
      </c>
      <c r="Y153" s="197">
        <f t="shared" si="52"/>
        <v>4.53E-2</v>
      </c>
      <c r="Z153" s="197">
        <f t="shared" si="53"/>
        <v>22.893000000000001</v>
      </c>
      <c r="AA153" s="197">
        <f t="shared" si="54"/>
        <v>22.8477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5"/>
        <v>237</v>
      </c>
      <c r="AE153" s="77" t="str">
        <f t="shared" si="56"/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AF153" s="74" t="str">
        <f t="shared" si="57"/>
        <v>"C:\Program Files (x86)\AstroGrep\AstroGrep.exe" /e /r /s /spath="%USERPROFILE%\AppData\Local\Temp\OnboardLogs" /stypes="app*4062*20170719*" /stext=" 05:.+((SYSTEM_STATE.+slice.+state.+changed )|(ment ac)|(multiple cpu faults)|(system.+state.+changed )|(\[timeout)|(PRM\|1\|D)|(kpr)|(kdp)|(train st.+moving)|(\|lc)|(penalty))"</v>
      </c>
      <c r="AG153" s="209" t="str">
        <f t="shared" si="58"/>
        <v>EC</v>
      </c>
      <c r="AH153" s="78" t="str">
        <f t="shared" si="59"/>
        <v>"%USERPROFILE%\Documents\GitHub\eaglep3\Utilities\RefineRTDCRunTimes.py" --tripid 237-18 --locoid 4062 --swversion DE.1.0.9.0 --startMP 204:453 --initTime 2017-07-18T22:39:57 --startdatetime 2017-07-18T23:00:46 --delay 1 --endMP 204:228930 --enddatetime 2017-07-18T23:36:04 --enforcementcount 0 &gt;&gt;C:\Users\stu\Documents\GitHub\eaglep3-reporting\EC\2017-07-18-refined-times.txt</v>
      </c>
      <c r="AI153" s="96" t="str">
        <f t="shared" si="60"/>
        <v>echo {"issue":{"subject":"Premature downgrade at DIA 2N","project_id":79,"tracker_id":40,"status_id":1,"priority_id":2,"assigned_to_id":23,"start_date":"2017-07-18","description":"","custom_fields":[{"id":1,"name":"Subdivision","value":"EC"},{"id":4,"name":"Milepost","value":"22.893"},{"id":17,"name":"Train ID","value":"237-18"},{"id":16,"name":"Locomotive ID","value":"4062"},{"id":130,"name":"Impact","value":""},{"id":150,"name":"Time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1"/>
        <v>start /low /b %USERPROFILE%\Documents\GitHub\eaglep3\Utilities\DownloadLogsFromS3.py --loco 4062 --day 2017-07-18</v>
      </c>
      <c r="AN153" s="151" t="str">
        <f t="shared" si="62"/>
        <v>echo {"issue":{"subject":"Premature downgrade at DIA 2N","project_id":30,"tracker_id":4,"status_id":1,"priority_id":1,"assigned_to_id":10,"start_date":"2017-07-19","description":"","custom_fields":[{"id":30,"name":"Category","value":"Issue"},{"id":3,"name":"Functional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854</v>
      </c>
      <c r="B154" s="7">
        <v>4061</v>
      </c>
      <c r="C154" s="21" t="s">
        <v>199</v>
      </c>
      <c r="D154" s="21" t="s">
        <v>465</v>
      </c>
      <c r="E154" s="13">
        <v>42934.986759259256</v>
      </c>
      <c r="F154" s="13">
        <v>42934.998124999998</v>
      </c>
      <c r="G154" s="7">
        <v>1</v>
      </c>
      <c r="H154" s="21" t="s">
        <v>466</v>
      </c>
      <c r="I154" s="13">
        <v>42935.02584490741</v>
      </c>
      <c r="J154" s="7">
        <v>0</v>
      </c>
      <c r="K154" s="89" t="str">
        <f t="shared" si="48"/>
        <v>4061/4062</v>
      </c>
      <c r="L154" s="21" t="str">
        <f>VLOOKUP(A154,'Trips&amp;Operators'!$C$1:$G$99999,5,FALSE)</f>
        <v>HAITHCOX MICHAEL</v>
      </c>
      <c r="M154" s="6">
        <f t="shared" si="49"/>
        <v>2.771990741166519E-2</v>
      </c>
      <c r="N154" s="7">
        <f t="shared" ref="N154:N161" si="65">24*60*SUM($M154:$M154)</f>
        <v>39.916666672797874</v>
      </c>
      <c r="O154" s="7"/>
      <c r="P154" s="7"/>
      <c r="Q154" s="22"/>
      <c r="R154" s="170"/>
      <c r="S154" s="213">
        <f t="shared" si="47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-07-18T22:40:56-0600',mode:absolute,to:'2017-07-19T01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4" s="197" t="str">
        <f>IF(AA154&lt;VLOOKUP(AG154,Variables!$AC$3:$AD$8,2,FALSE),"Y","N")</f>
        <v>N</v>
      </c>
      <c r="X154" s="197">
        <f t="shared" si="64"/>
        <v>1</v>
      </c>
      <c r="Y154" s="197">
        <f t="shared" si="52"/>
        <v>23.298100000000002</v>
      </c>
      <c r="Z154" s="197">
        <f t="shared" si="53"/>
        <v>1.61E-2</v>
      </c>
      <c r="AA154" s="197">
        <f t="shared" si="54"/>
        <v>23.282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5"/>
        <v>238</v>
      </c>
      <c r="AE154" s="77" t="str">
        <f t="shared" si="56"/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AF154" s="74" t="str">
        <f t="shared" si="57"/>
        <v>"C:\Program Files (x86)\AstroGrep\AstroGrep.exe" /e /r /s /spath="%USERPROFILE%\AppData\Local\Temp\OnboardLogs" /stypes="app*4061*20170719*" /stext=" 06:.+((SYSTEM_STATE.+slice.+state.+changed )|(ment ac)|(multiple cpu faults)|(system.+state.+changed )|(\[timeout)|(PRM\|1\|D)|(kpr)|(kdp)|(train st.+moving)|(\|lc)|(penalty))"</v>
      </c>
      <c r="AG154" s="209" t="str">
        <f t="shared" si="58"/>
        <v>EC</v>
      </c>
      <c r="AH154" s="78" t="str">
        <f t="shared" si="59"/>
        <v>"%USERPROFILE%\Documents\GitHub\eaglep3\Utilities\RefineRTDCRunTimes.py" --tripid 238-18 --locoid 4061 --swversion DE.1.0.9.0 --startMP 204:232981 --initTime 2017-07-18T23:40:56 --startdatetime 2017-07-18T23:57:18 --delay 1 --endMP 204:161 --enddatetime 2017-07-19T00:37:13 --enforcementcount 0 &gt;&gt;C:\Users\stu\Documents\GitHub\eaglep3-reporting\EC\2017-07-18-refined-times.txt</v>
      </c>
      <c r="AI154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{"issue":{"subject":"","project_id":79,"tracker_id":40,"status_id":1,"priority_id":2,"assigned_to_id":23,"start_date":"2017-07-19","description":"","custom_fields":[{"id":1,"name":"Subdivision","value":"EC"},{"id":4,"name":"Milepost","value":"0.0161"},{"id":17,"name":"Train ID","value":"238-18"},{"id":16,"name":"Locomotive ID","value":"4061"},{"id":130,"name":"Impact","value":""},{"id":150,"name":"Time of Event (Mountain Time)","value":"00:37:13"},{"id":151,"name":"Denver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1"/>
        <v>start /low /b %USERPROFILE%\Documents\GitHub\eaglep3\Utilities\DownloadLogsFromS3.py --loco 4061 --day 2017-07-18</v>
      </c>
      <c r="AN154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06:37:13"},{"id":29,"name":"Sharepoint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852</v>
      </c>
      <c r="B155" s="7">
        <v>4014</v>
      </c>
      <c r="C155" s="21" t="s">
        <v>199</v>
      </c>
      <c r="D155" s="21" t="s">
        <v>941</v>
      </c>
      <c r="E155" s="13">
        <v>42934.966550925928</v>
      </c>
      <c r="F155" s="13">
        <v>42934.979699074072</v>
      </c>
      <c r="G155" s="7">
        <v>1</v>
      </c>
      <c r="H155" s="21" t="s">
        <v>599</v>
      </c>
      <c r="I155" s="13">
        <v>42935.005671296298</v>
      </c>
      <c r="J155" s="7">
        <v>0</v>
      </c>
      <c r="K155" s="89" t="str">
        <f t="shared" si="48"/>
        <v>4013/4014</v>
      </c>
      <c r="L155" s="21" t="str">
        <f>VLOOKUP(A155,'Trips&amp;Operators'!$C$1:$G$99999,5,FALSE)</f>
        <v>CASSIDY BRANDON</v>
      </c>
      <c r="M155" s="6">
        <f t="shared" si="49"/>
        <v>2.5972222225391306E-2</v>
      </c>
      <c r="N155" s="7">
        <f t="shared" si="65"/>
        <v>37.400000004563481</v>
      </c>
      <c r="O155" s="7"/>
      <c r="P155" s="7"/>
      <c r="Q155" s="22"/>
      <c r="R155" s="170"/>
      <c r="S155" s="213">
        <f t="shared" si="47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-07-18T22:11:50-0600',mode:absolute,to:'2017-07-19T01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7" t="str">
        <f>IF(AA155&lt;VLOOKUP(AG155,Variables!$AC$3:$AD$8,2,FALSE),"Y","N")</f>
        <v>N</v>
      </c>
      <c r="X155" s="197">
        <f t="shared" si="64"/>
        <v>1</v>
      </c>
      <c r="Y155" s="197">
        <f t="shared" si="52"/>
        <v>4.0899999999999999E-2</v>
      </c>
      <c r="Z155" s="197">
        <f t="shared" si="53"/>
        <v>23.333400000000001</v>
      </c>
      <c r="AA155" s="197">
        <f t="shared" si="54"/>
        <v>23.2925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5"/>
        <v>239</v>
      </c>
      <c r="AE155" s="77" t="str">
        <f t="shared" si="56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155" s="74" t="str">
        <f t="shared" si="57"/>
        <v>"C:\Program Files (x86)\AstroGrep\AstroGrep.exe" /e /r /s /spath="%USERPROFILE%\AppData\Local\Temp\OnboardLogs" /stypes="app*4014*20170719*" /stext=" 06:.+((SYSTEM_STATE.+slice.+state.+changed )|(ment ac)|(multiple cpu faults)|(system.+state.+changed )|(\[timeout)|(PRM\|1\|D)|(kpr)|(kdp)|(train st.+moving)|(\|lc)|(penalty))"</v>
      </c>
      <c r="AG155" s="209" t="str">
        <f t="shared" si="58"/>
        <v>EC</v>
      </c>
      <c r="AH155" s="78" t="str">
        <f t="shared" si="59"/>
        <v>"%USERPROFILE%\Documents\GitHub\eaglep3\Utilities\RefineRTDCRunTimes.py" --tripid 239-18 --locoid 4014 --swversion DE.1.0.9.0 --startMP 204:409 --initTime 2017-07-18T23:11:50 --startdatetime 2017-07-18T23:30:46 --delay 1 --endMP 204:233334 --enddatetime 2017-07-19T00:08:10 --enforcementcount 0 &gt;&gt;C:\Users\stu\Documents\GitHub\eaglep3-reporting\EC\2017-07-18-refined-times.txt</v>
      </c>
      <c r="AI155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{"issue":{"subject":"","project_id":79,"tracker_id":40,"status_id":1,"priority_id":2,"assigned_to_id":23,"start_date":"2017-07-19","description":"","custom_fields":[{"id":1,"name":"Subdivision","value":"EC"},{"id":4,"name":"Milepost","value":"23.3334"},{"id":17,"name":"Train ID","value":"239-18"},{"id":16,"name":"Locomotive ID","value":"4014"},{"id":130,"name":"Impact","value":""},{"id":150,"name":"Time of Event (Mountain Time)","value":"00:08:10"},{"id":151,"name":"Denver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1"/>
        <v>start /low /b %USERPROFILE%\Documents\GitHub\eaglep3\Utilities\DownloadLogsFromS3.py --loco 4014 --day 2017-07-18</v>
      </c>
      <c r="AN155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06:08:10"},{"id":29,"name":"Sharepoint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857</v>
      </c>
      <c r="B156" s="7">
        <v>4013</v>
      </c>
      <c r="C156" s="21" t="s">
        <v>199</v>
      </c>
      <c r="D156" s="21" t="s">
        <v>510</v>
      </c>
      <c r="E156" s="13">
        <v>42935.01525462963</v>
      </c>
      <c r="F156" s="13">
        <v>42935.018912037034</v>
      </c>
      <c r="G156" s="7">
        <v>1</v>
      </c>
      <c r="H156" s="21" t="s">
        <v>942</v>
      </c>
      <c r="I156" s="13">
        <v>42935.046249999999</v>
      </c>
      <c r="J156" s="7">
        <v>0</v>
      </c>
      <c r="K156" s="89" t="str">
        <f t="shared" si="48"/>
        <v>4013/4014</v>
      </c>
      <c r="L156" s="21" t="str">
        <f>VLOOKUP(A156,'Trips&amp;Operators'!$C$1:$G$99999,5,FALSE)</f>
        <v>CASSIDY BRANDON</v>
      </c>
      <c r="M156" s="6">
        <f t="shared" si="49"/>
        <v>2.7337962965248153E-2</v>
      </c>
      <c r="N156" s="7">
        <f t="shared" si="65"/>
        <v>39.36666666995734</v>
      </c>
      <c r="O156" s="7"/>
      <c r="P156" s="7"/>
      <c r="Q156" s="22"/>
      <c r="R156" s="170"/>
      <c r="S156" s="213">
        <f t="shared" si="47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-07-18T23:21:58-0600',mode:absolute,to:'2017-07-19T02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97" t="str">
        <f>IF(AA156&lt;VLOOKUP(AG156,Variables!$AC$3:$AD$8,2,FALSE),"Y","N")</f>
        <v>N</v>
      </c>
      <c r="X156" s="197">
        <f t="shared" si="64"/>
        <v>1</v>
      </c>
      <c r="Y156" s="197">
        <f t="shared" si="52"/>
        <v>23.301300000000001</v>
      </c>
      <c r="Z156" s="197">
        <f t="shared" si="53"/>
        <v>1.35E-2</v>
      </c>
      <c r="AA156" s="197">
        <f t="shared" si="54"/>
        <v>23.287800000000001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5"/>
        <v>240</v>
      </c>
      <c r="AE156" s="77" t="str">
        <f t="shared" si="56"/>
        <v>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 &amp; aws s3 cp s3://rtdc.mdm.uploadarchive.raw/RTDC4013/ "%USERPROFILE%\AppData\Local\Temp\OnboardLogs"\RTDC4013\2017-07-20 --exclude "*" --recursive --include "*20170720*" &amp; "%USERPROFILE%\Documents\GitHub\mrs-test-scripts\Headless Mode &amp; Sideloading\WalkAndUnGZ.bat" "%USERPROFILE%\AppData\Local\Temp\OnboardLogs"\RTDC4013\2017-07-20</v>
      </c>
      <c r="AF156" s="74" t="str">
        <f t="shared" si="57"/>
        <v>"C:\Program Files (x86)\AstroGrep\AstroGrep.exe" /e /r /s /spath="%USERPROFILE%\AppData\Local\Temp\OnboardLogs" /stypes="app*4013*20170719*" /stext=" 07:.+((SYSTEM_STATE.+slice.+state.+changed )|(ment ac)|(multiple cpu faults)|(system.+state.+changed )|(\[timeout)|(PRM\|1\|D)|(kpr)|(kdp)|(train st.+moving)|(\|lc)|(penalty))"</v>
      </c>
      <c r="AG156" s="209" t="str">
        <f t="shared" si="58"/>
        <v>EC</v>
      </c>
      <c r="AH156" s="78" t="str">
        <f t="shared" si="59"/>
        <v>"%USERPROFILE%\Documents\GitHub\eaglep3\Utilities\RefineRTDCRunTimes.py" --tripid 240-18 --locoid 4013 --swversion DE.1.0.9.0 --startMP 204:233013 --initTime 2017-07-19T00:21:58 --startdatetime 2017-07-19T00:27:14 --delay 1 --endMP 204:135 --enddatetime 2017-07-19T01:06:36 --enforcementcount 0 &gt;&gt;C:\Users\stu\Documents\GitHub\eaglep3-reporting\EC\2017-07-18-refined-times.txt</v>
      </c>
      <c r="AI156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{"issue":{"subject":"","project_id":79,"tracker_id":40,"status_id":1,"priority_id":2,"assigned_to_id":23,"start_date":"2017-07-19","description":"","custom_fields":[{"id":1,"name":"Subdivision","value":"EC"},{"id":4,"name":"Milepost","value":"0.0135"},{"id":17,"name":"Train ID","value":"240-18"},{"id":16,"name":"Locomotive ID","value":"4013"},{"id":130,"name":"Impact","value":""},{"id":150,"name":"Time of Event (Mountain Time)","value":"01:06:36"},{"id":151,"name":"Denver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1"/>
        <v>start /low /b %USERPROFILE%\Documents\GitHub\eaglep3\Utilities\DownloadLogsFromS3.py --loco 4013 --day 2017-07-19</v>
      </c>
      <c r="AN156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07:06:36"},{"id":29,"name":"Sharepoint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855</v>
      </c>
      <c r="B157" s="7">
        <v>4008</v>
      </c>
      <c r="C157" s="21" t="s">
        <v>199</v>
      </c>
      <c r="D157" s="21" t="s">
        <v>943</v>
      </c>
      <c r="E157" s="13">
        <v>42934.988946759258</v>
      </c>
      <c r="F157" s="13">
        <v>42935.000543981485</v>
      </c>
      <c r="G157" s="7">
        <v>1</v>
      </c>
      <c r="H157" s="21" t="s">
        <v>944</v>
      </c>
      <c r="I157" s="13">
        <v>42935.026770833334</v>
      </c>
      <c r="J157" s="7">
        <v>0</v>
      </c>
      <c r="K157" s="89" t="str">
        <f t="shared" si="48"/>
        <v>4007/4008</v>
      </c>
      <c r="L157" s="21" t="str">
        <f>VLOOKUP(A157,'Trips&amp;Operators'!$C$1:$G$99999,5,FALSE)</f>
        <v>FORTUNATO FRANK</v>
      </c>
      <c r="M157" s="6">
        <f t="shared" si="49"/>
        <v>2.622685184906004E-2</v>
      </c>
      <c r="N157" s="7">
        <f t="shared" si="65"/>
        <v>37.766666662646458</v>
      </c>
      <c r="O157" s="7"/>
      <c r="P157" s="7"/>
      <c r="Q157" s="22"/>
      <c r="R157" s="170"/>
      <c r="S157" s="213">
        <f t="shared" si="47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-07-18T22:44:05-0600',mode:absolute,to:'2017-07-19T01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7" t="str">
        <f>IF(AA157&lt;VLOOKUP(AG157,Variables!$AC$3:$AD$8,2,FALSE),"Y","N")</f>
        <v>N</v>
      </c>
      <c r="X157" s="197">
        <f t="shared" si="64"/>
        <v>1</v>
      </c>
      <c r="Y157" s="197">
        <f t="shared" si="52"/>
        <v>5.1700000000000003E-2</v>
      </c>
      <c r="Z157" s="197">
        <f t="shared" si="53"/>
        <v>23.331700000000001</v>
      </c>
      <c r="AA157" s="197">
        <f t="shared" si="54"/>
        <v>23.28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5"/>
        <v>241</v>
      </c>
      <c r="AE157" s="77" t="str">
        <f t="shared" si="56"/>
        <v>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 &amp; 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</v>
      </c>
      <c r="AF157" s="74" t="str">
        <f t="shared" si="57"/>
        <v>"C:\Program Files (x86)\AstroGrep\AstroGrep.exe" /e /r /s /spath="%USERPROFILE%\AppData\Local\Temp\OnboardLogs" /stypes="app*4008*20170719*" /stext=" 06:.+((SYSTEM_STATE.+slice.+state.+changed )|(ment ac)|(multiple cpu faults)|(system.+state.+changed )|(\[timeout)|(PRM\|1\|D)|(kpr)|(kdp)|(train st.+moving)|(\|lc)|(penalty))"</v>
      </c>
      <c r="AG157" s="209" t="str">
        <f t="shared" si="58"/>
        <v>EC</v>
      </c>
      <c r="AH157" s="78" t="str">
        <f t="shared" si="59"/>
        <v>"%USERPROFILE%\Documents\GitHub\eaglep3\Utilities\RefineRTDCRunTimes.py" --tripid 241-18 --locoid 4008 --swversion DE.1.0.9.0 --startMP 204:517 --initTime 2017-07-18T23:44:05 --startdatetime 2017-07-19T00:00:47 --delay 1 --endMP 204:233317 --enddatetime 2017-07-19T00:38:33 --enforcementcount 0 &gt;&gt;C:\Users\stu\Documents\GitHub\eaglep3-reporting\EC\2017-07-18-refined-times.txt</v>
      </c>
      <c r="AI157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{"issue":{"subject":"","project_id":79,"tracker_id":40,"status_id":1,"priority_id":2,"assigned_to_id":23,"start_date":"2017-07-19","description":"","custom_fields":[{"id":1,"name":"Subdivision","value":"EC"},{"id":4,"name":"Milepost","value":"23.3317"},{"id":17,"name":"Train ID","value":"241-18"},{"id":16,"name":"Locomotive ID","value":"4008"},{"id":130,"name":"Impact","value":""},{"id":150,"name":"Time of Event (Mountain Time)","value":"00:38:33"},{"id":151,"name":"Denver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1"/>
        <v>start /low /b %USERPROFILE%\Documents\GitHub\eaglep3\Utilities\DownloadLogsFromS3.py --loco 4008 --day 2017-07-19</v>
      </c>
      <c r="AN157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06:38:33"},{"id":29,"name":"Sharepoint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858</v>
      </c>
      <c r="B158" s="7">
        <v>4007</v>
      </c>
      <c r="C158" s="21" t="s">
        <v>199</v>
      </c>
      <c r="D158" s="21" t="s">
        <v>914</v>
      </c>
      <c r="E158" s="13">
        <v>42935.028368055559</v>
      </c>
      <c r="F158" s="13">
        <v>42935.039756944447</v>
      </c>
      <c r="G158" s="7">
        <v>1</v>
      </c>
      <c r="H158" s="21" t="s">
        <v>945</v>
      </c>
      <c r="I158" s="13">
        <v>42935.066354166665</v>
      </c>
      <c r="J158" s="7">
        <v>0</v>
      </c>
      <c r="K158" s="89" t="str">
        <f t="shared" si="48"/>
        <v>4007/4008</v>
      </c>
      <c r="L158" s="21" t="str">
        <f>VLOOKUP(A158,'Trips&amp;Operators'!$C$1:$G$99999,5,FALSE)</f>
        <v>FORTUNATO FRANK</v>
      </c>
      <c r="M158" s="6">
        <f t="shared" si="49"/>
        <v>2.6597222218697425E-2</v>
      </c>
      <c r="N158" s="7">
        <f t="shared" si="65"/>
        <v>38.299999994924292</v>
      </c>
      <c r="O158" s="7"/>
      <c r="P158" s="7"/>
      <c r="Q158" s="22"/>
      <c r="R158" s="170"/>
      <c r="S158" s="213">
        <f t="shared" si="47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-07-18T23:40:51-0600',mode:absolute,to:'2017-07-19T02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7" t="str">
        <f>IF(AA158&lt;VLOOKUP(AG158,Variables!$AC$3:$AD$8,2,FALSE),"Y","N")</f>
        <v>N</v>
      </c>
      <c r="X158" s="197">
        <f t="shared" si="64"/>
        <v>1</v>
      </c>
      <c r="Y158" s="197">
        <f t="shared" si="52"/>
        <v>23.299099999999999</v>
      </c>
      <c r="Z158" s="197">
        <f t="shared" si="53"/>
        <v>1.4800000000000001E-2</v>
      </c>
      <c r="AA158" s="197">
        <f t="shared" si="54"/>
        <v>23.284299999999998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5"/>
        <v>242</v>
      </c>
      <c r="AE158" s="77" t="str">
        <f t="shared" si="56"/>
        <v>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 &amp; aws s3 cp s3://rtdc.mdm.uploadarchive.raw/RTDC4007/ "%USERPROFILE%\AppData\Local\Temp\OnboardLogs"\RTDC4007\2017-07-20 --exclude "*" --recursive --include "*20170720*" &amp; "%USERPROFILE%\Documents\GitHub\mrs-test-scripts\Headless Mode &amp; Sideloading\WalkAndUnGZ.bat" "%USERPROFILE%\AppData\Local\Temp\OnboardLogs"\RTDC4007\2017-07-20</v>
      </c>
      <c r="AF158" s="74" t="str">
        <f t="shared" si="57"/>
        <v>"C:\Program Files (x86)\AstroGrep\AstroGrep.exe" /e /r /s /spath="%USERPROFILE%\AppData\Local\Temp\OnboardLogs" /stypes="app*4007*20170719*" /stext=" 07:.+((SYSTEM_STATE.+slice.+state.+changed )|(ment ac)|(multiple cpu faults)|(system.+state.+changed )|(\[timeout)|(PRM\|1\|D)|(kpr)|(kdp)|(train st.+moving)|(\|lc)|(penalty))"</v>
      </c>
      <c r="AG158" s="209" t="str">
        <f t="shared" si="58"/>
        <v>EC</v>
      </c>
      <c r="AH158" s="78" t="str">
        <f t="shared" si="59"/>
        <v>"%USERPROFILE%\Documents\GitHub\eaglep3\Utilities\RefineRTDCRunTimes.py" --tripid 242-18 --locoid 4007 --swversion DE.1.0.9.0 --startMP 204:232991 --initTime 2017-07-19T00:40:51 --startdatetime 2017-07-19T00:57:15 --delay 1 --endMP 204:148 --enddatetime 2017-07-19T01:35:33 --enforcementcount 0 &gt;&gt;C:\Users\stu\Documents\GitHub\eaglep3-reporting\EC\2017-07-18-refined-times.txt</v>
      </c>
      <c r="AI158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{"issue":{"subject":"","project_id":79,"tracker_id":40,"status_id":1,"priority_id":2,"assigned_to_id":23,"start_date":"2017-07-19","description":"","custom_fields":[{"id":1,"name":"Subdivision","value":"EC"},{"id":4,"name":"Milepost","value":"0.0148"},{"id":17,"name":"Train ID","value":"242-18"},{"id":16,"name":"Locomotive ID","value":"4007"},{"id":130,"name":"Impact","value":""},{"id":150,"name":"Time of Event (Mountain Time)","value":"01:35:33"},{"id":151,"name":"Denver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1"/>
        <v>start /low /b %USERPROFILE%\Documents\GitHub\eaglep3\Utilities\DownloadLogsFromS3.py --loco 4007 --day 2017-07-19</v>
      </c>
      <c r="AN158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07:35:33"},{"id":29,"name":"Sharepoint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856</v>
      </c>
      <c r="B159" s="7">
        <v>4002</v>
      </c>
      <c r="C159" s="21" t="s">
        <v>199</v>
      </c>
      <c r="D159" s="21" t="s">
        <v>342</v>
      </c>
      <c r="E159" s="13">
        <v>42935.013437499998</v>
      </c>
      <c r="F159" s="13">
        <v>42935.021307870367</v>
      </c>
      <c r="G159" s="7">
        <v>1</v>
      </c>
      <c r="H159" s="21" t="s">
        <v>595</v>
      </c>
      <c r="I159" s="13">
        <v>42935.045636574076</v>
      </c>
      <c r="J159" s="7">
        <v>0</v>
      </c>
      <c r="K159" s="89" t="str">
        <f t="shared" si="48"/>
        <v>4001/4002</v>
      </c>
      <c r="L159" s="21" t="str">
        <f>VLOOKUP(A159,'Trips&amp;Operators'!$C$1:$G$99999,5,FALSE)</f>
        <v>LAMAR NEKESHA</v>
      </c>
      <c r="M159" s="6">
        <f t="shared" si="49"/>
        <v>2.4328703708306421E-2</v>
      </c>
      <c r="N159" s="7">
        <f t="shared" si="65"/>
        <v>35.033333339961246</v>
      </c>
      <c r="O159" s="7"/>
      <c r="P159" s="7"/>
      <c r="Q159" s="22"/>
      <c r="R159" s="170"/>
      <c r="S159" s="213">
        <f t="shared" si="47"/>
        <v>1</v>
      </c>
      <c r="T159" s="195" t="str">
        <f t="shared" si="50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-07-18T23:19:21-0600',mode:absolute,to:'2017-07-19T02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9" s="197" t="str">
        <f>IF(AA159&lt;VLOOKUP(AG159,Variables!$AC$3:$AD$8,2,FALSE),"Y","N")</f>
        <v>N</v>
      </c>
      <c r="X159" s="197">
        <f t="shared" si="64"/>
        <v>1</v>
      </c>
      <c r="Y159" s="197">
        <f t="shared" si="52"/>
        <v>4.4600000000000001E-2</v>
      </c>
      <c r="Z159" s="197">
        <f t="shared" si="53"/>
        <v>23.328900000000001</v>
      </c>
      <c r="AA159" s="197">
        <f t="shared" si="54"/>
        <v>23.284300000000002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5"/>
        <v>243</v>
      </c>
      <c r="AE159" s="77" t="str">
        <f t="shared" si="56"/>
        <v>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 &amp; 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</v>
      </c>
      <c r="AF159" s="74" t="str">
        <f t="shared" si="57"/>
        <v>"C:\Program Files (x86)\AstroGrep\AstroGrep.exe" /e /r /s /spath="%USERPROFILE%\AppData\Local\Temp\OnboardLogs" /stypes="app*4002*20170719*" /stext=" 07:.+((SYSTEM_STATE.+slice.+state.+changed )|(ment ac)|(multiple cpu faults)|(system.+state.+changed )|(\[timeout)|(PRM\|1\|D)|(kpr)|(kdp)|(train st.+moving)|(\|lc)|(penalty))"</v>
      </c>
      <c r="AG159" s="209" t="str">
        <f t="shared" si="58"/>
        <v>EC</v>
      </c>
      <c r="AH159" s="78" t="str">
        <f t="shared" si="59"/>
        <v>"%USERPROFILE%\Documents\GitHub\eaglep3\Utilities\RefineRTDCRunTimes.py" --tripid 243-18 --locoid 4002 --swversion DE.1.0.9.0 --startMP 204:446 --initTime 2017-07-19T00:19:21 --startdatetime 2017-07-19T00:30:41 --delay 1 --endMP 204:233289 --enddatetime 2017-07-19T01:05:43 --enforcementcount 0 &gt;&gt;C:\Users\stu\Documents\GitHub\eaglep3-reporting\EC\2017-07-18-refined-times.txt</v>
      </c>
      <c r="AI159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{"issue":{"subject":"","project_id":79,"tracker_id":40,"status_id":1,"priority_id":2,"assigned_to_id":23,"start_date":"2017-07-19","description":"","custom_fields":[{"id":1,"name":"Subdivision","value":"EC"},{"id":4,"name":"Milepost","value":"23.3289"},{"id":17,"name":"Train ID","value":"243-18"},{"id":16,"name":"Locomotive ID","value":"4002"},{"id":130,"name":"Impact","value":""},{"id":150,"name":"Time of Event (Mountain Time)","value":"01:05:43"},{"id":151,"name":"Denver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1"/>
        <v>start /low /b %USERPROFILE%\Documents\GitHub\eaglep3\Utilities\DownloadLogsFromS3.py --loco 4002 --day 2017-07-19</v>
      </c>
      <c r="AN159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861</v>
      </c>
      <c r="B160" s="7">
        <v>4001</v>
      </c>
      <c r="C160" s="21" t="s">
        <v>199</v>
      </c>
      <c r="D160" s="21" t="s">
        <v>430</v>
      </c>
      <c r="E160" s="13">
        <v>42935.056180555555</v>
      </c>
      <c r="F160" s="13">
        <v>42935.060578703706</v>
      </c>
      <c r="G160" s="7">
        <v>0</v>
      </c>
      <c r="H160" s="21" t="s">
        <v>946</v>
      </c>
      <c r="I160" s="13">
        <v>42935.086851851855</v>
      </c>
      <c r="J160" s="7">
        <v>0</v>
      </c>
      <c r="K160" s="89" t="str">
        <f t="shared" si="48"/>
        <v>4001/4002</v>
      </c>
      <c r="L160" s="21" t="str">
        <f>VLOOKUP(A160,'Trips&amp;Operators'!$C$1:$G$99999,5,FALSE)</f>
        <v>LAMAR NEKESHA</v>
      </c>
      <c r="M160" s="6">
        <f t="shared" si="49"/>
        <v>2.6273148148902692E-2</v>
      </c>
      <c r="N160" s="7">
        <f t="shared" si="65"/>
        <v>37.833333334419876</v>
      </c>
      <c r="O160" s="7"/>
      <c r="P160" s="7"/>
      <c r="Q160" s="22"/>
      <c r="R160" s="170"/>
      <c r="S160" s="213">
        <f t="shared" si="47"/>
        <v>1</v>
      </c>
      <c r="T160" s="195" t="str">
        <f t="shared" si="50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-07-19T00:20:54-0600',mode:absolute,to:'2017-07-19T03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197" t="str">
        <f>IF(AA160&lt;VLOOKUP(AG160,Variables!$AC$3:$AD$8,2,FALSE),"Y","N")</f>
        <v>N</v>
      </c>
      <c r="X160" s="197">
        <f t="shared" si="64"/>
        <v>1</v>
      </c>
      <c r="Y160" s="197">
        <f t="shared" si="52"/>
        <v>23.2973</v>
      </c>
      <c r="Z160" s="197">
        <f t="shared" si="53"/>
        <v>1.6899999999999998E-2</v>
      </c>
      <c r="AA160" s="197">
        <f t="shared" si="54"/>
        <v>23.2804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5"/>
        <v>244</v>
      </c>
      <c r="AE160" s="77" t="str">
        <f t="shared" si="56"/>
        <v>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 &amp; aws s3 cp s3://rtdc.mdm.uploadarchive.raw/RTDC4001/ "%USERPROFILE%\AppData\Local\Temp\OnboardLogs"\RTDC4001\2017-07-20 --exclude "*" --recursive --include "*20170720*" &amp; "%USERPROFILE%\Documents\GitHub\mrs-test-scripts\Headless Mode &amp; Sideloading\WalkAndUnGZ.bat" "%USERPROFILE%\AppData\Local\Temp\OnboardLogs"\RTDC4001\2017-07-20</v>
      </c>
      <c r="AF160" s="74" t="str">
        <f t="shared" si="57"/>
        <v>"C:\Program Files (x86)\AstroGrep\AstroGrep.exe" /e /r /s /spath="%USERPROFILE%\AppData\Local\Temp\OnboardLogs" /stypes="app*4001*20170719*" /stext=" 08:.+((SYSTEM_STATE.+slice.+state.+changed )|(ment ac)|(multiple cpu faults)|(system.+state.+changed )|(\[timeout)|(PRM\|1\|D)|(kpr)|(kdp)|(train st.+moving)|(\|lc)|(penalty))"</v>
      </c>
      <c r="AG160" s="209" t="str">
        <f t="shared" si="58"/>
        <v>EC</v>
      </c>
      <c r="AH160" s="78" t="str">
        <f t="shared" si="59"/>
        <v>"%USERPROFILE%\Documents\GitHub\eaglep3\Utilities\RefineRTDCRunTimes.py" --tripid 244-18 --locoid 4001 --swversion DE.1.0.9.0 --startMP 204:232973 --initTime 2017-07-19T01:20:54 --startdatetime 2017-07-19T01:27:14 --delay 0 --endMP 204:169 --enddatetime 2017-07-19T02:05:04 --enforcementcount 0 &gt;&gt;C:\Users\stu\Documents\GitHub\eaglep3-reporting\EC\2017-07-18-refined-times.txt</v>
      </c>
      <c r="AI160" s="96" t="str">
        <f t="shared" si="60"/>
        <v>echo {"issue":{"subject":"","project_id":79,"tracker_id":40,"status_id":1,"priority_id":2,"assigned_to_id":23,"start_date":"2017-07-19","description":"","custom_fields":[{"id":1,"name":"Subdivision","value":"EC"},{"id":4,"name":"Milepost","value":"0.0169"},{"id":17,"name":"Train ID","value":"244-18"},{"id":16,"name":"Locomotive ID","value":"4001"},{"id":130,"name":"Impact","value":""},{"id":150,"name":"Time of Event (Mountain Time)","value":"02:05:04"},{"id":151,"name":"Denver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1"/>
        <v>start /low /b %USERPROFILE%\Documents\GitHub\eaglep3\Utilities\DownloadLogsFromS3.py --loco 4001 --day 2017-07-19</v>
      </c>
      <c r="AN160" s="151" t="str">
        <f t="shared" si="62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08:05:04"},{"id":29,"name":"Sharepoint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633</v>
      </c>
      <c r="B161" s="7">
        <v>4049</v>
      </c>
      <c r="C161" s="21" t="s">
        <v>199</v>
      </c>
      <c r="D161" s="21" t="s">
        <v>972</v>
      </c>
      <c r="E161" s="13">
        <v>42934.216423611113</v>
      </c>
      <c r="F161" s="13">
        <v>42934.217881944445</v>
      </c>
      <c r="G161" s="7">
        <v>1</v>
      </c>
      <c r="H161" s="21" t="s">
        <v>616</v>
      </c>
      <c r="I161" s="13">
        <v>42934.228182870371</v>
      </c>
      <c r="J161" s="7">
        <v>0</v>
      </c>
      <c r="K161" s="89" t="str">
        <f t="shared" si="48"/>
        <v>4049/4050</v>
      </c>
      <c r="L161" s="21" t="str">
        <f>VLOOKUP(A161,'Trips&amp;Operators'!$C$1:$G$99999,5,FALSE)</f>
        <v>LANGERAK WILLIAM</v>
      </c>
      <c r="M161" s="6">
        <f t="shared" si="49"/>
        <v>1.0300925925548654E-2</v>
      </c>
      <c r="N161" s="7">
        <f t="shared" si="65"/>
        <v>14.833333332790062</v>
      </c>
      <c r="O161" s="7"/>
      <c r="P161" s="7"/>
      <c r="Q161" s="22"/>
      <c r="R161" s="170" t="s">
        <v>1067</v>
      </c>
      <c r="S161" s="213">
        <f t="shared" si="47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-07-18T04:11:39-0600',mode:absolute,to:'2017-07-18T06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197" t="str">
        <f>IF(AA161&lt;VLOOKUP(AG161,Variables!$AC$3:$AD$8,2,FALSE),"Y","N")</f>
        <v>N</v>
      </c>
      <c r="X161" s="197">
        <f t="shared" si="64"/>
        <v>556</v>
      </c>
      <c r="Y161" s="197">
        <f t="shared" si="52"/>
        <v>5.7320000000000002</v>
      </c>
      <c r="Z161" s="197">
        <f t="shared" si="53"/>
        <v>7.4800000000000005E-2</v>
      </c>
      <c r="AA161" s="197">
        <f t="shared" si="54"/>
        <v>5.6572000000000005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5"/>
        <v>800</v>
      </c>
      <c r="AE161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61" s="74" t="str">
        <f t="shared" si="57"/>
        <v>"C:\Program Files (x86)\AstroGrep\AstroGrep.exe" /e /r /s /spath="%USERPROFILE%\AppData\Local\Temp\OnboardLogs" /stypes="app*4049*20170718*" /stext=" 11:.+((SYSTEM_STATE.+slice.+state.+changed )|(ment ac)|(multiple cpu faults)|(system.+state.+changed )|(\[timeout)|(PRM\|1\|D)|(kpr)|(kdp)|(train st.+moving)|(\|lc)|(penalty))"</v>
      </c>
      <c r="AG161" s="209" t="str">
        <f t="shared" si="58"/>
        <v>NW</v>
      </c>
      <c r="AH161" s="78" t="str">
        <f t="shared" si="59"/>
        <v>"%USERPROFILE%\Documents\GitHub\eaglep3\Utilities\RefineRTDCRunTimes.py" --tripid 800-18 --locoid 4049 --swversion DE.1.0.9.0 --startMP 300:57320 --initTime 2017-07-18T05:11:39 --startdatetime 2017-07-18T05:13:45 --delay 1 --endMP 204:748 --enddatetime 2017-07-18T05:28:35 --enforcementcount 0 &gt;&gt;C:\Users\stu\Documents\GitHub\eaglep3-reporting\EC\2017-07-18-refined-times.txt</v>
      </c>
      <c r="AI161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failure","project_id":79,"tracker_id":40,"status_id":1,"priority_id":2,"assigned_to_id":23,"start_date":"2017-07-18","description":"","custom_fields":[{"id":1,"name":"Subdivision","value":"NW"},{"id":4,"name":"Milepost","value":"0.0748"},{"id":17,"name":"Train ID","value":"800-18"},{"id":16,"name":"Locomotive ID","value":"4049"},{"id":130,"name":"Impact","value":""},{"id":150,"name":"Time of Event (Mountain Time)","value":"05:28:35"},{"id":151,"name":"Denver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1"/>
        <v>start /low /b %USERPROFILE%\Documents\GitHub\eaglep3\Utilities\DownloadLogsFromS3.py --loco 4049 --day 2017-07-18</v>
      </c>
      <c r="AN161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633</v>
      </c>
      <c r="B162" s="7">
        <v>4049</v>
      </c>
      <c r="C162" s="21" t="s">
        <v>199</v>
      </c>
      <c r="D162" s="21" t="s">
        <v>525</v>
      </c>
      <c r="E162" s="13">
        <v>42934.21130787037</v>
      </c>
      <c r="F162" s="13">
        <v>42934.217881944445</v>
      </c>
      <c r="G162" s="7">
        <v>2</v>
      </c>
      <c r="H162" s="21" t="s">
        <v>973</v>
      </c>
      <c r="I162" s="13">
        <v>42934.228182870371</v>
      </c>
      <c r="J162" s="7">
        <v>0</v>
      </c>
      <c r="K162" s="89" t="str">
        <f t="shared" si="48"/>
        <v>4049/4050</v>
      </c>
      <c r="L162" s="21" t="str">
        <f>VLOOKUP(A162,'Trips&amp;Operators'!$C$1:$G$99999,5,FALSE)</f>
        <v>LANGERAK WILLIAM</v>
      </c>
      <c r="M162" s="6">
        <f t="shared" si="49"/>
        <v>1.0300925925548654E-2</v>
      </c>
      <c r="N162" s="7"/>
      <c r="O162" s="7"/>
      <c r="P162" s="7"/>
      <c r="Q162" s="22"/>
      <c r="R162" s="170"/>
      <c r="S162" s="213"/>
      <c r="T162" s="195" t="str">
        <f t="shared" si="50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-07-18T04:04:17-0600',mode:absolute,to:'2017-07-18T06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197" t="str">
        <f>IF(AA162&lt;VLOOKUP(AG162,Variables!$AC$3:$AD$8,2,FALSE),"Y","N")</f>
        <v>Y</v>
      </c>
      <c r="X162" s="197">
        <f t="shared" si="64"/>
        <v>0</v>
      </c>
      <c r="Y162" s="197">
        <f t="shared" si="52"/>
        <v>5.8630000000000004</v>
      </c>
      <c r="Z162" s="197">
        <f t="shared" si="53"/>
        <v>5.8368000000000002</v>
      </c>
      <c r="AA162" s="197">
        <f t="shared" si="54"/>
        <v>2.6200000000000223E-2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5"/>
        <v>800</v>
      </c>
      <c r="AE162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62" s="74" t="str">
        <f t="shared" si="57"/>
        <v>"C:\Program Files (x86)\AstroGrep\AstroGrep.exe" /e /r /s /spath="%USERPROFILE%\AppData\Local\Temp\OnboardLogs" /stypes="app*4049*20170718*" /stext=" 11:.+((SYSTEM_STATE.+slice.+state.+changed )|(ment ac)|(multiple cpu faults)|(system.+state.+changed )|(\[timeout)|(PRM\|1\|D)|(kpr)|(kdp)|(train st.+moving)|(\|lc)|(penalty))"</v>
      </c>
      <c r="AG162" s="209" t="str">
        <f t="shared" si="58"/>
        <v>NW</v>
      </c>
      <c r="AH162" s="78" t="str">
        <f t="shared" si="59"/>
        <v>"%USERPROFILE%\Documents\GitHub\eaglep3\Utilities\RefineRTDCRunTimes.py" --tripid 800-18 --locoid 4049 --swversion DE.1.0.9.0 --startMP 300:58630 --initTime 2017-07-18T05:04:17 --startdatetime 2017-07-18T05:13:45 --delay 2 --endMP 300:58368 --enddatetime 2017-07-18T05:28:35 --enforcementcount 0 &gt;&gt;C:\Users\stu\Documents\GitHub\eaglep3-reporting\EC\2017-07-18-refined-times.txt</v>
      </c>
      <c r="AI162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{"issue":{"subject":"","project_id":79,"tracker_id":40,"status_id":1,"priority_id":2,"assigned_to_id":23,"start_date":"2017-07-18","description":"","custom_fields":[{"id":1,"name":"Subdivision","value":"NW"},{"id":4,"name":"Milepost","value":"5.8368"},{"id":17,"name":"Train ID","value":"800-18"},{"id":16,"name":"Locomotive ID","value":"4049"},{"id":130,"name":"Impact","value":""},{"id":150,"name":"Time of Event (Mountain Time)","value":"05:28:35"},{"id":151,"name":"Denver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1"/>
        <v>start /low /b %USERPROFILE%\Documents\GitHub\eaglep3\Utilities\DownloadLogsFromS3.py --loco 4049 --day 2017-07-18</v>
      </c>
      <c r="AN16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691</v>
      </c>
      <c r="B163" s="7">
        <v>4050</v>
      </c>
      <c r="C163" s="21" t="s">
        <v>199</v>
      </c>
      <c r="D163" s="21" t="s">
        <v>974</v>
      </c>
      <c r="E163" s="13">
        <v>42934.241805555554</v>
      </c>
      <c r="F163" s="13">
        <v>42934.243969907409</v>
      </c>
      <c r="G163" s="7">
        <v>1</v>
      </c>
      <c r="H163" s="21" t="s">
        <v>975</v>
      </c>
      <c r="I163" s="13">
        <v>42934.252106481479</v>
      </c>
      <c r="J163" s="7">
        <v>0</v>
      </c>
      <c r="K163" s="89" t="str">
        <f t="shared" si="48"/>
        <v>4049/4050</v>
      </c>
      <c r="L163" s="21" t="str">
        <f>VLOOKUP(A163,'Trips&amp;Operators'!$C$1:$G$99999,5,FALSE)</f>
        <v>LANGERAK WILLIAM</v>
      </c>
      <c r="M163" s="6">
        <f t="shared" si="49"/>
        <v>8.1365740697947331E-3</v>
      </c>
      <c r="N163" s="7">
        <f>24*60*SUM($M163:$M163)</f>
        <v>11.716666660504416</v>
      </c>
      <c r="O163" s="7"/>
      <c r="P163" s="7"/>
      <c r="Q163" s="22"/>
      <c r="R163" s="170"/>
      <c r="S163" s="213">
        <f>1/IF(AG163="EC",12,1)*SUM(U163:U163)</f>
        <v>1</v>
      </c>
      <c r="T163" s="195" t="str">
        <f t="shared" si="50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-07-18T04:48:12-0600',mode:absolute,to:'2017-07-18T07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3" s="197" t="str">
        <f>IF(AA163&lt;VLOOKUP(AG163,Variables!$AC$3:$AD$8,2,FALSE),"Y","N")</f>
        <v>N</v>
      </c>
      <c r="X163" s="197">
        <f t="shared" si="64"/>
        <v>1</v>
      </c>
      <c r="Y163" s="197">
        <f t="shared" si="52"/>
        <v>0.10390000000000001</v>
      </c>
      <c r="Z163" s="197">
        <f t="shared" si="53"/>
        <v>5.7614000000000001</v>
      </c>
      <c r="AA163" s="197">
        <f t="shared" si="54"/>
        <v>5.6574999999999998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5"/>
        <v>801</v>
      </c>
      <c r="AE163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163" s="74" t="str">
        <f t="shared" si="57"/>
        <v>"C:\Program Files (x86)\AstroGrep\AstroGrep.exe" /e /r /s /spath="%USERPROFILE%\AppData\Local\Temp\OnboardLogs" /stypes="app*4050*20170718*" /stext=" 12:.+((SYSTEM_STATE.+slice.+state.+changed )|(ment ac)|(multiple cpu faults)|(system.+state.+changed )|(\[timeout)|(PRM\|1\|D)|(kpr)|(kdp)|(train st.+moving)|(\|lc)|(penalty))"</v>
      </c>
      <c r="AG163" s="209" t="str">
        <f t="shared" si="58"/>
        <v>NW</v>
      </c>
      <c r="AH163" s="78" t="str">
        <f t="shared" si="59"/>
        <v>"%USERPROFILE%\Documents\GitHub\eaglep3\Utilities\RefineRTDCRunTimes.py" --tripid 801-18 --locoid 4050 --swversion DE.1.0.9.0 --startMP 204:1039 --initTime 2017-07-18T05:48:12 --startdatetime 2017-07-18T05:51:19 --delay 1 --endMP 300:57614 --enddatetime 2017-07-18T06:03:02 --enforcementcount 0 &gt;&gt;C:\Users\stu\Documents\GitHub\eaglep3-reporting\EC\2017-07-18-refined-times.txt</v>
      </c>
      <c r="AI163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{"issue":{"subject":"","project_id":79,"tracker_id":40,"status_id":1,"priority_id":2,"assigned_to_id":23,"start_date":"2017-07-18","description":"","custom_fields":[{"id":1,"name":"Subdivision","value":"NW"},{"id":4,"name":"Milepost","value":"5.7614"},{"id":17,"name":"Train ID","value":"801-18"},{"id":16,"name":"Locomotive ID","value":"4050"},{"id":130,"name":"Impact","value":""},{"id":150,"name":"Time of Event (Mountain Time)","value":"06:03:02"},{"id":151,"name":"Denver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1"/>
        <v>start /low /b %USERPROFILE%\Documents\GitHub\eaglep3\Utilities\DownloadLogsFromS3.py --loco 4050 --day 2017-07-18</v>
      </c>
      <c r="AN163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634</v>
      </c>
      <c r="B164" s="7">
        <v>4049</v>
      </c>
      <c r="C164" s="21" t="s">
        <v>199</v>
      </c>
      <c r="D164" s="21" t="s">
        <v>976</v>
      </c>
      <c r="E164" s="13">
        <v>42934.258668981478</v>
      </c>
      <c r="F164" s="13">
        <v>42934.259618055556</v>
      </c>
      <c r="G164" s="7">
        <v>0</v>
      </c>
      <c r="H164" s="21" t="s">
        <v>977</v>
      </c>
      <c r="I164" s="13">
        <v>42934.268518518518</v>
      </c>
      <c r="J164" s="7">
        <v>0</v>
      </c>
      <c r="K164" s="89" t="str">
        <f t="shared" si="48"/>
        <v>4049/4050</v>
      </c>
      <c r="L164" s="21" t="str">
        <f>VLOOKUP(A164,'Trips&amp;Operators'!$C$1:$G$99999,5,FALSE)</f>
        <v>LANGERAK WILLIAM</v>
      </c>
      <c r="M164" s="6">
        <f t="shared" si="49"/>
        <v>8.9004629626288079E-3</v>
      </c>
      <c r="N164" s="7">
        <f>24*60*SUM($M164:$M164)</f>
        <v>12.816666666185483</v>
      </c>
      <c r="O164" s="7"/>
      <c r="P164" s="7"/>
      <c r="Q164" s="22"/>
      <c r="R164" s="170" t="s">
        <v>1067</v>
      </c>
      <c r="S164" s="213">
        <f>1/IF(AG164="EC",12,1)*SUM(U164:U164)</f>
        <v>1</v>
      </c>
      <c r="T164" s="195" t="str">
        <f t="shared" si="50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-07-18T05:12:29-0600',mode:absolute,to:'2017-07-18T07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197" t="str">
        <f>IF(AA164&lt;VLOOKUP(AG164,Variables!$AC$3:$AD$8,2,FALSE),"Y","N")</f>
        <v>N</v>
      </c>
      <c r="X164" s="197">
        <f t="shared" si="64"/>
        <v>1</v>
      </c>
      <c r="Y164" s="197">
        <f t="shared" si="52"/>
        <v>5.7340999999999998</v>
      </c>
      <c r="Z164" s="197">
        <f t="shared" si="53"/>
        <v>7.3400000000000007E-2</v>
      </c>
      <c r="AA164" s="197">
        <f t="shared" si="54"/>
        <v>5.6606999999999994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5"/>
        <v>802</v>
      </c>
      <c r="AE164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64" s="74" t="str">
        <f t="shared" si="57"/>
        <v>"C:\Program Files (x86)\AstroGrep\AstroGrep.exe" /e /r /s /spath="%USERPROFILE%\AppData\Local\Temp\OnboardLogs" /stypes="app*4049*20170718*" /stext=" 12:.+((SYSTEM_STATE.+slice.+state.+changed )|(ment ac)|(multiple cpu faults)|(system.+state.+changed )|(\[timeout)|(PRM\|1\|D)|(kpr)|(kdp)|(train st.+moving)|(\|lc)|(penalty))"</v>
      </c>
      <c r="AG164" s="209" t="str">
        <f t="shared" si="58"/>
        <v>NW</v>
      </c>
      <c r="AH164" s="78" t="str">
        <f t="shared" si="59"/>
        <v>"%USERPROFILE%\Documents\GitHub\eaglep3\Utilities\RefineRTDCRunTimes.py" --tripid 802-18 --locoid 4049 --swversion DE.1.0.9.0 --startMP 300:57341 --initTime 2017-07-18T06:12:29 --startdatetime 2017-07-18T06:13:51 --delay 0 --endMP 204:734 --enddatetime 2017-07-18T06:26:40 --enforcementcount 0 &gt;&gt;C:\Users\stu\Documents\GitHub\eaglep3-reporting\EC\2017-07-18-refined-times.txt</v>
      </c>
      <c r="AI164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failure","project_id":79,"tracker_id":40,"status_id":1,"priority_id":2,"assigned_to_id":23,"start_date":"2017-07-18","description":"","custom_fields":[{"id":1,"name":"Subdivision","value":"NW"},{"id":4,"name":"Milepost","value":"0.0734"},{"id":17,"name":"Train ID","value":"802-18"},{"id":16,"name":"Locomotive ID","value":"4049"},{"id":130,"name":"Impact","value":""},{"id":150,"name":"Time of Event (Mountain Time)","value":"06:26:40"},{"id":151,"name":"Denver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1"/>
        <v>start /low /b %USERPROFILE%\Documents\GitHub\eaglep3\Utilities\DownloadLogsFromS3.py --loco 4049 --day 2017-07-18</v>
      </c>
      <c r="AN164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634</v>
      </c>
      <c r="B165" s="7">
        <v>4049</v>
      </c>
      <c r="C165" s="21" t="s">
        <v>199</v>
      </c>
      <c r="D165" s="21" t="s">
        <v>615</v>
      </c>
      <c r="E165" s="13">
        <v>42934.254525462966</v>
      </c>
      <c r="F165" s="13">
        <v>42934.259618055556</v>
      </c>
      <c r="G165" s="7">
        <v>1</v>
      </c>
      <c r="H165" s="21" t="s">
        <v>978</v>
      </c>
      <c r="I165" s="13">
        <v>42934.268518518518</v>
      </c>
      <c r="J165" s="7">
        <v>0</v>
      </c>
      <c r="K165" s="89" t="str">
        <f t="shared" si="48"/>
        <v>4049/4050</v>
      </c>
      <c r="L165" s="21" t="str">
        <f>VLOOKUP(A165,'Trips&amp;Operators'!$C$1:$G$99999,5,FALSE)</f>
        <v>LANGERAK WILLIAM</v>
      </c>
      <c r="M165" s="6">
        <f t="shared" si="49"/>
        <v>8.9004629626288079E-3</v>
      </c>
      <c r="N165" s="7"/>
      <c r="O165" s="7"/>
      <c r="P165" s="7"/>
      <c r="Q165" s="22"/>
      <c r="R165" s="170"/>
      <c r="S165" s="213"/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-07-18T05:06:31-0600',mode:absolute,to:'2017-07-18T07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197" t="str">
        <f>IF(AA165&lt;VLOOKUP(AG165,Variables!$AC$3:$AD$8,2,FALSE),"Y","N")</f>
        <v>Y</v>
      </c>
      <c r="X165" s="197">
        <f t="shared" si="64"/>
        <v>0</v>
      </c>
      <c r="Y165" s="197">
        <f t="shared" si="52"/>
        <v>5.8624000000000001</v>
      </c>
      <c r="Z165" s="197">
        <f t="shared" si="53"/>
        <v>5.8403</v>
      </c>
      <c r="AA165" s="197">
        <f t="shared" si="54"/>
        <v>2.2100000000000009E-2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5"/>
        <v>802</v>
      </c>
      <c r="AE165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65" s="74" t="str">
        <f t="shared" si="57"/>
        <v>"C:\Program Files (x86)\AstroGrep\AstroGrep.exe" /e /r /s /spath="%USERPROFILE%\AppData\Local\Temp\OnboardLogs" /stypes="app*4049*20170718*" /stext=" 12:.+((SYSTEM_STATE.+slice.+state.+changed )|(ment ac)|(multiple cpu faults)|(system.+state.+changed )|(\[timeout)|(PRM\|1\|D)|(kpr)|(kdp)|(train st.+moving)|(\|lc)|(penalty))"</v>
      </c>
      <c r="AG165" s="209" t="str">
        <f t="shared" si="58"/>
        <v>NW</v>
      </c>
      <c r="AH165" s="78" t="str">
        <f t="shared" si="59"/>
        <v>"%USERPROFILE%\Documents\GitHub\eaglep3\Utilities\RefineRTDCRunTimes.py" --tripid 802-18 --locoid 4049 --swversion DE.1.0.9.0 --startMP 300:58624 --initTime 2017-07-18T06:06:31 --startdatetime 2017-07-18T06:13:51 --delay 1 --endMP 300:58403 --enddatetime 2017-07-18T06:26:40 --enforcementcount 0 &gt;&gt;C:\Users\stu\Documents\GitHub\eaglep3-reporting\EC\2017-07-18-refined-times.txt</v>
      </c>
      <c r="AI165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{"issue":{"subject":"","project_id":79,"tracker_id":40,"status_id":1,"priority_id":2,"assigned_to_id":23,"start_date":"2017-07-18","description":"","custom_fields":[{"id":1,"name":"Subdivision","value":"NW"},{"id":4,"name":"Milepost","value":"5.8403"},{"id":17,"name":"Train ID","value":"802-18"},{"id":16,"name":"Locomotive ID","value":"4049"},{"id":130,"name":"Impact","value":""},{"id":150,"name":"Time of Event (Mountain Time)","value":"06:26:40"},{"id":151,"name":"Denver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1"/>
        <v>start /low /b %USERPROFILE%\Documents\GitHub\eaglep3\Utilities\DownloadLogsFromS3.py --loco 4049 --day 2017-07-18</v>
      </c>
      <c r="AN16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699</v>
      </c>
      <c r="B166" s="7">
        <v>4024</v>
      </c>
      <c r="C166" s="21" t="s">
        <v>199</v>
      </c>
      <c r="D166" s="21" t="s">
        <v>979</v>
      </c>
      <c r="E166" s="13">
        <v>42934.261342592596</v>
      </c>
      <c r="F166" s="13">
        <v>42934.264826388891</v>
      </c>
      <c r="G166" s="7">
        <v>1</v>
      </c>
      <c r="H166" s="21" t="s">
        <v>980</v>
      </c>
      <c r="I166" s="13">
        <v>42934.273449074077</v>
      </c>
      <c r="J166" s="7">
        <v>0</v>
      </c>
      <c r="K166" s="89" t="str">
        <f t="shared" si="48"/>
        <v>4023/4024</v>
      </c>
      <c r="L166" s="21" t="str">
        <f>VLOOKUP(A166,'Trips&amp;Operators'!$C$1:$G$99999,5,FALSE)</f>
        <v>YANG JAN</v>
      </c>
      <c r="M166" s="6">
        <f t="shared" si="49"/>
        <v>8.6226851854007691E-3</v>
      </c>
      <c r="N166" s="7">
        <f>24*60*SUM($M166:$M166)</f>
        <v>12.416666666977108</v>
      </c>
      <c r="O166" s="7"/>
      <c r="P166" s="7"/>
      <c r="Q166" s="22"/>
      <c r="R166" s="170"/>
      <c r="S166" s="213">
        <f>1/IF(AG166="EC",12,1)*SUM(U166:U166)</f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-07-18T05:16:20-0600',mode:absolute,to:'2017-07-18T07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6" s="197" t="str">
        <f>IF(AA166&lt;VLOOKUP(AG166,Variables!$AC$3:$AD$8,2,FALSE),"Y","N")</f>
        <v>N</v>
      </c>
      <c r="X166" s="197">
        <f t="shared" si="64"/>
        <v>1</v>
      </c>
      <c r="Y166" s="197">
        <f t="shared" si="52"/>
        <v>9.8299999999999998E-2</v>
      </c>
      <c r="Z166" s="197">
        <f t="shared" si="53"/>
        <v>5.7606000000000002</v>
      </c>
      <c r="AA166" s="197">
        <f t="shared" si="54"/>
        <v>5.6623000000000001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5"/>
        <v>803</v>
      </c>
      <c r="AE166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66" s="74" t="str">
        <f t="shared" si="57"/>
        <v>"C:\Program Files (x86)\AstroGrep\AstroGrep.exe" /e /r /s /spath="%USERPROFILE%\AppData\Local\Temp\OnboardLogs" /stypes="app*4024*20170718*" /stext=" 12:.+((SYSTEM_STATE.+slice.+state.+changed )|(ment ac)|(multiple cpu faults)|(system.+state.+changed )|(\[timeout)|(PRM\|1\|D)|(kpr)|(kdp)|(train st.+moving)|(\|lc)|(penalty))"</v>
      </c>
      <c r="AG166" s="209" t="str">
        <f t="shared" si="58"/>
        <v>NW</v>
      </c>
      <c r="AH166" s="78" t="str">
        <f t="shared" si="59"/>
        <v>"%USERPROFILE%\Documents\GitHub\eaglep3\Utilities\RefineRTDCRunTimes.py" --tripid 803-18 --locoid 4024 --swversion DE.1.0.9.0 --startMP 204:983 --initTime 2017-07-18T06:16:20 --startdatetime 2017-07-18T06:21:21 --delay 1 --endMP 300:57606 --enddatetime 2017-07-18T06:33:46 --enforcementcount 0 &gt;&gt;C:\Users\stu\Documents\GitHub\eaglep3-reporting\EC\2017-07-18-refined-times.txt</v>
      </c>
      <c r="AI166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{"issue":{"subject":"","project_id":79,"tracker_id":40,"status_id":1,"priority_id":2,"assigned_to_id":23,"start_date":"2017-07-18","description":"","custom_fields":[{"id":1,"name":"Subdivision","value":"NW"},{"id":4,"name":"Milepost","value":"5.7606"},{"id":17,"name":"Train ID","value":"803-18"},{"id":16,"name":"Locomotive ID","value":"4024"},{"id":130,"name":"Impact","value":""},{"id":150,"name":"Time of Event (Mountain Time)","value":"06:33:46"},{"id":151,"name":"Denver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1"/>
        <v>start /low /b %USERPROFILE%\Documents\GitHub\eaglep3\Utilities\DownloadLogsFromS3.py --loco 4024 --day 2017-07-18</v>
      </c>
      <c r="AN16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640</v>
      </c>
      <c r="B167" s="7">
        <v>4023</v>
      </c>
      <c r="C167" s="21" t="s">
        <v>199</v>
      </c>
      <c r="D167" s="21" t="s">
        <v>981</v>
      </c>
      <c r="E167" s="13">
        <v>42934.279710648145</v>
      </c>
      <c r="F167" s="13">
        <v>42934.280648148146</v>
      </c>
      <c r="G167" s="7">
        <v>0</v>
      </c>
      <c r="H167" s="21" t="s">
        <v>982</v>
      </c>
      <c r="I167" s="13">
        <v>42934.289965277778</v>
      </c>
      <c r="J167" s="7">
        <v>0</v>
      </c>
      <c r="K167" s="89" t="str">
        <f t="shared" si="48"/>
        <v>4023/4024</v>
      </c>
      <c r="L167" s="21" t="str">
        <f>VLOOKUP(A167,'Trips&amp;Operators'!$C$1:$G$99999,5,FALSE)</f>
        <v>YANG JAN</v>
      </c>
      <c r="M167" s="6">
        <f t="shared" si="49"/>
        <v>9.3171296321088448E-3</v>
      </c>
      <c r="N167" s="7">
        <f>24*60*SUM($M167:$M167)</f>
        <v>13.416666670236737</v>
      </c>
      <c r="O167" s="7"/>
      <c r="P167" s="7"/>
      <c r="Q167" s="22"/>
      <c r="R167" s="170" t="s">
        <v>1067</v>
      </c>
      <c r="S167" s="213">
        <f>1/IF(AG167="EC",12,1)*SUM(U167:U167)</f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-07-18T05:42:47-0600',mode:absolute,to:'2017-07-18T07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7" s="197" t="str">
        <f>IF(AA167&lt;VLOOKUP(AG167,Variables!$AC$3:$AD$8,2,FALSE),"Y","N")</f>
        <v>N</v>
      </c>
      <c r="X167" s="197">
        <f t="shared" si="64"/>
        <v>1</v>
      </c>
      <c r="Y167" s="197">
        <f t="shared" si="52"/>
        <v>5.7335000000000003</v>
      </c>
      <c r="Z167" s="197">
        <f t="shared" si="53"/>
        <v>6.8900000000000003E-2</v>
      </c>
      <c r="AA167" s="197">
        <f t="shared" si="54"/>
        <v>5.6646000000000001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5"/>
        <v>804</v>
      </c>
      <c r="AE167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67" s="74" t="str">
        <f t="shared" si="57"/>
        <v>"C:\Program Files (x86)\AstroGrep\AstroGrep.exe" /e /r /s /spath="%USERPROFILE%\AppData\Local\Temp\OnboardLogs" /stypes="app*4023*20170718*" /stext=" 12:.+((SYSTEM_STATE.+slice.+state.+changed )|(ment ac)|(multiple cpu faults)|(system.+state.+changed )|(\[timeout)|(PRM\|1\|D)|(kpr)|(kdp)|(train st.+moving)|(\|lc)|(penalty))"</v>
      </c>
      <c r="AG167" s="209" t="str">
        <f t="shared" si="58"/>
        <v>NW</v>
      </c>
      <c r="AH167" s="78" t="str">
        <f t="shared" si="59"/>
        <v>"%USERPROFILE%\Documents\GitHub\eaglep3\Utilities\RefineRTDCRunTimes.py" --tripid 804-18 --locoid 4023 --swversion DE.1.0.9.0 --startMP 300:57335 --initTime 2017-07-18T06:42:47 --startdatetime 2017-07-18T06:44:08 --delay 0 --endMP 204:689 --enddatetime 2017-07-18T06:57:33 --enforcementcount 0 &gt;&gt;C:\Users\stu\Documents\GitHub\eaglep3-reporting\EC\2017-07-18-refined-times.txt</v>
      </c>
      <c r="AI167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failure","project_id":79,"tracker_id":40,"status_id":1,"priority_id":2,"assigned_to_id":23,"start_date":"2017-07-18","description":"","custom_fields":[{"id":1,"name":"Subdivision","value":"NW"},{"id":4,"name":"Milepost","value":"0.0689"},{"id":17,"name":"Train ID","value":"804-18"},{"id":16,"name":"Locomotive ID","value":"4023"},{"id":130,"name":"Impact","value":""},{"id":150,"name":"Time of Event (Mountain Time)","value":"06:57:33"},{"id":151,"name":"Denver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1"/>
        <v>start /low /b %USERPROFILE%\Documents\GitHub\eaglep3\Utilities\DownloadLogsFromS3.py --loco 4023 --day 2017-07-18</v>
      </c>
      <c r="AN167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640</v>
      </c>
      <c r="B168" s="7">
        <v>4023</v>
      </c>
      <c r="C168" s="21" t="s">
        <v>199</v>
      </c>
      <c r="D168" s="21" t="s">
        <v>983</v>
      </c>
      <c r="E168" s="13">
        <v>42934.276550925926</v>
      </c>
      <c r="F168" s="13">
        <v>42934.280648148146</v>
      </c>
      <c r="G168" s="7">
        <v>1</v>
      </c>
      <c r="H168" s="21" t="s">
        <v>984</v>
      </c>
      <c r="I168" s="13">
        <v>42934.289965277778</v>
      </c>
      <c r="J168" s="7">
        <v>0</v>
      </c>
      <c r="K168" s="89" t="str">
        <f t="shared" si="48"/>
        <v>4023/4024</v>
      </c>
      <c r="L168" s="21" t="str">
        <f>VLOOKUP(A168,'Trips&amp;Operators'!$C$1:$G$99999,5,FALSE)</f>
        <v>YANG JAN</v>
      </c>
      <c r="M168" s="6">
        <f t="shared" si="49"/>
        <v>9.3171296321088448E-3</v>
      </c>
      <c r="N168" s="7"/>
      <c r="O168" s="7"/>
      <c r="P168" s="7"/>
      <c r="Q168" s="22"/>
      <c r="R168" s="170"/>
      <c r="S168" s="213"/>
      <c r="T168" s="195" t="str">
        <f t="shared" si="50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-07-18T05:38:14-0600',mode:absolute,to:'2017-07-18T07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197" t="str">
        <f>IF(AA168&lt;VLOOKUP(AG168,Variables!$AC$3:$AD$8,2,FALSE),"Y","N")</f>
        <v>Y</v>
      </c>
      <c r="X168" s="197">
        <f t="shared" si="64"/>
        <v>0</v>
      </c>
      <c r="Y168" s="197">
        <f t="shared" si="52"/>
        <v>5.8613</v>
      </c>
      <c r="Z168" s="197">
        <f t="shared" si="53"/>
        <v>5.8349000000000002</v>
      </c>
      <c r="AA168" s="197">
        <f t="shared" si="54"/>
        <v>2.6399999999999757E-2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5"/>
        <v>804</v>
      </c>
      <c r="AE168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68" s="74" t="str">
        <f t="shared" si="57"/>
        <v>"C:\Program Files (x86)\AstroGrep\AstroGrep.exe" /e /r /s /spath="%USERPROFILE%\AppData\Local\Temp\OnboardLogs" /stypes="app*4023*20170718*" /stext=" 12:.+((SYSTEM_STATE.+slice.+state.+changed )|(ment ac)|(multiple cpu faults)|(system.+state.+changed )|(\[timeout)|(PRM\|1\|D)|(kpr)|(kdp)|(train st.+moving)|(\|lc)|(penalty))"</v>
      </c>
      <c r="AG168" s="209" t="str">
        <f t="shared" si="58"/>
        <v>NW</v>
      </c>
      <c r="AH168" s="78" t="str">
        <f t="shared" si="59"/>
        <v>"%USERPROFILE%\Documents\GitHub\eaglep3\Utilities\RefineRTDCRunTimes.py" --tripid 804-18 --locoid 4023 --swversion DE.1.0.9.0 --startMP 300:58613 --initTime 2017-07-18T06:38:14 --startdatetime 2017-07-18T06:44:08 --delay 1 --endMP 300:58349 --enddatetime 2017-07-18T06:57:33 --enforcementcount 0 &gt;&gt;C:\Users\stu\Documents\GitHub\eaglep3-reporting\EC\2017-07-18-refined-times.txt</v>
      </c>
      <c r="AI168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{"issue":{"subject":"","project_id":79,"tracker_id":40,"status_id":1,"priority_id":2,"assigned_to_id":23,"start_date":"2017-07-18","description":"","custom_fields":[{"id":1,"name":"Subdivision","value":"NW"},{"id":4,"name":"Milepost","value":"5.8349"},{"id":17,"name":"Train ID","value":"804-18"},{"id":16,"name":"Locomotive ID","value":"4023"},{"id":130,"name":"Impact","value":""},{"id":150,"name":"Time of Event (Mountain Time)","value":"06:57:33"},{"id":151,"name":"Denver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1"/>
        <v>start /low /b %USERPROFILE%\Documents\GitHub\eaglep3\Utilities\DownloadLogsFromS3.py --loco 4023 --day 2017-07-18</v>
      </c>
      <c r="AN16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641</v>
      </c>
      <c r="B169" s="7">
        <v>4050</v>
      </c>
      <c r="C169" s="21" t="s">
        <v>199</v>
      </c>
      <c r="D169" s="21" t="s">
        <v>985</v>
      </c>
      <c r="E169" s="13">
        <v>42934.281886574077</v>
      </c>
      <c r="F169" s="13">
        <v>42934.285949074074</v>
      </c>
      <c r="G169" s="7">
        <v>2</v>
      </c>
      <c r="H169" s="21" t="s">
        <v>986</v>
      </c>
      <c r="I169" s="13">
        <v>42934.295289351852</v>
      </c>
      <c r="J169" s="7">
        <v>0</v>
      </c>
      <c r="K169" s="89" t="str">
        <f t="shared" si="48"/>
        <v>4049/4050</v>
      </c>
      <c r="L169" s="21" t="str">
        <f>VLOOKUP(A169,'Trips&amp;Operators'!$C$1:$G$99999,5,FALSE)</f>
        <v>LANGERAK WILLIAM</v>
      </c>
      <c r="M169" s="6">
        <f t="shared" si="49"/>
        <v>9.340277778392192E-3</v>
      </c>
      <c r="N169" s="7">
        <f>24*60*SUM($M169:$M169)</f>
        <v>13.450000000884756</v>
      </c>
      <c r="O169" s="7"/>
      <c r="P169" s="7"/>
      <c r="Q169" s="22"/>
      <c r="R169" s="170"/>
      <c r="S169" s="213">
        <f>1/IF(AG169="EC",12,1)*SUM(U169:U169)</f>
        <v>1</v>
      </c>
      <c r="T169" s="195" t="str">
        <f t="shared" si="50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-07-18T05:45:55-0600',mode:absolute,to:'2017-07-18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197" t="str">
        <f>IF(AA169&lt;VLOOKUP(AG169,Variables!$AC$3:$AD$8,2,FALSE),"Y","N")</f>
        <v>N</v>
      </c>
      <c r="X169" s="197">
        <f t="shared" si="64"/>
        <v>1</v>
      </c>
      <c r="Y169" s="197">
        <f t="shared" si="52"/>
        <v>0.1004</v>
      </c>
      <c r="Z169" s="197">
        <f t="shared" si="53"/>
        <v>5.7596999999999996</v>
      </c>
      <c r="AA169" s="197">
        <f t="shared" si="54"/>
        <v>5.6593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5"/>
        <v>805</v>
      </c>
      <c r="AE169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169" s="74" t="str">
        <f t="shared" si="57"/>
        <v>"C:\Program Files (x86)\AstroGrep\AstroGrep.exe" /e /r /s /spath="%USERPROFILE%\AppData\Local\Temp\OnboardLogs" /stypes="app*4050*20170718*" /stext=" 13:.+((SYSTEM_STATE.+slice.+state.+changed )|(ment ac)|(multiple cpu faults)|(system.+state.+changed )|(\[timeout)|(PRM\|1\|D)|(kpr)|(kdp)|(train st.+moving)|(\|lc)|(penalty))"</v>
      </c>
      <c r="AG169" s="209" t="str">
        <f t="shared" si="58"/>
        <v>NW</v>
      </c>
      <c r="AH169" s="78" t="str">
        <f t="shared" si="59"/>
        <v>"%USERPROFILE%\Documents\GitHub\eaglep3\Utilities\RefineRTDCRunTimes.py" --tripid 805-18 --locoid 4050 --swversion DE.1.0.9.0 --startMP 204:1004 --initTime 2017-07-18T06:45:55 --startdatetime 2017-07-18T06:51:46 --delay 2 --endMP 300:57597 --enddatetime 2017-07-18T07:05:13 --enforcementcount 0 &gt;&gt;C:\Users\stu\Documents\GitHub\eaglep3-reporting\EC\2017-07-18-refined-times.txt</v>
      </c>
      <c r="AI169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{"issue":{"subject":"","project_id":79,"tracker_id":40,"status_id":1,"priority_id":2,"assigned_to_id":23,"start_date":"2017-07-18","description":"","custom_fields":[{"id":1,"name":"Subdivision","value":"NW"},{"id":4,"name":"Milepost","value":"5.7597"},{"id":17,"name":"Train ID","value":"805-18"},{"id":16,"name":"Locomotive ID","value":"4050"},{"id":130,"name":"Impact","value":""},{"id":150,"name":"Time of Event (Mountain Time)","value":"07:05:13"},{"id":151,"name":"Denver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1"/>
        <v>start /low /b %USERPROFILE%\Documents\GitHub\eaglep3\Utilities\DownloadLogsFromS3.py --loco 4050 --day 2017-07-18</v>
      </c>
      <c r="AN16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706</v>
      </c>
      <c r="B170" s="7">
        <v>4049</v>
      </c>
      <c r="C170" s="21" t="s">
        <v>199</v>
      </c>
      <c r="D170" s="21" t="s">
        <v>972</v>
      </c>
      <c r="E170" s="13">
        <v>42934.30190972222</v>
      </c>
      <c r="F170" s="13">
        <v>42934.302905092591</v>
      </c>
      <c r="G170" s="7">
        <v>0</v>
      </c>
      <c r="H170" s="21" t="s">
        <v>987</v>
      </c>
      <c r="I170" s="13">
        <v>42934.313043981485</v>
      </c>
      <c r="J170" s="7">
        <v>0</v>
      </c>
      <c r="K170" s="89" t="str">
        <f t="shared" si="48"/>
        <v>4049/4050</v>
      </c>
      <c r="L170" s="21" t="str">
        <f>VLOOKUP(A170,'Trips&amp;Operators'!$C$1:$G$99999,5,FALSE)</f>
        <v>LANGERAK WILLIAM</v>
      </c>
      <c r="M170" s="6">
        <f t="shared" si="49"/>
        <v>1.0138888894289266E-2</v>
      </c>
      <c r="N170" s="7">
        <f>24*60*SUM($M170:$M170)</f>
        <v>14.600000007776543</v>
      </c>
      <c r="O170" s="7"/>
      <c r="P170" s="7"/>
      <c r="Q170" s="22"/>
      <c r="R170" s="170" t="s">
        <v>1067</v>
      </c>
      <c r="S170" s="213">
        <f>1/IF(AG170="EC",12,1)*SUM(U170:U170)</f>
        <v>1</v>
      </c>
      <c r="T170" s="195" t="str">
        <f t="shared" si="50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-07-18T06:14:45-0600',mode:absolute,to:'2017-07-18T08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197" t="str">
        <f>IF(AA170&lt;VLOOKUP(AG170,Variables!$AC$3:$AD$8,2,FALSE),"Y","N")</f>
        <v>N</v>
      </c>
      <c r="X170" s="197">
        <f t="shared" si="64"/>
        <v>1</v>
      </c>
      <c r="Y170" s="197">
        <f t="shared" si="52"/>
        <v>5.7320000000000002</v>
      </c>
      <c r="Z170" s="197">
        <f t="shared" si="53"/>
        <v>7.4300000000000005E-2</v>
      </c>
      <c r="AA170" s="197">
        <f t="shared" si="54"/>
        <v>5.6577000000000002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5"/>
        <v>806</v>
      </c>
      <c r="AE170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70" s="74" t="str">
        <f t="shared" si="57"/>
        <v>"C:\Program Files (x86)\AstroGrep\AstroGrep.exe" /e /r /s /spath="%USERPROFILE%\AppData\Local\Temp\OnboardLogs" /stypes="app*4049*20170718*" /stext=" 13:.+((SYSTEM_STATE.+slice.+state.+changed )|(ment ac)|(multiple cpu faults)|(system.+state.+changed )|(\[timeout)|(PRM\|1\|D)|(kpr)|(kdp)|(train st.+moving)|(\|lc)|(penalty))"</v>
      </c>
      <c r="AG170" s="209" t="str">
        <f t="shared" si="58"/>
        <v>NW</v>
      </c>
      <c r="AH170" s="78" t="str">
        <f t="shared" si="59"/>
        <v>"%USERPROFILE%\Documents\GitHub\eaglep3\Utilities\RefineRTDCRunTimes.py" --tripid 806-18 --locoid 4049 --swversion DE.1.0.9.0 --startMP 300:57320 --initTime 2017-07-18T07:14:45 --startdatetime 2017-07-18T07:16:11 --delay 0 --endMP 204:743 --enddatetime 2017-07-18T07:30:47 --enforcementcount 0 &gt;&gt;C:\Users\stu\Documents\GitHub\eaglep3-reporting\EC\2017-07-18-refined-times.txt</v>
      </c>
      <c r="AI170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failure","project_id":79,"tracker_id":40,"status_id":1,"priority_id":2,"assigned_to_id":23,"start_date":"2017-07-18","description":"","custom_fields":[{"id":1,"name":"Subdivision","value":"NW"},{"id":4,"name":"Milepost","value":"0.0743"},{"id":17,"name":"Train ID","value":"806-18"},{"id":16,"name":"Locomotive ID","value":"4049"},{"id":130,"name":"Impact","value":""},{"id":150,"name":"Time of Event (Mountain Time)","value":"07:30:47"},{"id":151,"name":"Denver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1"/>
        <v>start /low /b %USERPROFILE%\Documents\GitHub\eaglep3\Utilities\DownloadLogsFromS3.py --loco 4049 --day 2017-07-18</v>
      </c>
      <c r="AN170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706</v>
      </c>
      <c r="B171" s="7">
        <v>4049</v>
      </c>
      <c r="C171" s="21" t="s">
        <v>199</v>
      </c>
      <c r="D171" s="21" t="s">
        <v>615</v>
      </c>
      <c r="E171" s="13">
        <v>42934.29755787037</v>
      </c>
      <c r="F171" s="13">
        <v>42934.302905092591</v>
      </c>
      <c r="G171" s="7">
        <v>2</v>
      </c>
      <c r="H171" s="21" t="s">
        <v>988</v>
      </c>
      <c r="I171" s="13">
        <v>42934.313043981485</v>
      </c>
      <c r="J171" s="7">
        <v>0</v>
      </c>
      <c r="K171" s="89" t="str">
        <f t="shared" si="48"/>
        <v>4049/4050</v>
      </c>
      <c r="L171" s="21" t="str">
        <f>VLOOKUP(A171,'Trips&amp;Operators'!$C$1:$G$99999,5,FALSE)</f>
        <v>LANGERAK WILLIAM</v>
      </c>
      <c r="M171" s="6">
        <f t="shared" si="49"/>
        <v>1.0138888894289266E-2</v>
      </c>
      <c r="N171" s="7"/>
      <c r="O171" s="7"/>
      <c r="P171" s="7"/>
      <c r="Q171" s="22"/>
      <c r="R171" s="170"/>
      <c r="S171" s="213"/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-07-18T06:08:29-0600',mode:absolute,to:'2017-07-18T08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1" s="197" t="str">
        <f>IF(AA171&lt;VLOOKUP(AG171,Variables!$AC$3:$AD$8,2,FALSE),"Y","N")</f>
        <v>Y</v>
      </c>
      <c r="X171" s="197">
        <f t="shared" si="64"/>
        <v>0</v>
      </c>
      <c r="Y171" s="197">
        <f t="shared" si="52"/>
        <v>5.8624000000000001</v>
      </c>
      <c r="Z171" s="197">
        <f t="shared" si="53"/>
        <v>5.8514999999999997</v>
      </c>
      <c r="AA171" s="197">
        <f t="shared" si="54"/>
        <v>1.0900000000000354E-2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5"/>
        <v>806</v>
      </c>
      <c r="AE171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71" s="74" t="str">
        <f t="shared" si="57"/>
        <v>"C:\Program Files (x86)\AstroGrep\AstroGrep.exe" /e /r /s /spath="%USERPROFILE%\AppData\Local\Temp\OnboardLogs" /stypes="app*4049*20170718*" /stext=" 13:.+((SYSTEM_STATE.+slice.+state.+changed )|(ment ac)|(multiple cpu faults)|(system.+state.+changed )|(\[timeout)|(PRM\|1\|D)|(kpr)|(kdp)|(train st.+moving)|(\|lc)|(penalty))"</v>
      </c>
      <c r="AG171" s="209" t="str">
        <f t="shared" si="58"/>
        <v>NW</v>
      </c>
      <c r="AH171" s="78" t="str">
        <f t="shared" si="59"/>
        <v>"%USERPROFILE%\Documents\GitHub\eaglep3\Utilities\RefineRTDCRunTimes.py" --tripid 806-18 --locoid 4049 --swversion DE.1.0.9.0 --startMP 300:58624 --initTime 2017-07-18T07:08:29 --startdatetime 2017-07-18T07:16:11 --delay 2 --endMP 300:58515 --enddatetime 2017-07-18T07:30:47 --enforcementcount 0 &gt;&gt;C:\Users\stu\Documents\GitHub\eaglep3-reporting\EC\2017-07-18-refined-times.txt</v>
      </c>
      <c r="AI171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{"issue":{"subject":"","project_id":79,"tracker_id":40,"status_id":1,"priority_id":2,"assigned_to_id":23,"start_date":"2017-07-18","description":"","custom_fields":[{"id":1,"name":"Subdivision","value":"NW"},{"id":4,"name":"Milepost","value":"5.8515"},{"id":17,"name":"Train ID","value":"806-18"},{"id":16,"name":"Locomotive ID","value":"4049"},{"id":130,"name":"Impact","value":""},{"id":150,"name":"Time of Event (Mountain Time)","value":"07:30:47"},{"id":151,"name":"Denver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1"/>
        <v>start /low /b %USERPROFILE%\Documents\GitHub\eaglep3\Utilities\DownloadLogsFromS3.py --loco 4049 --day 2017-07-18</v>
      </c>
      <c r="AN17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709</v>
      </c>
      <c r="B172" s="7">
        <v>4024</v>
      </c>
      <c r="C172" s="21" t="s">
        <v>199</v>
      </c>
      <c r="D172" s="21" t="s">
        <v>989</v>
      </c>
      <c r="E172" s="13">
        <v>42934.301886574074</v>
      </c>
      <c r="F172" s="13">
        <v>42934.306504629632</v>
      </c>
      <c r="G172" s="7">
        <v>1</v>
      </c>
      <c r="H172" s="21" t="s">
        <v>990</v>
      </c>
      <c r="I172" s="13">
        <v>42934.315092592595</v>
      </c>
      <c r="J172" s="7">
        <v>0</v>
      </c>
      <c r="K172" s="89" t="str">
        <f t="shared" si="48"/>
        <v>4023/4024</v>
      </c>
      <c r="L172" s="21" t="str">
        <f>VLOOKUP(A172,'Trips&amp;Operators'!$C$1:$G$99999,5,FALSE)</f>
        <v>YANG JAN</v>
      </c>
      <c r="M172" s="6">
        <f t="shared" si="49"/>
        <v>8.5879629623377696E-3</v>
      </c>
      <c r="N172" s="7">
        <f>24*60*SUM($M172:$M172)</f>
        <v>12.366666665766388</v>
      </c>
      <c r="O172" s="7"/>
      <c r="P172" s="7"/>
      <c r="Q172" s="22"/>
      <c r="R172" s="170"/>
      <c r="S172" s="213">
        <f>1/IF(AG172="EC",12,1)*SUM(U172:U172)</f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-07-18T06:14:43-0600',mode:absolute,to:'2017-07-18T08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2" s="197" t="str">
        <f>IF(AA172&lt;VLOOKUP(AG172,Variables!$AC$3:$AD$8,2,FALSE),"Y","N")</f>
        <v>N</v>
      </c>
      <c r="X172" s="197">
        <f t="shared" si="64"/>
        <v>1</v>
      </c>
      <c r="Y172" s="197">
        <f t="shared" si="52"/>
        <v>9.6500000000000002E-2</v>
      </c>
      <c r="Z172" s="197">
        <f t="shared" si="53"/>
        <v>5.7611999999999997</v>
      </c>
      <c r="AA172" s="197">
        <f t="shared" si="54"/>
        <v>5.6646999999999998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5"/>
        <v>807</v>
      </c>
      <c r="AE172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72" s="74" t="str">
        <f t="shared" si="57"/>
        <v>"C:\Program Files (x86)\AstroGrep\AstroGrep.exe" /e /r /s /spath="%USERPROFILE%\AppData\Local\Temp\OnboardLogs" /stypes="app*4024*20170718*" /stext=" 13:.+((SYSTEM_STATE.+slice.+state.+changed )|(ment ac)|(multiple cpu faults)|(system.+state.+changed )|(\[timeout)|(PRM\|1\|D)|(kpr)|(kdp)|(train st.+moving)|(\|lc)|(penalty))"</v>
      </c>
      <c r="AG172" s="209" t="str">
        <f t="shared" si="58"/>
        <v>NW</v>
      </c>
      <c r="AH172" s="78" t="str">
        <f t="shared" si="59"/>
        <v>"%USERPROFILE%\Documents\GitHub\eaglep3\Utilities\RefineRTDCRunTimes.py" --tripid 807-18 --locoid 4024 --swversion DE.1.0.9.0 --startMP 204:965 --initTime 2017-07-18T07:14:43 --startdatetime 2017-07-18T07:21:22 --delay 1 --endMP 300:57612 --enddatetime 2017-07-18T07:33:44 --enforcementcount 0 &gt;&gt;C:\Users\stu\Documents\GitHub\eaglep3-reporting\EC\2017-07-18-refined-times.txt</v>
      </c>
      <c r="AI172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{"issue":{"subject":"","project_id":79,"tracker_id":40,"status_id":1,"priority_id":2,"assigned_to_id":23,"start_date":"2017-07-18","description":"","custom_fields":[{"id":1,"name":"Subdivision","value":"NW"},{"id":4,"name":"Milepost","value":"5.7612"},{"id":17,"name":"Train ID","value":"807-18"},{"id":16,"name":"Locomotive ID","value":"4024"},{"id":130,"name":"Impact","value":""},{"id":150,"name":"Time of Event (Mountain Time)","value":"07:33:44"},{"id":151,"name":"Denver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1"/>
        <v>start /low /b %USERPROFILE%\Documents\GitHub\eaglep3\Utilities\DownloadLogsFromS3.py --loco 4024 --day 2017-07-18</v>
      </c>
      <c r="AN17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642</v>
      </c>
      <c r="B173" s="7">
        <v>4023</v>
      </c>
      <c r="C173" s="21" t="s">
        <v>199</v>
      </c>
      <c r="D173" s="21" t="s">
        <v>976</v>
      </c>
      <c r="E173" s="13">
        <v>42934.32104166667</v>
      </c>
      <c r="F173" s="13">
        <v>42934.322280092594</v>
      </c>
      <c r="G173" s="7">
        <v>0</v>
      </c>
      <c r="H173" s="21" t="s">
        <v>991</v>
      </c>
      <c r="I173" s="13">
        <v>42934.331655092596</v>
      </c>
      <c r="J173" s="7">
        <v>0</v>
      </c>
      <c r="K173" s="89" t="str">
        <f t="shared" si="48"/>
        <v>4023/4024</v>
      </c>
      <c r="L173" s="21" t="str">
        <f>VLOOKUP(A173,'Trips&amp;Operators'!$C$1:$G$99999,5,FALSE)</f>
        <v>YANG JAN</v>
      </c>
      <c r="M173" s="6">
        <f t="shared" si="49"/>
        <v>9.3750000014551915E-3</v>
      </c>
      <c r="N173" s="7">
        <f>24*60*SUM($M173:$M173)</f>
        <v>13.500000002095476</v>
      </c>
      <c r="O173" s="7"/>
      <c r="P173" s="7"/>
      <c r="Q173" s="22"/>
      <c r="R173" s="170" t="s">
        <v>1067</v>
      </c>
      <c r="S173" s="213">
        <f>1/IF(AG173="EC",12,1)*SUM(U173:U173)</f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-07-18T06:42:18-0600',mode:absolute,to:'2017-07-18T08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3" s="197" t="str">
        <f>IF(AA173&lt;VLOOKUP(AG173,Variables!$AC$3:$AD$8,2,FALSE),"Y","N")</f>
        <v>N</v>
      </c>
      <c r="X173" s="197">
        <f t="shared" si="64"/>
        <v>1</v>
      </c>
      <c r="Y173" s="197">
        <f t="shared" si="52"/>
        <v>5.7340999999999998</v>
      </c>
      <c r="Z173" s="197">
        <f t="shared" si="53"/>
        <v>6.7799999999999999E-2</v>
      </c>
      <c r="AA173" s="197">
        <f t="shared" si="54"/>
        <v>5.6662999999999997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5"/>
        <v>808</v>
      </c>
      <c r="AE173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73" s="74" t="str">
        <f t="shared" si="57"/>
        <v>"C:\Program Files (x86)\AstroGrep\AstroGrep.exe" /e /r /s /spath="%USERPROFILE%\AppData\Local\Temp\OnboardLogs" /stypes="app*4023*20170718*" /stext=" 13:.+((SYSTEM_STATE.+slice.+state.+changed )|(ment ac)|(multiple cpu faults)|(system.+state.+changed )|(\[timeout)|(PRM\|1\|D)|(kpr)|(kdp)|(train st.+moving)|(\|lc)|(penalty))"</v>
      </c>
      <c r="AG173" s="209" t="str">
        <f t="shared" si="58"/>
        <v>NW</v>
      </c>
      <c r="AH173" s="78" t="str">
        <f t="shared" si="59"/>
        <v>"%USERPROFILE%\Documents\GitHub\eaglep3\Utilities\RefineRTDCRunTimes.py" --tripid 808-18 --locoid 4023 --swversion DE.1.0.9.0 --startMP 300:57341 --initTime 2017-07-18T07:42:18 --startdatetime 2017-07-18T07:44:05 --delay 0 --endMP 204:678 --enddatetime 2017-07-18T07:57:35 --enforcementcount 0 &gt;&gt;C:\Users\stu\Documents\GitHub\eaglep3-reporting\EC\2017-07-18-refined-times.txt</v>
      </c>
      <c r="AI173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failure","project_id":79,"tracker_id":40,"status_id":1,"priority_id":2,"assigned_to_id":23,"start_date":"2017-07-18","description":"","custom_fields":[{"id":1,"name":"Subdivision","value":"NW"},{"id":4,"name":"Milepost","value":"0.0678"},{"id":17,"name":"Train ID","value":"808-18"},{"id":16,"name":"Locomotive ID","value":"4023"},{"id":130,"name":"Impact","value":""},{"id":150,"name":"Time of Event (Mountain Time)","value":"07:57:35"},{"id":151,"name":"Denver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1"/>
        <v>start /low /b %USERPROFILE%\Documents\GitHub\eaglep3\Utilities\DownloadLogsFromS3.py --loco 4023 --day 2017-07-18</v>
      </c>
      <c r="AN173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642</v>
      </c>
      <c r="B174" s="7">
        <v>4023</v>
      </c>
      <c r="C174" s="21" t="s">
        <v>199</v>
      </c>
      <c r="D174" s="21" t="s">
        <v>615</v>
      </c>
      <c r="E174" s="13">
        <v>42934.318182870367</v>
      </c>
      <c r="F174" s="13">
        <v>42934.322280092594</v>
      </c>
      <c r="G174" s="7">
        <v>1</v>
      </c>
      <c r="H174" s="21" t="s">
        <v>992</v>
      </c>
      <c r="I174" s="13">
        <v>42934.331655092596</v>
      </c>
      <c r="J174" s="7">
        <v>0</v>
      </c>
      <c r="K174" s="89" t="str">
        <f t="shared" si="48"/>
        <v>4023/4024</v>
      </c>
      <c r="L174" s="21" t="str">
        <f>VLOOKUP(A174,'Trips&amp;Operators'!$C$1:$G$99999,5,FALSE)</f>
        <v>YANG JAN</v>
      </c>
      <c r="M174" s="6">
        <f t="shared" si="49"/>
        <v>9.3750000014551915E-3</v>
      </c>
      <c r="N174" s="7"/>
      <c r="O174" s="7"/>
      <c r="P174" s="7"/>
      <c r="Q174" s="22"/>
      <c r="R174" s="170"/>
      <c r="S174" s="213"/>
      <c r="T174" s="195" t="str">
        <f t="shared" si="50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-07-18T06:38:11-0600',mode:absolute,to:'2017-07-18T08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197" t="str">
        <f>IF(AA174&lt;VLOOKUP(AG174,Variables!$AC$3:$AD$8,2,FALSE),"Y","N")</f>
        <v>Y</v>
      </c>
      <c r="X174" s="197">
        <f t="shared" si="64"/>
        <v>0</v>
      </c>
      <c r="Y174" s="197">
        <f t="shared" si="52"/>
        <v>5.8624000000000001</v>
      </c>
      <c r="Z174" s="197">
        <f t="shared" si="53"/>
        <v>5.8369999999999997</v>
      </c>
      <c r="AA174" s="197">
        <f t="shared" si="54"/>
        <v>2.5400000000000311E-2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5"/>
        <v>808</v>
      </c>
      <c r="AE174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74" s="74" t="str">
        <f t="shared" si="57"/>
        <v>"C:\Program Files (x86)\AstroGrep\AstroGrep.exe" /e /r /s /spath="%USERPROFILE%\AppData\Local\Temp\OnboardLogs" /stypes="app*4023*20170718*" /stext=" 13:.+((SYSTEM_STATE.+slice.+state.+changed )|(ment ac)|(multiple cpu faults)|(system.+state.+changed )|(\[timeout)|(PRM\|1\|D)|(kpr)|(kdp)|(train st.+moving)|(\|lc)|(penalty))"</v>
      </c>
      <c r="AG174" s="209" t="str">
        <f t="shared" si="58"/>
        <v>NW</v>
      </c>
      <c r="AH174" s="78" t="str">
        <f t="shared" si="59"/>
        <v>"%USERPROFILE%\Documents\GitHub\eaglep3\Utilities\RefineRTDCRunTimes.py" --tripid 808-18 --locoid 4023 --swversion DE.1.0.9.0 --startMP 300:58624 --initTime 2017-07-18T07:38:11 --startdatetime 2017-07-18T07:44:05 --delay 1 --endMP 300:58370 --enddatetime 2017-07-18T07:57:35 --enforcementcount 0 &gt;&gt;C:\Users\stu\Documents\GitHub\eaglep3-reporting\EC\2017-07-18-refined-times.txt</v>
      </c>
      <c r="AI174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{"issue":{"subject":"","project_id":79,"tracker_id":40,"status_id":1,"priority_id":2,"assigned_to_id":23,"start_date":"2017-07-18","description":"","custom_fields":[{"id":1,"name":"Subdivision","value":"NW"},{"id":4,"name":"Milepost","value":"5.837"},{"id":17,"name":"Train ID","value":"808-18"},{"id":16,"name":"Locomotive ID","value":"4023"},{"id":130,"name":"Impact","value":""},{"id":150,"name":"Time of Event (Mountain Time)","value":"07:57:35"},{"id":151,"name":"Denver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1"/>
        <v>start /low /b %USERPROFILE%\Documents\GitHub\eaglep3\Utilities\DownloadLogsFromS3.py --loco 4023 --day 2017-07-18</v>
      </c>
      <c r="AN17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13:57:35"},{"id":29,"name":"Sharepoint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713</v>
      </c>
      <c r="B175" s="7">
        <v>4050</v>
      </c>
      <c r="C175" s="21" t="s">
        <v>199</v>
      </c>
      <c r="D175" s="21" t="s">
        <v>993</v>
      </c>
      <c r="E175" s="13">
        <v>42934.323240740741</v>
      </c>
      <c r="F175" s="13">
        <v>42934.32744212963</v>
      </c>
      <c r="G175" s="7">
        <v>1</v>
      </c>
      <c r="H175" s="21" t="s">
        <v>986</v>
      </c>
      <c r="I175" s="13">
        <v>42934.335856481484</v>
      </c>
      <c r="J175" s="7">
        <v>0</v>
      </c>
      <c r="K175" s="89" t="str">
        <f t="shared" si="48"/>
        <v>4049/4050</v>
      </c>
      <c r="L175" s="21" t="str">
        <f>VLOOKUP(A175,'Trips&amp;Operators'!$C$1:$G$99999,5,FALSE)</f>
        <v>LANGERAK WILLIAM</v>
      </c>
      <c r="M175" s="6">
        <f t="shared" si="49"/>
        <v>8.4143518542987294E-3</v>
      </c>
      <c r="N175" s="7">
        <f>24*60*SUM($M175:$M175)</f>
        <v>12.11666667019017</v>
      </c>
      <c r="O175" s="7"/>
      <c r="P175" s="7"/>
      <c r="Q175" s="22"/>
      <c r="R175" s="170"/>
      <c r="S175" s="213">
        <f>1/IF(AG175="EC",12,1)*SUM(U175:U175)</f>
        <v>1</v>
      </c>
      <c r="T175" s="195" t="str">
        <f t="shared" si="50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-07-18T06:45:28-0600',mode:absolute,to:'2017-07-18T09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197" t="str">
        <f>IF(AA175&lt;VLOOKUP(AG175,Variables!$AC$3:$AD$8,2,FALSE),"Y","N")</f>
        <v>N</v>
      </c>
      <c r="X175" s="197">
        <f t="shared" si="64"/>
        <v>1</v>
      </c>
      <c r="Y175" s="197">
        <f t="shared" si="52"/>
        <v>0.1041</v>
      </c>
      <c r="Z175" s="197">
        <f t="shared" si="53"/>
        <v>5.7596999999999996</v>
      </c>
      <c r="AA175" s="197">
        <f t="shared" si="54"/>
        <v>5.6555999999999997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5"/>
        <v>809</v>
      </c>
      <c r="AE175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175" s="74" t="str">
        <f t="shared" si="57"/>
        <v>"C:\Program Files (x86)\AstroGrep\AstroGrep.exe" /e /r /s /spath="%USERPROFILE%\AppData\Local\Temp\OnboardLogs" /stypes="app*4050*20170718*" /stext=" 14:.+((SYSTEM_STATE.+slice.+state.+changed )|(ment ac)|(multiple cpu faults)|(system.+state.+changed )|(\[timeout)|(PRM\|1\|D)|(kpr)|(kdp)|(train st.+moving)|(\|lc)|(penalty))"</v>
      </c>
      <c r="AG175" s="209" t="str">
        <f t="shared" si="58"/>
        <v>NW</v>
      </c>
      <c r="AH175" s="78" t="str">
        <f t="shared" si="59"/>
        <v>"%USERPROFILE%\Documents\GitHub\eaglep3\Utilities\RefineRTDCRunTimes.py" --tripid 809-18 --locoid 4050 --swversion DE.1.0.9.0 --startMP 204:1041 --initTime 2017-07-18T07:45:28 --startdatetime 2017-07-18T07:51:31 --delay 1 --endMP 300:57597 --enddatetime 2017-07-18T08:03:38 --enforcementcount 0 &gt;&gt;C:\Users\stu\Documents\GitHub\eaglep3-reporting\EC\2017-07-18-refined-times.txt</v>
      </c>
      <c r="AI175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{"issue":{"subject":"","project_id":79,"tracker_id":40,"status_id":1,"priority_id":2,"assigned_to_id":23,"start_date":"2017-07-18","description":"","custom_fields":[{"id":1,"name":"Subdivision","value":"NW"},{"id":4,"name":"Milepost","value":"5.7597"},{"id":17,"name":"Train ID","value":"809-18"},{"id":16,"name":"Locomotive ID","value":"4050"},{"id":130,"name":"Impact","value":""},{"id":150,"name":"Time of Event (Mountain Time)","value":"08:03:38"},{"id":151,"name":"Denver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1"/>
        <v>start /low /b %USERPROFILE%\Documents\GitHub\eaglep3\Utilities\DownloadLogsFromS3.py --loco 4050 --day 2017-07-18</v>
      </c>
      <c r="AN17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715</v>
      </c>
      <c r="B176" s="7">
        <v>4049</v>
      </c>
      <c r="C176" s="21" t="s">
        <v>199</v>
      </c>
      <c r="D176" s="21" t="s">
        <v>981</v>
      </c>
      <c r="E176" s="13">
        <v>42934.340497685182</v>
      </c>
      <c r="F176" s="13">
        <v>42934.342870370368</v>
      </c>
      <c r="G176" s="7">
        <v>1</v>
      </c>
      <c r="H176" s="21" t="s">
        <v>994</v>
      </c>
      <c r="I176" s="13">
        <v>42934.352326388886</v>
      </c>
      <c r="J176" s="7">
        <v>0</v>
      </c>
      <c r="K176" s="89" t="str">
        <f t="shared" si="48"/>
        <v>4049/4050</v>
      </c>
      <c r="L176" s="21" t="str">
        <f>VLOOKUP(A176,'Trips&amp;Operators'!$C$1:$G$99999,5,FALSE)</f>
        <v>LANGERAK WILLIAM</v>
      </c>
      <c r="M176" s="6">
        <f t="shared" si="49"/>
        <v>9.4560185170848854E-3</v>
      </c>
      <c r="N176" s="7">
        <f>24*60*SUM($M176:$M176)</f>
        <v>13.616666664602235</v>
      </c>
      <c r="O176" s="7"/>
      <c r="P176" s="7"/>
      <c r="Q176" s="22"/>
      <c r="R176" s="170" t="s">
        <v>1067</v>
      </c>
      <c r="S176" s="213">
        <f>1/IF(AG176="EC",12,1)*SUM(U176:U176)</f>
        <v>1</v>
      </c>
      <c r="T176" s="195" t="str">
        <f t="shared" si="50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-07-18T07:10:19-0600',mode:absolute,to:'2017-07-18T09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197" t="str">
        <f>IF(AA176&lt;VLOOKUP(AG176,Variables!$AC$3:$AD$8,2,FALSE),"Y","N")</f>
        <v>N</v>
      </c>
      <c r="X176" s="197">
        <f t="shared" si="64"/>
        <v>1</v>
      </c>
      <c r="Y176" s="197">
        <f t="shared" si="52"/>
        <v>5.7335000000000003</v>
      </c>
      <c r="Z176" s="197">
        <f t="shared" si="53"/>
        <v>7.2400000000000006E-2</v>
      </c>
      <c r="AA176" s="197">
        <f t="shared" si="54"/>
        <v>5.6611000000000002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5"/>
        <v>810</v>
      </c>
      <c r="AE176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76" s="74" t="str">
        <f t="shared" si="57"/>
        <v>"C:\Program Files (x86)\AstroGrep\AstroGrep.exe" /e /r /s /spath="%USERPROFILE%\AppData\Local\Temp\OnboardLogs" /stypes="app*4049*20170718*" /stext=" 14:.+((SYSTEM_STATE.+slice.+state.+changed )|(ment ac)|(multiple cpu faults)|(system.+state.+changed )|(\[timeout)|(PRM\|1\|D)|(kpr)|(kdp)|(train st.+moving)|(\|lc)|(penalty))"</v>
      </c>
      <c r="AG176" s="209" t="str">
        <f t="shared" si="58"/>
        <v>NW</v>
      </c>
      <c r="AH176" s="78" t="str">
        <f t="shared" si="59"/>
        <v>"%USERPROFILE%\Documents\GitHub\eaglep3\Utilities\RefineRTDCRunTimes.py" --tripid 810-18 --locoid 4049 --swversion DE.1.0.9.0 --startMP 300:57335 --initTime 2017-07-18T08:10:19 --startdatetime 2017-07-18T08:13:44 --delay 1 --endMP 204:724 --enddatetime 2017-07-18T08:27:21 --enforcementcount 0 &gt;&gt;C:\Users\stu\Documents\GitHub\eaglep3-reporting\EC\2017-07-18-refined-times.txt</v>
      </c>
      <c r="AI176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failure","project_id":79,"tracker_id":40,"status_id":1,"priority_id":2,"assigned_to_id":23,"start_date":"2017-07-18","description":"","custom_fields":[{"id":1,"name":"Subdivision","value":"NW"},{"id":4,"name":"Milepost","value":"0.0724"},{"id":17,"name":"Train ID","value":"810-18"},{"id":16,"name":"Locomotive ID","value":"4049"},{"id":130,"name":"Impact","value":""},{"id":150,"name":"Time of Event (Mountain Time)","value":"08:27:21"},{"id":151,"name":"Denver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1"/>
        <v>start /low /b %USERPROFILE%\Documents\GitHub\eaglep3\Utilities\DownloadLogsFromS3.py --loco 4049 --day 2017-07-18</v>
      </c>
      <c r="AN176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715</v>
      </c>
      <c r="B177" s="7">
        <v>4049</v>
      </c>
      <c r="C177" s="21" t="s">
        <v>199</v>
      </c>
      <c r="D177" s="21" t="s">
        <v>525</v>
      </c>
      <c r="E177" s="13">
        <v>42934.338009259256</v>
      </c>
      <c r="F177" s="13">
        <v>42934.342870370368</v>
      </c>
      <c r="G177" s="7">
        <v>1</v>
      </c>
      <c r="H177" s="21" t="s">
        <v>995</v>
      </c>
      <c r="I177" s="13">
        <v>42934.352326388886</v>
      </c>
      <c r="J177" s="7">
        <v>0</v>
      </c>
      <c r="K177" s="89" t="str">
        <f t="shared" si="48"/>
        <v>4049/4050</v>
      </c>
      <c r="L177" s="21" t="str">
        <f>VLOOKUP(A177,'Trips&amp;Operators'!$C$1:$G$99999,5,FALSE)</f>
        <v>LANGERAK WILLIAM</v>
      </c>
      <c r="M177" s="6">
        <f t="shared" si="49"/>
        <v>9.4560185170848854E-3</v>
      </c>
      <c r="N177" s="7"/>
      <c r="O177" s="7"/>
      <c r="P177" s="7"/>
      <c r="Q177" s="22"/>
      <c r="R177" s="170"/>
      <c r="S177" s="213"/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-07-18T07:06:44-0600',mode:absolute,to:'2017-07-18T09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7" s="197" t="str">
        <f>IF(AA177&lt;VLOOKUP(AG177,Variables!$AC$3:$AD$8,2,FALSE),"Y","N")</f>
        <v>Y</v>
      </c>
      <c r="X177" s="197">
        <f t="shared" si="64"/>
        <v>0</v>
      </c>
      <c r="Y177" s="197">
        <f t="shared" si="52"/>
        <v>5.8630000000000004</v>
      </c>
      <c r="Z177" s="197">
        <f t="shared" si="53"/>
        <v>5.8541999999999996</v>
      </c>
      <c r="AA177" s="197">
        <f t="shared" si="54"/>
        <v>8.8000000000008072E-3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5"/>
        <v>810</v>
      </c>
      <c r="AE177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77" s="74" t="str">
        <f t="shared" si="57"/>
        <v>"C:\Program Files (x86)\AstroGrep\AstroGrep.exe" /e /r /s /spath="%USERPROFILE%\AppData\Local\Temp\OnboardLogs" /stypes="app*4049*20170718*" /stext=" 14:.+((SYSTEM_STATE.+slice.+state.+changed )|(ment ac)|(multiple cpu faults)|(system.+state.+changed )|(\[timeout)|(PRM\|1\|D)|(kpr)|(kdp)|(train st.+moving)|(\|lc)|(penalty))"</v>
      </c>
      <c r="AG177" s="209" t="str">
        <f t="shared" si="58"/>
        <v>NW</v>
      </c>
      <c r="AH177" s="78" t="str">
        <f t="shared" si="59"/>
        <v>"%USERPROFILE%\Documents\GitHub\eaglep3\Utilities\RefineRTDCRunTimes.py" --tripid 810-18 --locoid 4049 --swversion DE.1.0.9.0 --startMP 300:58630 --initTime 2017-07-18T08:06:44 --startdatetime 2017-07-18T08:13:44 --delay 1 --endMP 300:58542 --enddatetime 2017-07-18T08:27:21 --enforcementcount 0 &gt;&gt;C:\Users\stu\Documents\GitHub\eaglep3-reporting\EC\2017-07-18-refined-times.txt</v>
      </c>
      <c r="AI177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{"issue":{"subject":"","project_id":79,"tracker_id":40,"status_id":1,"priority_id":2,"assigned_to_id":23,"start_date":"2017-07-18","description":"","custom_fields":[{"id":1,"name":"Subdivision","value":"NW"},{"id":4,"name":"Milepost","value":"5.8542"},{"id":17,"name":"Train ID","value":"810-18"},{"id":16,"name":"Locomotive ID","value":"4049"},{"id":130,"name":"Impact","value":""},{"id":150,"name":"Time of Event (Mountain Time)","value":"08:27:21"},{"id":151,"name":"Denver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1"/>
        <v>start /low /b %USERPROFILE%\Documents\GitHub\eaglep3\Utilities\DownloadLogsFromS3.py --loco 4049 --day 2017-07-18</v>
      </c>
      <c r="AN17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718</v>
      </c>
      <c r="B178" s="7">
        <v>4024</v>
      </c>
      <c r="C178" s="21" t="s">
        <v>199</v>
      </c>
      <c r="D178" s="21" t="s">
        <v>622</v>
      </c>
      <c r="E178" s="13">
        <v>42934.342719907407</v>
      </c>
      <c r="F178" s="13">
        <v>42934.348437499997</v>
      </c>
      <c r="G178" s="7">
        <v>1</v>
      </c>
      <c r="H178" s="21" t="s">
        <v>996</v>
      </c>
      <c r="I178" s="13">
        <v>42934.35597222222</v>
      </c>
      <c r="J178" s="7">
        <v>0</v>
      </c>
      <c r="K178" s="89" t="str">
        <f t="shared" si="48"/>
        <v>4023/4024</v>
      </c>
      <c r="L178" s="21" t="str">
        <f>VLOOKUP(A178,'Trips&amp;Operators'!$C$1:$G$99999,5,FALSE)</f>
        <v>YANG JAN</v>
      </c>
      <c r="M178" s="6">
        <f t="shared" si="49"/>
        <v>7.5347222227719612E-3</v>
      </c>
      <c r="N178" s="7">
        <f>24*60*SUM($M178:$M178)</f>
        <v>10.850000000791624</v>
      </c>
      <c r="O178" s="7"/>
      <c r="P178" s="7"/>
      <c r="Q178" s="22"/>
      <c r="R178" s="170"/>
      <c r="S178" s="213">
        <f>1/IF(AG178="EC",12,1)*SUM(U178:U178)</f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-07-18T07:13:31-0600',mode:absolute,to:'2017-07-18T09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8" s="197" t="str">
        <f>IF(AA178&lt;VLOOKUP(AG178,Variables!$AC$3:$AD$8,2,FALSE),"Y","N")</f>
        <v>N</v>
      </c>
      <c r="X178" s="197">
        <f t="shared" si="64"/>
        <v>1</v>
      </c>
      <c r="Y178" s="197">
        <f t="shared" si="52"/>
        <v>9.64E-2</v>
      </c>
      <c r="Z178" s="197">
        <f t="shared" si="53"/>
        <v>5.7605000000000004</v>
      </c>
      <c r="AA178" s="197">
        <f t="shared" si="54"/>
        <v>5.6641000000000004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5"/>
        <v>811</v>
      </c>
      <c r="AE178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78" s="74" t="str">
        <f t="shared" si="57"/>
        <v>"C:\Program Files (x86)\AstroGrep\AstroGrep.exe" /e /r /s /spath="%USERPROFILE%\AppData\Local\Temp\OnboardLogs" /stypes="app*4024*20170718*" /stext=" 14:.+((SYSTEM_STATE.+slice.+state.+changed )|(ment ac)|(multiple cpu faults)|(system.+state.+changed )|(\[timeout)|(PRM\|1\|D)|(kpr)|(kdp)|(train st.+moving)|(\|lc)|(penalty))"</v>
      </c>
      <c r="AG178" s="209" t="str">
        <f t="shared" si="58"/>
        <v>NW</v>
      </c>
      <c r="AH178" s="78" t="str">
        <f t="shared" si="59"/>
        <v>"%USERPROFILE%\Documents\GitHub\eaglep3\Utilities\RefineRTDCRunTimes.py" --tripid 811-18 --locoid 4024 --swversion DE.1.0.9.0 --startMP 204:964 --initTime 2017-07-18T08:13:31 --startdatetime 2017-07-18T08:21:45 --delay 1 --endMP 300:57605 --enddatetime 2017-07-18T08:32:36 --enforcementcount 0 &gt;&gt;C:\Users\stu\Documents\GitHub\eaglep3-reporting\EC\2017-07-18-refined-times.txt</v>
      </c>
      <c r="AI178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{"issue":{"subject":"","project_id":79,"tracker_id":40,"status_id":1,"priority_id":2,"assigned_to_id":23,"start_date":"2017-07-18","description":"","custom_fields":[{"id":1,"name":"Subdivision","value":"NW"},{"id":4,"name":"Milepost","value":"5.7605"},{"id":17,"name":"Train ID","value":"811-18"},{"id":16,"name":"Locomotive ID","value":"4024"},{"id":130,"name":"Impact","value":""},{"id":150,"name":"Time of Event (Mountain Time)","value":"08:32:36"},{"id":151,"name":"Denver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1"/>
        <v>start /low /b %USERPROFILE%\Documents\GitHub\eaglep3\Utilities\DownloadLogsFromS3.py --loco 4024 --day 2017-07-18</v>
      </c>
      <c r="AN17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14:32:36"},{"id":29,"name":"Sharepoint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645</v>
      </c>
      <c r="B179" s="7">
        <v>4023</v>
      </c>
      <c r="C179" s="21" t="s">
        <v>199</v>
      </c>
      <c r="D179" s="21" t="s">
        <v>997</v>
      </c>
      <c r="E179" s="13">
        <v>42934.36314814815</v>
      </c>
      <c r="F179" s="13">
        <v>42934.364074074074</v>
      </c>
      <c r="G179" s="7">
        <v>0</v>
      </c>
      <c r="H179" s="21" t="s">
        <v>998</v>
      </c>
      <c r="I179" s="13">
        <v>42934.373460648145</v>
      </c>
      <c r="J179" s="7">
        <v>0</v>
      </c>
      <c r="K179" s="89" t="str">
        <f t="shared" si="48"/>
        <v>4023/4024</v>
      </c>
      <c r="L179" s="21" t="str">
        <f>VLOOKUP(A179,'Trips&amp;Operators'!$C$1:$G$99999,5,FALSE)</f>
        <v>YANG JAN</v>
      </c>
      <c r="M179" s="6">
        <f t="shared" si="49"/>
        <v>9.3865740709588863E-3</v>
      </c>
      <c r="N179" s="7">
        <f>24*60*SUM($M179:$M179)</f>
        <v>13.516666662180796</v>
      </c>
      <c r="O179" s="7"/>
      <c r="P179" s="7"/>
      <c r="Q179" s="22"/>
      <c r="R179" s="170" t="s">
        <v>1067</v>
      </c>
      <c r="S179" s="213">
        <f>1/IF(AG179="EC",12,1)*SUM(U179:U179)</f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-07-18T07:42:56-0600',mode:absolute,to:'2017-07-18T09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9" s="197" t="str">
        <f>IF(AA179&lt;VLOOKUP(AG179,Variables!$AC$3:$AD$8,2,FALSE),"Y","N")</f>
        <v>N</v>
      </c>
      <c r="X179" s="197">
        <f t="shared" si="64"/>
        <v>1</v>
      </c>
      <c r="Y179" s="197">
        <f t="shared" si="52"/>
        <v>5.7328999999999999</v>
      </c>
      <c r="Z179" s="197">
        <f t="shared" si="53"/>
        <v>6.8400000000000002E-2</v>
      </c>
      <c r="AA179" s="197">
        <f t="shared" si="54"/>
        <v>5.6645000000000003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5"/>
        <v>812</v>
      </c>
      <c r="AE179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79" s="74" t="str">
        <f t="shared" si="57"/>
        <v>"C:\Program Files (x86)\AstroGrep\AstroGrep.exe" /e /r /s /spath="%USERPROFILE%\AppData\Local\Temp\OnboardLogs" /stypes="app*4023*20170718*" /stext=" 14:.+((SYSTEM_STATE.+slice.+state.+changed )|(ment ac)|(multiple cpu faults)|(system.+state.+changed )|(\[timeout)|(PRM\|1\|D)|(kpr)|(kdp)|(train st.+moving)|(\|lc)|(penalty))"</v>
      </c>
      <c r="AG179" s="209" t="str">
        <f t="shared" si="58"/>
        <v>NW</v>
      </c>
      <c r="AH179" s="78" t="str">
        <f t="shared" si="59"/>
        <v>"%USERPROFILE%\Documents\GitHub\eaglep3\Utilities\RefineRTDCRunTimes.py" --tripid 812-18 --locoid 4023 --swversion DE.1.0.9.0 --startMP 300:57329 --initTime 2017-07-18T08:42:56 --startdatetime 2017-07-18T08:44:16 --delay 0 --endMP 204:684 --enddatetime 2017-07-18T08:57:47 --enforcementcount 0 &gt;&gt;C:\Users\stu\Documents\GitHub\eaglep3-reporting\EC\2017-07-18-refined-times.txt</v>
      </c>
      <c r="AI179" s="96" t="str">
        <f t="shared" si="60"/>
        <v>echo {"issue":{"subject":"Affected by Westminster ELXS failure","project_id":79,"tracker_id":40,"status_id":1,"priority_id":2,"assigned_to_id":23,"start_date":"2017-07-18","description":"","custom_fields":[{"id":1,"name":"Subdivision","value":"NW"},{"id":4,"name":"Milepost","value":"0.0684"},{"id":17,"name":"Train ID","value":"812-18"},{"id":16,"name":"Locomotive ID","value":"4023"},{"id":130,"name":"Impact","value":""},{"id":150,"name":"Time of Event (Mountain Time)","value":"08:57:47"},{"id":151,"name":"Denver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1"/>
        <v>start /low /b %USERPROFILE%\Documents\GitHub\eaglep3\Utilities\DownloadLogsFromS3.py --loco 4023 --day 2017-07-18</v>
      </c>
      <c r="AN179" s="151" t="str">
        <f t="shared" si="62"/>
        <v>echo {"issue":{"subject":"Affected by Westminster ELXS failure","project_id":30,"tracker_id":4,"status_id":1,"priority_id":1,"assigned_to_id":10,"start_date":"2017-07-18","description":"","custom_fields":[{"id":30,"name":"Category","value":"Issue"},{"id":3,"name":"Functional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645</v>
      </c>
      <c r="B180" s="7">
        <v>4023</v>
      </c>
      <c r="C180" s="21" t="s">
        <v>199</v>
      </c>
      <c r="D180" s="21" t="s">
        <v>999</v>
      </c>
      <c r="E180" s="13">
        <v>42934.359675925924</v>
      </c>
      <c r="F180" s="13">
        <v>42934.364074074074</v>
      </c>
      <c r="G180" s="7">
        <v>1</v>
      </c>
      <c r="H180" s="21" t="s">
        <v>992</v>
      </c>
      <c r="I180" s="13">
        <v>42934.373460648145</v>
      </c>
      <c r="J180" s="7">
        <v>0</v>
      </c>
      <c r="K180" s="89" t="str">
        <f t="shared" si="48"/>
        <v>4023/4024</v>
      </c>
      <c r="L180" s="21" t="str">
        <f>VLOOKUP(A180,'Trips&amp;Operators'!$C$1:$G$99999,5,FALSE)</f>
        <v>YANG JAN</v>
      </c>
      <c r="M180" s="6">
        <f t="shared" si="49"/>
        <v>9.3865740709588863E-3</v>
      </c>
      <c r="N180" s="7"/>
      <c r="O180" s="7"/>
      <c r="P180" s="7"/>
      <c r="Q180" s="22"/>
      <c r="R180" s="170"/>
      <c r="S180" s="213"/>
      <c r="T180" s="195" t="str">
        <f t="shared" si="50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-07-18T07:37:56-0600',mode:absolute,to:'2017-07-18T09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197" t="str">
        <f>IF(AA180&lt;VLOOKUP(AG180,Variables!$AC$3:$AD$8,2,FALSE),"Y","N")</f>
        <v>Y</v>
      </c>
      <c r="X180" s="197">
        <f t="shared" si="64"/>
        <v>0</v>
      </c>
      <c r="Y180" s="197">
        <f t="shared" si="52"/>
        <v>5.8615000000000004</v>
      </c>
      <c r="Z180" s="197">
        <f t="shared" si="53"/>
        <v>5.8369999999999997</v>
      </c>
      <c r="AA180" s="197">
        <f t="shared" si="54"/>
        <v>2.4500000000000632E-2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5"/>
        <v>812</v>
      </c>
      <c r="AE180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80" s="74" t="str">
        <f t="shared" si="57"/>
        <v>"C:\Program Files (x86)\AstroGrep\AstroGrep.exe" /e /r /s /spath="%USERPROFILE%\AppData\Local\Temp\OnboardLogs" /stypes="app*4023*20170718*" /stext=" 14:.+((SYSTEM_STATE.+slice.+state.+changed )|(ment ac)|(multiple cpu faults)|(system.+state.+changed )|(\[timeout)|(PRM\|1\|D)|(kpr)|(kdp)|(train st.+moving)|(\|lc)|(penalty))"</v>
      </c>
      <c r="AG180" s="209" t="str">
        <f t="shared" si="58"/>
        <v>NW</v>
      </c>
      <c r="AH180" s="78" t="str">
        <f t="shared" si="59"/>
        <v>"%USERPROFILE%\Documents\GitHub\eaglep3\Utilities\RefineRTDCRunTimes.py" --tripid 812-18 --locoid 4023 --swversion DE.1.0.9.0 --startMP 300:58615 --initTime 2017-07-18T08:37:56 --startdatetime 2017-07-18T08:44:16 --delay 1 --endMP 300:58370 --enddatetime 2017-07-18T08:57:47 --enforcementcount 0 &gt;&gt;C:\Users\stu\Documents\GitHub\eaglep3-reporting\EC\2017-07-18-refined-times.txt</v>
      </c>
      <c r="AI180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{"issue":{"subject":"","project_id":79,"tracker_id":40,"status_id":1,"priority_id":2,"assigned_to_id":23,"start_date":"2017-07-18","description":"","custom_fields":[{"id":1,"name":"Subdivision","value":"NW"},{"id":4,"name":"Milepost","value":"5.837"},{"id":17,"name":"Train ID","value":"812-18"},{"id":16,"name":"Locomotive ID","value":"4023"},{"id":130,"name":"Impact","value":""},{"id":150,"name":"Time of Event (Mountain Time)","value":"08:57:47"},{"id":151,"name":"Denver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1"/>
        <v>start /low /b %USERPROFILE%\Documents\GitHub\eaglep3\Utilities\DownloadLogsFromS3.py --loco 4023 --day 2017-07-18</v>
      </c>
      <c r="AN18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727</v>
      </c>
      <c r="B181" s="7">
        <v>4024</v>
      </c>
      <c r="C181" s="21" t="s">
        <v>199</v>
      </c>
      <c r="D181" s="21" t="s">
        <v>1000</v>
      </c>
      <c r="E181" s="13">
        <v>42934.383171296293</v>
      </c>
      <c r="F181" s="13">
        <v>42934.389826388891</v>
      </c>
      <c r="G181" s="7">
        <v>1</v>
      </c>
      <c r="H181" s="21" t="s">
        <v>1001</v>
      </c>
      <c r="I181" s="13">
        <v>42934.397858796299</v>
      </c>
      <c r="J181" s="7">
        <v>0</v>
      </c>
      <c r="K181" s="89" t="str">
        <f t="shared" si="48"/>
        <v>4023/4024</v>
      </c>
      <c r="L181" s="21" t="str">
        <f>VLOOKUP(A181,'Trips&amp;Operators'!$C$1:$G$99999,5,FALSE)</f>
        <v>YANG JAN</v>
      </c>
      <c r="M181" s="6">
        <f t="shared" si="49"/>
        <v>8.0324074078816921E-3</v>
      </c>
      <c r="N181" s="7">
        <f t="shared" ref="N181:N212" si="66">24*60*SUM($M181:$M181)</f>
        <v>11.566666667349637</v>
      </c>
      <c r="O181" s="7"/>
      <c r="P181" s="7"/>
      <c r="Q181" s="22"/>
      <c r="R181" s="170"/>
      <c r="S181" s="213">
        <f t="shared" ref="S181:S212" si="67">1/IF(AG181="EC",12,1)*SUM(U181:U181)</f>
        <v>1</v>
      </c>
      <c r="T181" s="195" t="str">
        <f t="shared" si="50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-07-18T08:11:46-0600',mode:absolute,to:'2017-07-18T10:32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197" t="str">
        <f>IF(AA181&lt;VLOOKUP(AG181,Variables!$AC$3:$AD$8,2,FALSE),"Y","N")</f>
        <v>N</v>
      </c>
      <c r="X181" s="197">
        <f t="shared" si="64"/>
        <v>1</v>
      </c>
      <c r="Y181" s="197">
        <f t="shared" si="52"/>
        <v>9.7799999999999998E-2</v>
      </c>
      <c r="Z181" s="197">
        <f t="shared" si="53"/>
        <v>5.7610000000000001</v>
      </c>
      <c r="AA181" s="197">
        <f t="shared" si="54"/>
        <v>5.6631999999999998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5"/>
        <v>813</v>
      </c>
      <c r="AE181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81" s="74" t="str">
        <f t="shared" si="57"/>
        <v>"C:\Program Files (x86)\AstroGrep\AstroGrep.exe" /e /r /s /spath="%USERPROFILE%\AppData\Local\Temp\OnboardLogs" /stypes="app*4024*20170718*" /stext=" 15:.+((SYSTEM_STATE.+slice.+state.+changed )|(ment ac)|(multiple cpu faults)|(system.+state.+changed )|(\[timeout)|(PRM\|1\|D)|(kpr)|(kdp)|(train st.+moving)|(\|lc)|(penalty))"</v>
      </c>
      <c r="AG181" s="209" t="str">
        <f t="shared" si="58"/>
        <v>NW</v>
      </c>
      <c r="AH181" s="78" t="str">
        <f t="shared" si="59"/>
        <v>"%USERPROFILE%\Documents\GitHub\eaglep3\Utilities\RefineRTDCRunTimes.py" --tripid 813-18 --locoid 4024 --swversion DE.1.0.9.0 --startMP 204:978 --initTime 2017-07-18T09:11:46 --startdatetime 2017-07-18T09:21:21 --delay 1 --endMP 300:57610 --enddatetime 2017-07-18T09:32:55 --enforcementcount 0 &gt;&gt;C:\Users\stu\Documents\GitHub\eaglep3-reporting\EC\2017-07-18-refined-times.txt</v>
      </c>
      <c r="AI181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{"issue":{"subject":"","project_id":79,"tracker_id":40,"status_id":1,"priority_id":2,"assigned_to_id":23,"start_date":"2017-07-18","description":"","custom_fields":[{"id":1,"name":"Subdivision","value":"NW"},{"id":4,"name":"Milepost","value":"5.761"},{"id":17,"name":"Train ID","value":"813-18"},{"id":16,"name":"Locomotive ID","value":"4024"},{"id":130,"name":"Impact","value":""},{"id":150,"name":"Time of Event (Mountain Time)","value":"09:32:55"},{"id":151,"name":"Denver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1"/>
        <v>start /low /b %USERPROFILE%\Documents\GitHub\eaglep3\Utilities\DownloadLogsFromS3.py --loco 4024 --day 2017-07-18</v>
      </c>
      <c r="AN18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732</v>
      </c>
      <c r="B182" s="7">
        <v>4023</v>
      </c>
      <c r="C182" s="21" t="s">
        <v>199</v>
      </c>
      <c r="D182" s="21" t="s">
        <v>1002</v>
      </c>
      <c r="E182" s="13">
        <v>42934.403506944444</v>
      </c>
      <c r="F182" s="13">
        <v>42934.405150462961</v>
      </c>
      <c r="G182" s="7">
        <v>1</v>
      </c>
      <c r="H182" s="21" t="s">
        <v>998</v>
      </c>
      <c r="I182" s="13">
        <v>42934.414490740739</v>
      </c>
      <c r="J182" s="7">
        <v>0</v>
      </c>
      <c r="K182" s="89" t="str">
        <f t="shared" si="48"/>
        <v>4023/4024</v>
      </c>
      <c r="L182" s="21" t="str">
        <f>VLOOKUP(A182,'Trips&amp;Operators'!$C$1:$G$99999,5,FALSE)</f>
        <v>YANG JAN</v>
      </c>
      <c r="M182" s="6">
        <f t="shared" si="49"/>
        <v>9.340277778392192E-3</v>
      </c>
      <c r="N182" s="7">
        <f t="shared" si="66"/>
        <v>13.450000000884756</v>
      </c>
      <c r="O182" s="7"/>
      <c r="P182" s="7"/>
      <c r="Q182" s="22"/>
      <c r="R182" s="170"/>
      <c r="S182" s="213">
        <f t="shared" si="67"/>
        <v>1</v>
      </c>
      <c r="T182" s="195" t="str">
        <f t="shared" si="50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-07-18T08:41:03-0600',mode:absolute,to:'2017-07-18T10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197" t="str">
        <f>IF(AA182&lt;VLOOKUP(AG182,Variables!$AC$3:$AD$8,2,FALSE),"Y","N")</f>
        <v>N</v>
      </c>
      <c r="X182" s="197">
        <f t="shared" si="64"/>
        <v>1</v>
      </c>
      <c r="Y182" s="197">
        <f t="shared" si="52"/>
        <v>5.7347999999999999</v>
      </c>
      <c r="Z182" s="197">
        <f t="shared" si="53"/>
        <v>6.8400000000000002E-2</v>
      </c>
      <c r="AA182" s="197">
        <f t="shared" si="54"/>
        <v>5.6664000000000003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5"/>
        <v>814</v>
      </c>
      <c r="AE182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82" s="74" t="str">
        <f t="shared" si="57"/>
        <v>"C:\Program Files (x86)\AstroGrep\AstroGrep.exe" /e /r /s /spath="%USERPROFILE%\AppData\Local\Temp\OnboardLogs" /stypes="app*4023*20170718*" /stext=" 15:.+((SYSTEM_STATE.+slice.+state.+changed )|(ment ac)|(multiple cpu faults)|(system.+state.+changed )|(\[timeout)|(PRM\|1\|D)|(kpr)|(kdp)|(train st.+moving)|(\|lc)|(penalty))"</v>
      </c>
      <c r="AG182" s="209" t="str">
        <f t="shared" si="58"/>
        <v>NW</v>
      </c>
      <c r="AH182" s="78" t="str">
        <f t="shared" si="59"/>
        <v>"%USERPROFILE%\Documents\GitHub\eaglep3\Utilities\RefineRTDCRunTimes.py" --tripid 814-18 --locoid 4023 --swversion DE.1.0.9.0 --startMP 300:57348 --initTime 2017-07-18T09:41:03 --startdatetime 2017-07-18T09:43:25 --delay 1 --endMP 204:684 --enddatetime 2017-07-18T09:56:52 --enforcementcount 0 &gt;&gt;C:\Users\stu\Documents\GitHub\eaglep3-reporting\EC\2017-07-18-refined-times.txt</v>
      </c>
      <c r="AI182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{"issue":{"subject":"","project_id":79,"tracker_id":40,"status_id":1,"priority_id":2,"assigned_to_id":23,"start_date":"2017-07-18","description":"","custom_fields":[{"id":1,"name":"Subdivision","value":"NW"},{"id":4,"name":"Milepost","value":"0.0684"},{"id":17,"name":"Train ID","value":"814-18"},{"id":16,"name":"Locomotive ID","value":"4023"},{"id":130,"name":"Impact","value":""},{"id":150,"name":"Time of Event (Mountain Time)","value":"09:56:52"},{"id":151,"name":"Denver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1"/>
        <v>start /low /b %USERPROFILE%\Documents\GitHub\eaglep3\Utilities\DownloadLogsFromS3.py --loco 4023 --day 2017-07-18</v>
      </c>
      <c r="AN18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737</v>
      </c>
      <c r="B183" s="7">
        <v>4024</v>
      </c>
      <c r="C183" s="21" t="s">
        <v>199</v>
      </c>
      <c r="D183" s="21" t="s">
        <v>552</v>
      </c>
      <c r="E183" s="13">
        <v>42934.425474537034</v>
      </c>
      <c r="F183" s="13">
        <v>42934.431504629632</v>
      </c>
      <c r="G183" s="7">
        <v>1</v>
      </c>
      <c r="H183" s="21" t="s">
        <v>1003</v>
      </c>
      <c r="I183" s="13">
        <v>42934.440011574072</v>
      </c>
      <c r="J183" s="7">
        <v>0</v>
      </c>
      <c r="K183" s="89" t="str">
        <f t="shared" si="48"/>
        <v>4023/4024</v>
      </c>
      <c r="L183" s="21" t="str">
        <f>VLOOKUP(A183,'Trips&amp;Operators'!$C$1:$G$99999,5,FALSE)</f>
        <v>YANG JAN</v>
      </c>
      <c r="M183" s="6">
        <f t="shared" si="49"/>
        <v>8.5069444394321181E-3</v>
      </c>
      <c r="N183" s="7">
        <f t="shared" si="66"/>
        <v>12.24999999278225</v>
      </c>
      <c r="O183" s="7"/>
      <c r="P183" s="7"/>
      <c r="Q183" s="22"/>
      <c r="R183" s="170"/>
      <c r="S183" s="213">
        <f t="shared" si="67"/>
        <v>1</v>
      </c>
      <c r="T183" s="195" t="str">
        <f t="shared" si="50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-07-18T09:12:41-0600',mode:absolute,to:'2017-07-18T11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197" t="str">
        <f>IF(AA183&lt;VLOOKUP(AG183,Variables!$AC$3:$AD$8,2,FALSE),"Y","N")</f>
        <v>N</v>
      </c>
      <c r="X183" s="197">
        <f t="shared" ref="X183:X199" si="68">VALUE(LEFT(AD183,4))-VALUE(LEFT(AD182,4))</f>
        <v>1</v>
      </c>
      <c r="Y183" s="197">
        <f t="shared" si="52"/>
        <v>9.7900000000000001E-2</v>
      </c>
      <c r="Z183" s="197">
        <f t="shared" si="53"/>
        <v>5.7599</v>
      </c>
      <c r="AA183" s="197">
        <f t="shared" si="54"/>
        <v>5.6619999999999999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5"/>
        <v>815</v>
      </c>
      <c r="AE183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83" s="74" t="str">
        <f t="shared" si="57"/>
        <v>"C:\Program Files (x86)\AstroGrep\AstroGrep.exe" /e /r /s /spath="%USERPROFILE%\AppData\Local\Temp\OnboardLogs" /stypes="app*4024*20170718*" /stext=" 16:.+((SYSTEM_STATE.+slice.+state.+changed )|(ment ac)|(multiple cpu faults)|(system.+state.+changed )|(\[timeout)|(PRM\|1\|D)|(kpr)|(kdp)|(train st.+moving)|(\|lc)|(penalty))"</v>
      </c>
      <c r="AG183" s="209" t="str">
        <f t="shared" si="58"/>
        <v>NW</v>
      </c>
      <c r="AH183" s="78" t="str">
        <f t="shared" si="59"/>
        <v>"%USERPROFILE%\Documents\GitHub\eaglep3\Utilities\RefineRTDCRunTimes.py" --tripid 815-18 --locoid 4024 --swversion DE.1.0.9.0 --startMP 204:979 --initTime 2017-07-18T10:12:41 --startdatetime 2017-07-18T10:21:22 --delay 1 --endMP 300:57599 --enddatetime 2017-07-18T10:33:37 --enforcementcount 0 &gt;&gt;C:\Users\stu\Documents\GitHub\eaglep3-reporting\EC\2017-07-18-refined-times.txt</v>
      </c>
      <c r="AI183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{"issue":{"subject":"","project_id":79,"tracker_id":40,"status_id":1,"priority_id":2,"assigned_to_id":23,"start_date":"2017-07-18","description":"","custom_fields":[{"id":1,"name":"Subdivision","value":"NW"},{"id":4,"name":"Milepost","value":"5.7599"},{"id":17,"name":"Train ID","value":"815-18"},{"id":16,"name":"Locomotive ID","value":"4024"},{"id":130,"name":"Impact","value":""},{"id":150,"name":"Time of Event (Mountain Time)","value":"10:33:37"},{"id":151,"name":"Denver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1"/>
        <v>start /low /b %USERPROFILE%\Documents\GitHub\eaglep3\Utilities\DownloadLogsFromS3.py --loco 4024 --day 2017-07-18</v>
      </c>
      <c r="AN183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740</v>
      </c>
      <c r="B184" s="7">
        <v>4023</v>
      </c>
      <c r="C184" s="21" t="s">
        <v>199</v>
      </c>
      <c r="D184" s="21" t="s">
        <v>625</v>
      </c>
      <c r="E184" s="13">
        <v>42934.442986111113</v>
      </c>
      <c r="F184" s="13">
        <v>42934.444560185184</v>
      </c>
      <c r="G184" s="7">
        <v>1</v>
      </c>
      <c r="H184" s="21" t="s">
        <v>998</v>
      </c>
      <c r="I184" s="13">
        <v>42934.455243055556</v>
      </c>
      <c r="J184" s="7">
        <v>0</v>
      </c>
      <c r="K184" s="89" t="str">
        <f t="shared" si="48"/>
        <v>4023/4024</v>
      </c>
      <c r="L184" s="21" t="str">
        <f>VLOOKUP(A184,'Trips&amp;Operators'!$C$1:$G$99999,5,FALSE)</f>
        <v>YANG JAN</v>
      </c>
      <c r="M184" s="6">
        <f t="shared" si="49"/>
        <v>1.0682870371965691E-2</v>
      </c>
      <c r="N184" s="7">
        <f t="shared" si="66"/>
        <v>15.383333335630596</v>
      </c>
      <c r="O184" s="7"/>
      <c r="P184" s="7"/>
      <c r="Q184" s="22"/>
      <c r="R184" s="170"/>
      <c r="S184" s="213">
        <f t="shared" si="67"/>
        <v>1</v>
      </c>
      <c r="T184" s="195" t="str">
        <f t="shared" si="50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-07-18T09:37:54-0600',mode:absolute,to:'2017-07-18T11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197" t="str">
        <f>IF(AA184&lt;VLOOKUP(AG184,Variables!$AC$3:$AD$8,2,FALSE),"Y","N")</f>
        <v>N</v>
      </c>
      <c r="X184" s="197">
        <f t="shared" si="68"/>
        <v>1</v>
      </c>
      <c r="Y184" s="197">
        <f t="shared" si="52"/>
        <v>5.8608000000000002</v>
      </c>
      <c r="Z184" s="197">
        <f t="shared" si="53"/>
        <v>6.8400000000000002E-2</v>
      </c>
      <c r="AA184" s="197">
        <f t="shared" si="54"/>
        <v>5.7924000000000007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5"/>
        <v>816</v>
      </c>
      <c r="AE184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84" s="74" t="str">
        <f t="shared" si="57"/>
        <v>"C:\Program Files (x86)\AstroGrep\AstroGrep.exe" /e /r /s /spath="%USERPROFILE%\AppData\Local\Temp\OnboardLogs" /stypes="app*4023*20170718*" /stext=" 16:.+((SYSTEM_STATE.+slice.+state.+changed )|(ment ac)|(multiple cpu faults)|(system.+state.+changed )|(\[timeout)|(PRM\|1\|D)|(kpr)|(kdp)|(train st.+moving)|(\|lc)|(penalty))"</v>
      </c>
      <c r="AG184" s="209" t="str">
        <f t="shared" si="58"/>
        <v>NW</v>
      </c>
      <c r="AH184" s="78" t="str">
        <f t="shared" si="59"/>
        <v>"%USERPROFILE%\Documents\GitHub\eaglep3\Utilities\RefineRTDCRunTimes.py" --tripid 816-18 --locoid 4023 --swversion DE.1.0.9.0 --startMP 300:58608 --initTime 2017-07-18T10:37:54 --startdatetime 2017-07-18T10:40:10 --delay 1 --endMP 204:684 --enddatetime 2017-07-18T10:55:33 --enforcementcount 0 &gt;&gt;C:\Users\stu\Documents\GitHub\eaglep3-reporting\EC\2017-07-18-refined-times.txt</v>
      </c>
      <c r="AI184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{"issue":{"subject":"","project_id":79,"tracker_id":40,"status_id":1,"priority_id":2,"assigned_to_id":23,"start_date":"2017-07-18","description":"","custom_fields":[{"id":1,"name":"Subdivision","value":"NW"},{"id":4,"name":"Milepost","value":"0.0684"},{"id":17,"name":"Train ID","value":"816-18"},{"id":16,"name":"Locomotive ID","value":"4023"},{"id":130,"name":"Impact","value":""},{"id":150,"name":"Time of Event (Mountain Time)","value":"10:55:33"},{"id":151,"name":"Denver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1"/>
        <v>start /low /b %USERPROFILE%\Documents\GitHub\eaglep3\Utilities\DownloadLogsFromS3.py --loco 4023 --day 2017-07-18</v>
      </c>
      <c r="AN18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747</v>
      </c>
      <c r="B185" s="7">
        <v>4024</v>
      </c>
      <c r="C185" s="21" t="s">
        <v>199</v>
      </c>
      <c r="D185" s="21" t="s">
        <v>512</v>
      </c>
      <c r="E185" s="13">
        <v>42934.457812499997</v>
      </c>
      <c r="F185" s="13">
        <v>42934.473217592589</v>
      </c>
      <c r="G185" s="7">
        <v>1</v>
      </c>
      <c r="H185" s="21" t="s">
        <v>626</v>
      </c>
      <c r="I185" s="13">
        <v>42934.482754629629</v>
      </c>
      <c r="J185" s="7">
        <v>0</v>
      </c>
      <c r="K185" s="89" t="str">
        <f t="shared" si="48"/>
        <v>4023/4024</v>
      </c>
      <c r="L185" s="21" t="str">
        <f>VLOOKUP(A185,'Trips&amp;Operators'!$C$1:$G$99999,5,FALSE)</f>
        <v>YANG JAN</v>
      </c>
      <c r="M185" s="6">
        <f t="shared" si="49"/>
        <v>9.5370370399905369E-3</v>
      </c>
      <c r="N185" s="7">
        <f t="shared" si="66"/>
        <v>13.733333337586373</v>
      </c>
      <c r="O185" s="7"/>
      <c r="P185" s="7"/>
      <c r="Q185" s="22"/>
      <c r="R185" s="170"/>
      <c r="S185" s="213">
        <f t="shared" si="67"/>
        <v>1</v>
      </c>
      <c r="T185" s="195" t="str">
        <f t="shared" si="50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-07-18T09:59:15-0600',mode:absolute,to:'2017-07-18T12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197" t="str">
        <f>IF(AA185&lt;VLOOKUP(AG185,Variables!$AC$3:$AD$8,2,FALSE),"Y","N")</f>
        <v>N</v>
      </c>
      <c r="X185" s="197">
        <f t="shared" si="68"/>
        <v>1</v>
      </c>
      <c r="Y185" s="197">
        <f t="shared" si="52"/>
        <v>9.7100000000000006E-2</v>
      </c>
      <c r="Z185" s="197">
        <f t="shared" si="53"/>
        <v>5.8925999999999998</v>
      </c>
      <c r="AA185" s="197">
        <f t="shared" si="54"/>
        <v>5.7954999999999997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5"/>
        <v>817</v>
      </c>
      <c r="AE185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85" s="74" t="str">
        <f t="shared" si="57"/>
        <v>"C:\Program Files (x86)\AstroGrep\AstroGrep.exe" /e /r /s /spath="%USERPROFILE%\AppData\Local\Temp\OnboardLogs" /stypes="app*4024*20170718*" /stext=" 17:.+((SYSTEM_STATE.+slice.+state.+changed )|(ment ac)|(multiple cpu faults)|(system.+state.+changed )|(\[timeout)|(PRM\|1\|D)|(kpr)|(kdp)|(train st.+moving)|(\|lc)|(penalty))"</v>
      </c>
      <c r="AG185" s="209" t="str">
        <f t="shared" si="58"/>
        <v>NW</v>
      </c>
      <c r="AH185" s="78" t="str">
        <f t="shared" si="59"/>
        <v>"%USERPROFILE%\Documents\GitHub\eaglep3\Utilities\RefineRTDCRunTimes.py" --tripid 817-18 --locoid 4024 --swversion DE.1.0.9.0 --startMP 204:971 --initTime 2017-07-18T10:59:15 --startdatetime 2017-07-18T11:21:26 --delay 1 --endMP 300:58926 --enddatetime 2017-07-18T11:35:10 --enforcementcount 0 &gt;&gt;C:\Users\stu\Documents\GitHub\eaglep3-reporting\EC\2017-07-18-refined-times.txt</v>
      </c>
      <c r="AI185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{"issue":{"subject":"","project_id":79,"tracker_id":40,"status_id":1,"priority_id":2,"assigned_to_id":23,"start_date":"2017-07-18","description":"","custom_fields":[{"id":1,"name":"Subdivision","value":"NW"},{"id":4,"name":"Milepost","value":"5.8926"},{"id":17,"name":"Train ID","value":"817-18"},{"id":16,"name":"Locomotive ID","value":"4024"},{"id":130,"name":"Impact","value":""},{"id":150,"name":"Time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1"/>
        <v>start /low /b %USERPROFILE%\Documents\GitHub\eaglep3\Utilities\DownloadLogsFromS3.py --loco 4024 --day 2017-07-18</v>
      </c>
      <c r="AN18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751</v>
      </c>
      <c r="B186" s="7">
        <v>4023</v>
      </c>
      <c r="C186" s="21" t="s">
        <v>199</v>
      </c>
      <c r="D186" s="21" t="s">
        <v>613</v>
      </c>
      <c r="E186" s="13">
        <v>42934.483981481484</v>
      </c>
      <c r="F186" s="13">
        <v>42934.48636574074</v>
      </c>
      <c r="G186" s="7">
        <v>1</v>
      </c>
      <c r="H186" s="21" t="s">
        <v>1004</v>
      </c>
      <c r="I186" s="13">
        <v>42934.496249999997</v>
      </c>
      <c r="J186" s="7">
        <v>0</v>
      </c>
      <c r="K186" s="89" t="str">
        <f t="shared" si="48"/>
        <v>4023/4024</v>
      </c>
      <c r="L186" s="21" t="str">
        <f>VLOOKUP(A186,'Trips&amp;Operators'!$C$1:$G$99999,5,FALSE)</f>
        <v>YANG JAN</v>
      </c>
      <c r="M186" s="6">
        <f t="shared" si="49"/>
        <v>9.8842592560686171E-3</v>
      </c>
      <c r="N186" s="7">
        <f t="shared" si="66"/>
        <v>14.233333328738809</v>
      </c>
      <c r="O186" s="7"/>
      <c r="P186" s="7"/>
      <c r="Q186" s="22"/>
      <c r="R186" s="170"/>
      <c r="S186" s="213">
        <f t="shared" si="67"/>
        <v>1</v>
      </c>
      <c r="T186" s="195" t="str">
        <f t="shared" si="50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-07-18T10:36:56-0600',mode:absolute,to:'2017-07-18T12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197" t="str">
        <f>IF(AA186&lt;VLOOKUP(AG186,Variables!$AC$3:$AD$8,2,FALSE),"Y","N")</f>
        <v>N</v>
      </c>
      <c r="X186" s="197">
        <f t="shared" si="68"/>
        <v>1</v>
      </c>
      <c r="Y186" s="197">
        <f t="shared" si="52"/>
        <v>5.8609</v>
      </c>
      <c r="Z186" s="197">
        <f t="shared" si="53"/>
        <v>6.8500000000000005E-2</v>
      </c>
      <c r="AA186" s="197">
        <f t="shared" si="54"/>
        <v>5.7923999999999998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5"/>
        <v>818</v>
      </c>
      <c r="AE186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86" s="74" t="str">
        <f t="shared" si="57"/>
        <v>"C:\Program Files (x86)\AstroGrep\AstroGrep.exe" /e /r /s /spath="%USERPROFILE%\AppData\Local\Temp\OnboardLogs" /stypes="app*4023*20170718*" /stext=" 17:.+((SYSTEM_STATE.+slice.+state.+changed )|(ment ac)|(multiple cpu faults)|(system.+state.+changed )|(\[timeout)|(PRM\|1\|D)|(kpr)|(kdp)|(train st.+moving)|(\|lc)|(penalty))"</v>
      </c>
      <c r="AG186" s="209" t="str">
        <f t="shared" si="58"/>
        <v>NW</v>
      </c>
      <c r="AH186" s="78" t="str">
        <f t="shared" si="59"/>
        <v>"%USERPROFILE%\Documents\GitHub\eaglep3\Utilities\RefineRTDCRunTimes.py" --tripid 818-18 --locoid 4023 --swversion DE.1.0.9.0 --startMP 300:58609 --initTime 2017-07-18T11:36:56 --startdatetime 2017-07-18T11:40:22 --delay 1 --endMP 204:685 --enddatetime 2017-07-18T11:54:36 --enforcementcount 0 &gt;&gt;C:\Users\stu\Documents\GitHub\eaglep3-reporting\EC\2017-07-18-refined-times.txt</v>
      </c>
      <c r="AI186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{"issue":{"subject":"","project_id":79,"tracker_id":40,"status_id":1,"priority_id":2,"assigned_to_id":23,"start_date":"2017-07-18","description":"","custom_fields":[{"id":1,"name":"Subdivision","value":"NW"},{"id":4,"name":"Milepost","value":"0.0685"},{"id":17,"name":"Train ID","value":"818-18"},{"id":16,"name":"Locomotive ID","value":"4023"},{"id":130,"name":"Impact","value":""},{"id":150,"name":"Time of Event (Mountain Time)","value":"11:54:36"},{"id":151,"name":"Denver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1"/>
        <v>start /low /b %USERPROFILE%\Documents\GitHub\eaglep3\Utilities\DownloadLogsFromS3.py --loco 4023 --day 2017-07-18</v>
      </c>
      <c r="AN18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756</v>
      </c>
      <c r="B187" s="7">
        <v>4024</v>
      </c>
      <c r="C187" s="21" t="s">
        <v>199</v>
      </c>
      <c r="D187" s="21" t="s">
        <v>1005</v>
      </c>
      <c r="E187" s="13">
        <v>42934.509513888886</v>
      </c>
      <c r="F187" s="13">
        <v>42934.514849537038</v>
      </c>
      <c r="G187" s="7">
        <v>1</v>
      </c>
      <c r="H187" s="21" t="s">
        <v>626</v>
      </c>
      <c r="I187" s="13">
        <v>42934.524513888886</v>
      </c>
      <c r="J187" s="7">
        <v>0</v>
      </c>
      <c r="K187" s="89" t="str">
        <f t="shared" si="48"/>
        <v>4023/4024</v>
      </c>
      <c r="L187" s="21" t="str">
        <f>VLOOKUP(A187,'Trips&amp;Operators'!$C$1:$G$99999,5,FALSE)</f>
        <v>YANG JAN</v>
      </c>
      <c r="M187" s="6">
        <f t="shared" si="49"/>
        <v>9.6643518481869251E-3</v>
      </c>
      <c r="N187" s="7">
        <f t="shared" si="66"/>
        <v>13.916666661389172</v>
      </c>
      <c r="O187" s="7"/>
      <c r="P187" s="7"/>
      <c r="Q187" s="22"/>
      <c r="R187" s="170"/>
      <c r="S187" s="213">
        <f t="shared" si="67"/>
        <v>1</v>
      </c>
      <c r="T187" s="195" t="str">
        <f t="shared" si="50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-07-18T11:13:42-0600',mode:absolute,to:'2017-07-18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197" t="str">
        <f>IF(AA187&lt;VLOOKUP(AG187,Variables!$AC$3:$AD$8,2,FALSE),"Y","N")</f>
        <v>N</v>
      </c>
      <c r="X187" s="197">
        <f t="shared" si="68"/>
        <v>1</v>
      </c>
      <c r="Y187" s="197">
        <f t="shared" si="52"/>
        <v>9.8799999999999999E-2</v>
      </c>
      <c r="Z187" s="197">
        <f t="shared" si="53"/>
        <v>5.8925999999999998</v>
      </c>
      <c r="AA187" s="197">
        <f t="shared" si="54"/>
        <v>5.7938000000000001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5"/>
        <v>819</v>
      </c>
      <c r="AE187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87" s="74" t="str">
        <f t="shared" si="57"/>
        <v>"C:\Program Files (x86)\AstroGrep\AstroGrep.exe" /e /r /s /spath="%USERPROFILE%\AppData\Local\Temp\OnboardLogs" /stypes="app*4024*20170718*" /stext=" 18:.+((SYSTEM_STATE.+slice.+state.+changed )|(ment ac)|(multiple cpu faults)|(system.+state.+changed )|(\[timeout)|(PRM\|1\|D)|(kpr)|(kdp)|(train st.+moving)|(\|lc)|(penalty))"</v>
      </c>
      <c r="AG187" s="209" t="str">
        <f t="shared" si="58"/>
        <v>NW</v>
      </c>
      <c r="AH187" s="78" t="str">
        <f t="shared" si="59"/>
        <v>"%USERPROFILE%\Documents\GitHub\eaglep3\Utilities\RefineRTDCRunTimes.py" --tripid 819-18 --locoid 4024 --swversion DE.1.0.9.0 --startMP 204:988 --initTime 2017-07-18T12:13:42 --startdatetime 2017-07-18T12:21:23 --delay 1 --endMP 300:58926 --enddatetime 2017-07-18T12:35:18 --enforcementcount 0 &gt;&gt;C:\Users\stu\Documents\GitHub\eaglep3-reporting\EC\2017-07-18-refined-times.txt</v>
      </c>
      <c r="AI187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{"issue":{"subject":"","project_id":79,"tracker_id":40,"status_id":1,"priority_id":2,"assigned_to_id":23,"start_date":"2017-07-18","description":"","custom_fields":[{"id":1,"name":"Subdivision","value":"NW"},{"id":4,"name":"Milepost","value":"5.8926"},{"id":17,"name":"Train ID","value":"819-18"},{"id":16,"name":"Locomotive ID","value":"4024"},{"id":130,"name":"Impact","value":""},{"id":150,"name":"Time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1"/>
        <v>start /low /b %USERPROFILE%\Documents\GitHub\eaglep3\Utilities\DownloadLogsFromS3.py --loco 4024 --day 2017-07-18</v>
      </c>
      <c r="AN18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651</v>
      </c>
      <c r="B188" s="7">
        <v>4023</v>
      </c>
      <c r="C188" s="21" t="s">
        <v>199</v>
      </c>
      <c r="D188" s="21" t="s">
        <v>1006</v>
      </c>
      <c r="E188" s="13">
        <v>42934.525949074072</v>
      </c>
      <c r="F188" s="13">
        <v>42934.528240740743</v>
      </c>
      <c r="G188" s="7">
        <v>1</v>
      </c>
      <c r="H188" s="21" t="s">
        <v>994</v>
      </c>
      <c r="I188" s="13">
        <v>42934.538472222222</v>
      </c>
      <c r="J188" s="7">
        <v>0</v>
      </c>
      <c r="K188" s="89" t="str">
        <f t="shared" si="48"/>
        <v>4023/4024</v>
      </c>
      <c r="L188" s="21" t="str">
        <f>VLOOKUP(A188,'Trips&amp;Operators'!$C$1:$G$99999,5,FALSE)</f>
        <v>YANG JAN</v>
      </c>
      <c r="M188" s="6">
        <f t="shared" si="49"/>
        <v>1.0231481479422655E-2</v>
      </c>
      <c r="N188" s="7">
        <f t="shared" si="66"/>
        <v>14.733333330368623</v>
      </c>
      <c r="O188" s="7"/>
      <c r="P188" s="7"/>
      <c r="Q188" s="22"/>
      <c r="R188" s="170"/>
      <c r="S188" s="213">
        <f t="shared" si="67"/>
        <v>1</v>
      </c>
      <c r="T188" s="195" t="str">
        <f t="shared" si="50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-07-18T11:37:22-0600',mode:absolute,to:'2017-07-18T13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197" t="str">
        <f>IF(AA188&lt;VLOOKUP(AG188,Variables!$AC$3:$AD$8,2,FALSE),"Y","N")</f>
        <v>N</v>
      </c>
      <c r="X188" s="197">
        <f t="shared" si="68"/>
        <v>1</v>
      </c>
      <c r="Y188" s="197">
        <f t="shared" si="52"/>
        <v>5.8611000000000004</v>
      </c>
      <c r="Z188" s="197">
        <f t="shared" si="53"/>
        <v>7.2400000000000006E-2</v>
      </c>
      <c r="AA188" s="197">
        <f t="shared" si="54"/>
        <v>5.7887000000000004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5"/>
        <v>820</v>
      </c>
      <c r="AE188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88" s="74" t="str">
        <f t="shared" si="57"/>
        <v>"C:\Program Files (x86)\AstroGrep\AstroGrep.exe" /e /r /s /spath="%USERPROFILE%\AppData\Local\Temp\OnboardLogs" /stypes="app*4023*20170718*" /stext=" 18:.+((SYSTEM_STATE.+slice.+state.+changed )|(ment ac)|(multiple cpu faults)|(system.+state.+changed )|(\[timeout)|(PRM\|1\|D)|(kpr)|(kdp)|(train st.+moving)|(\|lc)|(penalty))"</v>
      </c>
      <c r="AG188" s="209" t="str">
        <f t="shared" si="58"/>
        <v>NW</v>
      </c>
      <c r="AH188" s="78" t="str">
        <f t="shared" si="59"/>
        <v>"%USERPROFILE%\Documents\GitHub\eaglep3\Utilities\RefineRTDCRunTimes.py" --tripid 820-18 --locoid 4023 --swversion DE.1.0.9.0 --startMP 300:58611 --initTime 2017-07-18T12:37:22 --startdatetime 2017-07-18T12:40:40 --delay 1 --endMP 204:724 --enddatetime 2017-07-18T12:55:24 --enforcementcount 0 &gt;&gt;C:\Users\stu\Documents\GitHub\eaglep3-reporting\EC\2017-07-18-refined-times.txt</v>
      </c>
      <c r="AI188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{"issue":{"subject":"","project_id":79,"tracker_id":40,"status_id":1,"priority_id":2,"assigned_to_id":23,"start_date":"2017-07-18","description":"","custom_fields":[{"id":1,"name":"Subdivision","value":"NW"},{"id":4,"name":"Milepost","value":"0.0724"},{"id":17,"name":"Train ID","value":"820-18"},{"id":16,"name":"Locomotive ID","value":"4023"},{"id":130,"name":"Impact","value":""},{"id":150,"name":"Time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1"/>
        <v>start /low /b %USERPROFILE%\Documents\GitHub\eaglep3\Utilities\DownloadLogsFromS3.py --loco 4023 --day 2017-07-18</v>
      </c>
      <c r="AN18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18:55:24"},{"id":29,"name":"Sharepoint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763</v>
      </c>
      <c r="B189" s="7">
        <v>4024</v>
      </c>
      <c r="C189" s="21" t="s">
        <v>199</v>
      </c>
      <c r="D189" s="21" t="s">
        <v>621</v>
      </c>
      <c r="E189" s="13">
        <v>42934.547118055554</v>
      </c>
      <c r="F189" s="13">
        <v>42934.556504629632</v>
      </c>
      <c r="G189" s="7">
        <v>1</v>
      </c>
      <c r="H189" s="21" t="s">
        <v>620</v>
      </c>
      <c r="I189" s="13">
        <v>42934.566238425927</v>
      </c>
      <c r="J189" s="7">
        <v>0</v>
      </c>
      <c r="K189" s="89" t="str">
        <f t="shared" si="48"/>
        <v>4023/4024</v>
      </c>
      <c r="L189" s="21" t="str">
        <f>VLOOKUP(A189,'Trips&amp;Operators'!$C$1:$G$99999,5,FALSE)</f>
        <v>BRUDER RICHARD</v>
      </c>
      <c r="M189" s="6">
        <f t="shared" si="49"/>
        <v>9.7337962943129241E-3</v>
      </c>
      <c r="N189" s="7">
        <f t="shared" si="66"/>
        <v>14.016666663810611</v>
      </c>
      <c r="O189" s="7"/>
      <c r="P189" s="7"/>
      <c r="Q189" s="22"/>
      <c r="R189" s="170"/>
      <c r="S189" s="213">
        <f t="shared" si="67"/>
        <v>1</v>
      </c>
      <c r="T189" s="195" t="str">
        <f t="shared" si="50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-07-18T12:07:51-0600',mode:absolute,to:'2017-07-18T14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197" t="str">
        <f>IF(AA189&lt;VLOOKUP(AG189,Variables!$AC$3:$AD$8,2,FALSE),"Y","N")</f>
        <v>N</v>
      </c>
      <c r="X189" s="197">
        <f t="shared" si="68"/>
        <v>1</v>
      </c>
      <c r="Y189" s="197">
        <f t="shared" si="52"/>
        <v>0.1021</v>
      </c>
      <c r="Z189" s="197">
        <f t="shared" si="53"/>
        <v>5.8929</v>
      </c>
      <c r="AA189" s="197">
        <f t="shared" si="54"/>
        <v>5.7907999999999999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5"/>
        <v>821</v>
      </c>
      <c r="AE189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89" s="74" t="str">
        <f t="shared" si="57"/>
        <v>"C:\Program Files (x86)\AstroGrep\AstroGrep.exe" /e /r /s /spath="%USERPROFILE%\AppData\Local\Temp\OnboardLogs" /stypes="app*4024*20170718*" /stext=" 19:.+((SYSTEM_STATE.+slice.+state.+changed )|(ment ac)|(multiple cpu faults)|(system.+state.+changed )|(\[timeout)|(PRM\|1\|D)|(kpr)|(kdp)|(train st.+moving)|(\|lc)|(penalty))"</v>
      </c>
      <c r="AG189" s="209" t="str">
        <f t="shared" si="58"/>
        <v>NW</v>
      </c>
      <c r="AH189" s="78" t="str">
        <f t="shared" si="59"/>
        <v>"%USERPROFILE%\Documents\GitHub\eaglep3\Utilities\RefineRTDCRunTimes.py" --tripid 821-18 --locoid 4024 --swversion DE.1.0.9.0 --startMP 204:1021 --initTime 2017-07-18T13:07:51 --startdatetime 2017-07-18T13:21:22 --delay 1 --endMP 300:58929 --enddatetime 2017-07-18T13:35:23 --enforcementcount 0 &gt;&gt;C:\Users\stu\Documents\GitHub\eaglep3-reporting\EC\2017-07-18-refined-times.txt</v>
      </c>
      <c r="AI189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{"issue":{"subject":"","project_id":79,"tracker_id":40,"status_id":1,"priority_id":2,"assigned_to_id":23,"start_date":"2017-07-18","description":"","custom_fields":[{"id":1,"name":"Subdivision","value":"NW"},{"id":4,"name":"Milepost","value":"5.8929"},{"id":17,"name":"Train ID","value":"821-18"},{"id":16,"name":"Locomotive ID","value":"4024"},{"id":130,"name":"Impact","value":""},{"id":150,"name":"Time of Event (Mountain Time)","value":"13:35:23"},{"id":151,"name":"Denver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1"/>
        <v>start /low /b %USERPROFILE%\Documents\GitHub\eaglep3\Utilities\DownloadLogsFromS3.py --loco 4024 --day 2017-07-18</v>
      </c>
      <c r="AN18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768</v>
      </c>
      <c r="B190" s="7">
        <v>4023</v>
      </c>
      <c r="C190" s="21" t="s">
        <v>199</v>
      </c>
      <c r="D190" s="21" t="s">
        <v>615</v>
      </c>
      <c r="E190" s="13">
        <v>42934.568379629629</v>
      </c>
      <c r="F190" s="13">
        <v>42934.570428240739</v>
      </c>
      <c r="G190" s="7">
        <v>1</v>
      </c>
      <c r="H190" s="21" t="s">
        <v>994</v>
      </c>
      <c r="I190" s="13">
        <v>42934.579722222225</v>
      </c>
      <c r="J190" s="7">
        <v>0</v>
      </c>
      <c r="K190" s="89" t="str">
        <f t="shared" si="48"/>
        <v>4023/4024</v>
      </c>
      <c r="L190" s="21" t="str">
        <f>VLOOKUP(A190,'Trips&amp;Operators'!$C$1:$G$99999,5,FALSE)</f>
        <v>BRUDER RICHARD</v>
      </c>
      <c r="M190" s="6">
        <f t="shared" si="49"/>
        <v>9.2939814858254977E-3</v>
      </c>
      <c r="N190" s="7">
        <f t="shared" si="66"/>
        <v>13.383333339588717</v>
      </c>
      <c r="O190" s="7"/>
      <c r="P190" s="7"/>
      <c r="Q190" s="22"/>
      <c r="R190" s="170"/>
      <c r="S190" s="213">
        <f t="shared" si="67"/>
        <v>1</v>
      </c>
      <c r="T190" s="195" t="str">
        <f t="shared" si="50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-07-18T12:38:28-0600',mode:absolute,to:'2017-07-18T14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197" t="str">
        <f>IF(AA190&lt;VLOOKUP(AG190,Variables!$AC$3:$AD$8,2,FALSE),"Y","N")</f>
        <v>N</v>
      </c>
      <c r="X190" s="197">
        <f t="shared" si="68"/>
        <v>1</v>
      </c>
      <c r="Y190" s="197">
        <f t="shared" si="52"/>
        <v>5.8624000000000001</v>
      </c>
      <c r="Z190" s="197">
        <f t="shared" si="53"/>
        <v>7.2400000000000006E-2</v>
      </c>
      <c r="AA190" s="197">
        <f t="shared" si="54"/>
        <v>5.79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5"/>
        <v>822</v>
      </c>
      <c r="AE190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90" s="74" t="str">
        <f t="shared" si="57"/>
        <v>"C:\Program Files (x86)\AstroGrep\AstroGrep.exe" /e /r /s /spath="%USERPROFILE%\AppData\Local\Temp\OnboardLogs" /stypes="app*4023*20170718*" /stext=" 19:.+((SYSTEM_STATE.+slice.+state.+changed )|(ment ac)|(multiple cpu faults)|(system.+state.+changed )|(\[timeout)|(PRM\|1\|D)|(kpr)|(kdp)|(train st.+moving)|(\|lc)|(penalty))"</v>
      </c>
      <c r="AG190" s="209" t="str">
        <f t="shared" si="58"/>
        <v>NW</v>
      </c>
      <c r="AH190" s="78" t="str">
        <f t="shared" si="59"/>
        <v>"%USERPROFILE%\Documents\GitHub\eaglep3\Utilities\RefineRTDCRunTimes.py" --tripid 822-18 --locoid 4023 --swversion DE.1.0.9.0 --startMP 300:58624 --initTime 2017-07-18T13:38:28 --startdatetime 2017-07-18T13:41:25 --delay 1 --endMP 204:724 --enddatetime 2017-07-18T13:54:48 --enforcementcount 0 &gt;&gt;C:\Users\stu\Documents\GitHub\eaglep3-reporting\EC\2017-07-18-refined-times.txt</v>
      </c>
      <c r="AI190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{"issue":{"subject":"","project_id":79,"tracker_id":40,"status_id":1,"priority_id":2,"assigned_to_id":23,"start_date":"2017-07-18","description":"","custom_fields":[{"id":1,"name":"Subdivision","value":"NW"},{"id":4,"name":"Milepost","value":"0.0724"},{"id":17,"name":"Train ID","value":"822-18"},{"id":16,"name":"Locomotive ID","value":"4023"},{"id":130,"name":"Impact","value":""},{"id":150,"name":"Time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1"/>
        <v>start /low /b %USERPROFILE%\Documents\GitHub\eaglep3\Utilities\DownloadLogsFromS3.py --loco 4023 --day 2017-07-18</v>
      </c>
      <c r="AN19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19:54:48"},{"id":29,"name":"Sharepoint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775</v>
      </c>
      <c r="B191" s="7">
        <v>4024</v>
      </c>
      <c r="C191" s="21" t="s">
        <v>199</v>
      </c>
      <c r="D191" s="21" t="s">
        <v>1007</v>
      </c>
      <c r="E191" s="13">
        <v>42934.595405092594</v>
      </c>
      <c r="F191" s="13">
        <v>42934.598101851851</v>
      </c>
      <c r="G191" s="7">
        <v>1</v>
      </c>
      <c r="H191" s="21" t="s">
        <v>1008</v>
      </c>
      <c r="I191" s="13">
        <v>42934.607777777775</v>
      </c>
      <c r="J191" s="7">
        <v>0</v>
      </c>
      <c r="K191" s="89" t="str">
        <f t="shared" si="48"/>
        <v>4023/4024</v>
      </c>
      <c r="L191" s="21" t="str">
        <f>VLOOKUP(A191,'Trips&amp;Operators'!$C$1:$G$99999,5,FALSE)</f>
        <v>BRUDER RICHARD</v>
      </c>
      <c r="M191" s="6">
        <f t="shared" si="49"/>
        <v>9.6759259249665774E-3</v>
      </c>
      <c r="N191" s="7">
        <f t="shared" si="66"/>
        <v>13.933333331951872</v>
      </c>
      <c r="O191" s="7"/>
      <c r="P191" s="7"/>
      <c r="Q191" s="22"/>
      <c r="R191" s="170"/>
      <c r="S191" s="213">
        <f t="shared" si="67"/>
        <v>1</v>
      </c>
      <c r="T191" s="195" t="str">
        <f t="shared" si="50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-07-18T13:17:23-0600',mode:absolute,to:'2017-07-18T15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197" t="str">
        <f>IF(AA191&lt;VLOOKUP(AG191,Variables!$AC$3:$AD$8,2,FALSE),"Y","N")</f>
        <v>N</v>
      </c>
      <c r="X191" s="197">
        <f t="shared" si="68"/>
        <v>1</v>
      </c>
      <c r="Y191" s="197">
        <f t="shared" si="52"/>
        <v>0.1023</v>
      </c>
      <c r="Z191" s="197">
        <f t="shared" si="53"/>
        <v>5.8949999999999996</v>
      </c>
      <c r="AA191" s="197">
        <f t="shared" si="54"/>
        <v>5.7927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5"/>
        <v>823</v>
      </c>
      <c r="AE191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91" s="74" t="str">
        <f t="shared" si="57"/>
        <v>"C:\Program Files (x86)\AstroGrep\AstroGrep.exe" /e /r /s /spath="%USERPROFILE%\AppData\Local\Temp\OnboardLogs" /stypes="app*4024*20170718*" /stext=" 20:.+((SYSTEM_STATE.+slice.+state.+changed )|(ment ac)|(multiple cpu faults)|(system.+state.+changed )|(\[timeout)|(PRM\|1\|D)|(kpr)|(kdp)|(train st.+moving)|(\|lc)|(penalty))"</v>
      </c>
      <c r="AG191" s="209" t="str">
        <f t="shared" si="58"/>
        <v>NW</v>
      </c>
      <c r="AH191" s="78" t="str">
        <f t="shared" si="59"/>
        <v>"%USERPROFILE%\Documents\GitHub\eaglep3\Utilities\RefineRTDCRunTimes.py" --tripid 823-18 --locoid 4024 --swversion DE.1.0.9.0 --startMP 204:1023 --initTime 2017-07-18T14:17:23 --startdatetime 2017-07-18T14:21:16 --delay 1 --endMP 300:58950 --enddatetime 2017-07-18T14:35:12 --enforcementcount 0 &gt;&gt;C:\Users\stu\Documents\GitHub\eaglep3-reporting\EC\2017-07-18-refined-times.txt</v>
      </c>
      <c r="AI191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{"issue":{"subject":"","project_id":79,"tracker_id":40,"status_id":1,"priority_id":2,"assigned_to_id":23,"start_date":"2017-07-18","description":"","custom_fields":[{"id":1,"name":"Subdivision","value":"NW"},{"id":4,"name":"Milepost","value":"5.895"},{"id":17,"name":"Train ID","value":"823-18"},{"id":16,"name":"Locomotive ID","value":"4024"},{"id":130,"name":"Impact","value":""},{"id":150,"name":"Time of Event (Mountain Time)","value":"14:35:12"},{"id":151,"name":"Denver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1"/>
        <v>start /low /b %USERPROFILE%\Documents\GitHub\eaglep3\Utilities\DownloadLogsFromS3.py --loco 4024 --day 2017-07-18</v>
      </c>
      <c r="AN19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779</v>
      </c>
      <c r="B192" s="7">
        <v>4023</v>
      </c>
      <c r="C192" s="21" t="s">
        <v>199</v>
      </c>
      <c r="D192" s="21" t="s">
        <v>617</v>
      </c>
      <c r="E192" s="13">
        <v>42934.608888888892</v>
      </c>
      <c r="F192" s="13">
        <v>42934.610810185186</v>
      </c>
      <c r="G192" s="7">
        <v>1</v>
      </c>
      <c r="H192" s="21" t="s">
        <v>1009</v>
      </c>
      <c r="I192" s="13">
        <v>42934.621041666665</v>
      </c>
      <c r="J192" s="7">
        <v>0</v>
      </c>
      <c r="K192" s="89" t="str">
        <f t="shared" si="48"/>
        <v>4023/4024</v>
      </c>
      <c r="L192" s="21" t="str">
        <f>VLOOKUP(A192,'Trips&amp;Operators'!$C$1:$G$99999,5,FALSE)</f>
        <v>BRUDER RICHARD</v>
      </c>
      <c r="M192" s="6">
        <f t="shared" si="49"/>
        <v>1.0231481479422655E-2</v>
      </c>
      <c r="N192" s="7">
        <f t="shared" si="66"/>
        <v>14.733333330368623</v>
      </c>
      <c r="O192" s="7"/>
      <c r="P192" s="7"/>
      <c r="Q192" s="22"/>
      <c r="R192" s="170"/>
      <c r="S192" s="213">
        <f t="shared" si="67"/>
        <v>1</v>
      </c>
      <c r="T192" s="195" t="str">
        <f t="shared" si="50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-07-18T13:36:48-0600',mode:absolute,to:'2017-07-18T15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197" t="str">
        <f>IF(AA192&lt;VLOOKUP(AG192,Variables!$AC$3:$AD$8,2,FALSE),"Y","N")</f>
        <v>N</v>
      </c>
      <c r="X192" s="197">
        <f t="shared" si="68"/>
        <v>1</v>
      </c>
      <c r="Y192" s="197">
        <f t="shared" si="52"/>
        <v>5.8635999999999999</v>
      </c>
      <c r="Z192" s="197">
        <f t="shared" si="53"/>
        <v>7.2900000000000006E-2</v>
      </c>
      <c r="AA192" s="197">
        <f t="shared" si="54"/>
        <v>5.7907000000000002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5"/>
        <v>824</v>
      </c>
      <c r="AE192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92" s="74" t="str">
        <f t="shared" si="57"/>
        <v>"C:\Program Files (x86)\AstroGrep\AstroGrep.exe" /e /r /s /spath="%USERPROFILE%\AppData\Local\Temp\OnboardLogs" /stypes="app*4023*20170718*" /stext=" 20:.+((SYSTEM_STATE.+slice.+state.+changed )|(ment ac)|(multiple cpu faults)|(system.+state.+changed )|(\[timeout)|(PRM\|1\|D)|(kpr)|(kdp)|(train st.+moving)|(\|lc)|(penalty))"</v>
      </c>
      <c r="AG192" s="209" t="str">
        <f t="shared" si="58"/>
        <v>NW</v>
      </c>
      <c r="AH192" s="78" t="str">
        <f t="shared" si="59"/>
        <v>"%USERPROFILE%\Documents\GitHub\eaglep3\Utilities\RefineRTDCRunTimes.py" --tripid 824-18 --locoid 4023 --swversion DE.1.0.9.0 --startMP 300:58636 --initTime 2017-07-18T14:36:48 --startdatetime 2017-07-18T14:39:34 --delay 1 --endMP 204:729 --enddatetime 2017-07-18T14:54:18 --enforcementcount 0 &gt;&gt;C:\Users\stu\Documents\GitHub\eaglep3-reporting\EC\2017-07-18-refined-times.txt</v>
      </c>
      <c r="AI192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{"issue":{"subject":"","project_id":79,"tracker_id":40,"status_id":1,"priority_id":2,"assigned_to_id":23,"start_date":"2017-07-18","description":"","custom_fields":[{"id":1,"name":"Subdivision","value":"NW"},{"id":4,"name":"Milepost","value":"0.0729"},{"id":17,"name":"Train ID","value":"824-18"},{"id":16,"name":"Locomotive ID","value":"4023"},{"id":130,"name":"Impact","value":""},{"id":150,"name":"Time of Event (Mountain Time)","value":"14:54:18"},{"id":151,"name":"Denver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1"/>
        <v>start /low /b %USERPROFILE%\Documents\GitHub\eaglep3\Utilities\DownloadLogsFromS3.py --loco 4023 --day 2017-07-18</v>
      </c>
      <c r="AN19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787</v>
      </c>
      <c r="B193" s="7">
        <v>4024</v>
      </c>
      <c r="C193" s="21" t="s">
        <v>199</v>
      </c>
      <c r="D193" s="21" t="s">
        <v>1010</v>
      </c>
      <c r="E193" s="13">
        <v>42934.63690972222</v>
      </c>
      <c r="F193" s="13">
        <v>42934.640162037038</v>
      </c>
      <c r="G193" s="7">
        <v>2</v>
      </c>
      <c r="H193" s="21" t="s">
        <v>550</v>
      </c>
      <c r="I193" s="13">
        <v>42934.649571759262</v>
      </c>
      <c r="J193" s="7">
        <v>0</v>
      </c>
      <c r="K193" s="89" t="str">
        <f t="shared" si="48"/>
        <v>4023/4024</v>
      </c>
      <c r="L193" s="21" t="str">
        <f>VLOOKUP(A193,'Trips&amp;Operators'!$C$1:$G$99999,5,FALSE)</f>
        <v>BRUDER RICHARD</v>
      </c>
      <c r="M193" s="6">
        <f t="shared" si="49"/>
        <v>9.4097222245181911E-3</v>
      </c>
      <c r="N193" s="7">
        <f t="shared" si="66"/>
        <v>13.550000003306195</v>
      </c>
      <c r="O193" s="7"/>
      <c r="P193" s="7"/>
      <c r="Q193" s="22"/>
      <c r="R193" s="170"/>
      <c r="S193" s="213">
        <f t="shared" si="67"/>
        <v>1</v>
      </c>
      <c r="T193" s="195" t="str">
        <f t="shared" si="50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-07-18T14:17:09-0600',mode:absolute,to:'2017-07-18T16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197" t="str">
        <f>IF(AA193&lt;VLOOKUP(AG193,Variables!$AC$3:$AD$8,2,FALSE),"Y","N")</f>
        <v>N</v>
      </c>
      <c r="X193" s="197">
        <f t="shared" si="68"/>
        <v>1</v>
      </c>
      <c r="Y193" s="197">
        <f t="shared" si="52"/>
        <v>0.1027</v>
      </c>
      <c r="Z193" s="197">
        <f t="shared" si="53"/>
        <v>5.8954000000000004</v>
      </c>
      <c r="AA193" s="197">
        <f t="shared" si="54"/>
        <v>5.7927000000000008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5"/>
        <v>825</v>
      </c>
      <c r="AE193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93" s="74" t="str">
        <f t="shared" si="57"/>
        <v>"C:\Program Files (x86)\AstroGrep\AstroGrep.exe" /e /r /s /spath="%USERPROFILE%\AppData\Local\Temp\OnboardLogs" /stypes="app*4024*20170718*" /stext=" 21:.+((SYSTEM_STATE.+slice.+state.+changed )|(ment ac)|(multiple cpu faults)|(system.+state.+changed )|(\[timeout)|(PRM\|1\|D)|(kpr)|(kdp)|(train st.+moving)|(\|lc)|(penalty))"</v>
      </c>
      <c r="AG193" s="209" t="str">
        <f t="shared" si="58"/>
        <v>NW</v>
      </c>
      <c r="AH193" s="78" t="str">
        <f t="shared" si="59"/>
        <v>"%USERPROFILE%\Documents\GitHub\eaglep3\Utilities\RefineRTDCRunTimes.py" --tripid 825-18 --locoid 4024 --swversion DE.1.0.9.0 --startMP 204:1027 --initTime 2017-07-18T15:17:09 --startdatetime 2017-07-18T15:21:50 --delay 2 --endMP 300:58954 --enddatetime 2017-07-18T15:35:23 --enforcementcount 0 &gt;&gt;C:\Users\stu\Documents\GitHub\eaglep3-reporting\EC\2017-07-18-refined-times.txt</v>
      </c>
      <c r="AI193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{"issue":{"subject":"","project_id":79,"tracker_id":40,"status_id":1,"priority_id":2,"assigned_to_id":23,"start_date":"2017-07-18","description":"","custom_fields":[{"id":1,"name":"Subdivision","value":"NW"},{"id":4,"name":"Milepost","value":"5.8954"},{"id":17,"name":"Train ID","value":"825-18"},{"id":16,"name":"Locomotive ID","value":"4024"},{"id":130,"name":"Impact","value":""},{"id":150,"name":"Time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1"/>
        <v>start /low /b %USERPROFILE%\Documents\GitHub\eaglep3\Utilities\DownloadLogsFromS3.py --loco 4024 --day 2017-07-18</v>
      </c>
      <c r="AN193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789</v>
      </c>
      <c r="B194" s="7">
        <v>4023</v>
      </c>
      <c r="C194" s="21" t="s">
        <v>199</v>
      </c>
      <c r="D194" s="21" t="s">
        <v>1011</v>
      </c>
      <c r="E194" s="13">
        <v>42934.650752314818</v>
      </c>
      <c r="F194" s="13">
        <v>42934.652349537035</v>
      </c>
      <c r="G194" s="7">
        <v>1</v>
      </c>
      <c r="H194" s="21" t="s">
        <v>618</v>
      </c>
      <c r="I194" s="13">
        <v>42934.66375</v>
      </c>
      <c r="J194" s="7">
        <v>0</v>
      </c>
      <c r="K194" s="89" t="str">
        <f t="shared" si="48"/>
        <v>4023/4024</v>
      </c>
      <c r="L194" s="21" t="str">
        <f>VLOOKUP(A194,'Trips&amp;Operators'!$C$1:$G$99999,5,FALSE)</f>
        <v>BRUDER RICHARD</v>
      </c>
      <c r="M194" s="6">
        <f t="shared" si="49"/>
        <v>1.1400462964957114E-2</v>
      </c>
      <c r="N194" s="7">
        <f t="shared" si="66"/>
        <v>16.416666669538245</v>
      </c>
      <c r="O194" s="7"/>
      <c r="P194" s="7"/>
      <c r="Q194" s="22"/>
      <c r="R194" s="170"/>
      <c r="S194" s="213">
        <f t="shared" si="67"/>
        <v>1</v>
      </c>
      <c r="T194" s="195" t="str">
        <f t="shared" si="50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-07-18T14:37:05-0600',mode:absolute,to:'2017-07-18T16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197" t="str">
        <f>IF(AA194&lt;VLOOKUP(AG194,Variables!$AC$3:$AD$8,2,FALSE),"Y","N")</f>
        <v>N</v>
      </c>
      <c r="X194" s="197">
        <f t="shared" si="68"/>
        <v>1</v>
      </c>
      <c r="Y194" s="197">
        <f t="shared" si="52"/>
        <v>5.8628</v>
      </c>
      <c r="Z194" s="197">
        <f t="shared" si="53"/>
        <v>7.22E-2</v>
      </c>
      <c r="AA194" s="197">
        <f t="shared" si="54"/>
        <v>5.7906000000000004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5"/>
        <v>826</v>
      </c>
      <c r="AE194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94" s="74" t="str">
        <f t="shared" si="57"/>
        <v>"C:\Program Files (x86)\AstroGrep\AstroGrep.exe" /e /r /s /spath="%USERPROFILE%\AppData\Local\Temp\OnboardLogs" /stypes="app*4023*20170718*" /stext=" 21:.+((SYSTEM_STATE.+slice.+state.+changed )|(ment ac)|(multiple cpu faults)|(system.+state.+changed )|(\[timeout)|(PRM\|1\|D)|(kpr)|(kdp)|(train st.+moving)|(\|lc)|(penalty))"</v>
      </c>
      <c r="AG194" s="209" t="str">
        <f t="shared" si="58"/>
        <v>NW</v>
      </c>
      <c r="AH194" s="78" t="str">
        <f t="shared" si="59"/>
        <v>"%USERPROFILE%\Documents\GitHub\eaglep3\Utilities\RefineRTDCRunTimes.py" --tripid 826-18 --locoid 4023 --swversion DE.1.0.9.0 --startMP 300:58628 --initTime 2017-07-18T15:37:05 --startdatetime 2017-07-18T15:39:23 --delay 1 --endMP 204:722 --enddatetime 2017-07-18T15:55:48 --enforcementcount 0 &gt;&gt;C:\Users\stu\Documents\GitHub\eaglep3-reporting\EC\2017-07-18-refined-times.txt</v>
      </c>
      <c r="AI194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{"issue":{"subject":"","project_id":79,"tracker_id":40,"status_id":1,"priority_id":2,"assigned_to_id":23,"start_date":"2017-07-18","description":"","custom_fields":[{"id":1,"name":"Subdivision","value":"NW"},{"id":4,"name":"Milepost","value":"0.0722"},{"id":17,"name":"Train ID","value":"826-18"},{"id":16,"name":"Locomotive ID","value":"4023"},{"id":130,"name":"Impact","value":""},{"id":150,"name":"Time of Event (Mountain Time)","value":"15:55:48"},{"id":151,"name":"Denver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1"/>
        <v>start /low /b %USERPROFILE%\Documents\GitHub\eaglep3\Utilities\DownloadLogsFromS3.py --loco 4023 --day 2017-07-18</v>
      </c>
      <c r="AN194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790</v>
      </c>
      <c r="B195" s="7">
        <v>4050</v>
      </c>
      <c r="C195" s="21" t="s">
        <v>199</v>
      </c>
      <c r="D195" s="21" t="s">
        <v>512</v>
      </c>
      <c r="E195" s="13">
        <v>42934.65047453704</v>
      </c>
      <c r="F195" s="13">
        <v>42934.660752314812</v>
      </c>
      <c r="G195" s="7">
        <v>1</v>
      </c>
      <c r="H195" s="21" t="s">
        <v>626</v>
      </c>
      <c r="I195" s="13">
        <v>42934.670682870368</v>
      </c>
      <c r="J195" s="7">
        <v>0</v>
      </c>
      <c r="K195" s="89" t="str">
        <f t="shared" si="48"/>
        <v>4049/4050</v>
      </c>
      <c r="L195" s="21" t="str">
        <f>VLOOKUP(A195,'Trips&amp;Operators'!$C$1:$G$99999,5,FALSE)</f>
        <v>BIRKHOLZ NADINE</v>
      </c>
      <c r="M195" s="6">
        <f t="shared" si="49"/>
        <v>9.930555555911269E-3</v>
      </c>
      <c r="N195" s="7">
        <f t="shared" si="66"/>
        <v>14.300000000512227</v>
      </c>
      <c r="O195" s="7"/>
      <c r="P195" s="7"/>
      <c r="Q195" s="22"/>
      <c r="R195" s="170"/>
      <c r="S195" s="213">
        <f t="shared" si="67"/>
        <v>1</v>
      </c>
      <c r="T195" s="195" t="str">
        <f t="shared" si="50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-07-18T14:36:41-0600',mode:absolute,to:'2017-07-18T17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197" t="str">
        <f>IF(AA195&lt;VLOOKUP(AG195,Variables!$AC$3:$AD$8,2,FALSE),"Y","N")</f>
        <v>N</v>
      </c>
      <c r="X195" s="197">
        <f t="shared" si="68"/>
        <v>1</v>
      </c>
      <c r="Y195" s="197">
        <f t="shared" si="52"/>
        <v>9.7100000000000006E-2</v>
      </c>
      <c r="Z195" s="197">
        <f t="shared" si="53"/>
        <v>5.8925999999999998</v>
      </c>
      <c r="AA195" s="197">
        <f t="shared" si="54"/>
        <v>5.7954999999999997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5"/>
        <v>827</v>
      </c>
      <c r="AE195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195" s="74" t="str">
        <f t="shared" si="57"/>
        <v>"C:\Program Files (x86)\AstroGrep\AstroGrep.exe" /e /r /s /spath="%USERPROFILE%\AppData\Local\Temp\OnboardLogs" /stypes="app*4050*20170718*" /stext=" 22:.+((SYSTEM_STATE.+slice.+state.+changed )|(ment ac)|(multiple cpu faults)|(system.+state.+changed )|(\[timeout)|(PRM\|1\|D)|(kpr)|(kdp)|(train st.+moving)|(\|lc)|(penalty))"</v>
      </c>
      <c r="AG195" s="209" t="str">
        <f t="shared" si="58"/>
        <v>NW</v>
      </c>
      <c r="AH195" s="78" t="str">
        <f t="shared" si="59"/>
        <v>"%USERPROFILE%\Documents\GitHub\eaglep3\Utilities\RefineRTDCRunTimes.py" --tripid 827-18 --locoid 4050 --swversion DE.1.0.9.0 --startMP 204:971 --initTime 2017-07-18T15:36:41 --startdatetime 2017-07-18T15:51:29 --delay 1 --endMP 300:58926 --enddatetime 2017-07-18T16:05:47 --enforcementcount 0 &gt;&gt;C:\Users\stu\Documents\GitHub\eaglep3-reporting\EC\2017-07-18-refined-times.txt</v>
      </c>
      <c r="AI195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{"issue":{"subject":"","project_id":79,"tracker_id":40,"status_id":1,"priority_id":2,"assigned_to_id":23,"start_date":"2017-07-18","description":"","custom_fields":[{"id":1,"name":"Subdivision","value":"NW"},{"id":4,"name":"Milepost","value":"5.8926"},{"id":17,"name":"Train ID","value":"827-18"},{"id":16,"name":"Locomotive ID","value":"4050"},{"id":130,"name":"Impact","value":""},{"id":150,"name":"Time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1"/>
        <v>start /low /b %USERPROFILE%\Documents\GitHub\eaglep3\Utilities\DownloadLogsFromS3.py --loco 4050 --day 2017-07-18</v>
      </c>
      <c r="AN195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795</v>
      </c>
      <c r="B196" s="7">
        <v>4049</v>
      </c>
      <c r="C196" s="21" t="s">
        <v>199</v>
      </c>
      <c r="D196" s="21" t="s">
        <v>625</v>
      </c>
      <c r="E196" s="13">
        <v>42934.671701388892</v>
      </c>
      <c r="F196" s="13">
        <v>42934.673125000001</v>
      </c>
      <c r="G196" s="7">
        <v>1</v>
      </c>
      <c r="H196" s="21" t="s">
        <v>998</v>
      </c>
      <c r="I196" s="13">
        <v>42934.684421296297</v>
      </c>
      <c r="J196" s="7">
        <v>0</v>
      </c>
      <c r="K196" s="89" t="str">
        <f t="shared" si="48"/>
        <v>4049/4050</v>
      </c>
      <c r="L196" s="21" t="str">
        <f>VLOOKUP(A196,'Trips&amp;Operators'!$C$1:$G$99999,5,FALSE)</f>
        <v>BIRKHOLZ NADINE</v>
      </c>
      <c r="M196" s="6">
        <f t="shared" si="49"/>
        <v>1.1296296295768116E-2</v>
      </c>
      <c r="N196" s="7">
        <f t="shared" si="66"/>
        <v>16.266666665906087</v>
      </c>
      <c r="O196" s="7"/>
      <c r="P196" s="7"/>
      <c r="Q196" s="22"/>
      <c r="R196" s="170"/>
      <c r="S196" s="213">
        <f t="shared" si="67"/>
        <v>1</v>
      </c>
      <c r="T196" s="195" t="str">
        <f t="shared" si="50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-07-18T15:07:15-0600',mode:absolute,to:'2017-07-18T17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6" s="197" t="str">
        <f>IF(AA196&lt;VLOOKUP(AG196,Variables!$AC$3:$AD$8,2,FALSE),"Y","N")</f>
        <v>N</v>
      </c>
      <c r="X196" s="197">
        <f t="shared" si="68"/>
        <v>1</v>
      </c>
      <c r="Y196" s="197">
        <f t="shared" si="52"/>
        <v>5.8608000000000002</v>
      </c>
      <c r="Z196" s="197">
        <f t="shared" si="53"/>
        <v>6.8400000000000002E-2</v>
      </c>
      <c r="AA196" s="197">
        <f t="shared" si="54"/>
        <v>5.7924000000000007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5"/>
        <v>828</v>
      </c>
      <c r="AE196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196" s="74" t="str">
        <f t="shared" si="57"/>
        <v>"C:\Program Files (x86)\AstroGrep\AstroGrep.exe" /e /r /s /spath="%USERPROFILE%\AppData\Local\Temp\OnboardLogs" /stypes="app*4049*20170718*" /stext=" 22:.+((SYSTEM_STATE.+slice.+state.+changed )|(ment ac)|(multiple cpu faults)|(system.+state.+changed )|(\[timeout)|(PRM\|1\|D)|(kpr)|(kdp)|(train st.+moving)|(\|lc)|(penalty))"</v>
      </c>
      <c r="AG196" s="209" t="str">
        <f t="shared" si="58"/>
        <v>NW</v>
      </c>
      <c r="AH196" s="78" t="str">
        <f t="shared" si="59"/>
        <v>"%USERPROFILE%\Documents\GitHub\eaglep3\Utilities\RefineRTDCRunTimes.py" --tripid 828-18 --locoid 4049 --swversion DE.1.0.9.0 --startMP 300:58608 --initTime 2017-07-18T16:07:15 --startdatetime 2017-07-18T16:09:18 --delay 1 --endMP 204:684 --enddatetime 2017-07-18T16:25:34 --enforcementcount 0 &gt;&gt;C:\Users\stu\Documents\GitHub\eaglep3-reporting\EC\2017-07-18-refined-times.txt</v>
      </c>
      <c r="AI196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{"issue":{"subject":"","project_id":79,"tracker_id":40,"status_id":1,"priority_id":2,"assigned_to_id":23,"start_date":"2017-07-18","description":"","custom_fields":[{"id":1,"name":"Subdivision","value":"NW"},{"id":4,"name":"Milepost","value":"0.0684"},{"id":17,"name":"Train ID","value":"828-18"},{"id":16,"name":"Locomotive ID","value":"4049"},{"id":130,"name":"Impact","value":""},{"id":150,"name":"Time of Event (Mountain Time)","value":"16:25:34"},{"id":151,"name":"Denver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1"/>
        <v>start /low /b %USERPROFILE%\Documents\GitHub\eaglep3\Utilities\DownloadLogsFromS3.py --loco 4049 --day 2017-07-18</v>
      </c>
      <c r="AN196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798</v>
      </c>
      <c r="B197" s="7">
        <v>4024</v>
      </c>
      <c r="C197" s="21" t="s">
        <v>199</v>
      </c>
      <c r="D197" s="21" t="s">
        <v>1012</v>
      </c>
      <c r="E197" s="13">
        <v>42934.677442129629</v>
      </c>
      <c r="F197" s="13">
        <v>42934.681423611109</v>
      </c>
      <c r="G197" s="7">
        <v>1</v>
      </c>
      <c r="H197" s="21" t="s">
        <v>1013</v>
      </c>
      <c r="I197" s="13">
        <v>42934.690995370373</v>
      </c>
      <c r="J197" s="7">
        <v>0</v>
      </c>
      <c r="K197" s="89" t="str">
        <f t="shared" si="48"/>
        <v>4023/4024</v>
      </c>
      <c r="L197" s="21" t="str">
        <f>VLOOKUP(A197,'Trips&amp;Operators'!$C$1:$G$99999,5,FALSE)</f>
        <v>BRUDER RICHARD</v>
      </c>
      <c r="M197" s="6">
        <f t="shared" si="49"/>
        <v>9.5717592630535364E-3</v>
      </c>
      <c r="N197" s="7">
        <f t="shared" si="66"/>
        <v>13.783333338797092</v>
      </c>
      <c r="O197" s="7"/>
      <c r="P197" s="7"/>
      <c r="Q197" s="22"/>
      <c r="R197" s="170"/>
      <c r="S197" s="213">
        <f t="shared" si="67"/>
        <v>1</v>
      </c>
      <c r="T197" s="195" t="str">
        <f t="shared" si="50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-07-18T15:15:31-0600',mode:absolute,to:'2017-07-18T17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197" t="str">
        <f>IF(AA197&lt;VLOOKUP(AG197,Variables!$AC$3:$AD$8,2,FALSE),"Y","N")</f>
        <v>N</v>
      </c>
      <c r="X197" s="197">
        <f t="shared" si="68"/>
        <v>1</v>
      </c>
      <c r="Y197" s="197">
        <f t="shared" si="52"/>
        <v>0.1009</v>
      </c>
      <c r="Z197" s="197">
        <f t="shared" si="53"/>
        <v>5.8964999999999996</v>
      </c>
      <c r="AA197" s="197">
        <f t="shared" si="54"/>
        <v>5.7955999999999994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5"/>
        <v>829</v>
      </c>
      <c r="AE197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197" s="74" t="str">
        <f t="shared" si="57"/>
        <v>"C:\Program Files (x86)\AstroGrep\AstroGrep.exe" /e /r /s /spath="%USERPROFILE%\AppData\Local\Temp\OnboardLogs" /stypes="app*4024*20170718*" /stext=" 22:.+((SYSTEM_STATE.+slice.+state.+changed )|(ment ac)|(multiple cpu faults)|(system.+state.+changed )|(\[timeout)|(PRM\|1\|D)|(kpr)|(kdp)|(train st.+moving)|(\|lc)|(penalty))"</v>
      </c>
      <c r="AG197" s="209" t="str">
        <f t="shared" si="58"/>
        <v>NW</v>
      </c>
      <c r="AH197" s="78" t="str">
        <f t="shared" si="59"/>
        <v>"%USERPROFILE%\Documents\GitHub\eaglep3\Utilities\RefineRTDCRunTimes.py" --tripid 829-18 --locoid 4024 --swversion DE.1.0.9.0 --startMP 204:1009 --initTime 2017-07-18T16:15:31 --startdatetime 2017-07-18T16:21:15 --delay 1 --endMP 300:58965 --enddatetime 2017-07-18T16:35:02 --enforcementcount 0 &gt;&gt;C:\Users\stu\Documents\GitHub\eaglep3-reporting\EC\2017-07-18-refined-times.txt</v>
      </c>
      <c r="AI197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{"issue":{"subject":"","project_id":79,"tracker_id":40,"status_id":1,"priority_id":2,"assigned_to_id":23,"start_date":"2017-07-18","description":"","custom_fields":[{"id":1,"name":"Subdivision","value":"NW"},{"id":4,"name":"Milepost","value":"5.8965"},{"id":17,"name":"Train ID","value":"829-18"},{"id":16,"name":"Locomotive ID","value":"4024"},{"id":130,"name":"Impact","value":""},{"id":150,"name":"Time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1"/>
        <v>start /low /b %USERPROFILE%\Documents\GitHub\eaglep3\Utilities\DownloadLogsFromS3.py --loco 4024 --day 2017-07-18</v>
      </c>
      <c r="AN197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802</v>
      </c>
      <c r="B198" s="7">
        <v>4023</v>
      </c>
      <c r="C198" s="21" t="s">
        <v>199</v>
      </c>
      <c r="D198" s="21" t="s">
        <v>1014</v>
      </c>
      <c r="E198" s="13">
        <v>42934.692326388889</v>
      </c>
      <c r="F198" s="13">
        <v>42934.694120370368</v>
      </c>
      <c r="G198" s="7">
        <v>1</v>
      </c>
      <c r="H198" s="21" t="s">
        <v>1015</v>
      </c>
      <c r="I198" s="13">
        <v>42934.70521990741</v>
      </c>
      <c r="J198" s="7">
        <v>0</v>
      </c>
      <c r="K198" s="89" t="str">
        <f t="shared" si="48"/>
        <v>4023/4024</v>
      </c>
      <c r="L198" s="21" t="str">
        <f>VLOOKUP(A198,'Trips&amp;Operators'!$C$1:$G$99999,5,FALSE)</f>
        <v>BRUDER RICHARD</v>
      </c>
      <c r="M198" s="6">
        <f t="shared" si="49"/>
        <v>1.1099537041445728E-2</v>
      </c>
      <c r="N198" s="7">
        <f t="shared" si="66"/>
        <v>15.983333339681849</v>
      </c>
      <c r="O198" s="7"/>
      <c r="P198" s="7"/>
      <c r="Q198" s="22"/>
      <c r="R198" s="170"/>
      <c r="S198" s="213">
        <f t="shared" si="67"/>
        <v>1</v>
      </c>
      <c r="T198" s="195" t="str">
        <f t="shared" si="50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-07-18T15:36:57-0600',mode:absolute,to:'2017-07-18T17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197" t="str">
        <f>IF(AA198&lt;VLOOKUP(AG198,Variables!$AC$3:$AD$8,2,FALSE),"Y","N")</f>
        <v>N</v>
      </c>
      <c r="X198" s="197">
        <f t="shared" si="68"/>
        <v>1</v>
      </c>
      <c r="Y198" s="197">
        <f t="shared" si="52"/>
        <v>5.8644999999999996</v>
      </c>
      <c r="Z198" s="197">
        <f t="shared" si="53"/>
        <v>7.1499999999999994E-2</v>
      </c>
      <c r="AA198" s="197">
        <f t="shared" si="54"/>
        <v>5.7929999999999993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5"/>
        <v>830</v>
      </c>
      <c r="AE198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198" s="74" t="str">
        <f t="shared" si="57"/>
        <v>"C:\Program Files (x86)\AstroGrep\AstroGrep.exe" /e /r /s /spath="%USERPROFILE%\AppData\Local\Temp\OnboardLogs" /stypes="app*4023*20170718*" /stext=" 22:.+((SYSTEM_STATE.+slice.+state.+changed )|(ment ac)|(multiple cpu faults)|(system.+state.+changed )|(\[timeout)|(PRM\|1\|D)|(kpr)|(kdp)|(train st.+moving)|(\|lc)|(penalty))"</v>
      </c>
      <c r="AG198" s="209" t="str">
        <f t="shared" si="58"/>
        <v>NW</v>
      </c>
      <c r="AH198" s="78" t="str">
        <f t="shared" si="59"/>
        <v>"%USERPROFILE%\Documents\GitHub\eaglep3\Utilities\RefineRTDCRunTimes.py" --tripid 830-18 --locoid 4023 --swversion DE.1.0.9.0 --startMP 300:58645 --initTime 2017-07-18T16:36:57 --startdatetime 2017-07-18T16:39:32 --delay 1 --endMP 204:715 --enddatetime 2017-07-18T16:55:31 --enforcementcount 0 &gt;&gt;C:\Users\stu\Documents\GitHub\eaglep3-reporting\EC\2017-07-18-refined-times.txt</v>
      </c>
      <c r="AI198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{"issue":{"subject":"","project_id":79,"tracker_id":40,"status_id":1,"priority_id":2,"assigned_to_id":23,"start_date":"2017-07-18","description":"","custom_fields":[{"id":1,"name":"Subdivision","value":"NW"},{"id":4,"name":"Milepost","value":"0.0715"},{"id":17,"name":"Train ID","value":"830-18"},{"id":16,"name":"Locomotive ID","value":"4023"},{"id":130,"name":"Impact","value":""},{"id":150,"name":"Time of Event (Mountain Time)","value":"16:55:31"},{"id":151,"name":"Denver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1"/>
        <v>start /low /b %USERPROFILE%\Documents\GitHub\eaglep3\Utilities\DownloadLogsFromS3.py --loco 4023 --day 2017-07-18</v>
      </c>
      <c r="AN198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656</v>
      </c>
      <c r="B199" s="7">
        <v>4050</v>
      </c>
      <c r="C199" s="21" t="s">
        <v>199</v>
      </c>
      <c r="D199" s="21" t="s">
        <v>1016</v>
      </c>
      <c r="E199" s="13">
        <v>42934.693368055552</v>
      </c>
      <c r="F199" s="13">
        <v>42934.702488425923</v>
      </c>
      <c r="G199" s="7">
        <v>2</v>
      </c>
      <c r="H199" s="21" t="s">
        <v>1008</v>
      </c>
      <c r="I199" s="13">
        <v>42934.711747685185</v>
      </c>
      <c r="J199" s="7">
        <v>0</v>
      </c>
      <c r="K199" s="89" t="str">
        <f t="shared" si="48"/>
        <v>4049/4050</v>
      </c>
      <c r="L199" s="21" t="str">
        <f>VLOOKUP(A199,'Trips&amp;Operators'!$C$1:$G$99999,5,FALSE)</f>
        <v>BIRKHOLZ NADINE</v>
      </c>
      <c r="M199" s="6">
        <f t="shared" si="49"/>
        <v>9.2592592627624981E-3</v>
      </c>
      <c r="N199" s="7">
        <f t="shared" si="66"/>
        <v>13.333333338377997</v>
      </c>
      <c r="O199" s="7"/>
      <c r="P199" s="7"/>
      <c r="Q199" s="22"/>
      <c r="R199" s="170"/>
      <c r="S199" s="213">
        <f t="shared" si="67"/>
        <v>1</v>
      </c>
      <c r="T199" s="195" t="str">
        <f t="shared" si="50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-07-18T15:38:27-0600',mode:absolute,to:'2017-07-18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9" s="197" t="str">
        <f>IF(AA199&lt;VLOOKUP(AG199,Variables!$AC$3:$AD$8,2,FALSE),"Y","N")</f>
        <v>N</v>
      </c>
      <c r="X199" s="197">
        <f t="shared" si="68"/>
        <v>1</v>
      </c>
      <c r="Y199" s="197">
        <f t="shared" si="52"/>
        <v>9.8100000000000007E-2</v>
      </c>
      <c r="Z199" s="197">
        <f t="shared" si="53"/>
        <v>5.8949999999999996</v>
      </c>
      <c r="AA199" s="197">
        <f t="shared" si="54"/>
        <v>5.7968999999999999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5"/>
        <v>831</v>
      </c>
      <c r="AE199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199" s="74" t="str">
        <f t="shared" si="57"/>
        <v>"C:\Program Files (x86)\AstroGrep\AstroGrep.exe" /e /r /s /spath="%USERPROFILE%\AppData\Local\Temp\OnboardLogs" /stypes="app*4050*20170718*" /stext=" 23:.+((SYSTEM_STATE.+slice.+state.+changed )|(ment ac)|(multiple cpu faults)|(system.+state.+changed )|(\[timeout)|(PRM\|1\|D)|(kpr)|(kdp)|(train st.+moving)|(\|lc)|(penalty))"</v>
      </c>
      <c r="AG199" s="209" t="str">
        <f t="shared" si="58"/>
        <v>NW</v>
      </c>
      <c r="AH199" s="78" t="str">
        <f t="shared" si="59"/>
        <v>"%USERPROFILE%\Documents\GitHub\eaglep3\Utilities\RefineRTDCRunTimes.py" --tripid 831-18 --locoid 4050 --swversion DE.1.0.9.0 --startMP 204:981 --initTime 2017-07-18T16:38:27 --startdatetime 2017-07-18T16:51:35 --delay 2 --endMP 300:58950 --enddatetime 2017-07-18T17:04:55 --enforcementcount 0 &gt;&gt;C:\Users\stu\Documents\GitHub\eaglep3-reporting\EC\2017-07-18-refined-times.txt</v>
      </c>
      <c r="AI199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{"issue":{"subject":"","project_id":79,"tracker_id":40,"status_id":1,"priority_id":2,"assigned_to_id":23,"start_date":"2017-07-18","description":"","custom_fields":[{"id":1,"name":"Subdivision","value":"NW"},{"id":4,"name":"Milepost","value":"5.895"},{"id":17,"name":"Train ID","value":"831-18"},{"id":16,"name":"Locomotive ID","value":"4050"},{"id":130,"name":"Impact","value":""},{"id":150,"name":"Time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1"/>
        <v>start /low /b %USERPROFILE%\Documents\GitHub\eaglep3\Utilities\DownloadLogsFromS3.py --loco 4050 --day 2017-07-18</v>
      </c>
      <c r="AN199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657</v>
      </c>
      <c r="B200" s="7">
        <v>4049</v>
      </c>
      <c r="C200" s="21" t="s">
        <v>199</v>
      </c>
      <c r="D200" s="21" t="s">
        <v>1011</v>
      </c>
      <c r="E200" s="13">
        <v>42934.71297453704</v>
      </c>
      <c r="F200" s="13">
        <v>42934.71597222222</v>
      </c>
      <c r="G200" s="7">
        <v>1</v>
      </c>
      <c r="H200" s="21" t="s">
        <v>1017</v>
      </c>
      <c r="I200" s="13">
        <v>42934.725763888891</v>
      </c>
      <c r="J200" s="7">
        <v>0</v>
      </c>
      <c r="K200" s="89" t="str">
        <f t="shared" si="48"/>
        <v>4049/4050</v>
      </c>
      <c r="L200" s="21" t="str">
        <f>VLOOKUP(A200,'Trips&amp;Operators'!$C$1:$G$99999,5,FALSE)</f>
        <v>BIRKHOLZ NADINE</v>
      </c>
      <c r="M200" s="6">
        <f t="shared" si="49"/>
        <v>9.7916666709352285E-3</v>
      </c>
      <c r="N200" s="7">
        <f t="shared" si="66"/>
        <v>14.100000006146729</v>
      </c>
      <c r="O200" s="7"/>
      <c r="P200" s="7"/>
      <c r="Q200" s="22"/>
      <c r="R200" s="170"/>
      <c r="S200" s="213">
        <f t="shared" si="67"/>
        <v>1</v>
      </c>
      <c r="T200" s="195" t="str">
        <f t="shared" si="50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-07-18T16:06:41-0600',mode:absolute,to:'2017-07-18T18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197" t="str">
        <f>IF(AA200&lt;VLOOKUP(AG200,Variables!$AC$3:$AD$8,2,FALSE),"Y","N")</f>
        <v>N</v>
      </c>
      <c r="X200" s="197">
        <f t="shared" ref="X200:X204" si="69">VALUE(LEFT(AD200,4))-VALUE(LEFT(AD199,4))</f>
        <v>1</v>
      </c>
      <c r="Y200" s="197">
        <f t="shared" si="52"/>
        <v>5.8628</v>
      </c>
      <c r="Z200" s="197">
        <f t="shared" si="53"/>
        <v>6.5600000000000006E-2</v>
      </c>
      <c r="AA200" s="197">
        <f t="shared" si="54"/>
        <v>5.7972000000000001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5"/>
        <v>832</v>
      </c>
      <c r="AE200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200" s="74" t="str">
        <f t="shared" si="57"/>
        <v>"C:\Program Files (x86)\AstroGrep\AstroGrep.exe" /e /r /s /spath="%USERPROFILE%\AppData\Local\Temp\OnboardLogs" /stypes="app*4049*20170718*" /stext=" 23:.+((SYSTEM_STATE.+slice.+state.+changed )|(ment ac)|(multiple cpu faults)|(system.+state.+changed )|(\[timeout)|(PRM\|1\|D)|(kpr)|(kdp)|(train st.+moving)|(\|lc)|(penalty))"</v>
      </c>
      <c r="AG200" s="209" t="str">
        <f t="shared" si="58"/>
        <v>NW</v>
      </c>
      <c r="AH200" s="78" t="str">
        <f t="shared" si="59"/>
        <v>"%USERPROFILE%\Documents\GitHub\eaglep3\Utilities\RefineRTDCRunTimes.py" --tripid 832-18 --locoid 4049 --swversion DE.1.0.9.0 --startMP 300:58628 --initTime 2017-07-18T17:06:41 --startdatetime 2017-07-18T17:11:00 --delay 1 --endMP 204:656 --enddatetime 2017-07-18T17:25:06 --enforcementcount 0 &gt;&gt;C:\Users\stu\Documents\GitHub\eaglep3-reporting\EC\2017-07-18-refined-times.txt</v>
      </c>
      <c r="AI200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{"issue":{"subject":"","project_id":79,"tracker_id":40,"status_id":1,"priority_id":2,"assigned_to_id":23,"start_date":"2017-07-18","description":"","custom_fields":[{"id":1,"name":"Subdivision","value":"NW"},{"id":4,"name":"Milepost","value":"0.0656"},{"id":17,"name":"Train ID","value":"832-18"},{"id":16,"name":"Locomotive ID","value":"4049"},{"id":130,"name":"Impact","value":""},{"id":150,"name":"Time of Event (Mountain Time)","value":"17:25:06"},{"id":151,"name":"Denver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1"/>
        <v>start /low /b %USERPROFILE%\Documents\GitHub\eaglep3\Utilities\DownloadLogsFromS3.py --loco 4049 --day 2017-07-18</v>
      </c>
      <c r="AN200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807</v>
      </c>
      <c r="B201" s="7">
        <v>4024</v>
      </c>
      <c r="C201" s="21" t="s">
        <v>199</v>
      </c>
      <c r="D201" s="21" t="s">
        <v>619</v>
      </c>
      <c r="E201" s="13">
        <v>42934.718865740739</v>
      </c>
      <c r="F201" s="13">
        <v>42934.723124999997</v>
      </c>
      <c r="G201" s="7">
        <v>1</v>
      </c>
      <c r="H201" s="21" t="s">
        <v>1018</v>
      </c>
      <c r="I201" s="13">
        <v>42934.732800925929</v>
      </c>
      <c r="J201" s="7">
        <v>0</v>
      </c>
      <c r="K201" s="89" t="str">
        <f t="shared" si="48"/>
        <v>4023/4024</v>
      </c>
      <c r="L201" s="21" t="str">
        <f>VLOOKUP(A201,'Trips&amp;Operators'!$C$1:$G$99999,5,FALSE)</f>
        <v>BRUDER RICHARD</v>
      </c>
      <c r="M201" s="6">
        <f t="shared" si="49"/>
        <v>9.6759259322425351E-3</v>
      </c>
      <c r="N201" s="7">
        <f t="shared" si="66"/>
        <v>13.93333334242925</v>
      </c>
      <c r="O201" s="7"/>
      <c r="P201" s="7"/>
      <c r="Q201" s="22"/>
      <c r="R201" s="170"/>
      <c r="S201" s="213">
        <f t="shared" si="67"/>
        <v>1</v>
      </c>
      <c r="T201" s="195" t="str">
        <f t="shared" si="50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-07-18T16:15:10-0600',mode:absolute,to:'2017-07-18T18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197" t="str">
        <f>IF(AA201&lt;VLOOKUP(AG201,Variables!$AC$3:$AD$8,2,FALSE),"Y","N")</f>
        <v>N</v>
      </c>
      <c r="X201" s="197">
        <f t="shared" si="69"/>
        <v>1</v>
      </c>
      <c r="Y201" s="197">
        <f t="shared" si="52"/>
        <v>0.1014</v>
      </c>
      <c r="Z201" s="197">
        <f t="shared" si="53"/>
        <v>5.8944000000000001</v>
      </c>
      <c r="AA201" s="197">
        <f t="shared" si="54"/>
        <v>5.7930000000000001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5"/>
        <v>833</v>
      </c>
      <c r="AE201" s="77" t="str">
        <f t="shared" si="56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01" s="74" t="str">
        <f t="shared" si="57"/>
        <v>"C:\Program Files (x86)\AstroGrep\AstroGrep.exe" /e /r /s /spath="%USERPROFILE%\AppData\Local\Temp\OnboardLogs" /stypes="app*4024*20170718*" /stext=" 23:.+((SYSTEM_STATE.+slice.+state.+changed )|(ment ac)|(multiple cpu faults)|(system.+state.+changed )|(\[timeout)|(PRM\|1\|D)|(kpr)|(kdp)|(train st.+moving)|(\|lc)|(penalty))"</v>
      </c>
      <c r="AG201" s="209" t="str">
        <f t="shared" si="58"/>
        <v>NW</v>
      </c>
      <c r="AH201" s="78" t="str">
        <f t="shared" si="59"/>
        <v>"%USERPROFILE%\Documents\GitHub\eaglep3\Utilities\RefineRTDCRunTimes.py" --tripid 833-18 --locoid 4024 --swversion DE.1.0.9.0 --startMP 204:1014 --initTime 2017-07-18T17:15:10 --startdatetime 2017-07-18T17:21:18 --delay 1 --endMP 300:58944 --enddatetime 2017-07-18T17:35:14 --enforcementcount 0 &gt;&gt;C:\Users\stu\Documents\GitHub\eaglep3-reporting\EC\2017-07-18-refined-times.txt</v>
      </c>
      <c r="AI201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{"issue":{"subject":"","project_id":79,"tracker_id":40,"status_id":1,"priority_id":2,"assigned_to_id":23,"start_date":"2017-07-18","description":"","custom_fields":[{"id":1,"name":"Subdivision","value":"NW"},{"id":4,"name":"Milepost","value":"5.8944"},{"id":17,"name":"Train ID","value":"833-18"},{"id":16,"name":"Locomotive ID","value":"4024"},{"id":130,"name":"Impact","value":""},{"id":150,"name":"Time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1"/>
        <v>start /low /b %USERPROFILE%\Documents\GitHub\eaglep3\Utilities\DownloadLogsFromS3.py --loco 4024 --day 2017-07-18</v>
      </c>
      <c r="AN201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811</v>
      </c>
      <c r="B202" s="7">
        <v>4023</v>
      </c>
      <c r="C202" s="21" t="s">
        <v>199</v>
      </c>
      <c r="D202" s="21" t="s">
        <v>1011</v>
      </c>
      <c r="E202" s="13">
        <v>42934.733819444446</v>
      </c>
      <c r="F202" s="13">
        <v>42934.735509259262</v>
      </c>
      <c r="G202" s="7">
        <v>1</v>
      </c>
      <c r="H202" s="21" t="s">
        <v>1019</v>
      </c>
      <c r="I202" s="13">
        <v>42934.746550925927</v>
      </c>
      <c r="J202" s="7">
        <v>0</v>
      </c>
      <c r="K202" s="89" t="str">
        <f t="shared" si="48"/>
        <v>4023/4024</v>
      </c>
      <c r="L202" s="21" t="str">
        <f>VLOOKUP(A202,'Trips&amp;Operators'!$C$1:$G$99999,5,FALSE)</f>
        <v>BRUDER RICHARD</v>
      </c>
      <c r="M202" s="6">
        <f t="shared" si="49"/>
        <v>1.1041666664823424E-2</v>
      </c>
      <c r="N202" s="7">
        <f t="shared" si="66"/>
        <v>15.899999997345731</v>
      </c>
      <c r="O202" s="7"/>
      <c r="P202" s="7"/>
      <c r="Q202" s="22"/>
      <c r="R202" s="170"/>
      <c r="S202" s="213">
        <f t="shared" si="67"/>
        <v>1</v>
      </c>
      <c r="T202" s="195" t="str">
        <f t="shared" si="50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-07-18T16:36:42-0600',mode:absolute,to:'2017-07-18T18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197" t="str">
        <f>IF(AA202&lt;VLOOKUP(AG202,Variables!$AC$3:$AD$8,2,FALSE),"Y","N")</f>
        <v>N</v>
      </c>
      <c r="X202" s="197">
        <f t="shared" si="69"/>
        <v>1</v>
      </c>
      <c r="Y202" s="197">
        <f t="shared" si="52"/>
        <v>5.8628</v>
      </c>
      <c r="Z202" s="197">
        <f t="shared" si="53"/>
        <v>7.2599999999999998E-2</v>
      </c>
      <c r="AA202" s="197">
        <f t="shared" si="54"/>
        <v>5.7902000000000005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5"/>
        <v>834</v>
      </c>
      <c r="AE202" s="77" t="str">
        <f t="shared" si="56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02" s="74" t="str">
        <f t="shared" si="57"/>
        <v>"C:\Program Files (x86)\AstroGrep\AstroGrep.exe" /e /r /s /spath="%USERPROFILE%\AppData\Local\Temp\OnboardLogs" /stypes="app*4023*20170718*" /stext=" 23:.+((SYSTEM_STATE.+slice.+state.+changed )|(ment ac)|(multiple cpu faults)|(system.+state.+changed )|(\[timeout)|(PRM\|1\|D)|(kpr)|(kdp)|(train st.+moving)|(\|lc)|(penalty))"</v>
      </c>
      <c r="AG202" s="209" t="str">
        <f t="shared" si="58"/>
        <v>NW</v>
      </c>
      <c r="AH202" s="78" t="str">
        <f t="shared" si="59"/>
        <v>"%USERPROFILE%\Documents\GitHub\eaglep3\Utilities\RefineRTDCRunTimes.py" --tripid 834-18 --locoid 4023 --swversion DE.1.0.9.0 --startMP 300:58628 --initTime 2017-07-18T17:36:42 --startdatetime 2017-07-18T17:39:08 --delay 1 --endMP 204:726 --enddatetime 2017-07-18T17:55:02 --enforcementcount 0 &gt;&gt;C:\Users\stu\Documents\GitHub\eaglep3-reporting\EC\2017-07-18-refined-times.txt</v>
      </c>
      <c r="AI202" s="96" t="str">
        <f t="shared" si="60"/>
        <v>echo {"issue":{"subject":"","project_id":79,"tracker_id":40,"status_id":1,"priority_id":2,"assigned_to_id":23,"start_date":"2017-07-18","description":"","custom_fields":[{"id":1,"name":"Subdivision","value":"NW"},{"id":4,"name":"Milepost","value":"0.0726"},{"id":17,"name":"Train ID","value":"834-18"},{"id":16,"name":"Locomotive ID","value":"4023"},{"id":130,"name":"Impact","value":""},{"id":150,"name":"Time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1"/>
        <v>start /low /b %USERPROFILE%\Documents\GitHub\eaglep3\Utilities\DownloadLogsFromS3.py --loco 4023 --day 2017-07-18</v>
      </c>
      <c r="AN202" s="151" t="str">
        <f t="shared" si="62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812</v>
      </c>
      <c r="B203" s="7">
        <v>4050</v>
      </c>
      <c r="C203" s="21" t="s">
        <v>199</v>
      </c>
      <c r="D203" s="21" t="s">
        <v>1020</v>
      </c>
      <c r="E203" s="13">
        <v>42934.735439814816</v>
      </c>
      <c r="F203" s="13">
        <v>42934.743946759256</v>
      </c>
      <c r="G203" s="7">
        <v>1</v>
      </c>
      <c r="H203" s="21" t="s">
        <v>623</v>
      </c>
      <c r="I203" s="13">
        <v>42934.754363425927</v>
      </c>
      <c r="J203" s="7">
        <v>0</v>
      </c>
      <c r="K203" s="89" t="str">
        <f t="shared" si="48"/>
        <v>4049/4050</v>
      </c>
      <c r="L203" s="21" t="str">
        <f>VLOOKUP(A203,'Trips&amp;Operators'!$C$1:$G$99999,5,FALSE)</f>
        <v>BIRKHOLZ NADINE</v>
      </c>
      <c r="M203" s="6">
        <f t="shared" si="49"/>
        <v>1.0416666671517305E-2</v>
      </c>
      <c r="N203" s="7">
        <f t="shared" si="66"/>
        <v>15.000000006984919</v>
      </c>
      <c r="O203" s="7"/>
      <c r="P203" s="7"/>
      <c r="Q203" s="22"/>
      <c r="R203" s="170"/>
      <c r="S203" s="213">
        <f t="shared" si="67"/>
        <v>1</v>
      </c>
      <c r="T203" s="195" t="str">
        <f t="shared" si="50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-07-18T16:39:02-0600',mode:absolute,to:'2017-07-18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197" t="str">
        <f>IF(AA203&lt;VLOOKUP(AG203,Variables!$AC$3:$AD$8,2,FALSE),"Y","N")</f>
        <v>N</v>
      </c>
      <c r="X203" s="197">
        <f t="shared" si="69"/>
        <v>1</v>
      </c>
      <c r="Y203" s="197">
        <f t="shared" si="52"/>
        <v>9.4299999999999995E-2</v>
      </c>
      <c r="Z203" s="197">
        <f t="shared" si="53"/>
        <v>5.8928000000000003</v>
      </c>
      <c r="AA203" s="197">
        <f t="shared" si="54"/>
        <v>5.7985000000000007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5"/>
        <v>835</v>
      </c>
      <c r="AE203" s="77" t="str">
        <f t="shared" si="56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203" s="74" t="str">
        <f t="shared" si="57"/>
        <v>"C:\Program Files (x86)\AstroGrep\AstroGrep.exe" /e /r /s /spath="%USERPROFILE%\AppData\Local\Temp\OnboardLogs" /stypes="app*4050*20170719*" /stext=" 00:.+((SYSTEM_STATE.+slice.+state.+changed )|(ment ac)|(multiple cpu faults)|(system.+state.+changed )|(\[timeout)|(PRM\|1\|D)|(kpr)|(kdp)|(train st.+moving)|(\|lc)|(penalty))"</v>
      </c>
      <c r="AG203" s="209" t="str">
        <f t="shared" si="58"/>
        <v>NW</v>
      </c>
      <c r="AH203" s="78" t="str">
        <f t="shared" ref="AH203:AH245" si="70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835-18 --locoid 4050 --swversion DE.1.0.9.0 --startMP 204:943 --initTime 2017-07-18T17:39:02 --startdatetime 2017-07-18T17:51:17 --delay 1 --endMP 300:58928 --enddatetime 2017-07-18T18:06:17 --enforcementcount 0 &gt;&gt;C:\Users\stu\Documents\GitHub\eaglep3-reporting\EC\2017-07-18-refined-times.txt</v>
      </c>
      <c r="AI203" s="96" t="str">
        <f t="shared" ref="AI203:AI245" si="71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{"issue":{"subject":"","project_id":79,"tracker_id":40,"status_id":1,"priority_id":2,"assigned_to_id":23,"start_date":"2017-07-18","description":"","custom_fields":[{"id":1,"name":"Subdivision","value":"NW"},{"id":4,"name":"Milepost","value":"5.8928"},{"id":17,"name":"Train ID","value":"835-18"},{"id":16,"name":"Locomotive ID","value":"4050"},{"id":130,"name":"Impact","value":""},{"id":150,"name":"Time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ref="AM203:AM245" si="72">"start /low /b "&amp;dls3logs&amp;" --loco "&amp;B203&amp;" --day "&amp;TEXT(F203,"YYYY-MM-DD")</f>
        <v>start /low /b %USERPROFILE%\Documents\GitHub\eaglep3\Utilities\DownloadLogsFromS3.py --loco 4050 --day 2017-07-18</v>
      </c>
      <c r="AN203" s="151" t="str">
        <f t="shared" ref="AN203:AN245" si="73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818</v>
      </c>
      <c r="B204" s="7">
        <v>4049</v>
      </c>
      <c r="C204" s="21" t="s">
        <v>199</v>
      </c>
      <c r="D204" s="21" t="s">
        <v>625</v>
      </c>
      <c r="E204" s="13">
        <v>42934.755289351851</v>
      </c>
      <c r="F204" s="13">
        <v>42934.756747685184</v>
      </c>
      <c r="G204" s="7">
        <v>1</v>
      </c>
      <c r="H204" s="21" t="s">
        <v>433</v>
      </c>
      <c r="I204" s="13">
        <v>42934.767812500002</v>
      </c>
      <c r="J204" s="7">
        <v>0</v>
      </c>
      <c r="K204" s="89" t="str">
        <f t="shared" si="48"/>
        <v>4049/4050</v>
      </c>
      <c r="L204" s="21" t="str">
        <f>VLOOKUP(A204,'Trips&amp;Operators'!$C$1:$G$99999,5,FALSE)</f>
        <v>BIRKHOLZ NADINE</v>
      </c>
      <c r="M204" s="6">
        <f t="shared" si="49"/>
        <v>1.1064814818382729E-2</v>
      </c>
      <c r="N204" s="7">
        <f t="shared" si="66"/>
        <v>15.93333333847113</v>
      </c>
      <c r="O204" s="7"/>
      <c r="P204" s="7"/>
      <c r="Q204" s="22"/>
      <c r="R204" s="170"/>
      <c r="S204" s="213">
        <f t="shared" si="67"/>
        <v>1</v>
      </c>
      <c r="T204" s="195" t="str">
        <f t="shared" si="50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-07-18T17:07:37-0600',mode:absolute,to:'2017-07-18T19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4" s="197" t="str">
        <f>IF(AA204&lt;VLOOKUP(AG204,Variables!$AC$3:$AD$8,2,FALSE),"Y","N")</f>
        <v>N</v>
      </c>
      <c r="X204" s="197">
        <f t="shared" si="69"/>
        <v>1</v>
      </c>
      <c r="Y204" s="197">
        <f t="shared" si="52"/>
        <v>5.8608000000000002</v>
      </c>
      <c r="Z204" s="197">
        <f t="shared" si="53"/>
        <v>6.9400000000000003E-2</v>
      </c>
      <c r="AA204" s="197">
        <f t="shared" si="54"/>
        <v>5.7914000000000003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5"/>
        <v>836</v>
      </c>
      <c r="AE204" s="77" t="str">
        <f t="shared" si="56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204" s="74" t="str">
        <f t="shared" si="57"/>
        <v>"C:\Program Files (x86)\AstroGrep\AstroGrep.exe" /e /r /s /spath="%USERPROFILE%\AppData\Local\Temp\OnboardLogs" /stypes="app*4049*20170719*" /stext=" 00:.+((SYSTEM_STATE.+slice.+state.+changed )|(ment ac)|(multiple cpu faults)|(system.+state.+changed )|(\[timeout)|(PRM\|1\|D)|(kpr)|(kdp)|(train st.+moving)|(\|lc)|(penalty))"</v>
      </c>
      <c r="AG204" s="209" t="str">
        <f t="shared" si="58"/>
        <v>NW</v>
      </c>
      <c r="AH204" s="78" t="str">
        <f t="shared" si="70"/>
        <v>"%USERPROFILE%\Documents\GitHub\eaglep3\Utilities\RefineRTDCRunTimes.py" --tripid 836-18 --locoid 4049 --swversion DE.1.0.9.0 --startMP 300:58608 --initTime 2017-07-18T18:07:37 --startdatetime 2017-07-18T18:09:43 --delay 1 --endMP 204:694 --enddatetime 2017-07-18T18:25:39 --enforcementcount 0 &gt;&gt;C:\Users\stu\Documents\GitHub\eaglep3-reporting\EC\2017-07-18-refined-times.txt</v>
      </c>
      <c r="AI204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{"issue":{"subject":"","project_id":79,"tracker_id":40,"status_id":1,"priority_id":2,"assigned_to_id":23,"start_date":"2017-07-18","description":"","custom_fields":[{"id":1,"name":"Subdivision","value":"NW"},{"id":4,"name":"Milepost","value":"0.0694"},{"id":17,"name":"Train ID","value":"836-18"},{"id":16,"name":"Locomotive ID","value":"4049"},{"id":130,"name":"Impact","value":""},{"id":150,"name":"Time of Event (Mountain Time)","value":"18:25:39"},{"id":151,"name":"Denver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2"/>
        <v>start /low /b %USERPROFILE%\Documents\GitHub\eaglep3\Utilities\DownloadLogsFromS3.py --loco 4049 --day 2017-07-18</v>
      </c>
      <c r="AN204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821</v>
      </c>
      <c r="B205" s="7">
        <v>4024</v>
      </c>
      <c r="C205" s="21" t="s">
        <v>199</v>
      </c>
      <c r="D205" s="21" t="s">
        <v>1021</v>
      </c>
      <c r="E205" s="13">
        <v>42934.760671296295</v>
      </c>
      <c r="F205" s="13">
        <v>42934.764826388891</v>
      </c>
      <c r="G205" s="7">
        <v>1</v>
      </c>
      <c r="H205" s="21" t="s">
        <v>1022</v>
      </c>
      <c r="I205" s="13">
        <v>42934.77449074074</v>
      </c>
      <c r="J205" s="7">
        <v>0</v>
      </c>
      <c r="K205" s="89" t="str">
        <f t="shared" ref="K205:K245" si="74">IF(ISEVEN(B205),(B205-1)&amp;"/"&amp;B205,B205&amp;"/"&amp;(B205+1))</f>
        <v>4023/4024</v>
      </c>
      <c r="L205" s="21" t="str">
        <f>VLOOKUP(A205,'Trips&amp;Operators'!$C$1:$G$99999,5,FALSE)</f>
        <v>BRUDER RICHARD</v>
      </c>
      <c r="M205" s="6">
        <f t="shared" ref="M205:M245" si="75">I205-F205</f>
        <v>9.6643518481869251E-3</v>
      </c>
      <c r="N205" s="7">
        <f t="shared" si="66"/>
        <v>13.916666661389172</v>
      </c>
      <c r="O205" s="7"/>
      <c r="P205" s="7"/>
      <c r="Q205" s="22"/>
      <c r="R205" s="170"/>
      <c r="S205" s="213">
        <f t="shared" si="67"/>
        <v>1</v>
      </c>
      <c r="T205" s="195" t="str">
        <f t="shared" ref="T205:T245" si="76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5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-18T17:15:22-0600',mode:absolute,to:'2017-07-18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197" t="str">
        <f>IF(AA205&lt;VLOOKUP(AG205,Variables!$AC$3:$AD$8,2,FALSE),"Y","N")</f>
        <v>N</v>
      </c>
      <c r="X205" s="197">
        <f t="shared" ref="X205:X245" si="78">VALUE(LEFT(AD205,4))-VALUE(LEFT(AD204,4))</f>
        <v>1</v>
      </c>
      <c r="Y205" s="197">
        <f t="shared" ref="Y205:Y245" si="79">RIGHT(D205,LEN(D205)-4)/10000</f>
        <v>0.10199999999999999</v>
      </c>
      <c r="Z205" s="197">
        <f t="shared" ref="Z205:Z245" si="80">RIGHT(H205,LEN(H205)-4)/10000</f>
        <v>5.8994999999999997</v>
      </c>
      <c r="AA205" s="197">
        <f t="shared" ref="AA205:AA245" si="81">ABS(Z205-Y205)</f>
        <v>5.7974999999999994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5" si="82">VALUE(LEFT(A205,LEN(A205)-3))</f>
        <v>837</v>
      </c>
      <c r="AE205" s="77" t="str">
        <f t="shared" ref="AE205:AE245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05" s="74" t="str">
        <f t="shared" ref="AF205:AF245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/stypes="app*4024*20170719*" /stext=" 00:.+((SYSTEM_STATE.+slice.+state.+changed )|(ment ac)|(multiple cpu faults)|(system.+state.+changed )|(\[timeout)|(PRM\|1\|D)|(kpr)|(kdp)|(train st.+moving)|(\|lc)|(penalty))"</v>
      </c>
      <c r="AG205" s="209" t="str">
        <f t="shared" ref="AG205:AG245" si="85">DetSubdiv(A205)</f>
        <v>NW</v>
      </c>
      <c r="AH205" s="78" t="str">
        <f t="shared" si="70"/>
        <v>"%USERPROFILE%\Documents\GitHub\eaglep3\Utilities\RefineRTDCRunTimes.py" --tripid 837-18 --locoid 4024 --swversion DE.1.0.9.0 --startMP 204:1020 --initTime 2017-07-18T18:15:22 --startdatetime 2017-07-18T18:21:21 --delay 1 --endMP 300:58995 --enddatetime 2017-07-18T18:35:16 --enforcementcount 0 &gt;&gt;C:\Users\stu\Documents\GitHub\eaglep3-reporting\EC\2017-07-18-refined-times.txt</v>
      </c>
      <c r="AI205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{"issue":{"subject":"","project_id":79,"tracker_id":40,"status_id":1,"priority_id":2,"assigned_to_id":23,"start_date":"2017-07-18","description":"","custom_fields":[{"id":1,"name":"Subdivision","value":"NW"},{"id":4,"name":"Milepost","value":"5.8995"},{"id":17,"name":"Train ID","value":"837-18"},{"id":16,"name":"Locomotive ID","value":"4024"},{"id":130,"name":"Impact","value":""},{"id":150,"name":"Time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2"/>
        <v>start /low /b %USERPROFILE%\Documents\GitHub\eaglep3\Utilities\DownloadLogsFromS3.py --loco 4024 --day 2017-07-18</v>
      </c>
      <c r="AN205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825</v>
      </c>
      <c r="B206" s="7">
        <v>4023</v>
      </c>
      <c r="C206" s="21" t="s">
        <v>199</v>
      </c>
      <c r="D206" s="21" t="s">
        <v>1023</v>
      </c>
      <c r="E206" s="13">
        <v>42934.775613425925</v>
      </c>
      <c r="F206" s="13">
        <v>42934.77715277778</v>
      </c>
      <c r="G206" s="7">
        <v>1</v>
      </c>
      <c r="H206" s="21" t="s">
        <v>1024</v>
      </c>
      <c r="I206" s="13">
        <v>42934.788310185184</v>
      </c>
      <c r="J206" s="7">
        <v>0</v>
      </c>
      <c r="K206" s="89" t="str">
        <f t="shared" si="74"/>
        <v>4023/4024</v>
      </c>
      <c r="L206" s="21" t="str">
        <f>VLOOKUP(A206,'Trips&amp;Operators'!$C$1:$G$99999,5,FALSE)</f>
        <v>BRUDER RICHARD</v>
      </c>
      <c r="M206" s="6">
        <f t="shared" si="75"/>
        <v>1.1157407403516117E-2</v>
      </c>
      <c r="N206" s="7">
        <f t="shared" si="66"/>
        <v>16.066666661063209</v>
      </c>
      <c r="O206" s="7"/>
      <c r="P206" s="7"/>
      <c r="Q206" s="22"/>
      <c r="R206" s="170"/>
      <c r="S206" s="213">
        <f t="shared" si="67"/>
        <v>1</v>
      </c>
      <c r="T206" s="195" t="str">
        <f t="shared" si="76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7"/>
        <v>https://d0f6bd738d7f1b3e5a7ca70fe4ff75f0.us-east-1.aws.found.io/app/kibana#/discover/Steve-Slow-Train-Analysis-(2080s-and-2083s)?_g=(refreshInterval:(display:Off,pause:!f,section:0,value:0),time:(from:'2017-07-18T17:36:53-0600',mode:absolute,to:'2017-07-18T19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97" t="str">
        <f>IF(AA206&lt;VLOOKUP(AG206,Variables!$AC$3:$AD$8,2,FALSE),"Y","N")</f>
        <v>N</v>
      </c>
      <c r="X206" s="197">
        <f t="shared" si="78"/>
        <v>1</v>
      </c>
      <c r="Y206" s="197">
        <f t="shared" si="79"/>
        <v>5.8674999999999997</v>
      </c>
      <c r="Z206" s="197">
        <f t="shared" si="80"/>
        <v>7.3099999999999998E-2</v>
      </c>
      <c r="AA206" s="197">
        <f t="shared" si="81"/>
        <v>5.7943999999999996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2"/>
        <v>838</v>
      </c>
      <c r="AE206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06" s="74" t="str">
        <f t="shared" si="84"/>
        <v>"C:\Program Files (x86)\AstroGrep\AstroGrep.exe" /e /r /s /spath="%USERPROFILE%\AppData\Local\Temp\OnboardLogs" /stypes="app*4023*20170719*" /stext=" 00:.+((SYSTEM_STATE.+slice.+state.+changed )|(ment ac)|(multiple cpu faults)|(system.+state.+changed )|(\[timeout)|(PRM\|1\|D)|(kpr)|(kdp)|(train st.+moving)|(\|lc)|(penalty))"</v>
      </c>
      <c r="AG206" s="209" t="str">
        <f t="shared" si="85"/>
        <v>NW</v>
      </c>
      <c r="AH206" s="78" t="str">
        <f t="shared" si="70"/>
        <v>"%USERPROFILE%\Documents\GitHub\eaglep3\Utilities\RefineRTDCRunTimes.py" --tripid 838-18 --locoid 4023 --swversion DE.1.0.9.0 --startMP 300:58675 --initTime 2017-07-18T18:36:53 --startdatetime 2017-07-18T18:39:06 --delay 1 --endMP 204:731 --enddatetime 2017-07-18T18:55:10 --enforcementcount 0 &gt;&gt;C:\Users\stu\Documents\GitHub\eaglep3-reporting\EC\2017-07-18-refined-times.txt</v>
      </c>
      <c r="AI206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{"issue":{"subject":"","project_id":79,"tracker_id":40,"status_id":1,"priority_id":2,"assigned_to_id":23,"start_date":"2017-07-18","description":"","custom_fields":[{"id":1,"name":"Subdivision","value":"NW"},{"id":4,"name":"Milepost","value":"0.0731"},{"id":17,"name":"Train ID","value":"838-18"},{"id":16,"name":"Locomotive ID","value":"4023"},{"id":130,"name":"Impact","value":""},{"id":150,"name":"Time of Event (Mountain Time)","value":"18:55:10"},{"id":151,"name":"Denver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2"/>
        <v>start /low /b %USERPROFILE%\Documents\GitHub\eaglep3\Utilities\DownloadLogsFromS3.py --loco 4023 --day 2017-07-18</v>
      </c>
      <c r="AN206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827</v>
      </c>
      <c r="B207" s="7">
        <v>4050</v>
      </c>
      <c r="C207" s="21" t="s">
        <v>199</v>
      </c>
      <c r="D207" s="21" t="s">
        <v>1025</v>
      </c>
      <c r="E207" s="13">
        <v>42934.780821759261</v>
      </c>
      <c r="F207" s="13">
        <v>42934.785717592589</v>
      </c>
      <c r="G207" s="7">
        <v>1</v>
      </c>
      <c r="H207" s="21" t="s">
        <v>623</v>
      </c>
      <c r="I207" s="13">
        <v>42934.795243055552</v>
      </c>
      <c r="J207" s="7">
        <v>0</v>
      </c>
      <c r="K207" s="89" t="str">
        <f t="shared" si="74"/>
        <v>4049/4050</v>
      </c>
      <c r="L207" s="21" t="str">
        <f>VLOOKUP(A207,'Trips&amp;Operators'!$C$1:$G$99999,5,FALSE)</f>
        <v>BIRKHOLZ NADINE</v>
      </c>
      <c r="M207" s="6">
        <f t="shared" si="75"/>
        <v>9.5254629632108845E-3</v>
      </c>
      <c r="N207" s="7">
        <f t="shared" si="66"/>
        <v>13.716666667023674</v>
      </c>
      <c r="O207" s="7"/>
      <c r="P207" s="7"/>
      <c r="Q207" s="22"/>
      <c r="R207" s="170"/>
      <c r="S207" s="213">
        <f t="shared" si="67"/>
        <v>1</v>
      </c>
      <c r="T207" s="195" t="str">
        <f t="shared" si="76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7"/>
        <v>https://d0f6bd738d7f1b3e5a7ca70fe4ff75f0.us-east-1.aws.found.io/app/kibana#/discover/Steve-Slow-Train-Analysis-(2080s-and-2083s)?_g=(refreshInterval:(display:Off,pause:!f,section:0,value:0),time:(from:'2017-07-18T17:44:23-0600',mode:absolute,to:'2017-07-18T20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197" t="str">
        <f>IF(AA207&lt;VLOOKUP(AG207,Variables!$AC$3:$AD$8,2,FALSE),"Y","N")</f>
        <v>N</v>
      </c>
      <c r="X207" s="197">
        <f t="shared" si="78"/>
        <v>1</v>
      </c>
      <c r="Y207" s="197">
        <f t="shared" si="79"/>
        <v>9.74E-2</v>
      </c>
      <c r="Z207" s="197">
        <f t="shared" si="80"/>
        <v>5.8928000000000003</v>
      </c>
      <c r="AA207" s="197">
        <f t="shared" si="81"/>
        <v>5.7953999999999999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2"/>
        <v>839</v>
      </c>
      <c r="AE207" s="77" t="str">
        <f t="shared" si="83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207" s="74" t="str">
        <f t="shared" si="84"/>
        <v>"C:\Program Files (x86)\AstroGrep\AstroGrep.exe" /e /r /s /spath="%USERPROFILE%\AppData\Local\Temp\OnboardLogs" /stypes="app*4050*20170719*" /stext=" 01:.+((SYSTEM_STATE.+slice.+state.+changed )|(ment ac)|(multiple cpu faults)|(system.+state.+changed )|(\[timeout)|(PRM\|1\|D)|(kpr)|(kdp)|(train st.+moving)|(\|lc)|(penalty))"</v>
      </c>
      <c r="AG207" s="209" t="str">
        <f t="shared" si="85"/>
        <v>NW</v>
      </c>
      <c r="AH207" s="78" t="str">
        <f t="shared" si="70"/>
        <v>"%USERPROFILE%\Documents\GitHub\eaglep3\Utilities\RefineRTDCRunTimes.py" --tripid 839-18 --locoid 4050 --swversion DE.1.0.9.0 --startMP 204:974 --initTime 2017-07-18T18:44:23 --startdatetime 2017-07-18T18:51:26 --delay 1 --endMP 300:58928 --enddatetime 2017-07-18T19:05:09 --enforcementcount 0 &gt;&gt;C:\Users\stu\Documents\GitHub\eaglep3-reporting\EC\2017-07-18-refined-times.txt</v>
      </c>
      <c r="AI207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{"issue":{"subject":"","project_id":79,"tracker_id":40,"status_id":1,"priority_id":2,"assigned_to_id":23,"start_date":"2017-07-18","description":"","custom_fields":[{"id":1,"name":"Subdivision","value":"NW"},{"id":4,"name":"Milepost","value":"5.8928"},{"id":17,"name":"Train ID","value":"839-18"},{"id":16,"name":"Locomotive ID","value":"4050"},{"id":130,"name":"Impact","value":""},{"id":150,"name":"Time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2"/>
        <v>start /low /b %USERPROFILE%\Documents\GitHub\eaglep3\Utilities\DownloadLogsFromS3.py --loco 4050 --day 2017-07-18</v>
      </c>
      <c r="AN207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833</v>
      </c>
      <c r="B208" s="7">
        <v>4023</v>
      </c>
      <c r="C208" s="21" t="s">
        <v>199</v>
      </c>
      <c r="D208" s="21" t="s">
        <v>1026</v>
      </c>
      <c r="E208" s="13">
        <v>42934.817083333335</v>
      </c>
      <c r="F208" s="13">
        <v>42934.818437499998</v>
      </c>
      <c r="G208" s="7">
        <v>1</v>
      </c>
      <c r="H208" s="21" t="s">
        <v>1027</v>
      </c>
      <c r="I208" s="13">
        <v>42934.829756944448</v>
      </c>
      <c r="J208" s="7">
        <v>0</v>
      </c>
      <c r="K208" s="89" t="str">
        <f t="shared" si="74"/>
        <v>4023/4024</v>
      </c>
      <c r="L208" s="21" t="str">
        <f>VLOOKUP(A208,'Trips&amp;Operators'!$C$1:$G$99999,5,FALSE)</f>
        <v>BRUDER RICHARD</v>
      </c>
      <c r="M208" s="6">
        <f t="shared" si="75"/>
        <v>1.131944444932742E-2</v>
      </c>
      <c r="N208" s="7">
        <f t="shared" si="66"/>
        <v>16.300000007031485</v>
      </c>
      <c r="O208" s="7"/>
      <c r="P208" s="7"/>
      <c r="Q208" s="22"/>
      <c r="R208" s="170"/>
      <c r="S208" s="213">
        <f t="shared" si="67"/>
        <v>1</v>
      </c>
      <c r="T208" s="195" t="str">
        <f t="shared" si="76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7"/>
        <v>https://d0f6bd738d7f1b3e5a7ca70fe4ff75f0.us-east-1.aws.found.io/app/kibana#/discover/Steve-Slow-Train-Analysis-(2080s-and-2083s)?_g=(refreshInterval:(display:Off,pause:!f,section:0,value:0),time:(from:'2017-07-18T18:36:36-0600',mode:absolute,to:'2017-07-18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197" t="str">
        <f>IF(AA208&lt;VLOOKUP(AG208,Variables!$AC$3:$AD$8,2,FALSE),"Y","N")</f>
        <v>N</v>
      </c>
      <c r="X208" s="197">
        <f t="shared" si="78"/>
        <v>1</v>
      </c>
      <c r="Y208" s="197">
        <f t="shared" si="79"/>
        <v>5.8667999999999996</v>
      </c>
      <c r="Z208" s="197">
        <f t="shared" si="80"/>
        <v>7.4099999999999999E-2</v>
      </c>
      <c r="AA208" s="197">
        <f t="shared" si="81"/>
        <v>5.7927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2"/>
        <v>840</v>
      </c>
      <c r="AE208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08" s="74" t="str">
        <f t="shared" si="84"/>
        <v>"C:\Program Files (x86)\AstroGrep\AstroGrep.exe" /e /r /s /spath="%USERPROFILE%\AppData\Local\Temp\OnboardLogs" /stypes="app*4023*20170719*" /stext=" 01:.+((SYSTEM_STATE.+slice.+state.+changed )|(ment ac)|(multiple cpu faults)|(system.+state.+changed )|(\[timeout)|(PRM\|1\|D)|(kpr)|(kdp)|(train st.+moving)|(\|lc)|(penalty))"</v>
      </c>
      <c r="AG208" s="209" t="str">
        <f t="shared" si="85"/>
        <v>NW</v>
      </c>
      <c r="AH208" s="78" t="str">
        <f t="shared" si="70"/>
        <v>"%USERPROFILE%\Documents\GitHub\eaglep3\Utilities\RefineRTDCRunTimes.py" --tripid 840-18 --locoid 4023 --swversion DE.1.0.9.0 --startMP 300:58668 --initTime 2017-07-18T19:36:36 --startdatetime 2017-07-18T19:38:33 --delay 1 --endMP 204:741 --enddatetime 2017-07-18T19:54:51 --enforcementcount 0 &gt;&gt;C:\Users\stu\Documents\GitHub\eaglep3-reporting\EC\2017-07-18-refined-times.txt</v>
      </c>
      <c r="AI208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{"issue":{"subject":"","project_id":79,"tracker_id":40,"status_id":1,"priority_id":2,"assigned_to_id":23,"start_date":"2017-07-18","description":"","custom_fields":[{"id":1,"name":"Subdivision","value":"NW"},{"id":4,"name":"Milepost","value":"0.0741"},{"id":17,"name":"Train ID","value":"840-18"},{"id":16,"name":"Locomotive ID","value":"4023"},{"id":130,"name":"Impact","value":""},{"id":150,"name":"Time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2"/>
        <v>start /low /b %USERPROFILE%\Documents\GitHub\eaglep3\Utilities\DownloadLogsFromS3.py --loco 4023 --day 2017-07-18</v>
      </c>
      <c r="AN208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830</v>
      </c>
      <c r="B209" s="7">
        <v>4024</v>
      </c>
      <c r="C209" s="21" t="s">
        <v>199</v>
      </c>
      <c r="D209" s="21" t="s">
        <v>1007</v>
      </c>
      <c r="E209" s="13">
        <v>42934.802847222221</v>
      </c>
      <c r="F209" s="13">
        <v>42934.806423611109</v>
      </c>
      <c r="G209" s="7">
        <v>2</v>
      </c>
      <c r="H209" s="21" t="s">
        <v>1028</v>
      </c>
      <c r="I209" s="13">
        <v>42934.815983796296</v>
      </c>
      <c r="J209" s="7">
        <v>0</v>
      </c>
      <c r="K209" s="89" t="str">
        <f t="shared" si="74"/>
        <v>4023/4024</v>
      </c>
      <c r="L209" s="21" t="str">
        <f>VLOOKUP(A209,'Trips&amp;Operators'!$C$1:$G$99999,5,FALSE)</f>
        <v>BRUDER RICHARD</v>
      </c>
      <c r="M209" s="6">
        <f t="shared" si="75"/>
        <v>9.560185186273884E-3</v>
      </c>
      <c r="N209" s="7">
        <f t="shared" si="66"/>
        <v>13.766666668234393</v>
      </c>
      <c r="O209" s="7"/>
      <c r="P209" s="7"/>
      <c r="Q209" s="22"/>
      <c r="R209" s="170"/>
      <c r="S209" s="213">
        <f t="shared" si="67"/>
        <v>1</v>
      </c>
      <c r="T209" s="195" t="str">
        <f t="shared" si="76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7"/>
        <v>https://d0f6bd738d7f1b3e5a7ca70fe4ff75f0.us-east-1.aws.found.io/app/kibana#/discover/Steve-Slow-Train-Analysis-(2080s-and-2083s)?_g=(refreshInterval:(display:Off,pause:!f,section:0,value:0),time:(from:'2017-07-18T18:16:06-0600',mode:absolute,to:'2017-07-18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7" t="str">
        <f>IF(AA209&lt;VLOOKUP(AG209,Variables!$AC$3:$AD$8,2,FALSE),"Y","N")</f>
        <v>N</v>
      </c>
      <c r="X209" s="197">
        <f t="shared" si="78"/>
        <v>1</v>
      </c>
      <c r="Y209" s="197">
        <f t="shared" si="79"/>
        <v>0.1023</v>
      </c>
      <c r="Z209" s="197">
        <f t="shared" si="80"/>
        <v>5.8992000000000004</v>
      </c>
      <c r="AA209" s="197">
        <f t="shared" si="81"/>
        <v>5.7969000000000008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2"/>
        <v>841</v>
      </c>
      <c r="AE209" s="77" t="str">
        <f t="shared" si="83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09" s="74" t="str">
        <f t="shared" si="84"/>
        <v>"C:\Program Files (x86)\AstroGrep\AstroGrep.exe" /e /r /s /spath="%USERPROFILE%\AppData\Local\Temp\OnboardLogs" /stypes="app*4024*20170719*" /stext=" 01:.+((SYSTEM_STATE.+slice.+state.+changed )|(ment ac)|(multiple cpu faults)|(system.+state.+changed )|(\[timeout)|(PRM\|1\|D)|(kpr)|(kdp)|(train st.+moving)|(\|lc)|(penalty))"</v>
      </c>
      <c r="AG209" s="209" t="str">
        <f t="shared" si="85"/>
        <v>NW</v>
      </c>
      <c r="AH209" s="78" t="str">
        <f t="shared" si="70"/>
        <v>"%USERPROFILE%\Documents\GitHub\eaglep3\Utilities\RefineRTDCRunTimes.py" --tripid 841-18 --locoid 4024 --swversion DE.1.0.9.0 --startMP 204:1023 --initTime 2017-07-18T19:16:06 --startdatetime 2017-07-18T19:21:15 --delay 2 --endMP 300:58992 --enddatetime 2017-07-18T19:35:01 --enforcementcount 0 &gt;&gt;C:\Users\stu\Documents\GitHub\eaglep3-reporting\EC\2017-07-18-refined-times.txt</v>
      </c>
      <c r="AI209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{"issue":{"subject":"","project_id":79,"tracker_id":40,"status_id":1,"priority_id":2,"assigned_to_id":23,"start_date":"2017-07-18","description":"","custom_fields":[{"id":1,"name":"Subdivision","value":"NW"},{"id":4,"name":"Milepost","value":"5.8992"},{"id":17,"name":"Train ID","value":"841-18"},{"id":16,"name":"Locomotive ID","value":"4024"},{"id":130,"name":"Impact","value":""},{"id":150,"name":"Time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2"/>
        <v>start /low /b %USERPROFILE%\Documents\GitHub\eaglep3\Utilities\DownloadLogsFromS3.py --loco 4024 --day 2017-07-18</v>
      </c>
      <c r="AN209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839</v>
      </c>
      <c r="B210" s="7">
        <v>4023</v>
      </c>
      <c r="C210" s="21" t="s">
        <v>199</v>
      </c>
      <c r="D210" s="21" t="s">
        <v>1029</v>
      </c>
      <c r="E210" s="13">
        <v>42934.858946759261</v>
      </c>
      <c r="F210" s="13">
        <v>42934.861006944448</v>
      </c>
      <c r="G210" s="7">
        <v>1</v>
      </c>
      <c r="H210" s="21" t="s">
        <v>1009</v>
      </c>
      <c r="I210" s="13">
        <v>42934.870949074073</v>
      </c>
      <c r="J210" s="7">
        <v>0</v>
      </c>
      <c r="K210" s="89" t="str">
        <f t="shared" si="74"/>
        <v>4023/4024</v>
      </c>
      <c r="L210" s="21" t="str">
        <f>VLOOKUP(A210,'Trips&amp;Operators'!$C$1:$G$99999,5,FALSE)</f>
        <v>BRUDER RICHARD</v>
      </c>
      <c r="M210" s="6">
        <f t="shared" si="75"/>
        <v>9.9421296254149638E-3</v>
      </c>
      <c r="N210" s="7">
        <f t="shared" si="66"/>
        <v>14.316666660597548</v>
      </c>
      <c r="O210" s="7"/>
      <c r="P210" s="7"/>
      <c r="Q210" s="22"/>
      <c r="R210" s="170"/>
      <c r="S210" s="213">
        <f t="shared" si="67"/>
        <v>1</v>
      </c>
      <c r="T210" s="195" t="str">
        <f t="shared" si="76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7"/>
        <v>https://d0f6bd738d7f1b3e5a7ca70fe4ff75f0.us-east-1.aws.found.io/app/kibana#/discover/Steve-Slow-Train-Analysis-(2080s-and-2083s)?_g=(refreshInterval:(display:Off,pause:!f,section:0,value:0),time:(from:'2017-07-18T19:36:53-0600',mode:absolute,to:'2017-07-18T21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197" t="str">
        <f>IF(AA210&lt;VLOOKUP(AG210,Variables!$AC$3:$AD$8,2,FALSE),"Y","N")</f>
        <v>N</v>
      </c>
      <c r="X210" s="197">
        <f t="shared" si="78"/>
        <v>1</v>
      </c>
      <c r="Y210" s="197">
        <f t="shared" si="79"/>
        <v>5.8701999999999996</v>
      </c>
      <c r="Z210" s="197">
        <f t="shared" si="80"/>
        <v>7.2900000000000006E-2</v>
      </c>
      <c r="AA210" s="197">
        <f t="shared" si="81"/>
        <v>5.7972999999999999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2"/>
        <v>842</v>
      </c>
      <c r="AE210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10" s="74" t="str">
        <f t="shared" si="84"/>
        <v>"C:\Program Files (x86)\AstroGrep\AstroGrep.exe" /e /r /s /spath="%USERPROFILE%\AppData\Local\Temp\OnboardLogs" /stypes="app*4023*20170719*" /stext=" 02:.+((SYSTEM_STATE.+slice.+state.+changed )|(ment ac)|(multiple cpu faults)|(system.+state.+changed )|(\[timeout)|(PRM\|1\|D)|(kpr)|(kdp)|(train st.+moving)|(\|lc)|(penalty))"</v>
      </c>
      <c r="AG210" s="209" t="str">
        <f t="shared" si="85"/>
        <v>NW</v>
      </c>
      <c r="AH210" s="78" t="str">
        <f t="shared" si="70"/>
        <v>"%USERPROFILE%\Documents\GitHub\eaglep3\Utilities\RefineRTDCRunTimes.py" --tripid 842-18 --locoid 4023 --swversion DE.1.0.9.0 --startMP 300:58702 --initTime 2017-07-18T20:36:53 --startdatetime 2017-07-18T20:39:51 --delay 1 --endMP 204:729 --enddatetime 2017-07-18T20:54:10 --enforcementcount 0 &gt;&gt;C:\Users\stu\Documents\GitHub\eaglep3-reporting\EC\2017-07-18-refined-times.txt</v>
      </c>
      <c r="AI210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{"issue":{"subject":"","project_id":79,"tracker_id":40,"status_id":1,"priority_id":2,"assigned_to_id":23,"start_date":"2017-07-18","description":"","custom_fields":[{"id":1,"name":"Subdivision","value":"NW"},{"id":4,"name":"Milepost","value":"0.0729"},{"id":17,"name":"Train ID","value":"842-18"},{"id":16,"name":"Locomotive ID","value":"4023"},{"id":130,"name":"Impact","value":""},{"id":150,"name":"Time of Event (Mountain Time)","value":"20:54:10"},{"id":151,"name":"Denver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2"/>
        <v>start /low /b %USERPROFILE%\Documents\GitHub\eaglep3\Utilities\DownloadLogsFromS3.py --loco 4023 --day 2017-07-18</v>
      </c>
      <c r="AN210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837</v>
      </c>
      <c r="B211" s="7">
        <v>4024</v>
      </c>
      <c r="C211" s="21" t="s">
        <v>199</v>
      </c>
      <c r="D211" s="21" t="s">
        <v>1030</v>
      </c>
      <c r="E211" s="13">
        <v>42934.844907407409</v>
      </c>
      <c r="F211" s="13">
        <v>42934.848090277781</v>
      </c>
      <c r="G211" s="7">
        <v>1</v>
      </c>
      <c r="H211" s="21" t="s">
        <v>1031</v>
      </c>
      <c r="I211" s="13">
        <v>42934.857708333337</v>
      </c>
      <c r="J211" s="7">
        <v>0</v>
      </c>
      <c r="K211" s="89" t="str">
        <f t="shared" si="74"/>
        <v>4023/4024</v>
      </c>
      <c r="L211" s="21" t="str">
        <f>VLOOKUP(A211,'Trips&amp;Operators'!$C$1:$G$99999,5,FALSE)</f>
        <v>BRUDER RICHARD</v>
      </c>
      <c r="M211" s="6">
        <f t="shared" si="75"/>
        <v>9.6180555556202307E-3</v>
      </c>
      <c r="N211" s="7">
        <f t="shared" si="66"/>
        <v>13.850000000093132</v>
      </c>
      <c r="O211" s="7"/>
      <c r="P211" s="7"/>
      <c r="Q211" s="22"/>
      <c r="R211" s="170"/>
      <c r="S211" s="213">
        <f t="shared" si="67"/>
        <v>1</v>
      </c>
      <c r="T211" s="195" t="str">
        <f t="shared" si="76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7"/>
        <v>https://d0f6bd738d7f1b3e5a7ca70fe4ff75f0.us-east-1.aws.found.io/app/kibana#/discover/Steve-Slow-Train-Analysis-(2080s-and-2083s)?_g=(refreshInterval:(display:Off,pause:!f,section:0,value:0),time:(from:'2017-07-18T19:16:40-0600',mode:absolute,to:'2017-07-18T21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197" t="str">
        <f>IF(AA211&lt;VLOOKUP(AG211,Variables!$AC$3:$AD$8,2,FALSE),"Y","N")</f>
        <v>N</v>
      </c>
      <c r="X211" s="197">
        <f t="shared" si="78"/>
        <v>1</v>
      </c>
      <c r="Y211" s="197">
        <f t="shared" si="79"/>
        <v>0.1013</v>
      </c>
      <c r="Z211" s="197">
        <f t="shared" si="80"/>
        <v>5.9009999999999998</v>
      </c>
      <c r="AA211" s="197">
        <f t="shared" si="81"/>
        <v>5.7996999999999996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2"/>
        <v>843</v>
      </c>
      <c r="AE211" s="77" t="str">
        <f t="shared" si="83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11" s="74" t="str">
        <f t="shared" si="84"/>
        <v>"C:\Program Files (x86)\AstroGrep\AstroGrep.exe" /e /r /s /spath="%USERPROFILE%\AppData\Local\Temp\OnboardLogs" /stypes="app*4024*20170719*" /stext=" 02:.+((SYSTEM_STATE.+slice.+state.+changed )|(ment ac)|(multiple cpu faults)|(system.+state.+changed )|(\[timeout)|(PRM\|1\|D)|(kpr)|(kdp)|(train st.+moving)|(\|lc)|(penalty))"</v>
      </c>
      <c r="AG211" s="209" t="str">
        <f t="shared" si="85"/>
        <v>NW</v>
      </c>
      <c r="AH211" s="78" t="str">
        <f t="shared" si="70"/>
        <v>"%USERPROFILE%\Documents\GitHub\eaglep3\Utilities\RefineRTDCRunTimes.py" --tripid 843-18 --locoid 4024 --swversion DE.1.0.9.0 --startMP 204:1013 --initTime 2017-07-18T20:16:40 --startdatetime 2017-07-18T20:21:15 --delay 1 --endMP 300:59010 --enddatetime 2017-07-18T20:35:06 --enforcementcount 0 &gt;&gt;C:\Users\stu\Documents\GitHub\eaglep3-reporting\EC\2017-07-18-refined-times.txt</v>
      </c>
      <c r="AI211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{"issue":{"subject":"","project_id":79,"tracker_id":40,"status_id":1,"priority_id":2,"assigned_to_id":23,"start_date":"2017-07-18","description":"","custom_fields":[{"id":1,"name":"Subdivision","value":"NW"},{"id":4,"name":"Milepost","value":"5.901"},{"id":17,"name":"Train ID","value":"843-18"},{"id":16,"name":"Locomotive ID","value":"4024"},{"id":130,"name":"Impact","value":""},{"id":150,"name":"Time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72"/>
        <v>start /low /b %USERPROFILE%\Documents\GitHub\eaglep3\Utilities\DownloadLogsFromS3.py --loco 4024 --day 2017-07-18</v>
      </c>
      <c r="AN211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665</v>
      </c>
      <c r="B212" s="7">
        <v>4023</v>
      </c>
      <c r="C212" s="21" t="s">
        <v>199</v>
      </c>
      <c r="D212" s="21" t="s">
        <v>1032</v>
      </c>
      <c r="E212" s="13">
        <v>42934.899722222224</v>
      </c>
      <c r="F212" s="13">
        <v>42934.903495370374</v>
      </c>
      <c r="G212" s="7">
        <v>1</v>
      </c>
      <c r="H212" s="21" t="s">
        <v>998</v>
      </c>
      <c r="I212" s="13">
        <v>42934.912731481483</v>
      </c>
      <c r="J212" s="7">
        <v>0</v>
      </c>
      <c r="K212" s="89" t="str">
        <f t="shared" si="74"/>
        <v>4023/4024</v>
      </c>
      <c r="L212" s="21" t="str">
        <f>VLOOKUP(A212,'Trips&amp;Operators'!$C$1:$G$99999,5,FALSE)</f>
        <v>BIRKHOLZ NADINE</v>
      </c>
      <c r="M212" s="6">
        <f t="shared" si="75"/>
        <v>9.2361111092031933E-3</v>
      </c>
      <c r="N212" s="7">
        <f t="shared" si="66"/>
        <v>13.299999997252598</v>
      </c>
      <c r="O212" s="7"/>
      <c r="P212" s="7"/>
      <c r="Q212" s="22"/>
      <c r="R212" s="170"/>
      <c r="S212" s="213">
        <f t="shared" si="67"/>
        <v>1</v>
      </c>
      <c r="T212" s="195" t="str">
        <f t="shared" si="76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7"/>
        <v>https://d0f6bd738d7f1b3e5a7ca70fe4ff75f0.us-east-1.aws.found.io/app/kibana#/discover/Steve-Slow-Train-Analysis-(2080s-and-2083s)?_g=(refreshInterval:(display:Off,pause:!f,section:0,value:0),time:(from:'2017-07-18T20:35:36-0600',mode:absolute,to:'2017-07-18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2" s="197" t="str">
        <f>IF(AA212&lt;VLOOKUP(AG212,Variables!$AC$3:$AD$8,2,FALSE),"Y","N")</f>
        <v>N</v>
      </c>
      <c r="X212" s="197">
        <f t="shared" si="78"/>
        <v>1</v>
      </c>
      <c r="Y212" s="197">
        <f t="shared" si="79"/>
        <v>5.8638000000000003</v>
      </c>
      <c r="Z212" s="197">
        <f t="shared" si="80"/>
        <v>6.8400000000000002E-2</v>
      </c>
      <c r="AA212" s="197">
        <f t="shared" si="81"/>
        <v>5.7954000000000008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2"/>
        <v>844</v>
      </c>
      <c r="AE212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12" s="74" t="str">
        <f t="shared" si="84"/>
        <v>"C:\Program Files (x86)\AstroGrep\AstroGrep.exe" /e /r /s /spath="%USERPROFILE%\AppData\Local\Temp\OnboardLogs" /stypes="app*4023*20170719*" /stext=" 03:.+((SYSTEM_STATE.+slice.+state.+changed )|(ment ac)|(multiple cpu faults)|(system.+state.+changed )|(\[timeout)|(PRM\|1\|D)|(kpr)|(kdp)|(train st.+moving)|(\|lc)|(penalty))"</v>
      </c>
      <c r="AG212" s="209" t="str">
        <f t="shared" si="85"/>
        <v>NW</v>
      </c>
      <c r="AH212" s="78" t="str">
        <f t="shared" si="70"/>
        <v>"%USERPROFILE%\Documents\GitHub\eaglep3\Utilities\RefineRTDCRunTimes.py" --tripid 844-18 --locoid 4023 --swversion DE.1.0.9.0 --startMP 300:58638 --initTime 2017-07-18T21:35:36 --startdatetime 2017-07-18T21:41:02 --delay 1 --endMP 204:684 --enddatetime 2017-07-18T21:54:20 --enforcementcount 0 &gt;&gt;C:\Users\stu\Documents\GitHub\eaglep3-reporting\EC\2017-07-18-refined-times.txt</v>
      </c>
      <c r="AI212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{"issue":{"subject":"","project_id":79,"tracker_id":40,"status_id":1,"priority_id":2,"assigned_to_id":23,"start_date":"2017-07-18","description":"","custom_fields":[{"id":1,"name":"Subdivision","value":"NW"},{"id":4,"name":"Milepost","value":"0.0684"},{"id":17,"name":"Train ID","value":"844-18"},{"id":16,"name":"Locomotive ID","value":"4023"},{"id":130,"name":"Impact","value":""},{"id":150,"name":"Time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2"/>
        <v>start /low /b %USERPROFILE%\Documents\GitHub\eaglep3\Utilities\DownloadLogsFromS3.py --loco 4023 --day 2017-07-18</v>
      </c>
      <c r="AN212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842</v>
      </c>
      <c r="B213" s="7">
        <v>4024</v>
      </c>
      <c r="C213" s="21" t="s">
        <v>199</v>
      </c>
      <c r="D213" s="21" t="s">
        <v>1033</v>
      </c>
      <c r="E213" s="13">
        <v>42934.877997685187</v>
      </c>
      <c r="F213" s="13">
        <v>42934.889930555553</v>
      </c>
      <c r="G213" s="7">
        <v>1</v>
      </c>
      <c r="H213" s="21" t="s">
        <v>614</v>
      </c>
      <c r="I213" s="13">
        <v>42934.898634259262</v>
      </c>
      <c r="J213" s="7">
        <v>0</v>
      </c>
      <c r="K213" s="89" t="str">
        <f t="shared" si="74"/>
        <v>4023/4024</v>
      </c>
      <c r="L213" s="21" t="str">
        <f>VLOOKUP(A213,'Trips&amp;Operators'!$C$1:$G$99999,5,FALSE)</f>
        <v>BIRKHOLZ NADINE</v>
      </c>
      <c r="M213" s="6">
        <f t="shared" si="75"/>
        <v>8.7037037083064206E-3</v>
      </c>
      <c r="N213" s="7">
        <f t="shared" ref="N213:N245" si="86">24*60*SUM($M213:$M213)</f>
        <v>12.533333339961246</v>
      </c>
      <c r="O213" s="7"/>
      <c r="P213" s="7"/>
      <c r="Q213" s="22"/>
      <c r="R213" s="170"/>
      <c r="S213" s="213">
        <f t="shared" ref="S213:S245" si="87">1/IF(AG213="EC",12,1)*SUM(U213:U213)</f>
        <v>1</v>
      </c>
      <c r="T213" s="195" t="str">
        <f t="shared" si="76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7"/>
        <v>https://d0f6bd738d7f1b3e5a7ca70fe4ff75f0.us-east-1.aws.found.io/app/kibana#/discover/Steve-Slow-Train-Analysis-(2080s-and-2083s)?_g=(refreshInterval:(display:Off,pause:!f,section:0,value:0),time:(from:'2017-07-18T20:04:19-0600',mode:absolute,to:'2017-07-18T22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197" t="str">
        <f>IF(AA213&lt;VLOOKUP(AG213,Variables!$AC$3:$AD$8,2,FALSE),"Y","N")</f>
        <v>N</v>
      </c>
      <c r="X213" s="197">
        <f t="shared" si="78"/>
        <v>1</v>
      </c>
      <c r="Y213" s="197">
        <f t="shared" si="79"/>
        <v>0.1016</v>
      </c>
      <c r="Z213" s="197">
        <f t="shared" si="80"/>
        <v>5.8945999999999996</v>
      </c>
      <c r="AA213" s="197">
        <f t="shared" si="81"/>
        <v>5.7929999999999993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2"/>
        <v>845</v>
      </c>
      <c r="AE213" s="77" t="str">
        <f t="shared" si="83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13" s="74" t="str">
        <f t="shared" si="84"/>
        <v>"C:\Program Files (x86)\AstroGrep\AstroGrep.exe" /e /r /s /spath="%USERPROFILE%\AppData\Local\Temp\OnboardLogs" /stypes="app*4024*20170719*" /stext=" 03:.+((SYSTEM_STATE.+slice.+state.+changed )|(ment ac)|(multiple cpu faults)|(system.+state.+changed )|(\[timeout)|(PRM\|1\|D)|(kpr)|(kdp)|(train st.+moving)|(\|lc)|(penalty))"</v>
      </c>
      <c r="AG213" s="209" t="str">
        <f t="shared" si="85"/>
        <v>NW</v>
      </c>
      <c r="AH213" s="78" t="str">
        <f t="shared" si="70"/>
        <v>"%USERPROFILE%\Documents\GitHub\eaglep3\Utilities\RefineRTDCRunTimes.py" --tripid 845-18 --locoid 4024 --swversion DE.1.0.9.0 --startMP 204:1016 --initTime 2017-07-18T21:04:19 --startdatetime 2017-07-18T21:21:30 --delay 1 --endMP 300:58946 --enddatetime 2017-07-18T21:34:02 --enforcementcount 0 &gt;&gt;C:\Users\stu\Documents\GitHub\eaglep3-reporting\EC\2017-07-18-refined-times.txt</v>
      </c>
      <c r="AI213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{"issue":{"subject":"","project_id":79,"tracker_id":40,"status_id":1,"priority_id":2,"assigned_to_id":23,"start_date":"2017-07-18","description":"","custom_fields":[{"id":1,"name":"Subdivision","value":"NW"},{"id":4,"name":"Milepost","value":"5.8946"},{"id":17,"name":"Train ID","value":"845-18"},{"id":16,"name":"Locomotive ID","value":"4024"},{"id":130,"name":"Impact","value":""},{"id":150,"name":"Time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2"/>
        <v>start /low /b %USERPROFILE%\Documents\GitHub\eaglep3\Utilities\DownloadLogsFromS3.py --loco 4024 --day 2017-07-18</v>
      </c>
      <c r="AN213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03:34:02"},{"id":29,"name":"Sharepoint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847</v>
      </c>
      <c r="B214" s="7">
        <v>4024</v>
      </c>
      <c r="C214" s="21" t="s">
        <v>199</v>
      </c>
      <c r="D214" s="21" t="s">
        <v>1016</v>
      </c>
      <c r="E214" s="13">
        <v>42934.920451388891</v>
      </c>
      <c r="F214" s="13">
        <v>42934.93178240741</v>
      </c>
      <c r="G214" s="7">
        <v>1</v>
      </c>
      <c r="H214" s="21" t="s">
        <v>626</v>
      </c>
      <c r="I214" s="13">
        <v>42934.941863425927</v>
      </c>
      <c r="J214" s="7">
        <v>0</v>
      </c>
      <c r="K214" s="89" t="str">
        <f t="shared" si="74"/>
        <v>4023/4024</v>
      </c>
      <c r="L214" s="21" t="str">
        <f>VLOOKUP(A214,'Trips&amp;Operators'!$C$1:$G$99999,5,FALSE)</f>
        <v>BIRKHOLZ NADINE</v>
      </c>
      <c r="M214" s="6">
        <f t="shared" si="75"/>
        <v>1.0081018517666962E-2</v>
      </c>
      <c r="N214" s="7">
        <f t="shared" si="86"/>
        <v>14.516666665440425</v>
      </c>
      <c r="O214" s="7"/>
      <c r="P214" s="7"/>
      <c r="Q214" s="22"/>
      <c r="R214" s="170"/>
      <c r="S214" s="213">
        <f t="shared" si="87"/>
        <v>1</v>
      </c>
      <c r="T214" s="195" t="str">
        <f t="shared" si="76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7"/>
        <v>https://d0f6bd738d7f1b3e5a7ca70fe4ff75f0.us-east-1.aws.found.io/app/kibana#/discover/Steve-Slow-Train-Analysis-(2080s-and-2083s)?_g=(refreshInterval:(display:Off,pause:!f,section:0,value:0),time:(from:'2017-07-18T21:05:27-0600',mode:absolute,to:'2017-07-18T23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N</v>
      </c>
      <c r="X214" s="197">
        <f t="shared" si="78"/>
        <v>2</v>
      </c>
      <c r="Y214" s="197">
        <f t="shared" si="79"/>
        <v>9.8100000000000007E-2</v>
      </c>
      <c r="Z214" s="197">
        <f t="shared" si="80"/>
        <v>5.8925999999999998</v>
      </c>
      <c r="AA214" s="197">
        <f t="shared" si="81"/>
        <v>5.7945000000000002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2"/>
        <v>847</v>
      </c>
      <c r="AE214" s="77" t="str">
        <f t="shared" si="83"/>
        <v>aws s3 cp s3://rtdc.mdm.uploadarchive.raw/RTDC4024/ "%USERPROFILE%\AppData\Local\Temp\OnboardLogs"\RTDC4024\2017-07-18 --exclude "*" --recursive --include "*20170718*" &amp; "%USERPROFILE%\Documents\GitHub\mrs-test-scripts\Headless Mode &amp; Sideloading\WalkAndUnGZ.bat" "%USERPROFILE%\AppData\Local\Temp\OnboardLogs"\RTDC4024\2017-07-18 &amp; 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</v>
      </c>
      <c r="AF214" s="74" t="str">
        <f t="shared" si="84"/>
        <v>"C:\Program Files (x86)\AstroGrep\AstroGrep.exe" /e /r /s /spath="%USERPROFILE%\AppData\Local\Temp\OnboardLogs" /stypes="app*4024*20170719*" /stext=" 04:.+((SYSTEM_STATE.+slice.+state.+changed )|(ment ac)|(multiple cpu faults)|(system.+state.+changed )|(\[timeout)|(PRM\|1\|D)|(kpr)|(kdp)|(train st.+moving)|(\|lc)|(penalty))"</v>
      </c>
      <c r="AG214" s="209" t="str">
        <f t="shared" si="85"/>
        <v>NW</v>
      </c>
      <c r="AH214" s="78" t="str">
        <f t="shared" si="70"/>
        <v>"%USERPROFILE%\Documents\GitHub\eaglep3\Utilities\RefineRTDCRunTimes.py" --tripid 847-18 --locoid 4024 --swversion DE.1.0.9.0 --startMP 204:981 --initTime 2017-07-18T22:05:27 --startdatetime 2017-07-18T22:21:46 --delay 1 --endMP 300:58926 --enddatetime 2017-07-18T22:36:17 --enforcementcount 0 &gt;&gt;C:\Users\stu\Documents\GitHub\eaglep3-reporting\EC\2017-07-18-refined-times.txt</v>
      </c>
      <c r="AI214" s="96" t="str">
        <f t="shared" si="71"/>
        <v>echo {"issue":{"subject":"","project_id":79,"tracker_id":40,"status_id":1,"priority_id":2,"assigned_to_id":23,"start_date":"2017-07-18","description":"","custom_fields":[{"id":1,"name":"Subdivision","value":"NW"},{"id":4,"name":"Milepost","value":"5.8926"},{"id":17,"name":"Train ID","value":"847-18"},{"id":16,"name":"Locomotive ID","value":"4024"},{"id":130,"name":"Impact","value":""},{"id":150,"name":"Time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72"/>
        <v>start /low /b %USERPROFILE%\Documents\GitHub\eaglep3\Utilities\DownloadLogsFromS3.py --loco 4024 --day 2017-07-18</v>
      </c>
      <c r="AN214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581</v>
      </c>
      <c r="B215" s="7">
        <v>4001</v>
      </c>
      <c r="C215" s="21" t="s">
        <v>199</v>
      </c>
      <c r="D215" s="21" t="s">
        <v>611</v>
      </c>
      <c r="E215" s="13">
        <v>42934.113449074073</v>
      </c>
      <c r="F215" s="13">
        <v>42934.117523148147</v>
      </c>
      <c r="G215" s="7">
        <v>5</v>
      </c>
      <c r="H215" s="21" t="s">
        <v>343</v>
      </c>
      <c r="I215" s="13">
        <v>42934.122916666667</v>
      </c>
      <c r="J215" s="7">
        <v>0</v>
      </c>
      <c r="K215" s="89" t="str">
        <f t="shared" si="74"/>
        <v>4001/4002</v>
      </c>
      <c r="L215" s="21" t="str">
        <f>VLOOKUP(A215,'Trips&amp;Operators'!$C$1:$G$99999,5,FALSE)</f>
        <v>STARKS ANGELINA</v>
      </c>
      <c r="M215" s="6">
        <f t="shared" si="75"/>
        <v>5.393518520577345E-3</v>
      </c>
      <c r="N215" s="7">
        <f t="shared" si="86"/>
        <v>7.7666666696313769</v>
      </c>
      <c r="O215" s="7"/>
      <c r="P215" s="7"/>
      <c r="Q215" s="22"/>
      <c r="R215" s="170"/>
      <c r="S215" s="213">
        <f t="shared" si="87"/>
        <v>1</v>
      </c>
      <c r="T215" s="195" t="str">
        <f t="shared" si="76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7"/>
        <v>https://d0f6bd738d7f1b3e5a7ca70fe4ff75f0.us-east-1.aws.found.io/app/kibana#/discover/Steve-Slow-Train-Analysis-(2080s-and-2083s)?_g=(refreshInterval:(display:Off,pause:!f,section:0,value:0),time:(from:'2017-07-18T01:43:22-0600',mode:absolute,to:'2017-07-18T03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 t="shared" si="78"/>
        <v>-547</v>
      </c>
      <c r="Y215" s="197">
        <f t="shared" si="79"/>
        <v>2.0377000000000001</v>
      </c>
      <c r="Z215" s="197">
        <f t="shared" si="80"/>
        <v>1.4999999999999999E-2</v>
      </c>
      <c r="AA215" s="197">
        <f t="shared" si="81"/>
        <v>2.0226999999999999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2"/>
        <v>300</v>
      </c>
      <c r="AE215" s="77" t="str">
        <f t="shared" si="83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215" s="74" t="str">
        <f t="shared" si="84"/>
        <v>"C:\Program Files (x86)\AstroGrep\AstroGrep.exe" /e /r /s /spath="%USERPROFILE%\AppData\Local\Temp\OnboardLogs" /stypes="app*4001*20170718*" /stext=" 08:.+((SYSTEM_STATE.+slice.+state.+changed )|(ment ac)|(multiple cpu faults)|(system.+state.+changed )|(\[timeout)|(PRM\|1\|D)|(kpr)|(kdp)|(train st.+moving)|(\|lc)|(penalty))"</v>
      </c>
      <c r="AG215" s="209" t="str">
        <f t="shared" si="85"/>
        <v>Other</v>
      </c>
      <c r="AH215" s="78" t="str">
        <f t="shared" si="70"/>
        <v>"%USERPROFILE%\Documents\GitHub\eaglep3\Utilities\RefineRTDCRunTimes.py" --tripid 300-18 --locoid 4001 --swversion DE.1.0.9.0 --startMP 300:20377 --initTime 2017-07-18T02:43:22 --startdatetime 2017-07-18T02:49:14 --delay 5 --endMP 204:150 --enddatetime 2017-07-18T02:57:00 --enforcementcount 0 &gt;&gt;C:\Users\stu\Documents\GitHub\eaglep3-reporting\EC\2017-07-18-refined-times.txt</v>
      </c>
      <c r="AI215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{"issue":{"subject":"","project_id":79,"tracker_id":40,"status_id":1,"priority_id":2,"assigned_to_id":23,"start_date":"2017-07-18","description":"","custom_fields":[{"id":1,"name":"Subdivision","value":"Other"},{"id":4,"name":"Milepost","value":"0.015"},{"id":17,"name":"Train ID","value":"300-18"},{"id":16,"name":"Locomotive ID","value":"4001"},{"id":130,"name":"Impact","value":""},{"id":150,"name":"Time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2"/>
        <v>start /low /b %USERPROFILE%\Documents\GitHub\eaglep3\Utilities\DownloadLogsFromS3.py --loco 4001 --day 2017-07-18</v>
      </c>
      <c r="AN215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08:57:00"},{"id":29,"name":"Sharepoint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824</v>
      </c>
      <c r="B216" s="7">
        <v>4026</v>
      </c>
      <c r="C216" s="21" t="s">
        <v>199</v>
      </c>
      <c r="D216" s="21" t="s">
        <v>882</v>
      </c>
      <c r="E216" s="13">
        <v>42934.775567129633</v>
      </c>
      <c r="F216" s="13">
        <v>42934.77685185185</v>
      </c>
      <c r="G216" s="7">
        <v>1</v>
      </c>
      <c r="H216" s="21" t="s">
        <v>348</v>
      </c>
      <c r="I216" s="13">
        <v>42934.782604166663</v>
      </c>
      <c r="J216" s="7">
        <v>0</v>
      </c>
      <c r="K216" s="89" t="str">
        <f t="shared" si="74"/>
        <v>4025/4026</v>
      </c>
      <c r="L216" s="21" t="str">
        <f>VLOOKUP(A216,'Trips&amp;Operators'!$C$1:$G$99999,5,FALSE)</f>
        <v>LEVIN SCOTT</v>
      </c>
      <c r="M216" s="6">
        <f t="shared" si="75"/>
        <v>5.7523148134350777E-3</v>
      </c>
      <c r="N216" s="7">
        <f t="shared" si="86"/>
        <v>8.2833333313465118</v>
      </c>
      <c r="O216" s="7"/>
      <c r="P216" s="7"/>
      <c r="Q216" s="22"/>
      <c r="R216" s="170"/>
      <c r="S216" s="213">
        <f t="shared" si="87"/>
        <v>1</v>
      </c>
      <c r="T216" s="195" t="str">
        <f t="shared" si="76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7"/>
        <v>https://d0f6bd738d7f1b3e5a7ca70fe4ff75f0.us-east-1.aws.found.io/app/kibana#/discover/Steve-Slow-Train-Analysis-(2080s-and-2083s)?_g=(refreshInterval:(display:Off,pause:!f,section:0,value:0),time:(from:'2017-07-18T17:36:49-0600',mode:absolute,to:'2017-07-18T19:46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197" t="str">
        <f>IF(AA216&lt;VLOOKUP(AG216,Variables!$AC$3:$AD$8,2,FALSE),"Y","N")</f>
        <v>Y</v>
      </c>
      <c r="X216" s="197">
        <f t="shared" si="78"/>
        <v>1</v>
      </c>
      <c r="Y216" s="197">
        <f t="shared" si="79"/>
        <v>4.3999999999999997E-2</v>
      </c>
      <c r="Z216" s="197">
        <f t="shared" si="80"/>
        <v>2.3346</v>
      </c>
      <c r="AA216" s="197">
        <f t="shared" si="81"/>
        <v>2.2906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2"/>
        <v>301</v>
      </c>
      <c r="AE216" s="77" t="str">
        <f t="shared" si="83"/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AF216" s="74" t="str">
        <f t="shared" si="84"/>
        <v>"C:\Program Files (x86)\AstroGrep\AstroGrep.exe" /e /r /s /spath="%USERPROFILE%\AppData\Local\Temp\OnboardLogs" /stypes="app*4026*20170719*" /stext=" 00:.+((SYSTEM_STATE.+slice.+state.+changed )|(ment ac)|(multiple cpu faults)|(system.+state.+changed )|(\[timeout)|(PRM\|1\|D)|(kpr)|(kdp)|(train st.+moving)|(\|lc)|(penalty))"</v>
      </c>
      <c r="AG216" s="209" t="str">
        <f t="shared" si="85"/>
        <v>Other</v>
      </c>
      <c r="AH216" s="78" t="str">
        <f t="shared" si="70"/>
        <v>"%USERPROFILE%\Documents\GitHub\eaglep3\Utilities\RefineRTDCRunTimes.py" --tripid 301-18 --locoid 4026 --swversion DE.1.0.9.0 --startMP 204:440 --initTime 2017-07-18T18:36:49 --startdatetime 2017-07-18T18:38:40 --delay 1 --endMP 300:23346 --enddatetime 2017-07-18T18:46:57 --enforcementcount 0 &gt;&gt;C:\Users\stu\Documents\GitHub\eaglep3-reporting\EC\2017-07-18-refined-times.txt</v>
      </c>
      <c r="AI216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{"issue":{"subject":"","project_id":79,"tracker_id":40,"status_id":1,"priority_id":2,"assigned_to_id":23,"start_date":"2017-07-18","description":"","custom_fields":[{"id":1,"name":"Subdivision","value":"Other"},{"id":4,"name":"Milepost","value":"2.3346"},{"id":17,"name":"Train ID","value":"301-18"},{"id":16,"name":"Locomotive ID","value":"4026"},{"id":130,"name":"Impact","value":""},{"id":150,"name":"Time of Event (Mountain Time)","value":"18:46:57"},{"id":151,"name":"Denver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2"/>
        <v>start /low /b %USERPROFILE%\Documents\GitHub\eaglep3\Utilities\DownloadLogsFromS3.py --loco 4026 --day 2017-07-18</v>
      </c>
      <c r="AN216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00:46:57"},{"id":29,"name":"Sharepoint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670</v>
      </c>
      <c r="B217" s="7">
        <v>4011</v>
      </c>
      <c r="C217" s="21" t="s">
        <v>199</v>
      </c>
      <c r="D217" s="21" t="s">
        <v>947</v>
      </c>
      <c r="E217" s="13">
        <v>42934.137800925928</v>
      </c>
      <c r="F217" s="13">
        <v>42934.140925925924</v>
      </c>
      <c r="G217" s="7">
        <v>4</v>
      </c>
      <c r="H217" s="21" t="s">
        <v>345</v>
      </c>
      <c r="I217" s="13">
        <v>42934.146562499998</v>
      </c>
      <c r="J217" s="7">
        <v>0</v>
      </c>
      <c r="K217" s="89" t="str">
        <f t="shared" si="74"/>
        <v>4011/4012</v>
      </c>
      <c r="L217" s="21" t="str">
        <f>VLOOKUP(A217,'Trips&amp;Operators'!$C$1:$G$99999,5,FALSE)</f>
        <v>ELBAUM MIKE</v>
      </c>
      <c r="M217" s="6">
        <f t="shared" si="75"/>
        <v>5.6365740747423843E-3</v>
      </c>
      <c r="N217" s="7">
        <f t="shared" si="86"/>
        <v>8.1166666676290333</v>
      </c>
      <c r="O217" s="7"/>
      <c r="P217" s="7"/>
      <c r="Q217" s="22"/>
      <c r="R217" s="170"/>
      <c r="S217" s="213">
        <f t="shared" si="87"/>
        <v>1</v>
      </c>
      <c r="T217" s="195" t="str">
        <f t="shared" si="76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7"/>
        <v>https://d0f6bd738d7f1b3e5a7ca70fe4ff75f0.us-east-1.aws.found.io/app/kibana#/discover/Steve-Slow-Train-Analysis-(2080s-and-2083s)?_g=(refreshInterval:(display:Off,pause:!f,section:0,value:0),time:(from:'2017-07-18T02:18:26-0600',mode:absolute,to:'2017-07-18T04:31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197" t="str">
        <f>IF(AA217&lt;VLOOKUP(AG217,Variables!$AC$3:$AD$8,2,FALSE),"Y","N")</f>
        <v>Y</v>
      </c>
      <c r="X217" s="197">
        <f t="shared" si="78"/>
        <v>1</v>
      </c>
      <c r="Y217" s="197">
        <f t="shared" si="79"/>
        <v>2.3553000000000002</v>
      </c>
      <c r="Z217" s="197">
        <f t="shared" si="80"/>
        <v>1.43E-2</v>
      </c>
      <c r="AA217" s="197">
        <f t="shared" si="81"/>
        <v>2.3410000000000002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2"/>
        <v>302</v>
      </c>
      <c r="AE217" s="77" t="str">
        <f t="shared" si="83"/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AF217" s="74" t="str">
        <f t="shared" si="84"/>
        <v>"C:\Program Files (x86)\AstroGrep\AstroGrep.exe" /e /r /s /spath="%USERPROFILE%\AppData\Local\Temp\OnboardLogs" /stypes="app*4011*20170718*" /stext=" 09:.+((SYSTEM_STATE.+slice.+state.+changed )|(ment ac)|(multiple cpu faults)|(system.+state.+changed )|(\[timeout)|(PRM\|1\|D)|(kpr)|(kdp)|(train st.+moving)|(\|lc)|(penalty))"</v>
      </c>
      <c r="AG217" s="209" t="str">
        <f t="shared" si="85"/>
        <v>Other</v>
      </c>
      <c r="AH217" s="78" t="str">
        <f t="shared" si="70"/>
        <v>"%USERPROFILE%\Documents\GitHub\eaglep3\Utilities\RefineRTDCRunTimes.py" --tripid 302-18 --locoid 4011 --swversion DE.1.0.9.0 --startMP 300:23553 --initTime 2017-07-18T03:18:26 --startdatetime 2017-07-18T03:22:56 --delay 4 --endMP 204:143 --enddatetime 2017-07-18T03:31:03 --enforcementcount 0 &gt;&gt;C:\Users\stu\Documents\GitHub\eaglep3-reporting\EC\2017-07-18-refined-times.txt</v>
      </c>
      <c r="AI217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{"issue":{"subject":"","project_id":79,"tracker_id":40,"status_id":1,"priority_id":2,"assigned_to_id":23,"start_date":"2017-07-18","description":"","custom_fields":[{"id":1,"name":"Subdivision","value":"Other"},{"id":4,"name":"Milepost","value":"0.0143"},{"id":17,"name":"Train ID","value":"302-18"},{"id":16,"name":"Locomotive ID","value":"4011"},{"id":130,"name":"Impact","value":""},{"id":150,"name":"Time of Event (Mountain Time)","value":"03:31:03"},{"id":151,"name":"Denver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2"/>
        <v>start /low /b %USERPROFILE%\Documents\GitHub\eaglep3\Utilities\DownloadLogsFromS3.py --loco 4011 --day 2017-07-18</v>
      </c>
      <c r="AN217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09:31:03"},{"id":29,"name":"Sharepoint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673</v>
      </c>
      <c r="B218" s="7">
        <v>4007</v>
      </c>
      <c r="C218" s="21" t="s">
        <v>199</v>
      </c>
      <c r="D218" s="21" t="s">
        <v>948</v>
      </c>
      <c r="E218" s="13">
        <v>42934.158101851855</v>
      </c>
      <c r="F218" s="13">
        <v>42934.162245370368</v>
      </c>
      <c r="G218" s="7">
        <v>5</v>
      </c>
      <c r="H218" s="21" t="s">
        <v>898</v>
      </c>
      <c r="I218" s="13">
        <v>42934.167592592596</v>
      </c>
      <c r="J218" s="7">
        <v>0</v>
      </c>
      <c r="K218" s="89" t="str">
        <f t="shared" si="74"/>
        <v>4007/4008</v>
      </c>
      <c r="L218" s="21" t="str">
        <f>VLOOKUP(A218,'Trips&amp;Operators'!$C$1:$G$99999,5,FALSE)</f>
        <v>MAELZER KURT</v>
      </c>
      <c r="M218" s="6">
        <f t="shared" si="75"/>
        <v>5.3472222280106507E-3</v>
      </c>
      <c r="N218" s="7">
        <f t="shared" si="86"/>
        <v>7.700000008335337</v>
      </c>
      <c r="O218" s="7"/>
      <c r="P218" s="7"/>
      <c r="Q218" s="22"/>
      <c r="R218" s="170"/>
      <c r="S218" s="213">
        <f t="shared" si="87"/>
        <v>1</v>
      </c>
      <c r="T218" s="195" t="str">
        <f t="shared" si="76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7"/>
        <v>https://d0f6bd738d7f1b3e5a7ca70fe4ff75f0.us-east-1.aws.found.io/app/kibana#/discover/Steve-Slow-Train-Analysis-(2080s-and-2083s)?_g=(refreshInterval:(display:Off,pause:!f,section:0,value:0),time:(from:'2017-07-18T02:47:40-0600',mode:absolute,to:'2017-07-18T05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7" t="str">
        <f>IF(AA218&lt;VLOOKUP(AG218,Variables!$AC$3:$AD$8,2,FALSE),"Y","N")</f>
        <v>Y</v>
      </c>
      <c r="X218" s="197">
        <f t="shared" si="78"/>
        <v>2</v>
      </c>
      <c r="Y218" s="197">
        <f t="shared" si="79"/>
        <v>2.2641</v>
      </c>
      <c r="Z218" s="197">
        <f t="shared" si="80"/>
        <v>1.2999999999999999E-2</v>
      </c>
      <c r="AA218" s="197">
        <f t="shared" si="81"/>
        <v>2.2511000000000001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2"/>
        <v>304</v>
      </c>
      <c r="AE218" s="77" t="str">
        <f t="shared" si="83"/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AF218" s="74" t="str">
        <f t="shared" si="84"/>
        <v>"C:\Program Files (x86)\AstroGrep\AstroGrep.exe" /e /r /s /spath="%USERPROFILE%\AppData\Local\Temp\OnboardLogs" /stypes="app*4007*20170718*" /stext=" 10:.+((SYSTEM_STATE.+slice.+state.+changed )|(ment ac)|(multiple cpu faults)|(system.+state.+changed )|(\[timeout)|(PRM\|1\|D)|(kpr)|(kdp)|(train st.+moving)|(\|lc)|(penalty))"</v>
      </c>
      <c r="AG218" s="209" t="str">
        <f t="shared" si="85"/>
        <v>Other</v>
      </c>
      <c r="AH218" s="78" t="str">
        <f t="shared" si="70"/>
        <v>"%USERPROFILE%\Documents\GitHub\eaglep3\Utilities\RefineRTDCRunTimes.py" --tripid 304-18 --locoid 4007 --swversion DE.1.0.9.0 --startMP 300:22641 --initTime 2017-07-18T03:47:40 --startdatetime 2017-07-18T03:53:38 --delay 5 --endMP 204:130 --enddatetime 2017-07-18T04:01:20 --enforcementcount 0 &gt;&gt;C:\Users\stu\Documents\GitHub\eaglep3-reporting\EC\2017-07-18-refined-times.txt</v>
      </c>
      <c r="AI218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{"issue":{"subject":"","project_id":79,"tracker_id":40,"status_id":1,"priority_id":2,"assigned_to_id":23,"start_date":"2017-07-18","description":"","custom_fields":[{"id":1,"name":"Subdivision","value":"Other"},{"id":4,"name":"Milepost","value":"0.013"},{"id":17,"name":"Train ID","value":"304-18"},{"id":16,"name":"Locomotive ID","value":"4007"},{"id":130,"name":"Impact","value":""},{"id":150,"name":"Time of Event (Mountain Time)","value":"04:01:20"},{"id":151,"name":"Denver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2"/>
        <v>start /low /b %USERPROFILE%\Documents\GitHub\eaglep3\Utilities\DownloadLogsFromS3.py --loco 4007 --day 2017-07-18</v>
      </c>
      <c r="AN218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834</v>
      </c>
      <c r="B219" s="7">
        <v>4006</v>
      </c>
      <c r="C219" s="21" t="s">
        <v>199</v>
      </c>
      <c r="D219" s="21" t="s">
        <v>476</v>
      </c>
      <c r="E219" s="13">
        <v>42934.818379629629</v>
      </c>
      <c r="F219" s="13">
        <v>42934.819652777776</v>
      </c>
      <c r="G219" s="7">
        <v>1</v>
      </c>
      <c r="H219" s="21" t="s">
        <v>348</v>
      </c>
      <c r="I219" s="13">
        <v>42934.827060185184</v>
      </c>
      <c r="J219" s="7">
        <v>0</v>
      </c>
      <c r="K219" s="89" t="str">
        <f t="shared" si="74"/>
        <v>4005/4006</v>
      </c>
      <c r="L219" s="21" t="str">
        <f>VLOOKUP(A219,'Trips&amp;Operators'!$C$1:$G$99999,5,FALSE)</f>
        <v>MCREYNOLDS KYLE</v>
      </c>
      <c r="M219" s="6">
        <f t="shared" si="75"/>
        <v>7.4074074072996154E-3</v>
      </c>
      <c r="N219" s="7">
        <f t="shared" si="86"/>
        <v>10.666666666511446</v>
      </c>
      <c r="O219" s="7"/>
      <c r="P219" s="7"/>
      <c r="Q219" s="22"/>
      <c r="R219" s="170"/>
      <c r="S219" s="213">
        <f t="shared" si="87"/>
        <v>1</v>
      </c>
      <c r="T219" s="195" t="str">
        <f t="shared" si="76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7"/>
        <v>https://d0f6bd738d7f1b3e5a7ca70fe4ff75f0.us-east-1.aws.found.io/app/kibana#/discover/Steve-Slow-Train-Analysis-(2080s-and-2083s)?_g=(refreshInterval:(display:Off,pause:!f,section:0,value:0),time:(from:'2017-07-18T18:38:28-0600',mode:absolute,to:'2017-07-18T20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7" t="str">
        <f>IF(AA219&lt;VLOOKUP(AG219,Variables!$AC$3:$AD$8,2,FALSE),"Y","N")</f>
        <v>Y</v>
      </c>
      <c r="X219" s="197">
        <f t="shared" si="78"/>
        <v>1</v>
      </c>
      <c r="Y219" s="197">
        <f t="shared" si="79"/>
        <v>4.6399999999999997E-2</v>
      </c>
      <c r="Z219" s="197">
        <f t="shared" si="80"/>
        <v>2.3346</v>
      </c>
      <c r="AA219" s="197">
        <f t="shared" si="81"/>
        <v>2.2881999999999998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2"/>
        <v>305</v>
      </c>
      <c r="AE219" s="77" t="str">
        <f t="shared" si="83"/>
        <v>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 &amp; aws s3 cp s3://rtdc.mdm.uploadarchive.raw/RTDC4006/ "%USERPROFILE%\AppData\Local\Temp\OnboardLogs"\RTDC4006\2017-07-19 --exclude "*" --recursive --include "*20170719*" &amp; "%USERPROFILE%\Documents\GitHub\mrs-test-scripts\Headless Mode &amp; Sideloading\WalkAndUnGZ.bat" "%USERPROFILE%\AppData\Local\Temp\OnboardLogs"\RTDC4006\2017-07-19</v>
      </c>
      <c r="AF219" s="74" t="str">
        <f t="shared" si="84"/>
        <v>"C:\Program Files (x86)\AstroGrep\AstroGrep.exe" /e /r /s /spath="%USERPROFILE%\AppData\Local\Temp\OnboardLogs" /stypes="app*4006*20170719*" /stext=" 01:.+((SYSTEM_STATE.+slice.+state.+changed )|(ment ac)|(multiple cpu faults)|(system.+state.+changed )|(\[timeout)|(PRM\|1\|D)|(kpr)|(kdp)|(train st.+moving)|(\|lc)|(penalty))"</v>
      </c>
      <c r="AG219" s="209" t="str">
        <f t="shared" si="85"/>
        <v>Other</v>
      </c>
      <c r="AH219" s="78" t="str">
        <f t="shared" si="70"/>
        <v>"%USERPROFILE%\Documents\GitHub\eaglep3\Utilities\RefineRTDCRunTimes.py" --tripid 305-18 --locoid 4006 --swversion DE.1.0.9.0 --startMP 204:464 --initTime 2017-07-18T19:38:28 --startdatetime 2017-07-18T19:40:18 --delay 1 --endMP 300:23346 --enddatetime 2017-07-18T19:50:58 --enforcementcount 0 &gt;&gt;C:\Users\stu\Documents\GitHub\eaglep3-reporting\EC\2017-07-18-refined-times.txt</v>
      </c>
      <c r="AI219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{"issue":{"subject":"","project_id":79,"tracker_id":40,"status_id":1,"priority_id":2,"assigned_to_id":23,"start_date":"2017-07-18","description":"","custom_fields":[{"id":1,"name":"Subdivision","value":"Other"},{"id":4,"name":"Milepost","value":"2.3346"},{"id":17,"name":"Train ID","value":"305-18"},{"id":16,"name":"Locomotive ID","value":"4006"},{"id":130,"name":"Impact","value":""},{"id":150,"name":"Time of Event (Mountain Time)","value":"19:50:58"},{"id":151,"name":"Denver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2"/>
        <v>start /low /b %USERPROFILE%\Documents\GitHub\eaglep3\Utilities\DownloadLogsFromS3.py --loco 4006 --day 2017-07-18</v>
      </c>
      <c r="AN219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675</v>
      </c>
      <c r="B220" s="7">
        <v>4013</v>
      </c>
      <c r="C220" s="21" t="s">
        <v>199</v>
      </c>
      <c r="D220" s="21" t="s">
        <v>949</v>
      </c>
      <c r="E220" s="13">
        <v>42934.165300925924</v>
      </c>
      <c r="F220" s="13">
        <v>42934.169236111113</v>
      </c>
      <c r="G220" s="7">
        <v>5</v>
      </c>
      <c r="H220" s="21" t="s">
        <v>351</v>
      </c>
      <c r="I220" s="13">
        <v>42934.180613425924</v>
      </c>
      <c r="J220" s="7">
        <v>0</v>
      </c>
      <c r="K220" s="89" t="str">
        <f t="shared" si="74"/>
        <v>4013/4014</v>
      </c>
      <c r="L220" s="21" t="str">
        <f>VLOOKUP(A220,'Trips&amp;Operators'!$C$1:$G$99999,5,FALSE)</f>
        <v>NICHOLSON WESLEY</v>
      </c>
      <c r="M220" s="6">
        <f t="shared" si="75"/>
        <v>1.137731481139781E-2</v>
      </c>
      <c r="N220" s="7">
        <f t="shared" si="86"/>
        <v>16.383333328412846</v>
      </c>
      <c r="O220" s="7"/>
      <c r="P220" s="7"/>
      <c r="Q220" s="22"/>
      <c r="R220" s="170"/>
      <c r="S220" s="213">
        <f t="shared" si="87"/>
        <v>1</v>
      </c>
      <c r="T220" s="195" t="str">
        <f t="shared" si="76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7"/>
        <v>https://d0f6bd738d7f1b3e5a7ca70fe4ff75f0.us-east-1.aws.found.io/app/kibana#/discover/Steve-Slow-Train-Analysis-(2080s-and-2083s)?_g=(refreshInterval:(display:Off,pause:!f,section:0,value:0),time:(from:'2017-07-18T02:58:02-0600',mode:absolute,to:'2017-07-18T05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197" t="str">
        <f>IF(AA220&lt;VLOOKUP(AG220,Variables!$AC$3:$AD$8,2,FALSE),"Y","N")</f>
        <v>Y</v>
      </c>
      <c r="X220" s="197">
        <f t="shared" si="78"/>
        <v>1</v>
      </c>
      <c r="Y220" s="197">
        <f t="shared" si="79"/>
        <v>2.3472</v>
      </c>
      <c r="Z220" s="197">
        <f t="shared" si="80"/>
        <v>1.3899999999999999E-2</v>
      </c>
      <c r="AA220" s="197">
        <f t="shared" si="81"/>
        <v>2.3332999999999999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2"/>
        <v>306</v>
      </c>
      <c r="AE220" s="77" t="str">
        <f t="shared" si="83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220" s="74" t="str">
        <f t="shared" si="84"/>
        <v>"C:\Program Files (x86)\AstroGrep\AstroGrep.exe" /e /r /s /spath="%USERPROFILE%\AppData\Local\Temp\OnboardLogs" /stypes="app*4013*20170718*" /stext=" 10:.+((SYSTEM_STATE.+slice.+state.+changed )|(ment ac)|(multiple cpu faults)|(system.+state.+changed )|(\[timeout)|(PRM\|1\|D)|(kpr)|(kdp)|(train st.+moving)|(\|lc)|(penalty))"</v>
      </c>
      <c r="AG220" s="209" t="str">
        <f t="shared" si="85"/>
        <v>Other</v>
      </c>
      <c r="AH220" s="78" t="str">
        <f t="shared" si="70"/>
        <v>"%USERPROFILE%\Documents\GitHub\eaglep3\Utilities\RefineRTDCRunTimes.py" --tripid 306-18 --locoid 4013 --swversion DE.1.0.9.0 --startMP 300:23472 --initTime 2017-07-18T03:58:02 --startdatetime 2017-07-18T04:03:42 --delay 5 --endMP 204:139 --enddatetime 2017-07-18T04:20:05 --enforcementcount 0 &gt;&gt;C:\Users\stu\Documents\GitHub\eaglep3-reporting\EC\2017-07-18-refined-times.txt</v>
      </c>
      <c r="AI220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{"issue":{"subject":"","project_id":79,"tracker_id":40,"status_id":1,"priority_id":2,"assigned_to_id":23,"start_date":"2017-07-18","description":"","custom_fields":[{"id":1,"name":"Subdivision","value":"Other"},{"id":4,"name":"Milepost","value":"0.0139"},{"id":17,"name":"Train ID","value":"306-18"},{"id":16,"name":"Locomotive ID","value":"4013"},{"id":130,"name":"Impact","value":""},{"id":150,"name":"Time of Event (Mountain Time)","value":"04:20:05"},{"id":151,"name":"Denver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2"/>
        <v>start /low /b %USERPROFILE%\Documents\GitHub\eaglep3\Utilities\DownloadLogsFromS3.py --loco 4013 --day 2017-07-18</v>
      </c>
      <c r="AN220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859</v>
      </c>
      <c r="B221" s="7">
        <v>4062</v>
      </c>
      <c r="C221" s="21" t="s">
        <v>199</v>
      </c>
      <c r="D221" s="21" t="s">
        <v>413</v>
      </c>
      <c r="E221" s="13">
        <v>42935.028425925928</v>
      </c>
      <c r="F221" s="13">
        <v>42935.033726851849</v>
      </c>
      <c r="G221" s="7">
        <v>1</v>
      </c>
      <c r="H221" s="21" t="s">
        <v>348</v>
      </c>
      <c r="I221" s="13">
        <v>42935.039942129632</v>
      </c>
      <c r="J221" s="7">
        <v>0</v>
      </c>
      <c r="K221" s="89" t="str">
        <f t="shared" si="74"/>
        <v>4061/4062</v>
      </c>
      <c r="L221" s="21" t="str">
        <f>VLOOKUP(A221,'Trips&amp;Operators'!$C$1:$G$99999,5,FALSE)</f>
        <v>HAITHCOX MICHAEL</v>
      </c>
      <c r="M221" s="6">
        <f t="shared" si="75"/>
        <v>6.2152777827577665E-3</v>
      </c>
      <c r="N221" s="7">
        <f t="shared" si="86"/>
        <v>8.9500000071711838</v>
      </c>
      <c r="O221" s="7"/>
      <c r="P221" s="7"/>
      <c r="Q221" s="22"/>
      <c r="R221" s="170"/>
      <c r="S221" s="213">
        <f t="shared" si="87"/>
        <v>1</v>
      </c>
      <c r="T221" s="195" t="str">
        <f t="shared" si="76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7"/>
        <v>https://d0f6bd738d7f1b3e5a7ca70fe4ff75f0.us-east-1.aws.found.io/app/kibana#/discover/Steve-Slow-Train-Analysis-(2080s-and-2083s)?_g=(refreshInterval:(display:Off,pause:!f,section:0,value:0),time:(from:'2017-07-18T23:40:56-0600',mode:absolute,to:'2017-07-19T01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1" s="197" t="str">
        <f>IF(AA221&lt;VLOOKUP(AG221,Variables!$AC$3:$AD$8,2,FALSE),"Y","N")</f>
        <v>Y</v>
      </c>
      <c r="X221" s="197">
        <f t="shared" si="78"/>
        <v>1</v>
      </c>
      <c r="Y221" s="197">
        <f t="shared" si="79"/>
        <v>4.58E-2</v>
      </c>
      <c r="Z221" s="197">
        <f t="shared" si="80"/>
        <v>2.3346</v>
      </c>
      <c r="AA221" s="197">
        <f t="shared" si="81"/>
        <v>2.2888000000000002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2"/>
        <v>307</v>
      </c>
      <c r="AE221" s="77" t="str">
        <f t="shared" si="83"/>
        <v>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 &amp; aws s3 cp s3://rtdc.mdm.uploadarchive.raw/RTDC4062/ "%USERPROFILE%\AppData\Local\Temp\OnboardLogs"\RTDC4062\2017-07-20 --exclude "*" --recursive --include "*20170720*" &amp; "%USERPROFILE%\Documents\GitHub\mrs-test-scripts\Headless Mode &amp; Sideloading\WalkAndUnGZ.bat" "%USERPROFILE%\AppData\Local\Temp\OnboardLogs"\RTDC4062\2017-07-20</v>
      </c>
      <c r="AF221" s="74" t="str">
        <f t="shared" si="84"/>
        <v>"C:\Program Files (x86)\AstroGrep\AstroGrep.exe" /e /r /s /spath="%USERPROFILE%\AppData\Local\Temp\OnboardLogs" /stypes="app*4062*20170719*" /stext=" 06:.+((SYSTEM_STATE.+slice.+state.+changed )|(ment ac)|(multiple cpu faults)|(system.+state.+changed )|(\[timeout)|(PRM\|1\|D)|(kpr)|(kdp)|(train st.+moving)|(\|lc)|(penalty))"</v>
      </c>
      <c r="AG221" s="209" t="str">
        <f t="shared" si="85"/>
        <v>Other</v>
      </c>
      <c r="AH221" s="78" t="str">
        <f t="shared" si="70"/>
        <v>"%USERPROFILE%\Documents\GitHub\eaglep3\Utilities\RefineRTDCRunTimes.py" --tripid 307-18 --locoid 4062 --swversion DE.1.0.9.0 --startMP 204:458 --initTime 2017-07-19T00:40:56 --startdatetime 2017-07-19T00:48:34 --delay 1 --endMP 300:23346 --enddatetime 2017-07-19T00:57:31 --enforcementcount 0 &gt;&gt;C:\Users\stu\Documents\GitHub\eaglep3-reporting\EC\2017-07-18-refined-times.txt</v>
      </c>
      <c r="AI221" s="96" t="str">
        <f t="shared" si="71"/>
        <v>echo {"issue":{"subject":"","project_id":79,"tracker_id":40,"status_id":1,"priority_id":2,"assigned_to_id":23,"start_date":"2017-07-19","description":"","custom_fields":[{"id":1,"name":"Subdivision","value":"Other"},{"id":4,"name":"Milepost","value":"2.3346"},{"id":17,"name":"Train ID","value":"307-18"},{"id":16,"name":"Locomotive ID","value":"4062"},{"id":130,"name":"Impact","value":""},{"id":150,"name":"Time of Event (Mountain Time)","value":"00:57:31"},{"id":151,"name":"Denver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2"/>
        <v>start /low /b %USERPROFILE%\Documents\GitHub\eaglep3\Utilities\DownloadLogsFromS3.py --loco 4062 --day 2017-07-19</v>
      </c>
      <c r="AN221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06:57:31"},{"id":29,"name":"Sharepoint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629</v>
      </c>
      <c r="B222" s="7">
        <v>4025</v>
      </c>
      <c r="C222" s="21" t="s">
        <v>199</v>
      </c>
      <c r="D222" s="21" t="s">
        <v>950</v>
      </c>
      <c r="E222" s="13">
        <v>42934.185925925929</v>
      </c>
      <c r="F222" s="13">
        <v>42934.187893518516</v>
      </c>
      <c r="G222" s="7">
        <v>1</v>
      </c>
      <c r="H222" s="21" t="s">
        <v>951</v>
      </c>
      <c r="I222" s="13">
        <v>42934.193541666667</v>
      </c>
      <c r="J222" s="7">
        <v>0</v>
      </c>
      <c r="K222" s="89" t="str">
        <f t="shared" si="74"/>
        <v>4025/4026</v>
      </c>
      <c r="L222" s="21" t="str">
        <f>VLOOKUP(A222,'Trips&amp;Operators'!$C$1:$G$99999,5,FALSE)</f>
        <v>MILLER KEVIN</v>
      </c>
      <c r="M222" s="6">
        <f t="shared" si="75"/>
        <v>5.6481481515220366E-3</v>
      </c>
      <c r="N222" s="7">
        <f t="shared" si="86"/>
        <v>8.1333333381917328</v>
      </c>
      <c r="O222" s="7"/>
      <c r="P222" s="7"/>
      <c r="Q222" s="22"/>
      <c r="R222" s="170"/>
      <c r="S222" s="213">
        <f t="shared" si="87"/>
        <v>1</v>
      </c>
      <c r="T222" s="195" t="str">
        <f t="shared" si="76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7"/>
        <v>https://d0f6bd738d7f1b3e5a7ca70fe4ff75f0.us-east-1.aws.found.io/app/kibana#/discover/Steve-Slow-Train-Analysis-(2080s-and-2083s)?_g=(refreshInterval:(display:Off,pause:!f,section:0,value:0),time:(from:'2017-07-18T03:27:44-0600',mode:absolute,to:'2017-07-18T05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2" s="197" t="str">
        <f>IF(AA222&lt;VLOOKUP(AG222,Variables!$AC$3:$AD$8,2,FALSE),"Y","N")</f>
        <v>Y</v>
      </c>
      <c r="X222" s="197">
        <f t="shared" si="78"/>
        <v>1</v>
      </c>
      <c r="Y222" s="197">
        <f t="shared" si="79"/>
        <v>2.5127999999999999</v>
      </c>
      <c r="Z222" s="197">
        <f t="shared" si="80"/>
        <v>2.23E-2</v>
      </c>
      <c r="AA222" s="197">
        <f t="shared" si="81"/>
        <v>2.4904999999999999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2"/>
        <v>308</v>
      </c>
      <c r="AE222" s="77" t="str">
        <f t="shared" si="83"/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AF222" s="74" t="str">
        <f t="shared" si="84"/>
        <v>"C:\Program Files (x86)\AstroGrep\AstroGrep.exe" /e /r /s /spath="%USERPROFILE%\AppData\Local\Temp\OnboardLogs" /stypes="app*4025*20170718*" /stext=" 10:.+((SYSTEM_STATE.+slice.+state.+changed )|(ment ac)|(multiple cpu faults)|(system.+state.+changed )|(\[timeout)|(PRM\|1\|D)|(kpr)|(kdp)|(train st.+moving)|(\|lc)|(penalty))"</v>
      </c>
      <c r="AG222" s="209" t="str">
        <f t="shared" si="85"/>
        <v>Other</v>
      </c>
      <c r="AH222" s="78" t="str">
        <f t="shared" si="70"/>
        <v>"%USERPROFILE%\Documents\GitHub\eaglep3\Utilities\RefineRTDCRunTimes.py" --tripid 308-18 --locoid 4025 --swversion DE.1.0.9.0 --startMP 300:25128 --initTime 2017-07-18T04:27:44 --startdatetime 2017-07-18T04:30:34 --delay 1 --endMP 204:223 --enddatetime 2017-07-18T04:38:42 --enforcementcount 0 &gt;&gt;C:\Users\stu\Documents\GitHub\eaglep3-reporting\EC\2017-07-18-refined-times.txt</v>
      </c>
      <c r="AI222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{"issue":{"subject":"","project_id":79,"tracker_id":40,"status_id":1,"priority_id":2,"assigned_to_id":23,"start_date":"2017-07-18","description":"","custom_fields":[{"id":1,"name":"Subdivision","value":"Other"},{"id":4,"name":"Milepost","value":"0.0223"},{"id":17,"name":"Train ID","value":"308-18"},{"id":16,"name":"Locomotive ID","value":"4025"},{"id":130,"name":"Impact","value":""},{"id":150,"name":"Time of Event (Mountain Time)","value":"04:38:42"},{"id":151,"name":"Denver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2"/>
        <v>start /low /b %USERPROFILE%\Documents\GitHub\eaglep3\Utilities\DownloadLogsFromS3.py --loco 4025 --day 2017-07-18</v>
      </c>
      <c r="AN222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860</v>
      </c>
      <c r="B223" s="7">
        <v>4014</v>
      </c>
      <c r="C223" s="21" t="s">
        <v>199</v>
      </c>
      <c r="D223" s="21" t="s">
        <v>952</v>
      </c>
      <c r="E223" s="13">
        <v>42935.049178240741</v>
      </c>
      <c r="F223" s="13">
        <v>42935.051481481481</v>
      </c>
      <c r="G223" s="7">
        <v>1</v>
      </c>
      <c r="H223" s="21" t="s">
        <v>612</v>
      </c>
      <c r="I223" s="13">
        <v>42935.056701388887</v>
      </c>
      <c r="J223" s="7">
        <v>0</v>
      </c>
      <c r="K223" s="89" t="str">
        <f t="shared" si="74"/>
        <v>4013/4014</v>
      </c>
      <c r="L223" s="21" t="str">
        <f>VLOOKUP(A223,'Trips&amp;Operators'!$C$1:$G$99999,5,FALSE)</f>
        <v>CASSIDY BRANDON</v>
      </c>
      <c r="M223" s="6">
        <f t="shared" si="75"/>
        <v>5.2199074052623473E-3</v>
      </c>
      <c r="N223" s="7">
        <f t="shared" si="86"/>
        <v>7.5166666635777801</v>
      </c>
      <c r="O223" s="7"/>
      <c r="P223" s="7"/>
      <c r="Q223" s="22"/>
      <c r="R223" s="170"/>
      <c r="S223" s="213">
        <f t="shared" si="87"/>
        <v>1</v>
      </c>
      <c r="T223" s="195" t="str">
        <f t="shared" si="76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7"/>
        <v>https://d0f6bd738d7f1b3e5a7ca70fe4ff75f0.us-east-1.aws.found.io/app/kibana#/discover/Steve-Slow-Train-Analysis-(2080s-and-2083s)?_g=(refreshInterval:(display:Off,pause:!f,section:0,value:0),time:(from:'2017-07-19T00:10:49-0600',mode:absolute,to:'2017-07-19T02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3" s="197" t="str">
        <f>IF(AA223&lt;VLOOKUP(AG223,Variables!$AC$3:$AD$8,2,FALSE),"Y","N")</f>
        <v>Y</v>
      </c>
      <c r="X223" s="197">
        <f t="shared" si="78"/>
        <v>1</v>
      </c>
      <c r="Y223" s="197">
        <f t="shared" si="79"/>
        <v>4.3900000000000002E-2</v>
      </c>
      <c r="Z223" s="197">
        <f t="shared" si="80"/>
        <v>2.3302</v>
      </c>
      <c r="AA223" s="197">
        <f t="shared" si="81"/>
        <v>2.2863000000000002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2"/>
        <v>309</v>
      </c>
      <c r="AE223" s="77" t="str">
        <f t="shared" si="83"/>
        <v>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 &amp; aws s3 cp s3://rtdc.mdm.uploadarchive.raw/RTDC4014/ "%USERPROFILE%\AppData\Local\Temp\OnboardLogs"\RTDC4014\2017-07-20 --exclude "*" --recursive --include "*20170720*" &amp; "%USERPROFILE%\Documents\GitHub\mrs-test-scripts\Headless Mode &amp; Sideloading\WalkAndUnGZ.bat" "%USERPROFILE%\AppData\Local\Temp\OnboardLogs"\RTDC4014\2017-07-20</v>
      </c>
      <c r="AF223" s="74" t="str">
        <f t="shared" si="84"/>
        <v>"C:\Program Files (x86)\AstroGrep\AstroGrep.exe" /e /r /s /spath="%USERPROFILE%\AppData\Local\Temp\OnboardLogs" /stypes="app*4014*20170719*" /stext=" 07:.+((SYSTEM_STATE.+slice.+state.+changed )|(ment ac)|(multiple cpu faults)|(system.+state.+changed )|(\[timeout)|(PRM\|1\|D)|(kpr)|(kdp)|(train st.+moving)|(\|lc)|(penalty))"</v>
      </c>
      <c r="AG223" s="209" t="str">
        <f t="shared" si="85"/>
        <v>Other</v>
      </c>
      <c r="AH223" s="78" t="str">
        <f t="shared" si="70"/>
        <v>"%USERPROFILE%\Documents\GitHub\eaglep3\Utilities\RefineRTDCRunTimes.py" --tripid 309-18 --locoid 4014 --swversion DE.1.0.9.0 --startMP 204:439 --initTime 2017-07-19T01:10:49 --startdatetime 2017-07-19T01:14:08 --delay 1 --endMP 300:23302 --enddatetime 2017-07-19T01:21:39 --enforcementcount 0 &gt;&gt;C:\Users\stu\Documents\GitHub\eaglep3-reporting\EC\2017-07-18-refined-times.txt</v>
      </c>
      <c r="AI223" s="96" t="str">
        <f t="shared" si="71"/>
        <v>echo {"issue":{"subject":"","project_id":79,"tracker_id":40,"status_id":1,"priority_id":2,"assigned_to_id":23,"start_date":"2017-07-19","description":"","custom_fields":[{"id":1,"name":"Subdivision","value":"Other"},{"id":4,"name":"Milepost","value":"2.3302"},{"id":17,"name":"Train ID","value":"309-18"},{"id":16,"name":"Locomotive ID","value":"4014"},{"id":130,"name":"Impact","value":""},{"id":150,"name":"Time of Event (Mountain Time)","value":"01:21:39"},{"id":151,"name":"Denver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2"/>
        <v>start /low /b %USERPROFILE%\Documents\GitHub\eaglep3\Utilities\DownloadLogsFromS3.py --loco 4014 --day 2017-07-19</v>
      </c>
      <c r="AN223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07:21:39"},{"id":29,"name":"Sharepoint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682</v>
      </c>
      <c r="B224" s="7">
        <v>4063</v>
      </c>
      <c r="C224" s="21" t="s">
        <v>199</v>
      </c>
      <c r="D224" s="21" t="s">
        <v>953</v>
      </c>
      <c r="E224" s="13">
        <v>42934.206469907411</v>
      </c>
      <c r="F224" s="13">
        <v>42934.209791666668</v>
      </c>
      <c r="G224" s="7">
        <v>4</v>
      </c>
      <c r="H224" s="21" t="s">
        <v>345</v>
      </c>
      <c r="I224" s="13">
        <v>42934.215601851851</v>
      </c>
      <c r="J224" s="7">
        <v>0</v>
      </c>
      <c r="K224" s="89" t="str">
        <f t="shared" si="74"/>
        <v>4063/4064</v>
      </c>
      <c r="L224" s="21" t="str">
        <f>VLOOKUP(A224,'Trips&amp;Operators'!$C$1:$G$99999,5,FALSE)</f>
        <v>GONZALEZ ARMANDO</v>
      </c>
      <c r="M224" s="6">
        <f t="shared" si="75"/>
        <v>5.8101851827814244E-3</v>
      </c>
      <c r="N224" s="7">
        <f t="shared" si="86"/>
        <v>8.3666666632052511</v>
      </c>
      <c r="O224" s="7"/>
      <c r="P224" s="7"/>
      <c r="Q224" s="22"/>
      <c r="R224" s="170"/>
      <c r="S224" s="213">
        <f t="shared" si="87"/>
        <v>1</v>
      </c>
      <c r="T224" s="195" t="str">
        <f t="shared" si="76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7"/>
        <v>https://d0f6bd738d7f1b3e5a7ca70fe4ff75f0.us-east-1.aws.found.io/app/kibana#/discover/Steve-Slow-Train-Analysis-(2080s-and-2083s)?_g=(refreshInterval:(display:Off,pause:!f,section:0,value:0),time:(from:'2017-07-18T03:57:19-0600',mode:absolute,to:'2017-07-18T06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4" s="197" t="str">
        <f>IF(AA224&lt;VLOOKUP(AG224,Variables!$AC$3:$AD$8,2,FALSE),"Y","N")</f>
        <v>Y</v>
      </c>
      <c r="X224" s="197">
        <f t="shared" si="78"/>
        <v>1</v>
      </c>
      <c r="Y224" s="197">
        <f t="shared" si="79"/>
        <v>2.3313000000000001</v>
      </c>
      <c r="Z224" s="197">
        <f t="shared" si="80"/>
        <v>1.43E-2</v>
      </c>
      <c r="AA224" s="197">
        <f t="shared" si="81"/>
        <v>2.3170000000000002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2"/>
        <v>310</v>
      </c>
      <c r="AE224" s="77" t="str">
        <f t="shared" si="83"/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AF224" s="74" t="str">
        <f t="shared" si="84"/>
        <v>"C:\Program Files (x86)\AstroGrep\AstroGrep.exe" /e /r /s /spath="%USERPROFILE%\AppData\Local\Temp\OnboardLogs" /stypes="app*4063*20170718*" /stext=" 11:.+((SYSTEM_STATE.+slice.+state.+changed )|(ment ac)|(multiple cpu faults)|(system.+state.+changed )|(\[timeout)|(PRM\|1\|D)|(kpr)|(kdp)|(train st.+moving)|(\|lc)|(penalty))"</v>
      </c>
      <c r="AG224" s="209" t="str">
        <f t="shared" si="85"/>
        <v>Other</v>
      </c>
      <c r="AH224" s="78" t="str">
        <f t="shared" si="70"/>
        <v>"%USERPROFILE%\Documents\GitHub\eaglep3\Utilities\RefineRTDCRunTimes.py" --tripid 310-18 --locoid 4063 --swversion DE.1.0.9.0 --startMP 300:23313 --initTime 2017-07-18T04:57:19 --startdatetime 2017-07-18T05:02:06 --delay 4 --endMP 204:143 --enddatetime 2017-07-18T05:10:28 --enforcementcount 0 &gt;&gt;C:\Users\stu\Documents\GitHub\eaglep3-reporting\EC\2017-07-18-refined-times.txt</v>
      </c>
      <c r="AI224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{"issue":{"subject":"","project_id":79,"tracker_id":40,"status_id":1,"priority_id":2,"assigned_to_id":23,"start_date":"2017-07-18","description":"","custom_fields":[{"id":1,"name":"Subdivision","value":"Other"},{"id":4,"name":"Milepost","value":"0.0143"},{"id":17,"name":"Train ID","value":"310-18"},{"id":16,"name":"Locomotive ID","value":"4063"},{"id":130,"name":"Impact","value":""},{"id":150,"name":"Time of Event (Mountain Time)","value":"05:10:28"},{"id":151,"name":"Denver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2"/>
        <v>start /low /b %USERPROFILE%\Documents\GitHub\eaglep3\Utilities\DownloadLogsFromS3.py --loco 4063 --day 2017-07-18</v>
      </c>
      <c r="AN224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862</v>
      </c>
      <c r="B225" s="7">
        <v>4008</v>
      </c>
      <c r="C225" s="21" t="s">
        <v>199</v>
      </c>
      <c r="D225" s="21" t="s">
        <v>545</v>
      </c>
      <c r="E225" s="13">
        <v>42935.069351851853</v>
      </c>
      <c r="F225" s="13">
        <v>42935.070486111108</v>
      </c>
      <c r="G225" s="7">
        <v>1</v>
      </c>
      <c r="H225" s="21" t="s">
        <v>348</v>
      </c>
      <c r="I225" s="13">
        <v>42935.078298611108</v>
      </c>
      <c r="J225" s="7">
        <v>0</v>
      </c>
      <c r="K225" s="89" t="str">
        <f t="shared" si="74"/>
        <v>4007/4008</v>
      </c>
      <c r="L225" s="21" t="str">
        <f>VLOOKUP(A225,'Trips&amp;Operators'!$C$1:$G$99999,5,FALSE)</f>
        <v>FORTUNATO FRANK</v>
      </c>
      <c r="M225" s="6">
        <f t="shared" si="75"/>
        <v>7.8125E-3</v>
      </c>
      <c r="N225" s="7">
        <f t="shared" si="86"/>
        <v>11.25</v>
      </c>
      <c r="O225" s="7"/>
      <c r="P225" s="7"/>
      <c r="Q225" s="22"/>
      <c r="R225" s="170"/>
      <c r="S225" s="213">
        <f t="shared" si="87"/>
        <v>1</v>
      </c>
      <c r="T225" s="195" t="str">
        <f t="shared" si="76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7"/>
        <v>https://d0f6bd738d7f1b3e5a7ca70fe4ff75f0.us-east-1.aws.found.io/app/kibana#/discover/Steve-Slow-Train-Analysis-(2080s-and-2083s)?_g=(refreshInterval:(display:Off,pause:!f,section:0,value:0),time:(from:'2017-07-19T00:39:52-0600',mode:absolute,to:'2017-07-19T02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5" s="197" t="str">
        <f>IF(AA225&lt;VLOOKUP(AG225,Variables!$AC$3:$AD$8,2,FALSE),"Y","N")</f>
        <v>Y</v>
      </c>
      <c r="X225" s="197">
        <f t="shared" si="78"/>
        <v>1</v>
      </c>
      <c r="Y225" s="197">
        <f t="shared" si="79"/>
        <v>4.3700000000000003E-2</v>
      </c>
      <c r="Z225" s="197">
        <f t="shared" si="80"/>
        <v>2.3346</v>
      </c>
      <c r="AA225" s="197">
        <f t="shared" si="81"/>
        <v>2.2909000000000002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2"/>
        <v>311</v>
      </c>
      <c r="AE225" s="77" t="str">
        <f t="shared" si="83"/>
        <v>aws s3 cp s3://rtdc.mdm.uploadarchive.raw/RTDC4008/ "%USERPROFILE%\AppData\Local\Temp\OnboardLogs"\RTDC4008\2017-07-19 --exclude "*" --recursive --include "*20170719*" &amp; "%USERPROFILE%\Documents\GitHub\mrs-test-scripts\Headless Mode &amp; Sideloading\WalkAndUnGZ.bat" "%USERPROFILE%\AppData\Local\Temp\OnboardLogs"\RTDC4008\2017-07-19 &amp; aws s3 cp s3://rtdc.mdm.uploadarchive.raw/RTDC4008/ "%USERPROFILE%\AppData\Local\Temp\OnboardLogs"\RTDC4008\2017-07-20 --exclude "*" --recursive --include "*20170720*" &amp; "%USERPROFILE%\Documents\GitHub\mrs-test-scripts\Headless Mode &amp; Sideloading\WalkAndUnGZ.bat" "%USERPROFILE%\AppData\Local\Temp\OnboardLogs"\RTDC4008\2017-07-20</v>
      </c>
      <c r="AF225" s="74" t="str">
        <f t="shared" si="84"/>
        <v>"C:\Program Files (x86)\AstroGrep\AstroGrep.exe" /e /r /s /spath="%USERPROFILE%\AppData\Local\Temp\OnboardLogs" /stypes="app*4008*20170719*" /stext=" 07:.+((SYSTEM_STATE.+slice.+state.+changed )|(ment ac)|(multiple cpu faults)|(system.+state.+changed )|(\[timeout)|(PRM\|1\|D)|(kpr)|(kdp)|(train st.+moving)|(\|lc)|(penalty))"</v>
      </c>
      <c r="AG225" s="209" t="str">
        <f t="shared" si="85"/>
        <v>Other</v>
      </c>
      <c r="AH225" s="78" t="str">
        <f t="shared" si="70"/>
        <v>"%USERPROFILE%\Documents\GitHub\eaglep3\Utilities\RefineRTDCRunTimes.py" --tripid 311-18 --locoid 4008 --swversion DE.1.0.9.0 --startMP 204:437 --initTime 2017-07-19T01:39:52 --startdatetime 2017-07-19T01:41:30 --delay 1 --endMP 300:23346 --enddatetime 2017-07-19T01:52:45 --enforcementcount 0 &gt;&gt;C:\Users\stu\Documents\GitHub\eaglep3-reporting\EC\2017-07-18-refined-times.txt</v>
      </c>
      <c r="AI225" s="96" t="str">
        <f t="shared" si="71"/>
        <v>echo {"issue":{"subject":"","project_id":79,"tracker_id":40,"status_id":1,"priority_id":2,"assigned_to_id":23,"start_date":"2017-07-19","description":"","custom_fields":[{"id":1,"name":"Subdivision","value":"Other"},{"id":4,"name":"Milepost","value":"2.3346"},{"id":17,"name":"Train ID","value":"311-18"},{"id":16,"name":"Locomotive ID","value":"4008"},{"id":130,"name":"Impact","value":""},{"id":150,"name":"Time of Event (Mountain Time)","value":"01:52:45"},{"id":151,"name":"Denver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72"/>
        <v>start /low /b %USERPROFILE%\Documents\GitHub\eaglep3\Utilities\DownloadLogsFromS3.py --loco 4008 --day 2017-07-19</v>
      </c>
      <c r="AN225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07:52:45"},{"id":29,"name":"Sharepoint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687</v>
      </c>
      <c r="B226" s="7">
        <v>4005</v>
      </c>
      <c r="C226" s="21" t="s">
        <v>199</v>
      </c>
      <c r="D226" s="21" t="s">
        <v>954</v>
      </c>
      <c r="E226" s="13">
        <v>42934.2190625</v>
      </c>
      <c r="F226" s="13">
        <v>42934.225231481483</v>
      </c>
      <c r="G226" s="7">
        <v>8</v>
      </c>
      <c r="H226" s="21" t="s">
        <v>479</v>
      </c>
      <c r="I226" s="13">
        <v>42934.234282407408</v>
      </c>
      <c r="J226" s="7">
        <v>0</v>
      </c>
      <c r="K226" s="89" t="str">
        <f t="shared" si="74"/>
        <v>4005/4006</v>
      </c>
      <c r="L226" s="21" t="str">
        <f>VLOOKUP(A226,'Trips&amp;Operators'!$C$1:$G$99999,5,FALSE)</f>
        <v>DAVIDSON DAVID</v>
      </c>
      <c r="M226" s="6">
        <f t="shared" si="75"/>
        <v>9.0509259243845008E-3</v>
      </c>
      <c r="N226" s="7">
        <f t="shared" si="86"/>
        <v>13.033333331113681</v>
      </c>
      <c r="O226" s="7"/>
      <c r="P226" s="7"/>
      <c r="Q226" s="22"/>
      <c r="R226" s="170"/>
      <c r="S226" s="213">
        <f t="shared" si="87"/>
        <v>1</v>
      </c>
      <c r="T226" s="195" t="str">
        <f t="shared" si="76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77"/>
        <v>https://d0f6bd738d7f1b3e5a7ca70fe4ff75f0.us-east-1.aws.found.io/app/kibana#/discover/Steve-Slow-Train-Analysis-(2080s-and-2083s)?_g=(refreshInterval:(display:Off,pause:!f,section:0,value:0),time:(from:'2017-07-18T04:15:27-0600',mode:absolute,to:'2017-07-18T06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197" t="str">
        <f>IF(AA226&lt;VLOOKUP(AG226,Variables!$AC$3:$AD$8,2,FALSE),"Y","N")</f>
        <v>Y</v>
      </c>
      <c r="X226" s="197">
        <f t="shared" si="78"/>
        <v>1</v>
      </c>
      <c r="Y226" s="197">
        <f t="shared" si="79"/>
        <v>2.3268</v>
      </c>
      <c r="Z226" s="197">
        <f t="shared" si="80"/>
        <v>1.5800000000000002E-2</v>
      </c>
      <c r="AA226" s="197">
        <f t="shared" si="81"/>
        <v>2.3109999999999999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2"/>
        <v>312</v>
      </c>
      <c r="AE226" s="77" t="str">
        <f t="shared" si="83"/>
        <v>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 &amp; aws s3 cp s3://rtdc.mdm.uploadarchive.raw/RTDC4005/ "%USERPROFILE%\AppData\Local\Temp\OnboardLogs"\RTDC4005\2017-07-19 --exclude "*" --recursive --include "*20170719*" &amp; "%USERPROFILE%\Documents\GitHub\mrs-test-scripts\Headless Mode &amp; Sideloading\WalkAndUnGZ.bat" "%USERPROFILE%\AppData\Local\Temp\OnboardLogs"\RTDC4005\2017-07-19</v>
      </c>
      <c r="AF226" s="74" t="str">
        <f t="shared" si="84"/>
        <v>"C:\Program Files (x86)\AstroGrep\AstroGrep.exe" /e /r /s /spath="%USERPROFILE%\AppData\Local\Temp\OnboardLogs" /stypes="app*4005*20170718*" /stext=" 11:.+((SYSTEM_STATE.+slice.+state.+changed )|(ment ac)|(multiple cpu faults)|(system.+state.+changed )|(\[timeout)|(PRM\|1\|D)|(kpr)|(kdp)|(train st.+moving)|(\|lc)|(penalty))"</v>
      </c>
      <c r="AG226" s="209" t="str">
        <f t="shared" si="85"/>
        <v>Other</v>
      </c>
      <c r="AH226" s="78" t="str">
        <f t="shared" si="70"/>
        <v>"%USERPROFILE%\Documents\GitHub\eaglep3\Utilities\RefineRTDCRunTimes.py" --tripid 312-18 --locoid 4005 --swversion DE.1.0.9.0 --startMP 300:23268 --initTime 2017-07-18T05:15:27 --startdatetime 2017-07-18T05:24:20 --delay 8 --endMP 204:158 --enddatetime 2017-07-18T05:37:22 --enforcementcount 0 &gt;&gt;C:\Users\stu\Documents\GitHub\eaglep3-reporting\EC\2017-07-18-refined-times.txt</v>
      </c>
      <c r="AI226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{"issue":{"subject":"","project_id":79,"tracker_id":40,"status_id":1,"priority_id":2,"assigned_to_id":23,"start_date":"2017-07-18","description":"","custom_fields":[{"id":1,"name":"Subdivision","value":"Other"},{"id":4,"name":"Milepost","value":"0.0158"},{"id":17,"name":"Train ID","value":"312-18"},{"id":16,"name":"Locomotive ID","value":"4005"},{"id":130,"name":"Impact","value":""},{"id":150,"name":"Time of Event (Mountain Time)","value":"05:37:22"},{"id":151,"name":"Denver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2"/>
        <v>start /low /b %USERPROFILE%\Documents\GitHub\eaglep3\Utilities\DownloadLogsFromS3.py --loco 4005 --day 2017-07-18</v>
      </c>
      <c r="AN226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580</v>
      </c>
      <c r="B227" s="7">
        <v>4028</v>
      </c>
      <c r="C227" s="21" t="s">
        <v>199</v>
      </c>
      <c r="D227" s="21" t="s">
        <v>416</v>
      </c>
      <c r="E227" s="13">
        <v>42934.089861111112</v>
      </c>
      <c r="F227" s="13">
        <v>42934.091446759259</v>
      </c>
      <c r="G227" s="7">
        <v>1</v>
      </c>
      <c r="H227" s="21" t="s">
        <v>612</v>
      </c>
      <c r="I227" s="13">
        <v>42934.100023148145</v>
      </c>
      <c r="J227" s="7">
        <v>0</v>
      </c>
      <c r="K227" s="89" t="str">
        <f t="shared" si="74"/>
        <v>4027/4028</v>
      </c>
      <c r="L227" s="21" t="str">
        <f>VLOOKUP(A227,'Trips&amp;Operators'!$C$1:$G$99999,5,FALSE)</f>
        <v>GUZMAN DANNY</v>
      </c>
      <c r="M227" s="6">
        <f t="shared" si="75"/>
        <v>8.5763888855581172E-3</v>
      </c>
      <c r="N227" s="7">
        <f t="shared" si="86"/>
        <v>12.349999995203689</v>
      </c>
      <c r="O227" s="7"/>
      <c r="P227" s="7"/>
      <c r="Q227" s="22"/>
      <c r="R227" s="170"/>
      <c r="S227" s="213">
        <f t="shared" si="87"/>
        <v>1</v>
      </c>
      <c r="T227" s="195" t="str">
        <f t="shared" si="76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77"/>
        <v>https://d0f6bd738d7f1b3e5a7ca70fe4ff75f0.us-east-1.aws.found.io/app/kibana#/discover/Steve-Slow-Train-Analysis-(2080s-and-2083s)?_g=(refreshInterval:(display:Off,pause:!f,section:0,value:0),time:(from:'2017-07-18T01:09:24-0600',mode:absolute,to:'2017-07-18T03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197" t="str">
        <f>IF(AA227&lt;VLOOKUP(AG227,Variables!$AC$3:$AD$8,2,FALSE),"Y","N")</f>
        <v>Y</v>
      </c>
      <c r="X227" s="197">
        <f t="shared" si="78"/>
        <v>1</v>
      </c>
      <c r="Y227" s="197">
        <f t="shared" si="79"/>
        <v>4.4400000000000002E-2</v>
      </c>
      <c r="Z227" s="197">
        <f t="shared" si="80"/>
        <v>2.3302</v>
      </c>
      <c r="AA227" s="197">
        <f t="shared" si="81"/>
        <v>2.2858000000000001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2"/>
        <v>313</v>
      </c>
      <c r="AE227" s="77" t="str">
        <f t="shared" si="83"/>
        <v>aws s3 cp s3://rtdc.mdm.uploadarchive.raw/RTDC4028/ "%USERPROFILE%\AppData\Local\Temp\OnboardLogs"\RTDC4028\2017-07-18 --exclude "*" --recursive --include "*20170718*" &amp; "%USERPROFILE%\Documents\GitHub\mrs-test-scripts\Headless Mode &amp; Sideloading\WalkAndUnGZ.bat" "%USERPROFILE%\AppData\Local\Temp\OnboardLogs"\RTDC4028\2017-07-18 &amp; 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</v>
      </c>
      <c r="AF227" s="74" t="str">
        <f t="shared" si="84"/>
        <v>"C:\Program Files (x86)\AstroGrep\AstroGrep.exe" /e /r /s /spath="%USERPROFILE%\AppData\Local\Temp\OnboardLogs" /stypes="app*4028*20170718*" /stext=" 08:.+((SYSTEM_STATE.+slice.+state.+changed )|(ment ac)|(multiple cpu faults)|(system.+state.+changed )|(\[timeout)|(PRM\|1\|D)|(kpr)|(kdp)|(train st.+moving)|(\|lc)|(penalty))"</v>
      </c>
      <c r="AG227" s="209" t="str">
        <f t="shared" si="85"/>
        <v>Other</v>
      </c>
      <c r="AH227" s="78" t="str">
        <f t="shared" si="70"/>
        <v>"%USERPROFILE%\Documents\GitHub\eaglep3\Utilities\RefineRTDCRunTimes.py" --tripid 313-17 --locoid 4028 --swversion DE.1.0.9.0 --startMP 204:444 --initTime 2017-07-18T02:09:24 --startdatetime 2017-07-18T02:11:41 --delay 1 --endMP 300:23302 --enddatetime 2017-07-18T02:24:02 --enforcementcount 0 &gt;&gt;C:\Users\stu\Documents\GitHub\eaglep3-reporting\EC\2017-07-18-refined-times.txt</v>
      </c>
      <c r="AI227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{"issue":{"subject":"","project_id":79,"tracker_id":40,"status_id":1,"priority_id":2,"assigned_to_id":23,"start_date":"2017-07-18","description":"","custom_fields":[{"id":1,"name":"Subdivision","value":"Other"},{"id":4,"name":"Milepost","value":"2.3302"},{"id":17,"name":"Train ID","value":"313-17"},{"id":16,"name":"Locomotive ID","value":"4028"},{"id":130,"name":"Impact","value":""},{"id":150,"name":"Time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2"/>
        <v>start /low /b %USERPROFILE%\Documents\GitHub\eaglep3\Utilities\DownloadLogsFromS3.py --loco 4028 --day 2017-07-18</v>
      </c>
      <c r="AN227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08:24:02"},{"id":29,"name":"Sharepoint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863</v>
      </c>
      <c r="B228" s="7">
        <v>4002</v>
      </c>
      <c r="C228" s="21" t="s">
        <v>199</v>
      </c>
      <c r="D228" s="21" t="s">
        <v>346</v>
      </c>
      <c r="E228" s="13">
        <v>42935.088750000003</v>
      </c>
      <c r="F228" s="13">
        <v>42935.091828703706</v>
      </c>
      <c r="G228" s="7">
        <v>1</v>
      </c>
      <c r="H228" s="21" t="s">
        <v>348</v>
      </c>
      <c r="I228" s="13">
        <v>42935.102280092593</v>
      </c>
      <c r="J228" s="7">
        <v>0</v>
      </c>
      <c r="K228" s="89" t="str">
        <f t="shared" si="74"/>
        <v>4001/4002</v>
      </c>
      <c r="L228" s="21" t="str">
        <f>VLOOKUP(A228,'Trips&amp;Operators'!$C$1:$G$99999,5,FALSE)</f>
        <v>LAMAR NEKESHA</v>
      </c>
      <c r="M228" s="6">
        <f t="shared" si="75"/>
        <v>1.0451388887304347E-2</v>
      </c>
      <c r="N228" s="7">
        <f t="shared" si="86"/>
        <v>15.04999999771826</v>
      </c>
      <c r="O228" s="7"/>
      <c r="P228" s="7"/>
      <c r="Q228" s="22"/>
      <c r="R228" s="170"/>
      <c r="S228" s="213">
        <f t="shared" si="87"/>
        <v>1</v>
      </c>
      <c r="T228" s="195" t="str">
        <f t="shared" si="76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7"/>
        <v>https://d0f6bd738d7f1b3e5a7ca70fe4ff75f0.us-east-1.aws.found.io/app/kibana#/discover/Steve-Slow-Train-Analysis-(2080s-and-2083s)?_g=(refreshInterval:(display:Off,pause:!f,section:0,value:0),time:(from:'2017-07-19T01:07:48-0600',mode:absolute,to:'2017-07-19T03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197" t="str">
        <f>IF(AA228&lt;VLOOKUP(AG228,Variables!$AC$3:$AD$8,2,FALSE),"Y","N")</f>
        <v>Y</v>
      </c>
      <c r="X228" s="197">
        <f t="shared" si="78"/>
        <v>0</v>
      </c>
      <c r="Y228" s="197">
        <f t="shared" si="79"/>
        <v>4.6600000000000003E-2</v>
      </c>
      <c r="Z228" s="197">
        <f t="shared" si="80"/>
        <v>2.3346</v>
      </c>
      <c r="AA228" s="197">
        <f t="shared" si="81"/>
        <v>2.2879999999999998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2"/>
        <v>313</v>
      </c>
      <c r="AE228" s="77" t="str">
        <f t="shared" si="83"/>
        <v>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 &amp; 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</v>
      </c>
      <c r="AF228" s="74" t="str">
        <f t="shared" si="84"/>
        <v>"C:\Program Files (x86)\AstroGrep\AstroGrep.exe" /e /r /s /spath="%USERPROFILE%\AppData\Local\Temp\OnboardLogs" /stypes="app*4002*20170719*" /stext=" 08:.+((SYSTEM_STATE.+slice.+state.+changed )|(ment ac)|(multiple cpu faults)|(system.+state.+changed )|(\[timeout)|(PRM\|1\|D)|(kpr)|(kdp)|(train st.+moving)|(\|lc)|(penalty))"</v>
      </c>
      <c r="AG228" s="209" t="str">
        <f t="shared" si="85"/>
        <v>Other</v>
      </c>
      <c r="AH228" s="78" t="str">
        <f t="shared" si="70"/>
        <v>"%USERPROFILE%\Documents\GitHub\eaglep3\Utilities\RefineRTDCRunTimes.py" --tripid 313-18 --locoid 4002 --swversion DE.1.0.9.0 --startMP 204:466 --initTime 2017-07-19T02:07:48 --startdatetime 2017-07-19T02:12:14 --delay 1 --endMP 300:23346 --enddatetime 2017-07-19T02:27:17 --enforcementcount 0 &gt;&gt;C:\Users\stu\Documents\GitHub\eaglep3-reporting\EC\2017-07-18-refined-times.txt</v>
      </c>
      <c r="AI228" s="96" t="str">
        <f t="shared" si="71"/>
        <v>echo {"issue":{"subject":"","project_id":79,"tracker_id":40,"status_id":1,"priority_id":2,"assigned_to_id":23,"start_date":"2017-07-19","description":"","custom_fields":[{"id":1,"name":"Subdivision","value":"Other"},{"id":4,"name":"Milepost","value":"2.3346"},{"id":17,"name":"Train ID","value":"313-18"},{"id":16,"name":"Locomotive ID","value":"4002"},{"id":130,"name":"Impact","value":""},{"id":150,"name":"Time of Event (Mountain Time)","value":"02:27:17"},{"id":151,"name":"Denver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2"/>
        <v>start /low /b %USERPROFILE%\Documents\GitHub\eaglep3\Utilities\DownloadLogsFromS3.py --loco 4002 --day 2017-07-19</v>
      </c>
      <c r="AN228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08:27:17"},{"id":29,"name":"Sharepoint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631</v>
      </c>
      <c r="B229" s="7">
        <v>4050</v>
      </c>
      <c r="C229" s="21" t="s">
        <v>199</v>
      </c>
      <c r="D229" s="21" t="s">
        <v>1034</v>
      </c>
      <c r="E229" s="13">
        <v>42934.197650462964</v>
      </c>
      <c r="F229" s="13">
        <v>42934.203206018516</v>
      </c>
      <c r="G229" s="7">
        <v>7</v>
      </c>
      <c r="H229" s="21" t="s">
        <v>1035</v>
      </c>
      <c r="I229" s="13">
        <v>42934.208171296297</v>
      </c>
      <c r="J229" s="7">
        <v>0</v>
      </c>
      <c r="K229" s="89" t="str">
        <f t="shared" si="74"/>
        <v>4049/4050</v>
      </c>
      <c r="L229" s="21" t="str">
        <f>VLOOKUP(A229,'Trips&amp;Operators'!$C$1:$G$99999,5,FALSE)</f>
        <v>LANGERAK WILLIAM</v>
      </c>
      <c r="M229" s="6">
        <f t="shared" si="75"/>
        <v>4.9652777815936133E-3</v>
      </c>
      <c r="N229" s="7">
        <f t="shared" si="86"/>
        <v>7.1500000054948032</v>
      </c>
      <c r="O229" s="7"/>
      <c r="P229" s="7"/>
      <c r="Q229" s="22"/>
      <c r="R229" s="170"/>
      <c r="S229" s="213">
        <f t="shared" si="87"/>
        <v>0</v>
      </c>
      <c r="T229" s="195" t="str">
        <f t="shared" si="76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7"/>
        <v>https://d0f6bd738d7f1b3e5a7ca70fe4ff75f0.us-east-1.aws.found.io/app/kibana#/discover/Steve-Slow-Train-Analysis-(2080s-and-2083s)?_g=(refreshInterval:(display:Off,pause:!f,section:0,value:0),time:(from:'2017-07-18T03:44:37-0600',mode:absolute,to:'2017-07-18T05:59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97" t="str">
        <f>IF(AA229&lt;VLOOKUP(AG229,Variables!$AC$3:$AD$8,2,FALSE),"Y","N")</f>
        <v>Y</v>
      </c>
      <c r="X229" s="197">
        <f t="shared" si="78"/>
        <v>588</v>
      </c>
      <c r="Y229" s="197">
        <f t="shared" si="79"/>
        <v>3.1004</v>
      </c>
      <c r="Z229" s="197">
        <f t="shared" si="80"/>
        <v>5.7694000000000001</v>
      </c>
      <c r="AA229" s="197">
        <f t="shared" si="81"/>
        <v>2.669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2"/>
        <v>901</v>
      </c>
      <c r="AE229" s="77" t="str">
        <f t="shared" si="83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229" s="74" t="str">
        <f t="shared" si="84"/>
        <v>"C:\Program Files (x86)\AstroGrep\AstroGrep.exe" /e /r /s /spath="%USERPROFILE%\AppData\Local\Temp\OnboardLogs" /stypes="app*4050*20170718*" /stext=" 10:.+((SYSTEM_STATE.+slice.+state.+changed )|(ment ac)|(multiple cpu faults)|(system.+state.+changed )|(\[timeout)|(PRM\|1\|D)|(kpr)|(kdp)|(train st.+moving)|(\|lc)|(penalty))"</v>
      </c>
      <c r="AG229" s="209" t="str">
        <f t="shared" si="85"/>
        <v>Other</v>
      </c>
      <c r="AH229" s="78" t="str">
        <f t="shared" si="70"/>
        <v>"%USERPROFILE%\Documents\GitHub\eaglep3\Utilities\RefineRTDCRunTimes.py" --tripid 901-18 --locoid 4050 --swversion DE.1.0.9.0 --startMP 300:31004 --initTime 2017-07-18T04:44:37 --startdatetime 2017-07-18T04:52:37 --delay 7 --endMP 300:57694 --enddatetime 2017-07-18T04:59:46 --enforcementcount 0 &gt;&gt;C:\Users\stu\Documents\GitHub\eaglep3-reporting\EC\2017-07-18-refined-times.txt</v>
      </c>
      <c r="AI229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{"issue":{"subject":"","project_id":79,"tracker_id":40,"status_id":1,"priority_id":2,"assigned_to_id":23,"start_date":"2017-07-18","description":"","custom_fields":[{"id":1,"name":"Subdivision","value":"Other"},{"id":4,"name":"Milepost","value":"5.7694"},{"id":17,"name":"Train ID","value":"901-18"},{"id":16,"name":"Locomotive ID","value":"4050"},{"id":130,"name":"Impact","value":""},{"id":150,"name":"Time of Event (Mountain Time)","value":"04:59:46"},{"id":151,"name":"Denver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2"/>
        <v>start /low /b %USERPROFILE%\Documents\GitHub\eaglep3\Utilities\DownloadLogsFromS3.py --loco 4050 --day 2017-07-18</v>
      </c>
      <c r="AN229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10:59:46"},{"id":29,"name":"Sharepoint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693</v>
      </c>
      <c r="B230" s="7">
        <v>4023</v>
      </c>
      <c r="C230" s="21" t="s">
        <v>199</v>
      </c>
      <c r="D230" s="21" t="s">
        <v>1036</v>
      </c>
      <c r="E230" s="13">
        <v>42934.24523148148</v>
      </c>
      <c r="F230" s="13">
        <v>42934.249108796299</v>
      </c>
      <c r="G230" s="7">
        <v>5</v>
      </c>
      <c r="H230" s="21" t="s">
        <v>498</v>
      </c>
      <c r="I230" s="13">
        <v>42934.254872685182</v>
      </c>
      <c r="J230" s="7">
        <v>0</v>
      </c>
      <c r="K230" s="89" t="str">
        <f t="shared" si="74"/>
        <v>4023/4024</v>
      </c>
      <c r="L230" s="21" t="str">
        <f>VLOOKUP(A230,'Trips&amp;Operators'!$C$1:$G$99999,5,FALSE)</f>
        <v>YANG JAN</v>
      </c>
      <c r="M230" s="6">
        <f t="shared" si="75"/>
        <v>5.7638888829387724E-3</v>
      </c>
      <c r="N230" s="7">
        <f t="shared" si="86"/>
        <v>8.2999999914318323</v>
      </c>
      <c r="O230" s="7"/>
      <c r="P230" s="7"/>
      <c r="Q230" s="22"/>
      <c r="R230" s="170"/>
      <c r="S230" s="213">
        <f t="shared" si="87"/>
        <v>1</v>
      </c>
      <c r="T230" s="195" t="str">
        <f t="shared" si="76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7"/>
        <v>https://d0f6bd738d7f1b3e5a7ca70fe4ff75f0.us-east-1.aws.found.io/app/kibana#/discover/Steve-Slow-Train-Analysis-(2080s-and-2083s)?_g=(refreshInterval:(display:Off,pause:!f,section:0,value:0),time:(from:'2017-07-18T04:53:08-0600',mode:absolute,to:'2017-07-18T07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0" s="197" t="str">
        <f>IF(AA230&lt;VLOOKUP(AG230,Variables!$AC$3:$AD$8,2,FALSE),"Y","N")</f>
        <v>Y</v>
      </c>
      <c r="X230" s="197">
        <f t="shared" si="78"/>
        <v>1</v>
      </c>
      <c r="Y230" s="197">
        <f t="shared" si="79"/>
        <v>2.3652000000000002</v>
      </c>
      <c r="Z230" s="197">
        <f t="shared" si="80"/>
        <v>6.9199999999999998E-2</v>
      </c>
      <c r="AA230" s="197">
        <f t="shared" si="81"/>
        <v>2.2960000000000003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2"/>
        <v>902</v>
      </c>
      <c r="AE230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30" s="74" t="str">
        <f t="shared" si="84"/>
        <v>"C:\Program Files (x86)\AstroGrep\AstroGrep.exe" /e /r /s /spath="%USERPROFILE%\AppData\Local\Temp\OnboardLogs" /stypes="app*4023*20170718*" /stext=" 12:.+((SYSTEM_STATE.+slice.+state.+changed )|(ment ac)|(multiple cpu faults)|(system.+state.+changed )|(\[timeout)|(PRM\|1\|D)|(kpr)|(kdp)|(train st.+moving)|(\|lc)|(penalty))"</v>
      </c>
      <c r="AG230" s="209" t="str">
        <f t="shared" si="85"/>
        <v>Other</v>
      </c>
      <c r="AH230" s="78" t="str">
        <f t="shared" si="70"/>
        <v>"%USERPROFILE%\Documents\GitHub\eaglep3\Utilities\RefineRTDCRunTimes.py" --tripid 902-18 --locoid 4023 --swversion DE.1.0.9.0 --startMP 300:23652 --initTime 2017-07-18T05:53:08 --startdatetime 2017-07-18T05:58:43 --delay 5 --endMP 204:692 --enddatetime 2017-07-18T06:07:01 --enforcementcount 0 &gt;&gt;C:\Users\stu\Documents\GitHub\eaglep3-reporting\EC\2017-07-18-refined-times.txt</v>
      </c>
      <c r="AI230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{"issue":{"subject":"","project_id":79,"tracker_id":40,"status_id":1,"priority_id":2,"assigned_to_id":23,"start_date":"2017-07-18","description":"","custom_fields":[{"id":1,"name":"Subdivision","value":"Other"},{"id":4,"name":"Milepost","value":"0.0692"},{"id":17,"name":"Train ID","value":"902-18"},{"id":16,"name":"Locomotive ID","value":"4023"},{"id":130,"name":"Impact","value":""},{"id":150,"name":"Time of Event (Mountain Time)","value":"06:07:01"},{"id":151,"name":"Denver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2"/>
        <v>start /low /b %USERPROFILE%\Documents\GitHub\eaglep3\Utilities\DownloadLogsFromS3.py --loco 4023 --day 2017-07-18</v>
      </c>
      <c r="AN230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721</v>
      </c>
      <c r="B231" s="7">
        <v>4050</v>
      </c>
      <c r="C231" s="21" t="s">
        <v>199</v>
      </c>
      <c r="D231" s="21" t="s">
        <v>1037</v>
      </c>
      <c r="E231" s="13">
        <v>42934.354120370372</v>
      </c>
      <c r="F231" s="13">
        <v>42934.355370370373</v>
      </c>
      <c r="G231" s="7">
        <v>1</v>
      </c>
      <c r="H231" s="21" t="s">
        <v>1038</v>
      </c>
      <c r="I231" s="13">
        <v>42934.362083333333</v>
      </c>
      <c r="J231" s="7">
        <v>0</v>
      </c>
      <c r="K231" s="89" t="str">
        <f t="shared" si="74"/>
        <v>4049/4050</v>
      </c>
      <c r="L231" s="21" t="str">
        <f>VLOOKUP(A231,'Trips&amp;Operators'!$C$1:$G$99999,5,FALSE)</f>
        <v>LANGERAK WILLIAM</v>
      </c>
      <c r="M231" s="6">
        <f t="shared" si="75"/>
        <v>6.7129629605915397E-3</v>
      </c>
      <c r="N231" s="7">
        <f t="shared" si="86"/>
        <v>9.6666666632518172</v>
      </c>
      <c r="O231" s="7"/>
      <c r="P231" s="7"/>
      <c r="Q231" s="22"/>
      <c r="R231" s="170"/>
      <c r="S231" s="213">
        <f t="shared" si="87"/>
        <v>1</v>
      </c>
      <c r="T231" s="195" t="str">
        <f t="shared" si="76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7"/>
        <v>https://d0f6bd738d7f1b3e5a7ca70fe4ff75f0.us-east-1.aws.found.io/app/kibana#/discover/Steve-Slow-Train-Analysis-(2080s-and-2083s)?_g=(refreshInterval:(display:Off,pause:!f,section:0,value:0),time:(from:'2017-07-18T07:29:56-0600',mode:absolute,to:'2017-07-18T09:41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97" t="str">
        <f>IF(AA231&lt;VLOOKUP(AG231,Variables!$AC$3:$AD$8,2,FALSE),"Y","N")</f>
        <v>Y</v>
      </c>
      <c r="X231" s="197">
        <f t="shared" si="78"/>
        <v>1</v>
      </c>
      <c r="Y231" s="197">
        <f t="shared" si="79"/>
        <v>0.10249999999999999</v>
      </c>
      <c r="Z231" s="197">
        <f t="shared" si="80"/>
        <v>2.4251999999999998</v>
      </c>
      <c r="AA231" s="197">
        <f t="shared" si="81"/>
        <v>2.3226999999999998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2"/>
        <v>903</v>
      </c>
      <c r="AE231" s="77" t="str">
        <f t="shared" si="83"/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AF231" s="74" t="str">
        <f t="shared" si="84"/>
        <v>"C:\Program Files (x86)\AstroGrep\AstroGrep.exe" /e /r /s /spath="%USERPROFILE%\AppData\Local\Temp\OnboardLogs" /stypes="app*4050*20170718*" /stext=" 14:.+((SYSTEM_STATE.+slice.+state.+changed )|(ment ac)|(multiple cpu faults)|(system.+state.+changed )|(\[timeout)|(PRM\|1\|D)|(kpr)|(kdp)|(train st.+moving)|(\|lc)|(penalty))"</v>
      </c>
      <c r="AG231" s="209" t="str">
        <f t="shared" si="85"/>
        <v>Other</v>
      </c>
      <c r="AH231" s="78" t="str">
        <f t="shared" si="70"/>
        <v>"%USERPROFILE%\Documents\GitHub\eaglep3\Utilities\RefineRTDCRunTimes.py" --tripid 903-18 --locoid 4050 --swversion DE.1.0.9.0 --startMP 204:1025 --initTime 2017-07-18T08:29:56 --startdatetime 2017-07-18T08:31:44 --delay 1 --endMP 300:24252 --enddatetime 2017-07-18T08:41:24 --enforcementcount 0 &gt;&gt;C:\Users\stu\Documents\GitHub\eaglep3-reporting\EC\2017-07-18-refined-times.txt</v>
      </c>
      <c r="AI231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{"issue":{"subject":"","project_id":79,"tracker_id":40,"status_id":1,"priority_id":2,"assigned_to_id":23,"start_date":"2017-07-18","description":"","custom_fields":[{"id":1,"name":"Subdivision","value":"Other"},{"id":4,"name":"Milepost","value":"2.4252"},{"id":17,"name":"Train ID","value":"903-18"},{"id":16,"name":"Locomotive ID","value":"4050"},{"id":130,"name":"Impact","value":""},{"id":150,"name":"Time of Event (Mountain Time)","value":"08:41:24"},{"id":151,"name":"Denver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72"/>
        <v>start /low /b %USERPROFILE%\Documents\GitHub\eaglep3\Utilities\DownloadLogsFromS3.py --loco 4050 --day 2017-07-18</v>
      </c>
      <c r="AN231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14:41:24"},{"id":29,"name":"Sharepoint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786</v>
      </c>
      <c r="B232" s="7">
        <v>4049</v>
      </c>
      <c r="C232" s="21" t="s">
        <v>199</v>
      </c>
      <c r="D232" s="21" t="s">
        <v>1039</v>
      </c>
      <c r="E232" s="13">
        <v>42934.633784722224</v>
      </c>
      <c r="F232" s="13">
        <v>42934.637245370373</v>
      </c>
      <c r="G232" s="7">
        <v>4</v>
      </c>
      <c r="H232" s="21" t="s">
        <v>433</v>
      </c>
      <c r="I232" s="13">
        <v>42934.643113425926</v>
      </c>
      <c r="J232" s="7">
        <v>0</v>
      </c>
      <c r="K232" s="89" t="str">
        <f t="shared" si="74"/>
        <v>4049/4050</v>
      </c>
      <c r="L232" s="21" t="str">
        <f>VLOOKUP(A232,'Trips&amp;Operators'!$C$1:$G$99999,5,FALSE)</f>
        <v>BIRKHOLZ NADINE</v>
      </c>
      <c r="M232" s="6">
        <f t="shared" si="75"/>
        <v>5.8680555521277711E-3</v>
      </c>
      <c r="N232" s="7">
        <f t="shared" si="86"/>
        <v>8.4499999950639904</v>
      </c>
      <c r="O232" s="7"/>
      <c r="P232" s="7"/>
      <c r="Q232" s="22"/>
      <c r="R232" s="170"/>
      <c r="S232" s="213">
        <f t="shared" si="87"/>
        <v>1</v>
      </c>
      <c r="T232" s="195" t="str">
        <f t="shared" si="76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7"/>
        <v>https://d0f6bd738d7f1b3e5a7ca70fe4ff75f0.us-east-1.aws.found.io/app/kibana#/discover/Steve-Slow-Train-Analysis-(2080s-and-2083s)?_g=(refreshInterval:(display:Off,pause:!f,section:0,value:0),time:(from:'2017-07-18T14:12:39-0600',mode:absolute,to:'2017-07-18T16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97" t="str">
        <f>IF(AA232&lt;VLOOKUP(AG232,Variables!$AC$3:$AD$8,2,FALSE),"Y","N")</f>
        <v>Y</v>
      </c>
      <c r="X232" s="197">
        <f t="shared" si="78"/>
        <v>1</v>
      </c>
      <c r="Y232" s="197">
        <f t="shared" si="79"/>
        <v>2.3258000000000001</v>
      </c>
      <c r="Z232" s="197">
        <f t="shared" si="80"/>
        <v>6.9400000000000003E-2</v>
      </c>
      <c r="AA232" s="197">
        <f t="shared" si="81"/>
        <v>2.2564000000000002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2"/>
        <v>904</v>
      </c>
      <c r="AE232" s="77" t="str">
        <f t="shared" si="83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232" s="74" t="str">
        <f t="shared" si="84"/>
        <v>"C:\Program Files (x86)\AstroGrep\AstroGrep.exe" /e /r /s /spath="%USERPROFILE%\AppData\Local\Temp\OnboardLogs" /stypes="app*4049*20170718*" /stext=" 21:.+((SYSTEM_STATE.+slice.+state.+changed )|(ment ac)|(multiple cpu faults)|(system.+state.+changed )|(\[timeout)|(PRM\|1\|D)|(kpr)|(kdp)|(train st.+moving)|(\|lc)|(penalty))"</v>
      </c>
      <c r="AG232" s="209" t="str">
        <f t="shared" si="85"/>
        <v>Other</v>
      </c>
      <c r="AH232" s="78" t="str">
        <f t="shared" si="70"/>
        <v>"%USERPROFILE%\Documents\GitHub\eaglep3\Utilities\RefineRTDCRunTimes.py" --tripid 904-18 --locoid 4049 --swversion DE.1.0.9.0 --startMP 300:23258 --initTime 2017-07-18T15:12:39 --startdatetime 2017-07-18T15:17:38 --delay 4 --endMP 204:694 --enddatetime 2017-07-18T15:26:05 --enforcementcount 0 &gt;&gt;C:\Users\stu\Documents\GitHub\eaglep3-reporting\EC\2017-07-18-refined-times.txt</v>
      </c>
      <c r="AI232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{"issue":{"subject":"","project_id":79,"tracker_id":40,"status_id":1,"priority_id":2,"assigned_to_id":23,"start_date":"2017-07-18","description":"","custom_fields":[{"id":1,"name":"Subdivision","value":"Other"},{"id":4,"name":"Milepost","value":"0.0694"},{"id":17,"name":"Train ID","value":"904-18"},{"id":16,"name":"Locomotive ID","value":"4049"},{"id":130,"name":"Impact","value":""},{"id":150,"name":"Time of Event (Mountain Time)","value":"15:26:05"},{"id":151,"name":"Denver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2"/>
        <v>start /low /b %USERPROFILE%\Documents\GitHub\eaglep3\Utilities\DownloadLogsFromS3.py --loco 4049 --day 2017-07-18</v>
      </c>
      <c r="AN232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21:26:05"},{"id":29,"name":"Sharepoint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662</v>
      </c>
      <c r="B233" s="7">
        <v>4049</v>
      </c>
      <c r="C233" s="21" t="s">
        <v>199</v>
      </c>
      <c r="D233" s="21" t="s">
        <v>625</v>
      </c>
      <c r="E233" s="13">
        <v>42934.797303240739</v>
      </c>
      <c r="F233" s="13">
        <v>42934.803136574075</v>
      </c>
      <c r="G233" s="7">
        <v>1</v>
      </c>
      <c r="H233" s="21" t="s">
        <v>1040</v>
      </c>
      <c r="I233" s="13">
        <v>42934.810995370368</v>
      </c>
      <c r="J233" s="7">
        <v>0</v>
      </c>
      <c r="K233" s="89" t="str">
        <f t="shared" si="74"/>
        <v>4049/4050</v>
      </c>
      <c r="L233" s="21" t="str">
        <f>VLOOKUP(A233,'Trips&amp;Operators'!$C$1:$G$99999,5,FALSE)</f>
        <v>BIRKHOLZ NADINE</v>
      </c>
      <c r="M233" s="6">
        <f t="shared" si="75"/>
        <v>7.8587962925666943E-3</v>
      </c>
      <c r="N233" s="7">
        <f t="shared" si="86"/>
        <v>11.31666666129604</v>
      </c>
      <c r="O233" s="7"/>
      <c r="P233" s="7"/>
      <c r="Q233" s="22"/>
      <c r="R233" s="170"/>
      <c r="S233" s="213">
        <f t="shared" si="87"/>
        <v>0</v>
      </c>
      <c r="T233" s="195" t="str">
        <f t="shared" si="76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7"/>
        <v>https://d0f6bd738d7f1b3e5a7ca70fe4ff75f0.us-east-1.aws.found.io/app/kibana#/discover/Steve-Slow-Train-Analysis-(2080s-and-2083s)?_g=(refreshInterval:(display:Off,pause:!f,section:0,value:0),time:(from:'2017-07-18T18:08:07-0600',mode:absolute,to:'2017-07-18T20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3" s="197" t="str">
        <f>IF(AA233&lt;VLOOKUP(AG233,Variables!$AC$3:$AD$8,2,FALSE),"Y","N")</f>
        <v>Y</v>
      </c>
      <c r="X233" s="197">
        <f t="shared" si="78"/>
        <v>2</v>
      </c>
      <c r="Y233" s="197">
        <f t="shared" si="79"/>
        <v>5.8608000000000002</v>
      </c>
      <c r="Z233" s="197">
        <f t="shared" si="80"/>
        <v>3.2023000000000001</v>
      </c>
      <c r="AA233" s="197">
        <f t="shared" si="81"/>
        <v>2.6585000000000001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2"/>
        <v>906</v>
      </c>
      <c r="AE233" s="77" t="str">
        <f t="shared" si="83"/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AF233" s="74" t="str">
        <f t="shared" si="84"/>
        <v>"C:\Program Files (x86)\AstroGrep\AstroGrep.exe" /e /r /s /spath="%USERPROFILE%\AppData\Local\Temp\OnboardLogs" /stypes="app*4049*20170719*" /stext=" 01:.+((SYSTEM_STATE.+slice.+state.+changed )|(ment ac)|(multiple cpu faults)|(system.+state.+changed )|(\[timeout)|(PRM\|1\|D)|(kpr)|(kdp)|(train st.+moving)|(\|lc)|(penalty))"</v>
      </c>
      <c r="AG233" s="209" t="str">
        <f t="shared" si="85"/>
        <v>Other</v>
      </c>
      <c r="AH233" s="78" t="str">
        <f t="shared" si="70"/>
        <v>"%USERPROFILE%\Documents\GitHub\eaglep3\Utilities\RefineRTDCRunTimes.py" --tripid 906-18 --locoid 4049 --swversion DE.1.0.9.0 --startMP 300:58608 --initTime 2017-07-18T19:08:07 --startdatetime 2017-07-18T19:16:31 --delay 1 --endMP 300:32023 --enddatetime 2017-07-18T19:27:50 --enforcementcount 0 &gt;&gt;C:\Users\stu\Documents\GitHub\eaglep3-reporting\EC\2017-07-18-refined-times.txt</v>
      </c>
      <c r="AI233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{"issue":{"subject":"","project_id":79,"tracker_id":40,"status_id":1,"priority_id":2,"assigned_to_id":23,"start_date":"2017-07-18","description":"","custom_fields":[{"id":1,"name":"Subdivision","value":"Other"},{"id":4,"name":"Milepost","value":"3.2023"},{"id":17,"name":"Train ID","value":"906-18"},{"id":16,"name":"Locomotive ID","value":"4049"},{"id":130,"name":"Impact","value":""},{"id":150,"name":"Time of Event (Mountain Time)","value":"19:27:50"},{"id":151,"name":"Denver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2"/>
        <v>start /low /b %USERPROFILE%\Documents\GitHub\eaglep3\Utilities\DownloadLogsFromS3.py --loco 4049 --day 2017-07-18</v>
      </c>
      <c r="AN233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01:27:50"},{"id":29,"name":"Sharepoint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850</v>
      </c>
      <c r="B234" s="7">
        <v>4023</v>
      </c>
      <c r="C234" s="21" t="s">
        <v>199</v>
      </c>
      <c r="D234" s="21" t="s">
        <v>1006</v>
      </c>
      <c r="E234" s="13">
        <v>42934.943194444444</v>
      </c>
      <c r="F234" s="13">
        <v>42934.944780092592</v>
      </c>
      <c r="G234" s="7">
        <v>1</v>
      </c>
      <c r="H234" s="21" t="s">
        <v>1041</v>
      </c>
      <c r="I234" s="13">
        <v>42934.949513888889</v>
      </c>
      <c r="J234" s="7">
        <v>0</v>
      </c>
      <c r="K234" s="89" t="str">
        <f t="shared" si="74"/>
        <v>4023/4024</v>
      </c>
      <c r="L234" s="21" t="str">
        <f>VLOOKUP(A234,'Trips&amp;Operators'!$C$1:$G$99999,5,FALSE)</f>
        <v>BIRKHOLZ NADINE</v>
      </c>
      <c r="M234" s="6">
        <f t="shared" si="75"/>
        <v>4.7337962969322689E-3</v>
      </c>
      <c r="N234" s="7">
        <f t="shared" si="86"/>
        <v>6.8166666675824672</v>
      </c>
      <c r="O234" s="7"/>
      <c r="P234" s="7"/>
      <c r="Q234" s="22"/>
      <c r="R234" s="170"/>
      <c r="S234" s="213">
        <f t="shared" si="87"/>
        <v>0</v>
      </c>
      <c r="T234" s="195" t="str">
        <f t="shared" si="76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7"/>
        <v>https://d0f6bd738d7f1b3e5a7ca70fe4ff75f0.us-east-1.aws.found.io/app/kibana#/discover/Steve-Slow-Train-Analysis-(2080s-and-2083s)?_g=(refreshInterval:(display:Off,pause:!f,section:0,value:0),time:(from:'2017-07-18T21:38:12-0600',mode:absolute,to:'2017-07-18T23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4" s="197" t="str">
        <f>IF(AA234&lt;VLOOKUP(AG234,Variables!$AC$3:$AD$8,2,FALSE),"Y","N")</f>
        <v>Y</v>
      </c>
      <c r="X234" s="197">
        <f t="shared" si="78"/>
        <v>2</v>
      </c>
      <c r="Y234" s="197">
        <f t="shared" si="79"/>
        <v>5.8611000000000004</v>
      </c>
      <c r="Z234" s="197">
        <f t="shared" si="80"/>
        <v>2.161</v>
      </c>
      <c r="AA234" s="197">
        <f t="shared" si="81"/>
        <v>3.7001000000000004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2"/>
        <v>908</v>
      </c>
      <c r="AE234" s="77" t="str">
        <f t="shared" si="83"/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AF234" s="74" t="str">
        <f t="shared" si="84"/>
        <v>"C:\Program Files (x86)\AstroGrep\AstroGrep.exe" /e /r /s /spath="%USERPROFILE%\AppData\Local\Temp\OnboardLogs" /stypes="app*4023*20170719*" /stext=" 04:.+((SYSTEM_STATE.+slice.+state.+changed )|(ment ac)|(multiple cpu faults)|(system.+state.+changed )|(\[timeout)|(PRM\|1\|D)|(kpr)|(kdp)|(train st.+moving)|(\|lc)|(penalty))"</v>
      </c>
      <c r="AG234" s="209" t="str">
        <f t="shared" si="85"/>
        <v>Other</v>
      </c>
      <c r="AH234" s="78" t="str">
        <f t="shared" si="70"/>
        <v>"%USERPROFILE%\Documents\GitHub\eaglep3\Utilities\RefineRTDCRunTimes.py" --tripid 908-18 --locoid 4023 --swversion DE.1.0.9.0 --startMP 300:58611 --initTime 2017-07-18T22:38:12 --startdatetime 2017-07-18T22:40:29 --delay 1 --endMP 300:21610 --enddatetime 2017-07-18T22:47:18 --enforcementcount 0 &gt;&gt;C:\Users\stu\Documents\GitHub\eaglep3-reporting\EC\2017-07-18-refined-times.txt</v>
      </c>
      <c r="AI234" s="96" t="str">
        <f t="shared" si="71"/>
        <v>echo {"issue":{"subject":"","project_id":79,"tracker_id":40,"status_id":1,"priority_id":2,"assigned_to_id":23,"start_date":"2017-07-18","description":"","custom_fields":[{"id":1,"name":"Subdivision","value":"Other"},{"id":4,"name":"Milepost","value":"2.161"},{"id":17,"name":"Train ID","value":"908-18"},{"id":16,"name":"Locomotive ID","value":"4023"},{"id":130,"name":"Impact","value":""},{"id":150,"name":"Time of Event (Mountain Time)","value":"22:47:18"},{"id":151,"name":"Denver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2"/>
        <v>start /low /b %USERPROFILE%\Documents\GitHub\eaglep3\Utilities\DownloadLogsFromS3.py --loco 4023 --day 2017-07-18</v>
      </c>
      <c r="AN234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04:47:18"},{"id":29,"name":"Sharepoint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801</v>
      </c>
      <c r="B235" s="7">
        <v>4012</v>
      </c>
      <c r="C235" s="21" t="s">
        <v>199</v>
      </c>
      <c r="D235" s="21" t="s">
        <v>955</v>
      </c>
      <c r="E235" s="13">
        <v>42934.686423611114</v>
      </c>
      <c r="F235" s="13">
        <v>42934.687673611108</v>
      </c>
      <c r="G235" s="7">
        <v>1</v>
      </c>
      <c r="H235" s="21" t="s">
        <v>956</v>
      </c>
      <c r="I235" s="13">
        <v>42934.693182870367</v>
      </c>
      <c r="J235" s="7">
        <v>0</v>
      </c>
      <c r="K235" s="89" t="str">
        <f t="shared" si="74"/>
        <v>4011/4012</v>
      </c>
      <c r="L235" s="21" t="str">
        <f>VLOOKUP(A235,'Trips&amp;Operators'!$C$1:$G$99999,5,FALSE)</f>
        <v>NEWELL JAMES</v>
      </c>
      <c r="M235" s="6">
        <f t="shared" si="75"/>
        <v>5.5092592592700385E-3</v>
      </c>
      <c r="N235" s="7">
        <f t="shared" si="86"/>
        <v>7.9333333333488554</v>
      </c>
      <c r="O235" s="7"/>
      <c r="P235" s="7"/>
      <c r="Q235" s="22"/>
      <c r="R235" s="170"/>
      <c r="S235" s="213">
        <f t="shared" si="87"/>
        <v>1</v>
      </c>
      <c r="T235" s="195" t="str">
        <f t="shared" si="76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77"/>
        <v>https://d0f6bd738d7f1b3e5a7ca70fe4ff75f0.us-east-1.aws.found.io/app/kibana#/discover/Steve-Slow-Train-Analysis-(2080s-and-2083s)?_g=(refreshInterval:(display:Off,pause:!f,section:0,value:0),time:(from:'2017-07-18T15:28:27-0600',mode:absolute,to:'2017-07-18T17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197" t="str">
        <f>IF(AA235&lt;VLOOKUP(AG235,Variables!$AC$3:$AD$8,2,FALSE),"Y","N")</f>
        <v>Y</v>
      </c>
      <c r="X235" s="197">
        <f t="shared" si="78"/>
        <v>-857</v>
      </c>
      <c r="Y235" s="197">
        <f t="shared" si="79"/>
        <v>0.1183</v>
      </c>
      <c r="Z235" s="197">
        <f t="shared" si="80"/>
        <v>2.3304</v>
      </c>
      <c r="AA235" s="197">
        <f t="shared" si="81"/>
        <v>2.2121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2"/>
        <v>51</v>
      </c>
      <c r="AE235" s="77" t="str">
        <f t="shared" si="83"/>
        <v>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 &amp; aws s3 cp s3://rtdc.mdm.uploadarchive.raw/RTDC4012/ "%USERPROFILE%\AppData\Local\Temp\OnboardLogs"\RTDC4012\2017-07-19 --exclude "*" --recursive --include "*20170719*" &amp; "%USERPROFILE%\Documents\GitHub\mrs-test-scripts\Headless Mode &amp; Sideloading\WalkAndUnGZ.bat" "%USERPROFILE%\AppData\Local\Temp\OnboardLogs"\RTDC4012\2017-07-19</v>
      </c>
      <c r="AF235" s="74" t="str">
        <f t="shared" si="84"/>
        <v>"C:\Program Files (x86)\AstroGrep\AstroGrep.exe" /e /r /s /spath="%USERPROFILE%\AppData\Local\Temp\OnboardLogs" /stypes="app*4012*20170718*" /stext=" 22:.+((SYSTEM_STATE.+slice.+state.+changed )|(ment ac)|(multiple cpu faults)|(system.+state.+changed )|(\[timeout)|(PRM\|1\|D)|(kpr)|(kdp)|(train st.+moving)|(\|lc)|(penalty))"</v>
      </c>
      <c r="AG235" s="209" t="str">
        <f t="shared" si="85"/>
        <v>Shuttle/Test</v>
      </c>
      <c r="AH235" s="78" t="str">
        <f t="shared" si="70"/>
        <v>"%USERPROFILE%\Documents\GitHub\eaglep3\Utilities\RefineRTDCRunTimes.py" --tripid 51-18 --locoid 4012 --swversion DE.1.0.9.0 --startMP 204:1183 --initTime 2017-07-18T16:28:27 --startdatetime 2017-07-18T16:30:15 --delay 1 --endMP 300:23304 --enddatetime 2017-07-18T16:38:11 --enforcementcount 0 &gt;&gt;C:\Users\stu\Documents\GitHub\eaglep3-reporting\EC\2017-07-18-refined-times.txt</v>
      </c>
      <c r="AI235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2.3304"},{"id":17,"name":"Train ID","value":"51-18"},{"id":16,"name":"Locomotive ID","value":"4012"},{"id":130,"name":"Impact","value":""},{"id":150,"name":"Time of Event (Mountain Time)","value":"16:38:11"},{"id":151,"name":"Denver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2"/>
        <v>start /low /b %USERPROFILE%\Documents\GitHub\eaglep3\Utilities\DownloadLogsFromS3.py --loco 4012 --day 2017-07-18</v>
      </c>
      <c r="AN235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22:38:11"},{"id":29,"name":"Sharepoint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728</v>
      </c>
      <c r="B236" s="7">
        <v>4001</v>
      </c>
      <c r="C236" s="21" t="s">
        <v>199</v>
      </c>
      <c r="D236" s="21" t="s">
        <v>957</v>
      </c>
      <c r="E236" s="13">
        <v>42934.391168981485</v>
      </c>
      <c r="F236" s="13">
        <v>42934.392835648148</v>
      </c>
      <c r="G236" s="7">
        <v>1</v>
      </c>
      <c r="H236" s="21" t="s">
        <v>345</v>
      </c>
      <c r="I236" s="13">
        <v>42934.394143518519</v>
      </c>
      <c r="J236" s="7">
        <v>0</v>
      </c>
      <c r="K236" s="89" t="str">
        <f t="shared" si="74"/>
        <v>4001/4002</v>
      </c>
      <c r="L236" s="21" t="str">
        <f>VLOOKUP(A236,'Trips&amp;Operators'!$C$1:$G$99999,5,FALSE)</f>
        <v>SPECTOR MICHAEL</v>
      </c>
      <c r="M236" s="6">
        <f t="shared" si="75"/>
        <v>1.3078703705104999E-3</v>
      </c>
      <c r="N236" s="7">
        <f t="shared" si="86"/>
        <v>1.8833333335351199</v>
      </c>
      <c r="O236" s="7"/>
      <c r="P236" s="7"/>
      <c r="Q236" s="22"/>
      <c r="R236" s="170"/>
      <c r="S236" s="213">
        <f t="shared" si="87"/>
        <v>0</v>
      </c>
      <c r="T236" s="195" t="str">
        <f t="shared" si="76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7"/>
        <v>https://d0f6bd738d7f1b3e5a7ca70fe4ff75f0.us-east-1.aws.found.io/app/kibana#/discover/Steve-Slow-Train-Analysis-(2080s-and-2083s)?_g=(refreshInterval:(display:Off,pause:!f,section:0,value:0),time:(from:'2017-07-18T08:23:17-0600',mode:absolute,to:'2017-07-18T10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6" s="197" t="str">
        <f>IF(AA236&lt;VLOOKUP(AG236,Variables!$AC$3:$AD$8,2,FALSE),"Y","N")</f>
        <v>Y</v>
      </c>
      <c r="X236" s="197">
        <f t="shared" si="78"/>
        <v>1</v>
      </c>
      <c r="Y236" s="197">
        <f t="shared" si="79"/>
        <v>0.3231</v>
      </c>
      <c r="Z236" s="197">
        <f t="shared" si="80"/>
        <v>1.43E-2</v>
      </c>
      <c r="AA236" s="197">
        <f t="shared" si="81"/>
        <v>0.30880000000000002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2"/>
        <v>52</v>
      </c>
      <c r="AE236" s="77" t="str">
        <f t="shared" si="83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236" s="74" t="str">
        <f t="shared" si="84"/>
        <v>"C:\Program Files (x86)\AstroGrep\AstroGrep.exe" /e /r /s /spath="%USERPROFILE%\AppData\Local\Temp\OnboardLogs" /stypes="app*4001*20170718*" /stext=" 15:.+((SYSTEM_STATE.+slice.+state.+changed )|(ment ac)|(multiple cpu faults)|(system.+state.+changed )|(\[timeout)|(PRM\|1\|D)|(kpr)|(kdp)|(train st.+moving)|(\|lc)|(penalty))"</v>
      </c>
      <c r="AG236" s="209" t="str">
        <f t="shared" si="85"/>
        <v>Shuttle/Test</v>
      </c>
      <c r="AH236" s="78" t="str">
        <f t="shared" si="70"/>
        <v>"%USERPROFILE%\Documents\GitHub\eaglep3\Utilities\RefineRTDCRunTimes.py" --tripid 52-18 --locoid 4001 --swversion DE.1.0.9.0 --startMP 204:3231 --initTime 2017-07-18T09:23:17 --startdatetime 2017-07-18T09:25:41 --delay 1 --endMP 204:143 --enddatetime 2017-07-18T09:27:34 --enforcementcount 0 &gt;&gt;C:\Users\stu\Documents\GitHub\eaglep3-reporting\EC\2017-07-18-refined-times.txt</v>
      </c>
      <c r="AI236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0.0143"},{"id":17,"name":"Train ID","value":"52-18"},{"id":16,"name":"Locomotive ID","value":"4001"},{"id":130,"name":"Impact","value":""},{"id":150,"name":"Time of Event (Mountain Time)","value":"09:27:34"},{"id":151,"name":"Denver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2"/>
        <v>start /low /b %USERPROFILE%\Documents\GitHub\eaglep3\Utilities\DownloadLogsFromS3.py --loco 4001 --day 2017-07-18</v>
      </c>
      <c r="AN236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15:27:34"},{"id":29,"name":"Sharepoint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728</v>
      </c>
      <c r="B237" s="7">
        <v>4002</v>
      </c>
      <c r="C237" s="21" t="s">
        <v>199</v>
      </c>
      <c r="D237" s="21" t="s">
        <v>958</v>
      </c>
      <c r="E237" s="13">
        <v>42934.385428240741</v>
      </c>
      <c r="F237" s="13">
        <v>42934.392835648148</v>
      </c>
      <c r="G237" s="7">
        <v>2</v>
      </c>
      <c r="H237" s="21" t="s">
        <v>959</v>
      </c>
      <c r="I237" s="13">
        <v>42934.394143518519</v>
      </c>
      <c r="J237" s="7">
        <v>0</v>
      </c>
      <c r="K237" s="89" t="str">
        <f t="shared" si="74"/>
        <v>4001/4002</v>
      </c>
      <c r="L237" s="21" t="str">
        <f>VLOOKUP(A237,'Trips&amp;Operators'!$C$1:$G$99999,5,FALSE)</f>
        <v>SPECTOR MICHAEL</v>
      </c>
      <c r="M237" s="6">
        <f t="shared" si="75"/>
        <v>1.3078703705104999E-3</v>
      </c>
      <c r="N237" s="7">
        <f t="shared" si="86"/>
        <v>1.8833333335351199</v>
      </c>
      <c r="O237" s="7"/>
      <c r="P237" s="7"/>
      <c r="Q237" s="22"/>
      <c r="R237" s="170"/>
      <c r="S237" s="213">
        <f t="shared" si="87"/>
        <v>0</v>
      </c>
      <c r="T237" s="195" t="str">
        <f t="shared" si="76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7"/>
        <v>https://d0f6bd738d7f1b3e5a7ca70fe4ff75f0.us-east-1.aws.found.io/app/kibana#/discover/Steve-Slow-Train-Analysis-(2080s-and-2083s)?_g=(refreshInterval:(display:Off,pause:!f,section:0,value:0),time:(from:'2017-07-18T08:15:01-0600',mode:absolute,to:'2017-07-18T10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7" s="197" t="str">
        <f>IF(AA237&lt;VLOOKUP(AG237,Variables!$AC$3:$AD$8,2,FALSE),"Y","N")</f>
        <v>Y</v>
      </c>
      <c r="X237" s="197">
        <f t="shared" si="78"/>
        <v>0</v>
      </c>
      <c r="Y237" s="197">
        <f t="shared" si="79"/>
        <v>0.14810000000000001</v>
      </c>
      <c r="Z237" s="197">
        <f t="shared" si="80"/>
        <v>0.35420000000000001</v>
      </c>
      <c r="AA237" s="197">
        <f t="shared" si="81"/>
        <v>0.20610000000000001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2"/>
        <v>52</v>
      </c>
      <c r="AE237" s="77" t="str">
        <f t="shared" si="83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237" s="74" t="str">
        <f t="shared" si="84"/>
        <v>"C:\Program Files (x86)\AstroGrep\AstroGrep.exe" /e /r /s /spath="%USERPROFILE%\AppData\Local\Temp\OnboardLogs" /stypes="app*4002*20170718*" /stext=" 15:.+((SYSTEM_STATE.+slice.+state.+changed )|(ment ac)|(multiple cpu faults)|(system.+state.+changed )|(\[timeout)|(PRM\|1\|D)|(kpr)|(kdp)|(train st.+moving)|(\|lc)|(penalty))"</v>
      </c>
      <c r="AG237" s="209" t="str">
        <f t="shared" si="85"/>
        <v>Shuttle/Test</v>
      </c>
      <c r="AH237" s="78" t="str">
        <f t="shared" si="70"/>
        <v>"%USERPROFILE%\Documents\GitHub\eaglep3\Utilities\RefineRTDCRunTimes.py" --tripid 52-18 --locoid 4002 --swversion DE.1.0.9.0 --startMP 204:1481 --initTime 2017-07-18T09:15:01 --startdatetime 2017-07-18T09:25:41 --delay 2 --endMP 204:3542 --enddatetime 2017-07-18T09:27:34 --enforcementcount 0 &gt;&gt;C:\Users\stu\Documents\GitHub\eaglep3-reporting\EC\2017-07-18-refined-times.txt</v>
      </c>
      <c r="AI237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0.3542"},{"id":17,"name":"Train ID","value":"52-18"},{"id":16,"name":"Locomotive ID","value":"4002"},{"id":130,"name":"Impact","value":""},{"id":150,"name":"Time of Event (Mountain Time)","value":"09:27:34"},{"id":151,"name":"Denver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2"/>
        <v>start /low /b %USERPROFILE%\Documents\GitHub\eaglep3\Utilities\DownloadLogsFromS3.py --loco 4002 --day 2017-07-18</v>
      </c>
      <c r="AN237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15:27:34"},{"id":29,"name":"Sharepoint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659</v>
      </c>
      <c r="B238" s="7">
        <v>4021</v>
      </c>
      <c r="C238" s="21" t="s">
        <v>199</v>
      </c>
      <c r="D238" s="21" t="s">
        <v>960</v>
      </c>
      <c r="E238" s="13">
        <v>42934.736087962963</v>
      </c>
      <c r="F238" s="13">
        <v>42934.745254629626</v>
      </c>
      <c r="G238" s="7">
        <v>13</v>
      </c>
      <c r="H238" s="21" t="s">
        <v>624</v>
      </c>
      <c r="I238" s="13">
        <v>42934.751284722224</v>
      </c>
      <c r="J238" s="7">
        <v>0</v>
      </c>
      <c r="K238" s="89" t="str">
        <f t="shared" si="74"/>
        <v>4021/4022</v>
      </c>
      <c r="L238" s="21" t="str">
        <f>VLOOKUP(A238,'Trips&amp;Operators'!$C$1:$G$99999,5,FALSE)</f>
        <v>DUNCAN SHEILA</v>
      </c>
      <c r="M238" s="6">
        <f t="shared" si="75"/>
        <v>6.030092597939074E-3</v>
      </c>
      <c r="N238" s="7">
        <f t="shared" si="86"/>
        <v>8.6833333410322666</v>
      </c>
      <c r="O238" s="7"/>
      <c r="P238" s="7"/>
      <c r="Q238" s="22"/>
      <c r="R238" s="170"/>
      <c r="S238" s="213">
        <f t="shared" si="87"/>
        <v>0</v>
      </c>
      <c r="T238" s="195" t="str">
        <f t="shared" si="76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77"/>
        <v>https://d0f6bd738d7f1b3e5a7ca70fe4ff75f0.us-east-1.aws.found.io/app/kibana#/discover/Steve-Slow-Train-Analysis-(2080s-and-2083s)?_g=(refreshInterval:(display:Off,pause:!f,section:0,value:0),time:(from:'2017-07-18T16:39:58-0600',mode:absolute,to:'2017-07-18T19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8" s="197" t="str">
        <f>IF(AA238&lt;VLOOKUP(AG238,Variables!$AC$3:$AD$8,2,FALSE),"Y","N")</f>
        <v>Y</v>
      </c>
      <c r="X238" s="197">
        <f t="shared" si="78"/>
        <v>1</v>
      </c>
      <c r="Y238" s="197">
        <f t="shared" si="79"/>
        <v>2.3631000000000002</v>
      </c>
      <c r="Z238" s="197">
        <f t="shared" si="80"/>
        <v>9.6199999999999994E-2</v>
      </c>
      <c r="AA238" s="197">
        <f t="shared" si="81"/>
        <v>2.2669000000000001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2"/>
        <v>53</v>
      </c>
      <c r="AE238" s="77" t="str">
        <f t="shared" si="83"/>
        <v>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 &amp; aws s3 cp s3://rtdc.mdm.uploadarchive.raw/RTDC4021/ "%USERPROFILE%\AppData\Local\Temp\OnboardLogs"\RTDC4021\2017-07-19 --exclude "*" --recursive --include "*20170719*" &amp; "%USERPROFILE%\Documents\GitHub\mrs-test-scripts\Headless Mode &amp; Sideloading\WalkAndUnGZ.bat" "%USERPROFILE%\AppData\Local\Temp\OnboardLogs"\RTDC4021\2017-07-19</v>
      </c>
      <c r="AF238" s="74" t="str">
        <f t="shared" si="84"/>
        <v>"C:\Program Files (x86)\AstroGrep\AstroGrep.exe" /e /r /s /spath="%USERPROFILE%\AppData\Local\Temp\OnboardLogs" /stypes="app*4021*20170719*" /stext=" 00:.+((SYSTEM_STATE.+slice.+state.+changed )|(ment ac)|(multiple cpu faults)|(system.+state.+changed )|(\[timeout)|(PRM\|1\|D)|(kpr)|(kdp)|(train st.+moving)|(\|lc)|(penalty))"</v>
      </c>
      <c r="AG238" s="209" t="str">
        <f t="shared" si="85"/>
        <v>Shuttle/Test</v>
      </c>
      <c r="AH238" s="78" t="str">
        <f t="shared" si="70"/>
        <v>"%USERPROFILE%\Documents\GitHub\eaglep3\Utilities\RefineRTDCRunTimes.py" --tripid 53-18 --locoid 4021 --swversion DE.1.0.9.0 --startMP 300:23631 --initTime 2017-07-18T17:39:58 --startdatetime 2017-07-18T17:53:10 --delay 13 --endMP 204:962 --enddatetime 2017-07-18T18:01:51 --enforcementcount 0 &gt;&gt;C:\Users\stu\Documents\GitHub\eaglep3-reporting\EC\2017-07-18-refined-times.txt</v>
      </c>
      <c r="AI238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0.0962"},{"id":17,"name":"Train ID","value":"53-18"},{"id":16,"name":"Locomotive ID","value":"4021"},{"id":130,"name":"Impact","value":""},{"id":150,"name":"Time of Event (Mountain Time)","value":"18:01:51"},{"id":151,"name":"Denver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2"/>
        <v>start /low /b %USERPROFILE%\Documents\GitHub\eaglep3\Utilities\DownloadLogsFromS3.py --loco 4021 --day 2017-07-18</v>
      </c>
      <c r="AN238" s="151" t="str">
        <f t="shared" si="73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00:01:51"},{"id":29,"name":"Sharepoint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648</v>
      </c>
      <c r="B239" s="7">
        <v>4045</v>
      </c>
      <c r="C239" s="21" t="s">
        <v>199</v>
      </c>
      <c r="D239" s="21" t="s">
        <v>961</v>
      </c>
      <c r="E239" s="13">
        <v>42934.446168981478</v>
      </c>
      <c r="F239" s="13">
        <v>42934.452743055554</v>
      </c>
      <c r="G239" s="7">
        <v>9</v>
      </c>
      <c r="H239" s="21" t="s">
        <v>962</v>
      </c>
      <c r="I239" s="13">
        <v>42934.457604166666</v>
      </c>
      <c r="J239" s="7">
        <v>0</v>
      </c>
      <c r="K239" s="89" t="str">
        <f t="shared" si="74"/>
        <v>4045/4046</v>
      </c>
      <c r="L239" s="21" t="str">
        <f>VLOOKUP(A239,'Trips&amp;Operators'!$C$1:$G$99999,5,FALSE)</f>
        <v>ROMERO CHAD</v>
      </c>
      <c r="M239" s="6">
        <f t="shared" si="75"/>
        <v>4.8611111124046147E-3</v>
      </c>
      <c r="N239" s="7">
        <f t="shared" si="86"/>
        <v>7.0000000018626451</v>
      </c>
      <c r="O239" s="7"/>
      <c r="P239" s="7"/>
      <c r="Q239" s="22"/>
      <c r="R239" s="170"/>
      <c r="S239" s="213">
        <f t="shared" si="87"/>
        <v>1</v>
      </c>
      <c r="T239" s="195" t="str">
        <f t="shared" si="76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77"/>
        <v>https://d0f6bd738d7f1b3e5a7ca70fe4ff75f0.us-east-1.aws.found.io/app/kibana#/discover/Steve-Slow-Train-Analysis-(2080s-and-2083s)?_g=(refreshInterval:(display:Off,pause:!f,section:0,value:0),time:(from:'2017-07-18T09:42:29-0600',mode:absolute,to:'2017-07-18T11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9" s="197" t="str">
        <f>IF(AA239&lt;VLOOKUP(AG239,Variables!$AC$3:$AD$8,2,FALSE),"Y","N")</f>
        <v>Y</v>
      </c>
      <c r="X239" s="197">
        <f t="shared" si="78"/>
        <v>1</v>
      </c>
      <c r="Y239" s="197">
        <f t="shared" si="79"/>
        <v>2.2305999999999999</v>
      </c>
      <c r="Z239" s="197">
        <f t="shared" si="80"/>
        <v>8.5599999999999996E-2</v>
      </c>
      <c r="AA239" s="197">
        <f t="shared" si="81"/>
        <v>2.145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2"/>
        <v>54</v>
      </c>
      <c r="AE239" s="77" t="str">
        <f t="shared" si="83"/>
        <v>aws s3 cp s3://rtdc.mdm.uploadarchive.raw/RTDC4045/ "%USERPROFILE%\AppData\Local\Temp\OnboardLogs"\RTDC4045\2017-07-18 --exclude "*" --recursive --include "*20170718*" &amp; "%USERPROFILE%\Documents\GitHub\mrs-test-scripts\Headless Mode &amp; Sideloading\WalkAndUnGZ.bat" "%USERPROFILE%\AppData\Local\Temp\OnboardLogs"\RTDC4045\2017-07-18 &amp; 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</v>
      </c>
      <c r="AF239" s="74" t="str">
        <f t="shared" si="84"/>
        <v>"C:\Program Files (x86)\AstroGrep\AstroGrep.exe" /e /r /s /spath="%USERPROFILE%\AppData\Local\Temp\OnboardLogs" /stypes="app*4045*20170718*" /stext=" 16:.+((SYSTEM_STATE.+slice.+state.+changed )|(ment ac)|(multiple cpu faults)|(system.+state.+changed )|(\[timeout)|(PRM\|1\|D)|(kpr)|(kdp)|(train st.+moving)|(\|lc)|(penalty))"</v>
      </c>
      <c r="AG239" s="209" t="str">
        <f t="shared" si="85"/>
        <v>Shuttle/Test</v>
      </c>
      <c r="AH239" s="78" t="str">
        <f t="shared" si="70"/>
        <v>"%USERPROFILE%\Documents\GitHub\eaglep3\Utilities\RefineRTDCRunTimes.py" --tripid 54-18 --locoid 4045 --swversion DE.1.0.9.0 --startMP 300:22306 --initTime 2017-07-18T10:42:29 --startdatetime 2017-07-18T10:51:57 --delay 9 --endMP 204:856 --enddatetime 2017-07-18T10:58:57 --enforcementcount 0 &gt;&gt;C:\Users\stu\Documents\GitHub\eaglep3-reporting\EC\2017-07-18-refined-times.txt</v>
      </c>
      <c r="AI239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0.0856"},{"id":17,"name":"Train ID","value":"54-18"},{"id":16,"name":"Locomotive ID","value":"4045"},{"id":130,"name":"Impact","value":""},{"id":150,"name":"Time of Event (Mountain Time)","value":"10:58:57"},{"id":151,"name":"Denver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2"/>
        <v>start /low /b %USERPROFILE%\Documents\GitHub\eaglep3\Utilities\DownloadLogsFromS3.py --loco 4045 --day 2017-07-18</v>
      </c>
      <c r="AN239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16:58:57"},{"id":29,"name":"Sharepoint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750</v>
      </c>
      <c r="B240" s="7">
        <v>4046</v>
      </c>
      <c r="C240" s="21" t="s">
        <v>199</v>
      </c>
      <c r="D240" s="21" t="s">
        <v>963</v>
      </c>
      <c r="E240" s="13">
        <v>42934.477048611108</v>
      </c>
      <c r="F240" s="13">
        <v>42934.479016203702</v>
      </c>
      <c r="G240" s="7">
        <v>1</v>
      </c>
      <c r="H240" s="21" t="s">
        <v>964</v>
      </c>
      <c r="I240" s="13">
        <v>42934.485983796294</v>
      </c>
      <c r="J240" s="7">
        <v>0</v>
      </c>
      <c r="K240" s="89" t="str">
        <f t="shared" si="74"/>
        <v>4045/4046</v>
      </c>
      <c r="L240" s="21" t="str">
        <f>VLOOKUP(A240,'Trips&amp;Operators'!$C$1:$G$99999,5,FALSE)</f>
        <v>MAELZER KURT</v>
      </c>
      <c r="M240" s="6">
        <f t="shared" si="75"/>
        <v>6.9675925915362313E-3</v>
      </c>
      <c r="N240" s="7">
        <f t="shared" si="86"/>
        <v>10.033333331812173</v>
      </c>
      <c r="O240" s="7"/>
      <c r="P240" s="7"/>
      <c r="Q240" s="22"/>
      <c r="R240" s="170"/>
      <c r="S240" s="213">
        <f t="shared" si="87"/>
        <v>1</v>
      </c>
      <c r="T240" s="195" t="str">
        <f t="shared" si="76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77"/>
        <v>https://d0f6bd738d7f1b3e5a7ca70fe4ff75f0.us-east-1.aws.found.io/app/kibana#/discover/Steve-Slow-Train-Analysis-(2080s-and-2083s)?_g=(refreshInterval:(display:Off,pause:!f,section:0,value:0),time:(from:'2017-07-18T10:26:57-0600',mode:absolute,to:'2017-07-18T12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78"/>
        <v>1</v>
      </c>
      <c r="Y240" s="197">
        <f t="shared" si="79"/>
        <v>0.1164</v>
      </c>
      <c r="Z240" s="197">
        <f t="shared" si="80"/>
        <v>2.4211999999999998</v>
      </c>
      <c r="AA240" s="197">
        <f t="shared" si="81"/>
        <v>2.3047999999999997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2"/>
        <v>55</v>
      </c>
      <c r="AE240" s="77" t="str">
        <f t="shared" si="83"/>
        <v>aws s3 cp s3://rtdc.mdm.uploadarchive.raw/RTDC4046/ "%USERPROFILE%\AppData\Local\Temp\OnboardLogs"\RTDC4046\2017-07-18 --exclude "*" --recursive --include "*20170718*" &amp; "%USERPROFILE%\Documents\GitHub\mrs-test-scripts\Headless Mode &amp; Sideloading\WalkAndUnGZ.bat" "%USERPROFILE%\AppData\Local\Temp\OnboardLogs"\RTDC4046\2017-07-18 &amp; aws s3 cp s3://rtdc.mdm.uploadarchive.raw/RTDC4046/ "%USERPROFILE%\AppData\Local\Temp\OnboardLogs"\RTDC4046\2017-07-19 --exclude "*" --recursive --include "*20170719*" &amp; "%USERPROFILE%\Documents\GitHub\mrs-test-scripts\Headless Mode &amp; Sideloading\WalkAndUnGZ.bat" "%USERPROFILE%\AppData\Local\Temp\OnboardLogs"\RTDC4046\2017-07-19</v>
      </c>
      <c r="AF240" s="74" t="str">
        <f t="shared" si="84"/>
        <v>"C:\Program Files (x86)\AstroGrep\AstroGrep.exe" /e /r /s /spath="%USERPROFILE%\AppData\Local\Temp\OnboardLogs" /stypes="app*4046*20170718*" /stext=" 17:.+((SYSTEM_STATE.+slice.+state.+changed )|(ment ac)|(multiple cpu faults)|(system.+state.+changed )|(\[timeout)|(PRM\|1\|D)|(kpr)|(kdp)|(train st.+moving)|(\|lc)|(penalty))"</v>
      </c>
      <c r="AG240" s="209" t="str">
        <f t="shared" si="85"/>
        <v>Shuttle/Test</v>
      </c>
      <c r="AH240" s="78" t="str">
        <f t="shared" si="70"/>
        <v>"%USERPROFILE%\Documents\GitHub\eaglep3\Utilities\RefineRTDCRunTimes.py" --tripid 55-18 --locoid 4046 --swversion DE.1.0.9.0 --startMP 204:1164 --initTime 2017-07-18T11:26:57 --startdatetime 2017-07-18T11:29:47 --delay 1 --endMP 300:24212 --enddatetime 2017-07-18T11:39:49 --enforcementcount 0 &gt;&gt;C:\Users\stu\Documents\GitHub\eaglep3-reporting\EC\2017-07-18-refined-times.txt</v>
      </c>
      <c r="AI240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2.4212"},{"id":17,"name":"Train ID","value":"55-18"},{"id":16,"name":"Locomotive ID","value":"4046"},{"id":130,"name":"Impact","value":""},{"id":150,"name":"Time of Event (Mountain Time)","value":"11:39:49"},{"id":151,"name":"Denver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2"/>
        <v>start /low /b %USERPROFILE%\Documents\GitHub\eaglep3\Utilities\DownloadLogsFromS3.py --loco 4046 --day 2017-07-18</v>
      </c>
      <c r="AN240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17:39:49"},{"id":29,"name":"Sharepoint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771</v>
      </c>
      <c r="B241" s="7">
        <v>4013</v>
      </c>
      <c r="C241" s="21" t="s">
        <v>199</v>
      </c>
      <c r="D241" s="21" t="s">
        <v>965</v>
      </c>
      <c r="E241" s="13">
        <v>42934.582256944443</v>
      </c>
      <c r="F241" s="13">
        <v>42934.583969907406</v>
      </c>
      <c r="G241" s="7">
        <v>1</v>
      </c>
      <c r="H241" s="21" t="s">
        <v>423</v>
      </c>
      <c r="I241" s="13">
        <v>42934.585150462961</v>
      </c>
      <c r="J241" s="7">
        <v>0</v>
      </c>
      <c r="K241" s="89" t="str">
        <f t="shared" si="74"/>
        <v>4013/4014</v>
      </c>
      <c r="L241" s="21" t="str">
        <f>VLOOKUP(A241,'Trips&amp;Operators'!$C$1:$G$99999,5,FALSE)</f>
        <v>DE LA ROSA ALEX</v>
      </c>
      <c r="M241" s="6">
        <f t="shared" si="75"/>
        <v>1.1805555550381541E-3</v>
      </c>
      <c r="N241" s="7">
        <f t="shared" si="86"/>
        <v>1.6999999992549419</v>
      </c>
      <c r="O241" s="7"/>
      <c r="P241" s="7"/>
      <c r="Q241" s="22"/>
      <c r="R241" s="170"/>
      <c r="S241" s="213">
        <f t="shared" si="87"/>
        <v>0</v>
      </c>
      <c r="T241" s="195" t="str">
        <f t="shared" si="76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7"/>
        <v>https://d0f6bd738d7f1b3e5a7ca70fe4ff75f0.us-east-1.aws.found.io/app/kibana#/discover/Steve-Slow-Train-Analysis-(2080s-and-2083s)?_g=(refreshInterval:(display:Off,pause:!f,section:0,value:0),time:(from:'2017-07-18T12:58:27-0600',mode:absolute,to:'2017-07-18T15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1" s="197" t="str">
        <f>IF(AA241&lt;VLOOKUP(AG241,Variables!$AC$3:$AD$8,2,FALSE),"Y","N")</f>
        <v>Y</v>
      </c>
      <c r="X241" s="197">
        <f t="shared" si="78"/>
        <v>4</v>
      </c>
      <c r="Y241" s="197">
        <f t="shared" si="79"/>
        <v>0.3165</v>
      </c>
      <c r="Z241" s="197">
        <f t="shared" si="80"/>
        <v>1.6E-2</v>
      </c>
      <c r="AA241" s="197">
        <f t="shared" si="81"/>
        <v>0.30049999999999999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2"/>
        <v>59</v>
      </c>
      <c r="AE241" s="77" t="str">
        <f t="shared" si="83"/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AF241" s="74" t="str">
        <f t="shared" si="84"/>
        <v>"C:\Program Files (x86)\AstroGrep\AstroGrep.exe" /e /r /s /spath="%USERPROFILE%\AppData\Local\Temp\OnboardLogs" /stypes="app*4013*20170718*" /stext=" 20:.+((SYSTEM_STATE.+slice.+state.+changed )|(ment ac)|(multiple cpu faults)|(system.+state.+changed )|(\[timeout)|(PRM\|1\|D)|(kpr)|(kdp)|(train st.+moving)|(\|lc)|(penalty))"</v>
      </c>
      <c r="AG241" s="209" t="str">
        <f t="shared" si="85"/>
        <v>Shuttle/Test</v>
      </c>
      <c r="AH241" s="78" t="str">
        <f t="shared" si="70"/>
        <v>"%USERPROFILE%\Documents\GitHub\eaglep3\Utilities\RefineRTDCRunTimes.py" --tripid 59-18 --locoid 4013 --swversion DE.1.0.9.0 --startMP 204:3165 --initTime 2017-07-18T13:58:27 --startdatetime 2017-07-18T14:00:55 --delay 1 --endMP 204:160 --enddatetime 2017-07-18T14:02:37 --enforcementcount 0 &gt;&gt;C:\Users\stu\Documents\GitHub\eaglep3-reporting\EC\2017-07-18-refined-times.txt</v>
      </c>
      <c r="AI241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0.016"},{"id":17,"name":"Train ID","value":"59-18"},{"id":16,"name":"Locomotive ID","value":"4013"},{"id":130,"name":"Impact","value":""},{"id":150,"name":"Time of Event (Mountain Time)","value":"14:02:37"},{"id":151,"name":"Denver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2"/>
        <v>start /low /b %USERPROFILE%\Documents\GitHub\eaglep3\Utilities\DownloadLogsFromS3.py --loco 4013 --day 2017-07-18</v>
      </c>
      <c r="AN241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771</v>
      </c>
      <c r="B242" s="7">
        <v>4014</v>
      </c>
      <c r="C242" s="21" t="s">
        <v>199</v>
      </c>
      <c r="D242" s="21" t="s">
        <v>966</v>
      </c>
      <c r="E242" s="13">
        <v>42934.577974537038</v>
      </c>
      <c r="F242" s="13">
        <v>42934.583969907406</v>
      </c>
      <c r="G242" s="7">
        <v>2</v>
      </c>
      <c r="H242" s="21" t="s">
        <v>967</v>
      </c>
      <c r="I242" s="13">
        <v>42934.585150462961</v>
      </c>
      <c r="J242" s="7">
        <v>0</v>
      </c>
      <c r="K242" s="89" t="str">
        <f t="shared" si="74"/>
        <v>4013/4014</v>
      </c>
      <c r="L242" s="21" t="str">
        <f>VLOOKUP(A242,'Trips&amp;Operators'!$C$1:$G$99999,5,FALSE)</f>
        <v>DE LA ROSA ALEX</v>
      </c>
      <c r="M242" s="6">
        <f t="shared" si="75"/>
        <v>1.1805555550381541E-3</v>
      </c>
      <c r="N242" s="7">
        <f t="shared" si="86"/>
        <v>1.6999999992549419</v>
      </c>
      <c r="O242" s="7"/>
      <c r="P242" s="7"/>
      <c r="Q242" s="22"/>
      <c r="R242" s="170"/>
      <c r="S242" s="213">
        <f t="shared" si="87"/>
        <v>0</v>
      </c>
      <c r="T242" s="195" t="str">
        <f t="shared" si="76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77"/>
        <v>https://d0f6bd738d7f1b3e5a7ca70fe4ff75f0.us-east-1.aws.found.io/app/kibana#/discover/Steve-Slow-Train-Analysis-(2080s-and-2083s)?_g=(refreshInterval:(display:Off,pause:!f,section:0,value:0),time:(from:'2017-07-18T12:52:17-0600',mode:absolute,to:'2017-07-18T15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2" s="197" t="str">
        <f>IF(AA242&lt;VLOOKUP(AG242,Variables!$AC$3:$AD$8,2,FALSE),"Y","N")</f>
        <v>Y</v>
      </c>
      <c r="X242" s="197">
        <f t="shared" si="78"/>
        <v>0</v>
      </c>
      <c r="Y242" s="197">
        <f t="shared" si="79"/>
        <v>0.14860000000000001</v>
      </c>
      <c r="Z242" s="197">
        <f t="shared" si="80"/>
        <v>0.34949999999999998</v>
      </c>
      <c r="AA242" s="197">
        <f t="shared" si="81"/>
        <v>0.20089999999999997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2"/>
        <v>59</v>
      </c>
      <c r="AE242" s="77" t="str">
        <f t="shared" si="83"/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AF242" s="74" t="str">
        <f t="shared" si="84"/>
        <v>"C:\Program Files (x86)\AstroGrep\AstroGrep.exe" /e /r /s /spath="%USERPROFILE%\AppData\Local\Temp\OnboardLogs" /stypes="app*4014*20170718*" /stext=" 20:.+((SYSTEM_STATE.+slice.+state.+changed )|(ment ac)|(multiple cpu faults)|(system.+state.+changed )|(\[timeout)|(PRM\|1\|D)|(kpr)|(kdp)|(train st.+moving)|(\|lc)|(penalty))"</v>
      </c>
      <c r="AG242" s="209" t="str">
        <f t="shared" si="85"/>
        <v>Shuttle/Test</v>
      </c>
      <c r="AH242" s="78" t="str">
        <f t="shared" si="70"/>
        <v>"%USERPROFILE%\Documents\GitHub\eaglep3\Utilities\RefineRTDCRunTimes.py" --tripid 59-18 --locoid 4014 --swversion DE.1.0.9.0 --startMP 204:1486 --initTime 2017-07-18T13:52:17 --startdatetime 2017-07-18T14:00:55 --delay 2 --endMP 204:3495 --enddatetime 2017-07-18T14:02:37 --enforcementcount 0 &gt;&gt;C:\Users\stu\Documents\GitHub\eaglep3-reporting\EC\2017-07-18-refined-times.txt</v>
      </c>
      <c r="AI242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0.3495"},{"id":17,"name":"Train ID","value":"59-18"},{"id":16,"name":"Locomotive ID","value":"4014"},{"id":130,"name":"Impact","value":""},{"id":150,"name":"Time of Event (Mountain Time)","value":"14:02:37"},{"id":151,"name":"Denver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2"/>
        <v>start /low /b %USERPROFILE%\Documents\GitHub\eaglep3\Utilities\DownloadLogsFromS3.py --loco 4014 --day 2017-07-18</v>
      </c>
      <c r="AN242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20:02:37"},{"id":29,"name":"Sharepoint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667</v>
      </c>
      <c r="B243" s="7">
        <v>4002</v>
      </c>
      <c r="C243" s="21" t="s">
        <v>199</v>
      </c>
      <c r="D243" s="21" t="s">
        <v>349</v>
      </c>
      <c r="E243" s="13">
        <v>42934.124872685185</v>
      </c>
      <c r="F243" s="13">
        <v>42934.138287037036</v>
      </c>
      <c r="G243" s="7">
        <v>1</v>
      </c>
      <c r="H243" s="21" t="s">
        <v>968</v>
      </c>
      <c r="I243" s="13">
        <v>42934.139236111114</v>
      </c>
      <c r="J243" s="7">
        <v>0</v>
      </c>
      <c r="K243" s="89" t="str">
        <f t="shared" si="74"/>
        <v>4001/4002</v>
      </c>
      <c r="L243" s="21" t="str">
        <f>VLOOKUP(A243,'Trips&amp;Operators'!$C$1:$G$99999,5,FALSE)</f>
        <v>SPECTOR MICHAEL</v>
      </c>
      <c r="M243" s="6">
        <f t="shared" si="75"/>
        <v>9.490740776527673E-4</v>
      </c>
      <c r="N243" s="7">
        <f t="shared" si="86"/>
        <v>1.3666666718199849</v>
      </c>
      <c r="O243" s="7"/>
      <c r="P243" s="7"/>
      <c r="Q243" s="22"/>
      <c r="R243" s="170"/>
      <c r="S243" s="213">
        <f t="shared" si="87"/>
        <v>0</v>
      </c>
      <c r="T243" s="195" t="str">
        <f t="shared" si="76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77"/>
        <v>https://d0f6bd738d7f1b3e5a7ca70fe4ff75f0.us-east-1.aws.found.io/app/kibana#/discover/Steve-Slow-Train-Analysis-(2080s-and-2083s)?_g=(refreshInterval:(display:Off,pause:!f,section:0,value:0),time:(from:'2017-07-18T01:59:49-0600',mode:absolute,to:'2017-07-18T04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3" s="197" t="str">
        <f>IF(AA243&lt;VLOOKUP(AG243,Variables!$AC$3:$AD$8,2,FALSE),"Y","N")</f>
        <v>Y</v>
      </c>
      <c r="X243" s="197">
        <f t="shared" si="78"/>
        <v>8</v>
      </c>
      <c r="Y243" s="197">
        <f t="shared" si="79"/>
        <v>4.53E-2</v>
      </c>
      <c r="Z243" s="197">
        <f t="shared" si="80"/>
        <v>0.35610000000000003</v>
      </c>
      <c r="AA243" s="197">
        <f t="shared" si="81"/>
        <v>0.31080000000000002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2"/>
        <v>67</v>
      </c>
      <c r="AE243" s="77" t="str">
        <f t="shared" si="83"/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AF243" s="74" t="str">
        <f t="shared" si="84"/>
        <v>"C:\Program Files (x86)\AstroGrep\AstroGrep.exe" /e /r /s /spath="%USERPROFILE%\AppData\Local\Temp\OnboardLogs" /stypes="app*4002*20170718*" /stext=" 09:.+((SYSTEM_STATE.+slice.+state.+changed )|(ment ac)|(multiple cpu faults)|(system.+state.+changed )|(\[timeout)|(PRM\|1\|D)|(kpr)|(kdp)|(train st.+moving)|(\|lc)|(penalty))"</v>
      </c>
      <c r="AG243" s="209" t="str">
        <f t="shared" si="85"/>
        <v>Shuttle/Test</v>
      </c>
      <c r="AH243" s="78" t="str">
        <f t="shared" si="70"/>
        <v>"%USERPROFILE%\Documents\GitHub\eaglep3\Utilities\RefineRTDCRunTimes.py" --tripid 67-18 --locoid 4002 --swversion DE.1.0.9.0 --startMP 204:453 --initTime 2017-07-18T02:59:49 --startdatetime 2017-07-18T03:19:08 --delay 1 --endMP 204:3561 --enddatetime 2017-07-18T03:20:30 --enforcementcount 0 &gt;&gt;C:\Users\stu\Documents\GitHub\eaglep3-reporting\EC\2017-07-18-refined-times.txt</v>
      </c>
      <c r="AI243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0.3561"},{"id":17,"name":"Train ID","value":"67-18"},{"id":16,"name":"Locomotive ID","value":"4002"},{"id":130,"name":"Impact","value":""},{"id":150,"name":"Time of Event (Mountain Time)","value":"03:20:30"},{"id":151,"name":"Denver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2"/>
        <v>start /low /b %USERPROFILE%\Documents\GitHub\eaglep3\Utilities\DownloadLogsFromS3.py --loco 4002 --day 2017-07-18</v>
      </c>
      <c r="AN243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09:20:30"},{"id":29,"name":"Sharepoint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671</v>
      </c>
      <c r="B244" s="7">
        <v>4001</v>
      </c>
      <c r="C244" s="21" t="s">
        <v>199</v>
      </c>
      <c r="D244" s="21" t="s">
        <v>969</v>
      </c>
      <c r="E244" s="13">
        <v>42934.140300925923</v>
      </c>
      <c r="F244" s="13">
        <v>42934.14167824074</v>
      </c>
      <c r="G244" s="7">
        <v>1</v>
      </c>
      <c r="H244" s="21" t="s">
        <v>970</v>
      </c>
      <c r="I244" s="13">
        <v>42934.142627314817</v>
      </c>
      <c r="J244" s="7">
        <v>0</v>
      </c>
      <c r="K244" s="89" t="str">
        <f t="shared" si="74"/>
        <v>4001/4002</v>
      </c>
      <c r="L244" s="21" t="str">
        <f>VLOOKUP(A244,'Trips&amp;Operators'!$C$1:$G$99999,5,FALSE)</f>
        <v>SPECTOR MICHAEL</v>
      </c>
      <c r="M244" s="6">
        <f t="shared" si="75"/>
        <v>9.490740776527673E-4</v>
      </c>
      <c r="N244" s="7">
        <f t="shared" si="86"/>
        <v>1.3666666718199849</v>
      </c>
      <c r="O244" s="7"/>
      <c r="P244" s="7"/>
      <c r="Q244" s="22"/>
      <c r="R244" s="170"/>
      <c r="S244" s="213">
        <f t="shared" si="87"/>
        <v>0</v>
      </c>
      <c r="T244" s="195" t="str">
        <f t="shared" si="76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77"/>
        <v>https://d0f6bd738d7f1b3e5a7ca70fe4ff75f0.us-east-1.aws.found.io/app/kibana#/discover/Steve-Slow-Train-Analysis-(2080s-and-2083s)?_g=(refreshInterval:(display:Off,pause:!f,section:0,value:0),time:(from:'2017-07-18T02:22:02-0600',mode:absolute,to:'2017-07-18T04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4" s="197" t="str">
        <f>IF(AA244&lt;VLOOKUP(AG244,Variables!$AC$3:$AD$8,2,FALSE),"Y","N")</f>
        <v>Y</v>
      </c>
      <c r="X244" s="197">
        <f t="shared" si="78"/>
        <v>1</v>
      </c>
      <c r="Y244" s="197">
        <f t="shared" si="79"/>
        <v>0.32640000000000002</v>
      </c>
      <c r="Z244" s="197">
        <f t="shared" si="80"/>
        <v>0.11650000000000001</v>
      </c>
      <c r="AA244" s="197">
        <f t="shared" si="81"/>
        <v>0.20990000000000003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2"/>
        <v>68</v>
      </c>
      <c r="AE244" s="77" t="str">
        <f t="shared" si="83"/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AF244" s="74" t="str">
        <f t="shared" si="84"/>
        <v>"C:\Program Files (x86)\AstroGrep\AstroGrep.exe" /e /r /s /spath="%USERPROFILE%\AppData\Local\Temp\OnboardLogs" /stypes="app*4001*20170718*" /stext=" 09:.+((SYSTEM_STATE.+slice.+state.+changed )|(ment ac)|(multiple cpu faults)|(system.+state.+changed )|(\[timeout)|(PRM\|1\|D)|(kpr)|(kdp)|(train st.+moving)|(\|lc)|(penalty))"</v>
      </c>
      <c r="AG244" s="209" t="str">
        <f t="shared" si="85"/>
        <v>Shuttle/Test</v>
      </c>
      <c r="AH244" s="78" t="str">
        <f t="shared" si="70"/>
        <v>"%USERPROFILE%\Documents\GitHub\eaglep3\Utilities\RefineRTDCRunTimes.py" --tripid 68-18 --locoid 4001 --swversion DE.1.0.9.0 --startMP 204:3264 --initTime 2017-07-18T03:22:02 --startdatetime 2017-07-18T03:24:01 --delay 1 --endMP 204:1165 --enddatetime 2017-07-18T03:25:23 --enforcementcount 0 &gt;&gt;C:\Users\stu\Documents\GitHub\eaglep3-reporting\EC\2017-07-18-refined-times.txt</v>
      </c>
      <c r="AI244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0.1165"},{"id":17,"name":"Train ID","value":"68-18"},{"id":16,"name":"Locomotive ID","value":"4001"},{"id":130,"name":"Impact","value":""},{"id":150,"name":"Time of Event (Mountain Time)","value":"03:25:23"},{"id":151,"name":"Denver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2"/>
        <v>start /low /b %USERPROFILE%\Documents\GitHub\eaglep3\Utilities\DownloadLogsFromS3.py --loco 4001 --day 2017-07-18</v>
      </c>
      <c r="AN244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09:25:23"},{"id":29,"name":"Sharepoint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810</v>
      </c>
      <c r="B245" s="7">
        <v>4042</v>
      </c>
      <c r="C245" s="21" t="s">
        <v>199</v>
      </c>
      <c r="D245" s="21" t="s">
        <v>971</v>
      </c>
      <c r="E245" s="13">
        <v>42934.726539351854</v>
      </c>
      <c r="F245" s="13">
        <v>42934.734386574077</v>
      </c>
      <c r="G245" s="7">
        <v>1</v>
      </c>
      <c r="H245" s="21" t="s">
        <v>348</v>
      </c>
      <c r="I245" s="13">
        <v>42934.743113425924</v>
      </c>
      <c r="J245" s="7">
        <v>0</v>
      </c>
      <c r="K245" s="89" t="str">
        <f t="shared" si="74"/>
        <v>4041/4042</v>
      </c>
      <c r="L245" s="21" t="str">
        <f>VLOOKUP(A245,'Trips&amp;Operators'!$C$1:$G$99999,5,FALSE)</f>
        <v>BROWN JACOB</v>
      </c>
      <c r="M245" s="6">
        <f t="shared" si="75"/>
        <v>8.7268518473138101E-3</v>
      </c>
      <c r="N245" s="7">
        <f t="shared" si="86"/>
        <v>12.566666660131887</v>
      </c>
      <c r="O245" s="7"/>
      <c r="P245" s="7"/>
      <c r="Q245" s="22"/>
      <c r="R245" s="170"/>
      <c r="S245" s="213">
        <f t="shared" si="87"/>
        <v>1</v>
      </c>
      <c r="T245" s="195" t="str">
        <f t="shared" si="76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77"/>
        <v>https://d0f6bd738d7f1b3e5a7ca70fe4ff75f0.us-east-1.aws.found.io/app/kibana#/discover/Steve-Slow-Train-Analysis-(2080s-and-2083s)?_g=(refreshInterval:(display:Off,pause:!f,section:0,value:0),time:(from:'2017-07-18T16:26:13-0600',mode:absolute,to:'2017-07-18T18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5" s="197" t="str">
        <f>IF(AA245&lt;VLOOKUP(AG245,Variables!$AC$3:$AD$8,2,FALSE),"Y","N")</f>
        <v>Y</v>
      </c>
      <c r="X245" s="197">
        <f t="shared" si="78"/>
        <v>1</v>
      </c>
      <c r="Y245" s="197">
        <f t="shared" si="79"/>
        <v>0.1145</v>
      </c>
      <c r="Z245" s="197">
        <f t="shared" si="80"/>
        <v>2.3346</v>
      </c>
      <c r="AA245" s="197">
        <f t="shared" si="81"/>
        <v>2.2201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2"/>
        <v>69</v>
      </c>
      <c r="AE245" s="77" t="str">
        <f t="shared" si="83"/>
        <v>aws s3 cp s3://rtdc.mdm.uploadarchive.raw/RTDC4042/ "%USERPROFILE%\AppData\Local\Temp\OnboardLogs"\RTDC4042\2017-07-18 --exclude "*" --recursive --include "*20170718*" &amp; "%USERPROFILE%\Documents\GitHub\mrs-test-scripts\Headless Mode &amp; Sideloading\WalkAndUnGZ.bat" "%USERPROFILE%\AppData\Local\Temp\OnboardLogs"\RTDC4042\2017-07-18 &amp; 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</v>
      </c>
      <c r="AF245" s="74" t="str">
        <f t="shared" si="84"/>
        <v>"C:\Program Files (x86)\AstroGrep\AstroGrep.exe" /e /r /s /spath="%USERPROFILE%\AppData\Local\Temp\OnboardLogs" /stypes="app*4042*20170718*" /stext=" 23:.+((SYSTEM_STATE.+slice.+state.+changed )|(ment ac)|(multiple cpu faults)|(system.+state.+changed )|(\[timeout)|(PRM\|1\|D)|(kpr)|(kdp)|(train st.+moving)|(\|lc)|(penalty))"</v>
      </c>
      <c r="AG245" s="209" t="str">
        <f t="shared" si="85"/>
        <v>Shuttle/Test</v>
      </c>
      <c r="AH245" s="78" t="str">
        <f t="shared" si="70"/>
        <v>"%USERPROFILE%\Documents\GitHub\eaglep3\Utilities\RefineRTDCRunTimes.py" --tripid 69-18 --locoid 4042 --swversion DE.1.0.9.0 --startMP 204:1145 --initTime 2017-07-18T17:26:13 --startdatetime 2017-07-18T17:37:31 --delay 1 --endMP 300:23346 --enddatetime 2017-07-18T17:50:05 --enforcementcount 0 &gt;&gt;C:\Users\stu\Documents\GitHub\eaglep3-reporting\EC\2017-07-18-refined-times.txt</v>
      </c>
      <c r="AI245" s="96" t="str">
        <f t="shared" si="71"/>
        <v>echo {"issue":{"subject":"","project_id":79,"tracker_id":40,"status_id":1,"priority_id":2,"assigned_to_id":23,"start_date":"2017-07-18","description":"","custom_fields":[{"id":1,"name":"Subdivision","value":"Shuttle/Test"},{"id":4,"name":"Milepost","value":"2.3346"},{"id":17,"name":"Train ID","value":"69-18"},{"id":16,"name":"Locomotive ID","value":"4042"},{"id":130,"name":"Impact","value":""},{"id":150,"name":"Time of Event (Mountain Time)","value":"17:50:05"},{"id":151,"name":"Denver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2"/>
        <v>start /low /b %USERPROFILE%\Documents\GitHub\eaglep3\Utilities\DownloadLogsFromS3.py --loco 4042 --day 2017-07-18</v>
      </c>
      <c r="AN245" s="151" t="str">
        <f t="shared" si="73"/>
        <v>echo {"issue":{"subject":"","project_id":30,"tracker_id":4,"status_id":1,"priority_id":1,"assigned_to_id":10,"start_date":"2017-07-18","description":"","custom_fields":[{"id":30,"name":"Category","value":"Issue"},{"id":3,"name":"Functional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UTC","value":"2017-07-18 23:50:05"},{"id":29,"name":"Sharepoint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6">
    <sortState ref="A13:AG266">
      <sortCondition ref="AG13:AG245"/>
      <sortCondition ref="AD13:AD245"/>
    </sortState>
  </autoFilter>
  <sortState ref="A13:AN223">
    <sortCondition ref="AG13:AG223"/>
    <sortCondition ref="AD13:AD223"/>
  </sortState>
  <mergeCells count="1">
    <mergeCell ref="A11:P11"/>
  </mergeCells>
  <conditionalFormatting sqref="W11:W12 W271:X1048576 W13:X245">
    <cfRule type="cellIs" dxfId="10" priority="415" operator="equal">
      <formula>"Y"</formula>
    </cfRule>
  </conditionalFormatting>
  <conditionalFormatting sqref="X271:X1048576 X13:X245">
    <cfRule type="cellIs" dxfId="9" priority="398" operator="greaterThan">
      <formula>1</formula>
    </cfRule>
  </conditionalFormatting>
  <conditionalFormatting sqref="X271:X1048576 X12:X245">
    <cfRule type="cellIs" dxfId="8" priority="395" operator="equal">
      <formula>0</formula>
    </cfRule>
  </conditionalFormatting>
  <conditionalFormatting sqref="A13:S24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5" workbookViewId="0">
      <selection activeCell="S14" sqref="S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12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25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411</v>
      </c>
      <c r="X6" s="208" t="s">
        <v>404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42934.820370370369</v>
      </c>
      <c r="B7" s="30" t="s">
        <v>418</v>
      </c>
      <c r="C7" s="30" t="s">
        <v>663</v>
      </c>
      <c r="D7" s="30" t="s">
        <v>96</v>
      </c>
      <c r="E7" s="30" t="s">
        <v>187</v>
      </c>
      <c r="F7" s="42">
        <v>0</v>
      </c>
      <c r="G7" s="42">
        <v>263</v>
      </c>
      <c r="H7" s="42">
        <v>33231</v>
      </c>
      <c r="I7" s="42">
        <v>32835</v>
      </c>
      <c r="J7" s="30" t="s">
        <v>188</v>
      </c>
      <c r="K7" s="42">
        <v>33257</v>
      </c>
      <c r="L7" s="131" t="s">
        <v>51</v>
      </c>
      <c r="M7" s="132">
        <f t="shared" ref="M7:M43" si="0">CONVERT((I7-K7)/10000,"mi","ft")*IF(L7="Increasing Mileposts (1)",-1,1)</f>
        <v>-222.816</v>
      </c>
      <c r="N7" s="133" t="str">
        <f>VLOOKUP(C7,'Trips&amp;Operators'!$C$1:$G$99999,5,FALSE)</f>
        <v>FORTUNATO FRANK</v>
      </c>
      <c r="O7" s="203" t="s">
        <v>180</v>
      </c>
      <c r="P7" s="134" t="s">
        <v>417</v>
      </c>
      <c r="Q7" s="30"/>
      <c r="R7" s="81" t="str">
        <f>VLOOKUP(C7,'Train Runs'!$A$13:$AE$9925,31,0)</f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-07-18T17:57:36-0600',mode:absolute,to:'2017-07-18T20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/stypes="*4007*201707190*" /stext=" 01:.+((SYSTEM_STATE.+slice.+state.+changed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4007</v>
      </c>
      <c r="V7" s="31">
        <f t="shared" ref="V7:V43" si="3">A7-utc_offset/24</f>
        <v>42935.070370370369</v>
      </c>
      <c r="W7" s="45" t="str">
        <f t="shared" ref="W7:W43" si="4">DetSubdiv(C7)</f>
        <v>EC</v>
      </c>
      <c r="X7" s="22">
        <f t="shared" ref="X7:X43" si="5">VALUE(LEFT(C7,LEN(C7)-3))</f>
        <v>218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arrival","project_id":79,"tracker_id":40,"status_id":1,"priority_id":2,"assigned_to_id":23,"start_date":"2017-07-18","description":"","custom_fields":[{"id":1,"name":"Subdivision","value":"EC"},{"id":4,"name":"Milepost","value":"3.3257"},{"id":17,"name":"Train ID","value":"218-18"},{"id":16,"name":"Locomotive ID","value":"4007"},{"id":130,"name":"Impact","value":""},{"id":150,"name":"Time of Event (Mountain Time)","value":"19:41:20"},{"id":151,"name":"Denver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/c/Users/stu/AppData/Local/Temp/OnboardLogs/RTDC4007 --include="*4007*201707190*"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"%USERPROFILE%\AppData\Local\Temp\OnboardLogs"\RTDC4007\*4007*201707190* &gt;&gt; 2017-07-18-SliceDisagreementCheck.txt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4007 --day 2017-07-19</v>
      </c>
    </row>
    <row r="8" spans="1:32" s="1" customFormat="1" x14ac:dyDescent="0.25">
      <c r="A8" s="31">
        <v>42934.645358796297</v>
      </c>
      <c r="B8" s="30" t="s">
        <v>540</v>
      </c>
      <c r="C8" s="30" t="s">
        <v>654</v>
      </c>
      <c r="D8" s="30" t="s">
        <v>49</v>
      </c>
      <c r="E8" s="30" t="s">
        <v>187</v>
      </c>
      <c r="F8" s="42">
        <v>510</v>
      </c>
      <c r="G8" s="42">
        <v>573</v>
      </c>
      <c r="H8" s="42">
        <v>57542</v>
      </c>
      <c r="I8" s="42">
        <v>59501</v>
      </c>
      <c r="J8" s="30" t="s">
        <v>188</v>
      </c>
      <c r="K8" s="42">
        <v>58783</v>
      </c>
      <c r="L8" s="131" t="s">
        <v>50</v>
      </c>
      <c r="M8" s="132">
        <f t="shared" si="0"/>
        <v>-379.10399999999998</v>
      </c>
      <c r="N8" s="133" t="str">
        <f>VLOOKUP(C8,'Trips&amp;Operators'!$C$1:$G$99999,5,FALSE)</f>
        <v>LEVIN SCOTT</v>
      </c>
      <c r="O8" s="203" t="s">
        <v>180</v>
      </c>
      <c r="P8" s="134" t="s">
        <v>417</v>
      </c>
      <c r="Q8" s="30"/>
      <c r="R8" s="81" t="str">
        <f>VLOOKUP(C8,'Train Runs'!$A$13:$AE$9925,31,0)</f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-07-18T14:10:25-0600',mode:absolute,to:'2017-07-18T16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86" t="str">
        <f t="shared" si="1"/>
        <v>"C:\Program Files (x86)\AstroGrep\AstroGrep.exe" /e /r /s /spath="%USERPROFILE%\AppData\Local\Temp\OnboardLogs" /stypes="*4026*201707182*"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4026</v>
      </c>
      <c r="V8" s="31">
        <f t="shared" si="3"/>
        <v>42934.895358796297</v>
      </c>
      <c r="W8" s="45" t="str">
        <f t="shared" si="4"/>
        <v>EC</v>
      </c>
      <c r="X8" s="22">
        <f t="shared" si="5"/>
        <v>193</v>
      </c>
      <c r="Y8" s="96" t="str">
        <f t="shared" si="6"/>
        <v>echo {"issue":{"subject":"Early arrival","project_id":79,"tracker_id":40,"status_id":1,"priority_id":2,"assigned_to_id":23,"start_date":"2017-07-18","description":"","custom_fields":[{"id":1,"name":"Subdivision","value":"EC"},{"id":4,"name":"Milepost","value":"5.8783"},{"id":17,"name":"Train ID","value":"193-18"},{"id":16,"name":"Locomotive ID","value":"4026"},{"id":130,"name":"Impact","value":""},{"id":150,"name":"Time of Event (Mountain Time)","value":"15:29:19"},{"id":151,"name":"Denver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/c/Users/stu/AppData/Local/Temp/OnboardLogs/RTDC4026 --include="*4026*201707182*"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"%USERPROFILE%\AppData\Local\Temp\OnboardLogs"\RTDC4026\*4026*201707182* &gt;&gt; 2017-07-18-SliceDisagreementCheck.txt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4026 --day 2017-07-18</v>
      </c>
    </row>
    <row r="9" spans="1:32" s="1" customFormat="1" x14ac:dyDescent="0.25">
      <c r="A9" s="31">
        <v>42934.707685185182</v>
      </c>
      <c r="B9" s="30" t="s">
        <v>393</v>
      </c>
      <c r="C9" s="30" t="s">
        <v>655</v>
      </c>
      <c r="D9" s="30" t="s">
        <v>49</v>
      </c>
      <c r="E9" s="30" t="s">
        <v>187</v>
      </c>
      <c r="F9" s="42">
        <v>0</v>
      </c>
      <c r="G9" s="42">
        <v>433</v>
      </c>
      <c r="H9" s="42">
        <v>62742</v>
      </c>
      <c r="I9" s="42">
        <v>63672</v>
      </c>
      <c r="J9" s="30" t="s">
        <v>188</v>
      </c>
      <c r="K9" s="42">
        <v>63069</v>
      </c>
      <c r="L9" s="131" t="s">
        <v>50</v>
      </c>
      <c r="M9" s="132">
        <f t="shared" si="0"/>
        <v>-318.38400000000001</v>
      </c>
      <c r="N9" s="133" t="str">
        <f>VLOOKUP(C9,'Trips&amp;Operators'!$C$1:$G$99999,5,FALSE)</f>
        <v>PAGE MARCUS</v>
      </c>
      <c r="O9" s="203" t="s">
        <v>180</v>
      </c>
      <c r="P9" s="134" t="s">
        <v>417</v>
      </c>
      <c r="Q9" s="30"/>
      <c r="R9" s="81" t="str">
        <f>VLOOKUP(C9,'Train Runs'!$A$13:$AE$9925,31,0)</f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-07-18T15:38:36-0600',mode:absolute,to:'2017-07-18T18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9" s="86" t="str">
        <f t="shared" si="1"/>
        <v>"C:\Program Files (x86)\AstroGrep\AstroGrep.exe" /e /r /s /spath="%USERPROFILE%\AppData\Local\Temp\OnboardLogs" /stypes="*4002*201707182*" /stext=" 22:.+((SYSTEM_STATE.+slice.+state.+changed )|(ment ac)|(multiple cpu faults)|(system.+state.+changed )|(\[timeout)|(PRM\|1\|D)|(kpr)|(kdp)|(train st.+moving)|(\|lc)|(penalty))"</v>
      </c>
      <c r="U9" s="9" t="str">
        <f t="shared" si="2"/>
        <v>4002</v>
      </c>
      <c r="V9" s="31">
        <f t="shared" si="3"/>
        <v>42934.957685185182</v>
      </c>
      <c r="W9" s="45" t="str">
        <f t="shared" si="4"/>
        <v>EC</v>
      </c>
      <c r="X9" s="22">
        <f t="shared" si="5"/>
        <v>205</v>
      </c>
      <c r="Y9" s="96" t="str">
        <f t="shared" si="6"/>
        <v>echo {"issue":{"subject":"Early arrival","project_id":79,"tracker_id":40,"status_id":1,"priority_id":2,"assigned_to_id":23,"start_date":"2017-07-18","description":"","custom_fields":[{"id":1,"name":"Subdivision","value":"EC"},{"id":4,"name":"Milepost","value":"6.3069"},{"id":17,"name":"Train ID","value":"205-18"},{"id":16,"name":"Locomotive ID","value":"4002"},{"id":130,"name":"Impact","value":""},{"id":150,"name":"Time of Event (Mountain Time)","value":"16:59:04"},{"id":151,"name":"Denver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/c/Users/stu/AppData/Local/Temp/OnboardLogs/RTDC4002 --include="*4002*201707182*"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"%USERPROFILE%\AppData\Local\Temp\OnboardLogs"\RTDC4002\*4002*201707182* &gt;&gt; 2017-07-18-SliceDisagreementCheck.txt</v>
      </c>
      <c r="AE9" s="145" t="str">
        <f t="shared" si="9"/>
        <v>start /low /b %USERPROFILE%\Documents\GitHub\eaglep3\Utilities\DownloadLogsFromS3.py --loco 4002 --day 2017-07-18</v>
      </c>
    </row>
    <row r="10" spans="1:32" s="1" customFormat="1" x14ac:dyDescent="0.25">
      <c r="A10" s="31">
        <v>42934.499328703707</v>
      </c>
      <c r="B10" s="30" t="s">
        <v>393</v>
      </c>
      <c r="C10" s="30" t="s">
        <v>649</v>
      </c>
      <c r="D10" s="30" t="s">
        <v>96</v>
      </c>
      <c r="E10" s="30" t="s">
        <v>197</v>
      </c>
      <c r="F10" s="42">
        <v>700</v>
      </c>
      <c r="G10" s="42">
        <v>750</v>
      </c>
      <c r="H10" s="42">
        <v>179402</v>
      </c>
      <c r="I10" s="42">
        <v>182880</v>
      </c>
      <c r="J10" s="30" t="s">
        <v>198</v>
      </c>
      <c r="K10" s="42">
        <v>161962</v>
      </c>
      <c r="L10" s="131" t="s">
        <v>50</v>
      </c>
      <c r="M10" s="132">
        <f t="shared" si="0"/>
        <v>-11044.704</v>
      </c>
      <c r="N10" s="133" t="str">
        <f>VLOOKUP(C10,'Trips&amp;Operators'!$C$1:$G$99999,5,FALSE)</f>
        <v>PAGE MARCUS</v>
      </c>
      <c r="O10" s="203" t="s">
        <v>180</v>
      </c>
      <c r="P10" s="134"/>
      <c r="Q10" s="30"/>
      <c r="R10" s="81" t="str">
        <f>VLOOKUP(C10,'Train Runs'!$A$13:$AE$9925,31,0)</f>
        <v>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 &amp; 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-07-18T10:24:00-0600',mode:absolute,to:'2017-07-18T13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86" t="str">
        <f t="shared" si="1"/>
        <v>"C:\Program Files (x86)\AstroGrep\AstroGrep.exe" /e /r /s /spath="%USERPROFILE%\AppData\Local\Temp\OnboardLogs" /stypes="*4002*201707181*"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4002</v>
      </c>
      <c r="V10" s="31">
        <f t="shared" si="3"/>
        <v>42934.749328703707</v>
      </c>
      <c r="W10" s="45" t="str">
        <f t="shared" si="4"/>
        <v>EC</v>
      </c>
      <c r="X10" s="22">
        <f t="shared" si="5"/>
        <v>163</v>
      </c>
      <c r="Y10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{"issue":{"subject":"","project_id":79,"tracker_id":40,"status_id":1,"priority_id":2,"assigned_to_id":23,"start_date":"2017-07-18","description":"","custom_fields":[{"id":1,"name":"Subdivision","value":"EC"},{"id":4,"name":"Milepost","value":"16.1962"},{"id":17,"name":"Train ID","value":"163-18"},{"id":16,"name":"Locomotive ID","value":"4002"},{"id":130,"name":"Impact","value":""},{"id":150,"name":"Time of Event (Mountain Time)","value":"11:59:02"},{"id":151,"name":"Denver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/c/Users/stu/AppData/Local/Temp/OnboardLogs/RTDC4002 --include="*4002*201707181*"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"%USERPROFILE%\AppData\Local\Temp\OnboardLogs"\RTDC4002\*4002*201707181* &gt;&gt; 2017-07-18-SliceDisagreementCheck.txt</v>
      </c>
      <c r="AE10" s="145" t="str">
        <f t="shared" si="9"/>
        <v>start /low /b %USERPROFILE%\Documents\GitHub\eaglep3\Utilities\DownloadLogsFromS3.py --loco 4002 --day 2017-07-18</v>
      </c>
    </row>
    <row r="11" spans="1:32" s="1" customFormat="1" x14ac:dyDescent="0.25">
      <c r="A11" s="31">
        <v>42934.362881944442</v>
      </c>
      <c r="B11" s="30" t="s">
        <v>367</v>
      </c>
      <c r="C11" s="30" t="s">
        <v>643</v>
      </c>
      <c r="D11" s="30" t="s">
        <v>49</v>
      </c>
      <c r="E11" s="30" t="s">
        <v>197</v>
      </c>
      <c r="F11" s="42">
        <v>600</v>
      </c>
      <c r="G11" s="42">
        <v>723</v>
      </c>
      <c r="H11" s="42">
        <v>181479</v>
      </c>
      <c r="I11" s="42">
        <v>184261</v>
      </c>
      <c r="J11" s="30" t="s">
        <v>198</v>
      </c>
      <c r="K11" s="42">
        <v>183829</v>
      </c>
      <c r="L11" s="131" t="s">
        <v>50</v>
      </c>
      <c r="M11" s="132">
        <f t="shared" si="0"/>
        <v>-228.096</v>
      </c>
      <c r="N11" s="133" t="str">
        <f>VLOOKUP(C11,'Trips&amp;Operators'!$C$1:$G$99999,5,FALSE)</f>
        <v>NICHOLSON WESLEY</v>
      </c>
      <c r="O11" s="203" t="s">
        <v>180</v>
      </c>
      <c r="P11" s="134"/>
      <c r="Q11" s="30"/>
      <c r="R11" s="81" t="str">
        <f>VLOOKUP(C11,'Train Runs'!$A$13:$AE$9925,31,0)</f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-07-18T07:15:17-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1" s="86" t="str">
        <f t="shared" si="1"/>
        <v>"C:\Program Files (x86)\AstroGrep\AstroGrep.exe" /e /r /s /spath="%USERPROFILE%\AppData\Local\Temp\OnboardLogs" /stypes="*4014*201707181*"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4014</v>
      </c>
      <c r="V11" s="31">
        <f t="shared" si="3"/>
        <v>42934.612881944442</v>
      </c>
      <c r="W11" s="45" t="str">
        <f t="shared" si="4"/>
        <v>EC</v>
      </c>
      <c r="X11" s="22">
        <f t="shared" si="5"/>
        <v>135</v>
      </c>
      <c r="Y11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{"issue":{"subject":"","project_id":79,"tracker_id":40,"status_id":1,"priority_id":2,"assigned_to_id":23,"start_date":"2017-07-18","description":"","custom_fields":[{"id":1,"name":"Subdivision","value":"EC"},{"id":4,"name":"Milepost","value":"18.3829"},{"id":17,"name":"Train ID","value":"135-18"},{"id":16,"name":"Locomotive ID","value":"4014"},{"id":130,"name":"Impact","value":""},{"id":150,"name":"Time of Event (Mountain Time)","value":"08:42:33"},{"id":151,"name":"Denver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/c/Users/stu/AppData/Local/Temp/OnboardLogs/RTDC4014 --include="*4014*201707181*"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"%USERPROFILE%\AppData\Local\Temp\OnboardLogs"\RTDC4014\*4014*201707181* &gt;&gt; 2017-07-18-SliceDisagreementCheck.txt</v>
      </c>
      <c r="AE11" s="145" t="str">
        <f t="shared" si="9"/>
        <v>start /low /b %USERPROFILE%\Documents\GitHub\eaglep3\Utilities\DownloadLogsFromS3.py --loco 4014 --day 2017-07-18</v>
      </c>
    </row>
    <row r="12" spans="1:32" s="1" customFormat="1" x14ac:dyDescent="0.25">
      <c r="A12" s="31">
        <v>42934.399745370371</v>
      </c>
      <c r="B12" s="30" t="s">
        <v>437</v>
      </c>
      <c r="C12" s="30" t="s">
        <v>646</v>
      </c>
      <c r="D12" s="30" t="s">
        <v>96</v>
      </c>
      <c r="E12" s="30" t="s">
        <v>197</v>
      </c>
      <c r="F12" s="42">
        <v>700</v>
      </c>
      <c r="G12" s="42">
        <v>750</v>
      </c>
      <c r="H12" s="42">
        <v>179335</v>
      </c>
      <c r="I12" s="42">
        <v>175644</v>
      </c>
      <c r="J12" s="30" t="s">
        <v>198</v>
      </c>
      <c r="K12" s="42">
        <v>183829</v>
      </c>
      <c r="L12" s="131" t="s">
        <v>51</v>
      </c>
      <c r="M12" s="132">
        <f t="shared" si="0"/>
        <v>-4321.68</v>
      </c>
      <c r="N12" s="133" t="str">
        <f>VLOOKUP(C12,'Trips&amp;Operators'!$C$1:$G$99999,5,FALSE)</f>
        <v>STARKS ANGELINA</v>
      </c>
      <c r="O12" s="203" t="s">
        <v>180</v>
      </c>
      <c r="P12" s="134"/>
      <c r="Q12" s="30"/>
      <c r="R12" s="81" t="str">
        <f>VLOOKUP(C12,'Train Runs'!$A$13:$AE$9925,31,0)</f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-07-18T08:24:35-0600',mode:absolute,to:'2017-07-18T11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2" s="86" t="str">
        <f t="shared" si="1"/>
        <v>"C:\Program Files (x86)\AstroGrep\AstroGrep.exe" /e /r /s /spath="%USERPROFILE%\AppData\Local\Temp\OnboardLogs" /stypes="*4061*201707181*"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4061</v>
      </c>
      <c r="V12" s="31">
        <f t="shared" si="3"/>
        <v>42934.649745370371</v>
      </c>
      <c r="W12" s="45" t="str">
        <f t="shared" si="4"/>
        <v>EC</v>
      </c>
      <c r="X12" s="22">
        <f t="shared" si="5"/>
        <v>140</v>
      </c>
      <c r="Y12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{"issue":{"subject":"","project_id":79,"tracker_id":40,"status_id":1,"priority_id":2,"assigned_to_id":23,"start_date":"2017-07-18","description":"","custom_fields":[{"id":1,"name":"Subdivision","value":"EC"},{"id":4,"name":"Milepost","value":"18.3829"},{"id":17,"name":"Train ID","value":"140-18"},{"id":16,"name":"Locomotive ID","value":"4061"},{"id":130,"name":"Impact","value":""},{"id":150,"name":"Time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/c/Users/stu/AppData/Local/Temp/OnboardLogs/RTDC4061 --include="*4061*201707181*"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"%USERPROFILE%\AppData\Local\Temp\OnboardLogs"\RTDC4061\*4061*201707181* &gt;&gt; 2017-07-18-SliceDisagreementCheck.txt</v>
      </c>
      <c r="AE12" s="145" t="str">
        <f t="shared" si="9"/>
        <v>start /low /b %USERPROFILE%\Documents\GitHub\eaglep3\Utilities\DownloadLogsFromS3.py --loco 4061 --day 2017-07-18</v>
      </c>
    </row>
    <row r="13" spans="1:32" s="1" customFormat="1" x14ac:dyDescent="0.25">
      <c r="A13" s="31">
        <v>42934.269918981481</v>
      </c>
      <c r="B13" s="30" t="s">
        <v>514</v>
      </c>
      <c r="C13" s="30" t="s">
        <v>635</v>
      </c>
      <c r="D13" s="30" t="s">
        <v>49</v>
      </c>
      <c r="E13" s="30" t="s">
        <v>197</v>
      </c>
      <c r="F13" s="42">
        <v>150</v>
      </c>
      <c r="G13" s="42">
        <v>200</v>
      </c>
      <c r="H13" s="42">
        <v>229603</v>
      </c>
      <c r="I13" s="42">
        <v>229244</v>
      </c>
      <c r="J13" s="30" t="s">
        <v>198</v>
      </c>
      <c r="K13" s="42">
        <v>229055</v>
      </c>
      <c r="L13" s="131" t="s">
        <v>51</v>
      </c>
      <c r="M13" s="132">
        <f t="shared" si="0"/>
        <v>99.792000000000002</v>
      </c>
      <c r="N13" s="133" t="str">
        <f>VLOOKUP(C13,'Trips&amp;Operators'!$C$1:$G$99999,5,FALSE)</f>
        <v>ELBAUM MIKE</v>
      </c>
      <c r="O13" s="203" t="s">
        <v>180</v>
      </c>
      <c r="P13" s="134"/>
      <c r="Q13" s="30"/>
      <c r="R13" s="81" t="str">
        <f>VLOOKUP(C13,'Train Runs'!$A$13:$AE$9925,31,0)</f>
        <v>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 &amp; aws s3 cp s3://rtdc.mdm.uploadarchive.raw/RTDC4011/ "%USERPROFILE%\AppData\Local\Temp\OnboardLogs"\RTDC4011\2017-07-19 --exclude "*" --recursive --include "*20170719*" &amp; "%USERPROFILE%\Documents\GitHub\mrs-test-scripts\Headless Mode &amp; Sideloading\WalkAndUnGZ.bat" "%USERPROFILE%\AppData\Local\Temp\OnboardLogs"\RTDC4011\2017-07-19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-07-18T05:22:46-0600',mode:absolute,to:'2017-07-18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6" t="str">
        <f t="shared" si="1"/>
        <v>"C:\Program Files (x86)\AstroGrep\AstroGrep.exe" /e /r /s /spath="%USERPROFILE%\AppData\Local\Temp\OnboardLogs" /stypes="*4011*201707181*"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42934.519918981481</v>
      </c>
      <c r="W13" s="45" t="str">
        <f t="shared" si="4"/>
        <v>EC</v>
      </c>
      <c r="X13" s="22">
        <f t="shared" si="5"/>
        <v>116</v>
      </c>
      <c r="Y13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{"issue":{"subject":"","project_id":79,"tracker_id":40,"status_id":1,"priority_id":2,"assigned_to_id":23,"start_date":"2017-07-18","description":"","custom_fields":[{"id":1,"name":"Subdivision","value":"EC"},{"id":4,"name":"Milepost","value":"22.9055"},{"id":17,"name":"Train ID","value":"116-18"},{"id":16,"name":"Locomotive ID","value":"4011"},{"id":130,"name":"Impact","value":""},{"id":150,"name":"Time of Event (Mountain Time)","value":"06:28:41"},{"id":151,"name":"Denver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/c/Users/stu/AppData/Local/Temp/OnboardLogs/RTDC4011 --include="*4011*201707181*"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"%USERPROFILE%\AppData\Local\Temp\OnboardLogs"\RTDC4011\*4011*201707181* &gt;&gt; 2017-07-18-SliceDisagreementCheck.txt</v>
      </c>
      <c r="AE13" s="145" t="str">
        <f t="shared" si="9"/>
        <v>start /low /b %USERPROFILE%\Documents\GitHub\eaglep3\Utilities\DownloadLogsFromS3.py --loco 4011 --day 2017-07-18</v>
      </c>
    </row>
    <row r="14" spans="1:32" x14ac:dyDescent="0.25">
      <c r="A14" s="31">
        <v>42934.338402777779</v>
      </c>
      <c r="B14" s="30" t="s">
        <v>367</v>
      </c>
      <c r="C14" s="30" t="s">
        <v>643</v>
      </c>
      <c r="D14" s="30" t="s">
        <v>49</v>
      </c>
      <c r="E14" s="30" t="s">
        <v>356</v>
      </c>
      <c r="F14" s="42">
        <v>0</v>
      </c>
      <c r="G14" s="42">
        <v>115</v>
      </c>
      <c r="H14" s="42">
        <v>19272</v>
      </c>
      <c r="I14" s="42">
        <v>19371</v>
      </c>
      <c r="J14" s="30" t="s">
        <v>357</v>
      </c>
      <c r="K14" s="42">
        <v>20617</v>
      </c>
      <c r="L14" s="131" t="s">
        <v>50</v>
      </c>
      <c r="M14" s="132">
        <f t="shared" si="0"/>
        <v>657.88800000000003</v>
      </c>
      <c r="N14" s="133" t="str">
        <f>VLOOKUP(C14,'Trips&amp;Operators'!$C$1:$G$99999,5,FALSE)</f>
        <v>NICHOLSON WESLEY</v>
      </c>
      <c r="O14" s="203" t="s">
        <v>439</v>
      </c>
      <c r="P14" s="134" t="s">
        <v>628</v>
      </c>
      <c r="Q14" s="30"/>
      <c r="R14" s="81" t="str">
        <f>VLOOKUP(C14,'Train Runs'!$A$13:$AE$9925,31,0)</f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-07-18T07:15:17-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86" t="str">
        <f t="shared" si="1"/>
        <v>"C:\Program Files (x86)\AstroGrep\AstroGrep.exe" /e /r /s /spath="%USERPROFILE%\AppData\Local\Temp\OnboardLogs" /stypes="*4014*201707181*"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4014</v>
      </c>
      <c r="V14" s="31">
        <f t="shared" si="3"/>
        <v>42934.588402777779</v>
      </c>
      <c r="W14" s="45" t="str">
        <f t="shared" si="4"/>
        <v>EC</v>
      </c>
      <c r="X14" s="22">
        <f t="shared" si="5"/>
        <v>135</v>
      </c>
      <c r="Y14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drop","project_id":79,"tracker_id":40,"status_id":1,"priority_id":2,"assigned_to_id":23,"start_date":"2017-07-18","description":"","custom_fields":[{"id":1,"name":"Subdivision","value":"EC"},{"id":4,"name":"Milepost","value":"2.0617"},{"id":17,"name":"Train ID","value":"135-18"},{"id":16,"name":"Locomotive ID","value":"4014"},{"id":130,"name":"Impact","value":""},{"id":150,"name":"Time of Event (Mountain Time)","value":"08:07:18"},{"id":151,"name":"Denver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/c/Users/stu/AppData/Local/Temp/OnboardLogs/RTDC4014 --include="*4014*201707181*"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"%USERPROFILE%\AppData\Local\Temp\OnboardLogs"\RTDC4014\*4014*201707181* &gt;&gt; 2017-07-18-SliceDisagreementCheck.txt</v>
      </c>
      <c r="AE14" s="145" t="str">
        <f t="shared" si="9"/>
        <v>start /low /b %USERPROFILE%\Documents\GitHub\eaglep3\Utilities\DownloadLogsFromS3.py --loco 4014 --day 2017-07-18</v>
      </c>
      <c r="AF14" s="1"/>
    </row>
    <row r="15" spans="1:32" x14ac:dyDescent="0.25">
      <c r="A15" s="31">
        <v>42934.445428240739</v>
      </c>
      <c r="B15" s="30" t="s">
        <v>515</v>
      </c>
      <c r="C15" s="30" t="s">
        <v>647</v>
      </c>
      <c r="D15" s="30" t="s">
        <v>49</v>
      </c>
      <c r="E15" s="30" t="s">
        <v>356</v>
      </c>
      <c r="F15" s="42">
        <v>0</v>
      </c>
      <c r="G15" s="42">
        <v>50</v>
      </c>
      <c r="H15" s="42">
        <v>36478</v>
      </c>
      <c r="I15" s="42">
        <v>36568</v>
      </c>
      <c r="J15" s="30" t="s">
        <v>357</v>
      </c>
      <c r="K15" s="42">
        <v>36645</v>
      </c>
      <c r="L15" s="131" t="s">
        <v>50</v>
      </c>
      <c r="M15" s="132">
        <f t="shared" si="0"/>
        <v>40.655999999999999</v>
      </c>
      <c r="N15" s="133" t="str">
        <f>VLOOKUP(C15,'Trips&amp;Operators'!$C$1:$G$99999,5,FALSE)</f>
        <v>GONZALEZ ARMANDO</v>
      </c>
      <c r="O15" s="203" t="s">
        <v>439</v>
      </c>
      <c r="P15" s="134" t="s">
        <v>1062</v>
      </c>
      <c r="Q15" s="30"/>
      <c r="R15" s="81" t="str">
        <f>VLOOKUP(C15,'Train Runs'!$A$13:$AE$9925,31,0)</f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-07-18T09:43:04-0600',mode:absolute,to:'2017-07-18T12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 t="shared" si="1"/>
        <v>"C:\Program Files (x86)\AstroGrep\AstroGrep.exe" /e /r /s /spath="%USERPROFILE%\AppData\Local\Temp\OnboardLogs" /stypes="*4064*201707181*"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4064</v>
      </c>
      <c r="V15" s="31">
        <f t="shared" si="3"/>
        <v>42934.695428240739</v>
      </c>
      <c r="W15" s="45" t="str">
        <f t="shared" si="4"/>
        <v>EC</v>
      </c>
      <c r="X15" s="22">
        <f t="shared" si="5"/>
        <v>155</v>
      </c>
      <c r="Y15" s="96" t="str">
        <f t="shared" si="6"/>
        <v>echo {"issue":{"subject":"Minor onboard in-route failure caused signal status unknown banner","project_id":79,"tracker_id":40,"status_id":1,"priority_id":2,"assigned_to_id":23,"start_date":"2017-07-18","description":"","custom_fields":[{"id":1,"name":"Subdivision","value":"EC"},{"id":4,"name":"Milepost","value":"3.6645"},{"id":17,"name":"Train ID","value":"155-18"},{"id":16,"name":"Locomotive ID","value":"4064"},{"id":130,"name":"Impact","value":""},{"id":150,"name":"Time of Event (Mountain Time)","value":"10:41:25"},{"id":151,"name":"Denver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/c/Users/stu/AppData/Local/Temp/OnboardLogs/RTDC4064 --include="*4064*201707181*"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"%USERPROFILE%\AppData\Local\Temp\OnboardLogs"\RTDC4064\*4064*201707181* &gt;&gt; 2017-07-18-SliceDisagreementCheck.txt</v>
      </c>
      <c r="AE15" s="145" t="str">
        <f t="shared" si="9"/>
        <v>start /low /b %USERPROFILE%\Documents\GitHub\eaglep3\Utilities\DownloadLogsFromS3.py --loco 4064 --day 2017-07-18</v>
      </c>
      <c r="AF15" s="1"/>
    </row>
    <row r="16" spans="1:32" x14ac:dyDescent="0.25">
      <c r="A16" s="31">
        <v>42934.275381944448</v>
      </c>
      <c r="B16" s="30" t="s">
        <v>636</v>
      </c>
      <c r="C16" s="30" t="s">
        <v>637</v>
      </c>
      <c r="D16" s="30" t="s">
        <v>49</v>
      </c>
      <c r="E16" s="30" t="s">
        <v>356</v>
      </c>
      <c r="F16" s="42">
        <v>0</v>
      </c>
      <c r="G16" s="42">
        <v>340</v>
      </c>
      <c r="H16" s="42">
        <v>65225</v>
      </c>
      <c r="I16" s="42">
        <v>64478</v>
      </c>
      <c r="J16" s="30" t="s">
        <v>357</v>
      </c>
      <c r="K16" s="42">
        <v>64008</v>
      </c>
      <c r="L16" s="131" t="s">
        <v>51</v>
      </c>
      <c r="M16" s="132">
        <f t="shared" si="0"/>
        <v>248.16</v>
      </c>
      <c r="N16" s="133" t="str">
        <f>VLOOKUP(C16,'Trips&amp;Operators'!$C$1:$G$99999,5,FALSE)</f>
        <v>LOZA FIDEL</v>
      </c>
      <c r="O16" s="203" t="s">
        <v>439</v>
      </c>
      <c r="P16" s="134" t="s">
        <v>628</v>
      </c>
      <c r="Q16" s="30"/>
      <c r="R16" s="81" t="str">
        <f>VLOOKUP(C16,'Train Runs'!$A$13:$AE$9925,31,0)</f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-07-18T05:09:53-0600',mode:absolute,to:'2017-07-18T07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 t="shared" si="1"/>
        <v>"C:\Program Files (x86)\AstroGrep\AstroGrep.exe" /e /r /s /spath="%USERPROFILE%\AppData\Local\Temp\OnboardLogs" /stypes="*4063*201707181*"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4063</v>
      </c>
      <c r="V16" s="31">
        <f t="shared" si="3"/>
        <v>42934.525381944448</v>
      </c>
      <c r="W16" s="45" t="str">
        <f t="shared" si="4"/>
        <v>EC</v>
      </c>
      <c r="X16" s="22">
        <f t="shared" si="5"/>
        <v>114</v>
      </c>
      <c r="Y16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drop","project_id":79,"tracker_id":40,"status_id":1,"priority_id":2,"assigned_to_id":23,"start_date":"2017-07-18","description":"","custom_fields":[{"id":1,"name":"Subdivision","value":"EC"},{"id":4,"name":"Milepost","value":"6.4008"},{"id":17,"name":"Train ID","value":"114-18"},{"id":16,"name":"Locomotive ID","value":"4063"},{"id":130,"name":"Impact","value":""},{"id":150,"name":"Time of Event (Mountain Time)","value":"06:36:33"},{"id":151,"name":"Denver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/c/Users/stu/AppData/Local/Temp/OnboardLogs/RTDC4063 --include="*4063*201707181*"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"%USERPROFILE%\AppData\Local\Temp\OnboardLogs"\RTDC4063\*4063*201707181* &gt;&gt; 2017-07-18-SliceDisagreementCheck.txt</v>
      </c>
      <c r="AE16" s="145" t="str">
        <f t="shared" si="9"/>
        <v>start /low /b %USERPROFILE%\Documents\GitHub\eaglep3\Utilities\DownloadLogsFromS3.py --loco 4063 --day 2017-07-18</v>
      </c>
      <c r="AF16" s="1"/>
    </row>
    <row r="17" spans="1:32" x14ac:dyDescent="0.25">
      <c r="A17" s="31">
        <v>42934.738344907404</v>
      </c>
      <c r="B17" s="30" t="s">
        <v>436</v>
      </c>
      <c r="C17" s="30" t="s">
        <v>658</v>
      </c>
      <c r="D17" s="30" t="s">
        <v>49</v>
      </c>
      <c r="E17" s="30" t="s">
        <v>356</v>
      </c>
      <c r="F17" s="42">
        <v>0</v>
      </c>
      <c r="G17" s="42">
        <v>722</v>
      </c>
      <c r="H17" s="42">
        <v>149205</v>
      </c>
      <c r="I17" s="42">
        <v>152724</v>
      </c>
      <c r="J17" s="30" t="s">
        <v>357</v>
      </c>
      <c r="K17" s="42">
        <v>149694</v>
      </c>
      <c r="L17" s="131" t="s">
        <v>50</v>
      </c>
      <c r="M17" s="132">
        <f t="shared" si="0"/>
        <v>-1599.84</v>
      </c>
      <c r="N17" s="133" t="str">
        <f>VLOOKUP(C17,'Trips&amp;Operators'!$C$1:$G$99999,5,FALSE)</f>
        <v>ANDERS STEVEN</v>
      </c>
      <c r="O17" s="203" t="s">
        <v>439</v>
      </c>
      <c r="P17" s="134" t="s">
        <v>628</v>
      </c>
      <c r="Q17" s="30"/>
      <c r="R17" s="81" t="str">
        <f>VLOOKUP(C17,'Train Runs'!$A$13:$AE$9925,31,0)</f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-07-18T16:08:51-0600',mode:absolute,to:'2017-07-18T18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7" s="86" t="str">
        <f t="shared" si="1"/>
        <v>"C:\Program Files (x86)\AstroGrep\AstroGrep.exe" /e /r /s /spath="%USERPROFILE%\AppData\Local\Temp\OnboardLogs" /stypes="*4062*201707182*"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4062</v>
      </c>
      <c r="V17" s="31">
        <f t="shared" si="3"/>
        <v>42934.988344907404</v>
      </c>
      <c r="W17" s="45" t="str">
        <f t="shared" si="4"/>
        <v>EC</v>
      </c>
      <c r="X17" s="22">
        <f t="shared" si="5"/>
        <v>209</v>
      </c>
      <c r="Y17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drop","project_id":79,"tracker_id":40,"status_id":1,"priority_id":2,"assigned_to_id":23,"start_date":"2017-07-18","description":"","custom_fields":[{"id":1,"name":"Subdivision","value":"EC"},{"id":4,"name":"Milepost","value":"14.9694"},{"id":17,"name":"Train ID","value":"209-18"},{"id":16,"name":"Locomotive ID","value":"4062"},{"id":130,"name":"Impact","value":""},{"id":150,"name":"Time of Event (Mountain Time)","value":"17:43:13"},{"id":151,"name":"Denver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/c/Users/stu/AppData/Local/Temp/OnboardLogs/RTDC4062 --include="*4062*201707182*"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"%USERPROFILE%\AppData\Local\Temp\OnboardLogs"\RTDC4062\*4062*201707182* &gt;&gt; 2017-07-18-SliceDisagreementCheck.txt</v>
      </c>
      <c r="AE17" s="145" t="str">
        <f t="shared" si="9"/>
        <v>start /low /b %USERPROFILE%\Documents\GitHub\eaglep3\Utilities\DownloadLogsFromS3.py --loco 4062 --day 2017-07-18</v>
      </c>
      <c r="AF17" s="1"/>
    </row>
    <row r="18" spans="1:32" x14ac:dyDescent="0.25">
      <c r="A18" s="31">
        <v>42934.366006944445</v>
      </c>
      <c r="B18" s="30" t="s">
        <v>367</v>
      </c>
      <c r="C18" s="30" t="s">
        <v>643</v>
      </c>
      <c r="D18" s="30" t="s">
        <v>49</v>
      </c>
      <c r="E18" s="30" t="s">
        <v>356</v>
      </c>
      <c r="F18" s="42">
        <v>0</v>
      </c>
      <c r="G18" s="42">
        <v>394</v>
      </c>
      <c r="H18" s="42">
        <v>223659</v>
      </c>
      <c r="I18" s="42">
        <v>224435</v>
      </c>
      <c r="J18" s="30" t="s">
        <v>357</v>
      </c>
      <c r="K18" s="42">
        <v>224231</v>
      </c>
      <c r="L18" s="131" t="s">
        <v>50</v>
      </c>
      <c r="M18" s="132">
        <f t="shared" si="0"/>
        <v>-107.712</v>
      </c>
      <c r="N18" s="133" t="str">
        <f>VLOOKUP(C18,'Trips&amp;Operators'!$C$1:$G$99999,5,FALSE)</f>
        <v>NICHOLSON WESLEY</v>
      </c>
      <c r="O18" s="203" t="s">
        <v>439</v>
      </c>
      <c r="P18" s="134" t="s">
        <v>628</v>
      </c>
      <c r="Q18" s="30"/>
      <c r="R18" s="81" t="str">
        <f>VLOOKUP(C18,'Train Runs'!$A$13:$AE$9925,31,0)</f>
        <v>aws s3 cp s3://rtdc.mdm.uploadarchive.raw/RTDC4014/ "%USERPROFILE%\AppData\Local\Temp\OnboardLogs"\RTDC4014\2017-07-18 --exclude "*" --recursive --include "*20170718*" &amp; "%USERPROFILE%\Documents\GitHub\mrs-test-scripts\Headless Mode &amp; Sideloading\WalkAndUnGZ.bat" "%USERPROFILE%\AppData\Local\Temp\OnboardLogs"\RTDC4014\2017-07-18 &amp; aws s3 cp s3://rtdc.mdm.uploadarchive.raw/RTDC4014/ "%USERPROFILE%\AppData\Local\Temp\OnboardLogs"\RTDC4014\2017-07-19 --exclude "*" --recursive --include "*20170719*" &amp; "%USERPROFILE%\Documents\GitHub\mrs-test-scripts\Headless Mode &amp; Sideloading\WalkAndUnGZ.bat" "%USERPROFILE%\AppData\Local\Temp\OnboardLogs"\RTDC4014\2017-07-19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-07-18T07:15:17-0600',mode:absolute,to:'2017-07-18T09:47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/stypes="*4014*201707181*"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42934.616006944445</v>
      </c>
      <c r="W18" s="45" t="str">
        <f t="shared" si="4"/>
        <v>EC</v>
      </c>
      <c r="X18" s="22">
        <f t="shared" si="5"/>
        <v>135</v>
      </c>
      <c r="Y18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drop","project_id":79,"tracker_id":40,"status_id":1,"priority_id":2,"assigned_to_id":23,"start_date":"2017-07-18","description":"","custom_fields":[{"id":1,"name":"Subdivision","value":"EC"},{"id":4,"name":"Milepost","value":"22.4231"},{"id":17,"name":"Train ID","value":"135-18"},{"id":16,"name":"Locomotive ID","value":"4014"},{"id":130,"name":"Impact","value":""},{"id":150,"name":"Time of Event (Mountain Time)","value":"08:47:03"},{"id":151,"name":"Denver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/c/Users/stu/AppData/Local/Temp/OnboardLogs/RTDC4014 --include="*4014*201707181*"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"%USERPROFILE%\AppData\Local\Temp\OnboardLogs"\RTDC4014\*4014*201707181* &gt;&gt; 2017-07-18-SliceDisagreementCheck.txt</v>
      </c>
      <c r="AE18" s="145" t="str">
        <f t="shared" si="9"/>
        <v>start /low /b %USERPROFILE%\Documents\GitHub\eaglep3\Utilities\DownloadLogsFromS3.py --loco 4014 --day 2017-07-18</v>
      </c>
      <c r="AF18" s="1"/>
    </row>
    <row r="19" spans="1:32" x14ac:dyDescent="0.25">
      <c r="A19" s="31">
        <v>42934.98337962963</v>
      </c>
      <c r="B19" s="30" t="s">
        <v>436</v>
      </c>
      <c r="C19" s="30" t="s">
        <v>666</v>
      </c>
      <c r="D19" s="30" t="s">
        <v>49</v>
      </c>
      <c r="E19" s="30" t="s">
        <v>356</v>
      </c>
      <c r="F19" s="42">
        <v>0</v>
      </c>
      <c r="G19" s="42">
        <v>141</v>
      </c>
      <c r="H19" s="42">
        <v>228561</v>
      </c>
      <c r="I19" s="42">
        <v>228959</v>
      </c>
      <c r="J19" s="30" t="s">
        <v>357</v>
      </c>
      <c r="K19" s="42">
        <v>228572</v>
      </c>
      <c r="L19" s="131" t="s">
        <v>50</v>
      </c>
      <c r="M19" s="132">
        <f t="shared" si="0"/>
        <v>-204.33600000000001</v>
      </c>
      <c r="N19" s="133" t="str">
        <f>VLOOKUP(C19,'Trips&amp;Operators'!$C$1:$G$99999,5,FALSE)</f>
        <v>HAITHCOX MICHAEL</v>
      </c>
      <c r="O19" s="203" t="s">
        <v>439</v>
      </c>
      <c r="P19" s="134" t="s">
        <v>1064</v>
      </c>
      <c r="Q19" s="30"/>
      <c r="R19" s="81" t="str">
        <f>VLOOKUP(C19,'Train Runs'!$A$13:$AE$9925,31,0)</f>
        <v>aws s3 cp s3://rtdc.mdm.uploadarchive.raw/RTDC4062/ "%USERPROFILE%\AppData\Local\Temp\OnboardLogs"\RTDC4062\2017-07-18 --exclude "*" --recursive --include "*20170718*" &amp; "%USERPROFILE%\Documents\GitHub\mrs-test-scripts\Headless Mode &amp; Sideloading\WalkAndUnGZ.bat" "%USERPROFILE%\AppData\Local\Temp\OnboardLogs"\RTDC4062\2017-07-18 &amp; aws s3 cp s3://rtdc.mdm.uploadarchive.raw/RTDC4062/ "%USERPROFILE%\AppData\Local\Temp\OnboardLogs"\RTDC4062\2017-07-19 --exclude "*" --recursive --include "*20170719*" &amp; "%USERPROFILE%\Documents\GitHub\mrs-test-scripts\Headless Mode &amp; Sideloading\WalkAndUnGZ.bat" "%USERPROFILE%\AppData\Local\Temp\OnboardLogs"\RTDC4062\2017-07-19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-07-18T21:39:57-0600',mode:absolute,to:'2017-07-19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86" t="str">
        <f t="shared" si="1"/>
        <v>"C:\Program Files (x86)\AstroGrep\AstroGrep.exe" /e /r /s /spath="%USERPROFILE%\AppData\Local\Temp\OnboardLogs" /stypes="*4062*201707190*"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42935.23337962963</v>
      </c>
      <c r="W19" s="45" t="str">
        <f t="shared" si="4"/>
        <v>EC</v>
      </c>
      <c r="X19" s="22">
        <f t="shared" si="5"/>
        <v>237</v>
      </c>
      <c r="Y19" s="96" t="str">
        <f t="shared" si="6"/>
        <v>echo {"issue":{"subject":"Premature downgrade at DIA 2N","project_id":79,"tracker_id":40,"status_id":1,"priority_id":2,"assigned_to_id":23,"start_date":"2017-07-18","description":"23:35:52 - DIA 2N dropped from Proceed Cab to Stop while train was still approaching - do logs indicate anything unusual?","custom_fields":[{"id":1,"name":"Subdivision","value":"EC"},{"id":4,"name":"Milepost","value":"22.8572"},{"id":17,"name":"Train ID","value":"237-18"},{"id":16,"name":"Locomotive ID","value":"4062"},{"id":130,"name":"Impact","value":"Enforcement"},{"id":150,"name":"Time of Event (Mountain Time)","value":"23:36:04"},{"id":151,"name":"Denver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9" s="159" t="s">
        <v>1065</v>
      </c>
      <c r="AA19" s="47" t="s">
        <v>120</v>
      </c>
      <c r="AB19" s="47" t="s">
        <v>125</v>
      </c>
      <c r="AC19" s="115" t="str">
        <f t="shared" si="7"/>
        <v>grep -hrE -A400 "Enforcement Action" /c/Users/stu/AppData/Local/Temp/OnboardLogs/RTDC4062 --include="*4062*201707190*"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"%USERPROFILE%\AppData\Local\Temp\OnboardLogs"\RTDC4062\*4062*201707190* &gt;&gt; 2017-07-18-SliceDisagreementCheck.txt</v>
      </c>
      <c r="AE19" s="145" t="str">
        <f t="shared" si="9"/>
        <v>start /low /b %USERPROFILE%\Documents\GitHub\eaglep3\Utilities\DownloadLogsFromS3.py --loco 4062 --day 2017-07-19</v>
      </c>
      <c r="AF19" s="1"/>
    </row>
    <row r="20" spans="1:32" x14ac:dyDescent="0.25">
      <c r="A20" s="31">
        <v>42934.274224537039</v>
      </c>
      <c r="B20" s="30" t="s">
        <v>636</v>
      </c>
      <c r="C20" s="30" t="s">
        <v>637</v>
      </c>
      <c r="D20" s="30" t="s">
        <v>49</v>
      </c>
      <c r="E20" s="30" t="s">
        <v>638</v>
      </c>
      <c r="F20" s="42">
        <v>0</v>
      </c>
      <c r="G20" s="42">
        <v>805</v>
      </c>
      <c r="H20" s="42">
        <v>73612</v>
      </c>
      <c r="I20" s="42">
        <v>69380</v>
      </c>
      <c r="J20" s="30" t="s">
        <v>639</v>
      </c>
      <c r="K20" s="42">
        <v>69363</v>
      </c>
      <c r="L20" s="131" t="s">
        <v>51</v>
      </c>
      <c r="M20" s="132">
        <f t="shared" si="0"/>
        <v>8.9760000000000009</v>
      </c>
      <c r="N20" s="133" t="str">
        <f>VLOOKUP(C20,'Trips&amp;Operators'!$C$1:$G$99999,5,FALSE)</f>
        <v>LOZA FIDEL</v>
      </c>
      <c r="O20" s="203" t="s">
        <v>439</v>
      </c>
      <c r="P20" s="134" t="s">
        <v>628</v>
      </c>
      <c r="Q20" s="30"/>
      <c r="R20" s="81" t="str">
        <f>VLOOKUP(C20,'Train Runs'!$A$13:$AE$9925,31,0)</f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-07-18T05:09:53-0600',mode:absolute,to:'2017-07-18T07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 t="shared" si="1"/>
        <v>"C:\Program Files (x86)\AstroGrep\AstroGrep.exe" /e /r /s /spath="%USERPROFILE%\AppData\Local\Temp\OnboardLogs" /stypes="*4063*201707181*"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4063</v>
      </c>
      <c r="V20" s="31">
        <f t="shared" si="3"/>
        <v>42934.524224537039</v>
      </c>
      <c r="W20" s="45" t="str">
        <f t="shared" si="4"/>
        <v>EC</v>
      </c>
      <c r="X20" s="22">
        <f t="shared" si="5"/>
        <v>114</v>
      </c>
      <c r="Y20" s="96" t="str">
        <f t="shared" si="6"/>
        <v>echo {"issue":{"subject":"Wi-MAX data drop","project_id":79,"tracker_id":40,"status_id":1,"priority_id":2,"assigned_to_id":23,"start_date":"2017-07-18","description":"","custom_fields":[{"id":1,"name":"Subdivision","value":"EC"},{"id":4,"name":"Milepost","value":"6.9363"},{"id":17,"name":"Train ID","value":"114-18"},{"id":16,"name":"Locomotive ID","value":"4063"},{"id":130,"name":"Impact","value":""},{"id":150,"name":"Time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/c/Users/stu/AppData/Local/Temp/OnboardLogs/RTDC4063 --include="*4063*201707181*"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"%USERPROFILE%\AppData\Local\Temp\OnboardLogs"\RTDC4063\*4063*201707181* &gt;&gt; 2017-07-18-SliceDisagreementCheck.txt</v>
      </c>
      <c r="AE20" s="145" t="str">
        <f t="shared" si="9"/>
        <v>start /low /b %USERPROFILE%\Documents\GitHub\eaglep3\Utilities\DownloadLogsFromS3.py --loco 4063 --day 2017-07-18</v>
      </c>
      <c r="AF20" s="1"/>
    </row>
    <row r="21" spans="1:32" x14ac:dyDescent="0.25">
      <c r="A21" s="31">
        <v>42934.348773148151</v>
      </c>
      <c r="B21" s="30" t="s">
        <v>437</v>
      </c>
      <c r="C21" s="30" t="s">
        <v>644</v>
      </c>
      <c r="D21" s="30" t="s">
        <v>49</v>
      </c>
      <c r="E21" s="30" t="s">
        <v>181</v>
      </c>
      <c r="F21" s="42">
        <v>0</v>
      </c>
      <c r="G21" s="42">
        <v>49</v>
      </c>
      <c r="H21" s="42">
        <v>178</v>
      </c>
      <c r="I21" s="42">
        <v>138</v>
      </c>
      <c r="J21" s="30" t="s">
        <v>182</v>
      </c>
      <c r="K21" s="42">
        <v>1</v>
      </c>
      <c r="L21" s="131" t="s">
        <v>51</v>
      </c>
      <c r="M21" s="132">
        <f t="shared" si="0"/>
        <v>72.335999999999999</v>
      </c>
      <c r="N21" s="133" t="str">
        <f>VLOOKUP(C21,'Trips&amp;Operators'!$C$1:$G$99999,5,FALSE)</f>
        <v>STARKS ANGELINA</v>
      </c>
      <c r="O21" s="203" t="s">
        <v>180</v>
      </c>
      <c r="P21" s="134"/>
      <c r="Q21" s="30"/>
      <c r="R21" s="81" t="str">
        <f>VLOOKUP(C21,'Train Runs'!$A$13:$AE$9925,31,0)</f>
        <v>aws s3 cp s3://rtdc.mdm.uploadarchive.raw/RTDC4061/ "%USERPROFILE%\AppData\Local\Temp\OnboardLogs"\RTDC4061\2017-07-18 --exclude "*" --recursive --include "*20170718*" &amp; "%USERPROFILE%\Documents\GitHub\mrs-test-scripts\Headless Mode &amp; Sideloading\WalkAndUnGZ.bat" "%USERPROFILE%\AppData\Local\Temp\OnboardLogs"\RTDC4061\2017-07-18 &amp; aws s3 cp s3://rtdc.mdm.uploadarchive.raw/RTDC4061/ "%USERPROFILE%\AppData\Local\Temp\OnboardLogs"\RTDC4061\2017-07-19 --exclude "*" --recursive --include "*20170719*" &amp; "%USERPROFILE%\Documents\GitHub\mrs-test-scripts\Headless Mode &amp; Sideloading\WalkAndUnGZ.bat" "%USERPROFILE%\AppData\Local\Temp\OnboardLogs"\RTDC4061\2017-07-19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-07-18T06:38:14-0600',mode:absolute,to:'2017-07-18T09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1" s="86" t="str">
        <f t="shared" si="1"/>
        <v>"C:\Program Files (x86)\AstroGrep\AstroGrep.exe" /e /r /s /spath="%USERPROFILE%\AppData\Local\Temp\OnboardLogs" /stypes="*4061*201707181*"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4061</v>
      </c>
      <c r="V21" s="31">
        <f t="shared" si="3"/>
        <v>42934.598773148151</v>
      </c>
      <c r="W21" s="45" t="str">
        <f t="shared" si="4"/>
        <v>EC</v>
      </c>
      <c r="X21" s="22">
        <f t="shared" si="5"/>
        <v>126</v>
      </c>
      <c r="Y21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{"issue":{"subject":"","project_id":79,"tracker_id":40,"status_id":1,"priority_id":2,"assigned_to_id":23,"start_date":"2017-07-18","description":"","custom_fields":[{"id":1,"name":"Subdivision","value":"EC"},{"id":4,"name":"Milepost","value":"0.0001"},{"id":17,"name":"Train ID","value":"126-18"},{"id":16,"name":"Locomotive ID","value":"4061"},{"id":130,"name":"Impact","value":""},{"id":150,"name":"Time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/c/Users/stu/AppData/Local/Temp/OnboardLogs/RTDC4061 --include="*4061*201707181*"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"%USERPROFILE%\AppData\Local\Temp\OnboardLogs"\RTDC4061\*4061*201707181* &gt;&gt; 2017-07-18-SliceDisagreementCheck.txt</v>
      </c>
      <c r="AE21" s="145" t="str">
        <f t="shared" si="9"/>
        <v>start /low /b %USERPROFILE%\Documents\GitHub\eaglep3\Utilities\DownloadLogsFromS3.py --loco 4061 --day 2017-07-18</v>
      </c>
      <c r="AF21" s="1"/>
    </row>
    <row r="22" spans="1:32" x14ac:dyDescent="0.25">
      <c r="A22" s="31">
        <v>42934.534884259258</v>
      </c>
      <c r="B22" s="30" t="s">
        <v>418</v>
      </c>
      <c r="C22" s="30" t="s">
        <v>652</v>
      </c>
      <c r="D22" s="30" t="s">
        <v>49</v>
      </c>
      <c r="E22" s="30" t="s">
        <v>181</v>
      </c>
      <c r="F22" s="42">
        <v>0</v>
      </c>
      <c r="G22" s="42">
        <v>98</v>
      </c>
      <c r="H22" s="42">
        <v>274</v>
      </c>
      <c r="I22" s="42">
        <v>203</v>
      </c>
      <c r="J22" s="30" t="s">
        <v>182</v>
      </c>
      <c r="K22" s="42">
        <v>1</v>
      </c>
      <c r="L22" s="131" t="s">
        <v>51</v>
      </c>
      <c r="M22" s="132">
        <f t="shared" si="0"/>
        <v>106.65600000000001</v>
      </c>
      <c r="N22" s="133" t="str">
        <f>VLOOKUP(C22,'Trips&amp;Operators'!$C$1:$G$99999,5,FALSE)</f>
        <v>MOSES BRADLEY</v>
      </c>
      <c r="O22" s="203" t="s">
        <v>180</v>
      </c>
      <c r="P22" s="134"/>
      <c r="Q22" s="30"/>
      <c r="R22" s="81" t="str">
        <f>VLOOKUP(C22,'Train Runs'!$A$13:$AE$9925,31,0)</f>
        <v>aws s3 cp s3://rtdc.mdm.uploadarchive.raw/RTDC4007/ "%USERPROFILE%\AppData\Local\Temp\OnboardLogs"\RTDC4007\2017-07-18 --exclude "*" --recursive --include "*20170718*" &amp; "%USERPROFILE%\Documents\GitHub\mrs-test-scripts\Headless Mode &amp; Sideloading\WalkAndUnGZ.bat" "%USERPROFILE%\AppData\Local\Temp\OnboardLogs"\RTDC4007\2017-07-18 &amp; aws s3 cp s3://rtdc.mdm.uploadarchive.raw/RTDC4007/ "%USERPROFILE%\AppData\Local\Temp\OnboardLogs"\RTDC4007\2017-07-19 --exclude "*" --recursive --include "*20170719*" &amp; "%USERPROFILE%\Documents\GitHub\mrs-test-scripts\Headless Mode &amp; Sideloading\WalkAndUnGZ.bat" "%USERPROFILE%\AppData\Local\Temp\OnboardLogs"\RTDC4007\2017-07-19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-07-18T11:09:10-0600',mode:absolute,to:'2017-07-18T13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6" t="str">
        <f t="shared" si="1"/>
        <v>"C:\Program Files (x86)\AstroGrep\AstroGrep.exe" /e /r /s /spath="%USERPROFILE%\AppData\Local\Temp\OnboardLogs" /stypes="*4007*201707181*"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4007</v>
      </c>
      <c r="V22" s="31">
        <f t="shared" si="3"/>
        <v>42934.784884259258</v>
      </c>
      <c r="W22" s="45" t="str">
        <f t="shared" si="4"/>
        <v>EC</v>
      </c>
      <c r="X22" s="22">
        <f t="shared" si="5"/>
        <v>162</v>
      </c>
      <c r="Y22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{"issue":{"subject":"","project_id":79,"tracker_id":40,"status_id":1,"priority_id":2,"assigned_to_id":23,"start_date":"2017-07-18","description":"","custom_fields":[{"id":1,"name":"Subdivision","value":"EC"},{"id":4,"name":"Milepost","value":"0.0001"},{"id":17,"name":"Train ID","value":"162-18"},{"id":16,"name":"Locomotive ID","value":"4007"},{"id":130,"name":"Impact","value":""},{"id":150,"name":"Time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/c/Users/stu/AppData/Local/Temp/OnboardLogs/RTDC4007 --include="*4007*201707181*"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"%USERPROFILE%\AppData\Local\Temp\OnboardLogs"\RTDC4007\*4007*201707181* &gt;&gt; 2017-07-18-SliceDisagreementCheck.txt</v>
      </c>
      <c r="AE22" s="145" t="str">
        <f t="shared" si="9"/>
        <v>start /low /b %USERPROFILE%\Documents\GitHub\eaglep3\Utilities\DownloadLogsFromS3.py --loco 4007 --day 2017-07-18</v>
      </c>
      <c r="AF22" s="1"/>
    </row>
    <row r="23" spans="1:32" x14ac:dyDescent="0.25">
      <c r="A23" s="31">
        <v>42934.544675925928</v>
      </c>
      <c r="B23" s="30" t="s">
        <v>392</v>
      </c>
      <c r="C23" s="30" t="s">
        <v>653</v>
      </c>
      <c r="D23" s="30" t="s">
        <v>49</v>
      </c>
      <c r="E23" s="30" t="s">
        <v>181</v>
      </c>
      <c r="F23" s="42">
        <v>0</v>
      </c>
      <c r="G23" s="42">
        <v>47</v>
      </c>
      <c r="H23" s="42">
        <v>141</v>
      </c>
      <c r="I23" s="42">
        <v>90</v>
      </c>
      <c r="J23" s="30" t="s">
        <v>182</v>
      </c>
      <c r="K23" s="42">
        <v>1</v>
      </c>
      <c r="L23" s="131" t="s">
        <v>51</v>
      </c>
      <c r="M23" s="132">
        <f t="shared" si="0"/>
        <v>46.991999999999997</v>
      </c>
      <c r="N23" s="133" t="str">
        <f>VLOOKUP(C23,'Trips&amp;Operators'!$C$1:$G$99999,5,FALSE)</f>
        <v>PAGE MARCUS</v>
      </c>
      <c r="O23" s="203" t="s">
        <v>180</v>
      </c>
      <c r="P23" s="134"/>
      <c r="Q23" s="30"/>
      <c r="R23" s="81" t="str">
        <f>VLOOKUP(C23,'Train Runs'!$A$13:$AE$9925,31,0)</f>
        <v>aws s3 cp s3://rtdc.mdm.uploadarchive.raw/RTDC4001/ "%USERPROFILE%\AppData\Local\Temp\OnboardLogs"\RTDC4001\2017-07-18 --exclude "*" --recursive --include "*20170718*" &amp; "%USERPROFILE%\Documents\GitHub\mrs-test-scripts\Headless Mode &amp; Sideloading\WalkAndUnGZ.bat" "%USERPROFILE%\AppData\Local\Temp\OnboardLogs"\RTDC4001\2017-07-18 &amp; aws s3 cp s3://rtdc.mdm.uploadarchive.raw/RTDC4001/ "%USERPROFILE%\AppData\Local\Temp\OnboardLogs"\RTDC4001\2017-07-19 --exclude "*" --recursive --include "*20170719*" &amp; "%USERPROFILE%\Documents\GitHub\mrs-test-scripts\Headless Mode &amp; Sideloading\WalkAndUnGZ.bat" "%USERPROFILE%\AppData\Local\Temp\OnboardLogs"\RTDC4001\2017-07-19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-07-18T11:09:18-0600',mode:absolute,to:'2017-07-18T14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86" t="str">
        <f t="shared" si="1"/>
        <v>"C:\Program Files (x86)\AstroGrep\AstroGrep.exe" /e /r /s /spath="%USERPROFILE%\AppData\Local\Temp\OnboardLogs" /stypes="*4001*201707181*"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4001</v>
      </c>
      <c r="V23" s="31">
        <f t="shared" si="3"/>
        <v>42934.794675925928</v>
      </c>
      <c r="W23" s="45" t="str">
        <f t="shared" si="4"/>
        <v>EC</v>
      </c>
      <c r="X23" s="22">
        <f t="shared" si="5"/>
        <v>164</v>
      </c>
      <c r="Y23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{"issue":{"subject":"","project_id":79,"tracker_id":40,"status_id":1,"priority_id":2,"assigned_to_id":23,"start_date":"2017-07-18","description":"","custom_fields":[{"id":1,"name":"Subdivision","value":"EC"},{"id":4,"name":"Milepost","value":"0.0001"},{"id":17,"name":"Train ID","value":"164-18"},{"id":16,"name":"Locomotive ID","value":"4001"},{"id":130,"name":"Impact","value":""},{"id":150,"name":"Time of Event (Mountain Time)","value":"13:04:20"},{"id":151,"name":"Denver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/c/Users/stu/AppData/Local/Temp/OnboardLogs/RTDC4001 --include="*4001*201707181*"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"%USERPROFILE%\AppData\Local\Temp\OnboardLogs"\RTDC4001\*4001*201707181* &gt;&gt; 2017-07-18-SliceDisagreementCheck.txt</v>
      </c>
      <c r="AE23" s="145" t="str">
        <f t="shared" si="9"/>
        <v>start /low /b %USERPROFILE%\Documents\GitHub\eaglep3\Utilities\DownloadLogsFromS3.py --loco 4001 --day 2017-07-18</v>
      </c>
      <c r="AF23" s="1"/>
    </row>
    <row r="24" spans="1:32" x14ac:dyDescent="0.25">
      <c r="A24" s="31">
        <v>42934.795995370368</v>
      </c>
      <c r="B24" s="30" t="s">
        <v>636</v>
      </c>
      <c r="C24" s="30" t="s">
        <v>661</v>
      </c>
      <c r="D24" s="30" t="s">
        <v>49</v>
      </c>
      <c r="E24" s="30" t="s">
        <v>181</v>
      </c>
      <c r="F24" s="42">
        <v>0</v>
      </c>
      <c r="G24" s="42">
        <v>61</v>
      </c>
      <c r="H24" s="42">
        <v>191</v>
      </c>
      <c r="I24" s="42">
        <v>132</v>
      </c>
      <c r="J24" s="30" t="s">
        <v>182</v>
      </c>
      <c r="K24" s="42">
        <v>1</v>
      </c>
      <c r="L24" s="131" t="s">
        <v>51</v>
      </c>
      <c r="M24" s="132">
        <f t="shared" si="0"/>
        <v>69.168000000000006</v>
      </c>
      <c r="N24" s="133" t="str">
        <f>VLOOKUP(C24,'Trips&amp;Operators'!$C$1:$G$99999,5,FALSE)</f>
        <v>THOMPSON LESTER</v>
      </c>
      <c r="O24" s="203" t="s">
        <v>180</v>
      </c>
      <c r="P24" s="134"/>
      <c r="Q24" s="30"/>
      <c r="R24" s="81" t="str">
        <f>VLOOKUP(C24,'Train Runs'!$A$13:$AE$9925,31,0)</f>
        <v>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 &amp; 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-07-18T17:23:41-0600',mode:absolute,to:'2017-07-18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 t="shared" si="1"/>
        <v>"C:\Program Files (x86)\AstroGrep\AstroGrep.exe" /e /r /s /spath="%USERPROFILE%\AppData\Local\Temp\OnboardLogs" /stypes="*4063*201707190*" /stext=" 01:.+((SYSTEM_STATE.+slice.+state.+changed )|(ment ac)|(multiple cpu faults)|(system.+state.+changed )|(\[timeout)|(PRM\|1\|D)|(kpr)|(kdp)|(train st.+moving)|(\|lc)|(penalty))"</v>
      </c>
      <c r="U24" s="9" t="str">
        <f t="shared" si="2"/>
        <v>4063</v>
      </c>
      <c r="V24" s="31">
        <f t="shared" si="3"/>
        <v>42935.045995370368</v>
      </c>
      <c r="W24" s="45" t="str">
        <f t="shared" si="4"/>
        <v>EC</v>
      </c>
      <c r="X24" s="22">
        <f t="shared" si="5"/>
        <v>212</v>
      </c>
      <c r="Y24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{"issue":{"subject":"","project_id":79,"tracker_id":40,"status_id":1,"priority_id":2,"assigned_to_id":23,"start_date":"2017-07-18","description":"","custom_fields":[{"id":1,"name":"Subdivision","value":"EC"},{"id":4,"name":"Milepost","value":"0.0001"},{"id":17,"name":"Train ID","value":"212-18"},{"id":16,"name":"Locomotive ID","value":"4063"},{"id":130,"name":"Impact","value":""},{"id":150,"name":"Time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/c/Users/stu/AppData/Local/Temp/OnboardLogs/RTDC4063 --include="*4063*201707190*"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"%USERPROFILE%\AppData\Local\Temp\OnboardLogs"\RTDC4063\*4063*201707190* &gt;&gt; 2017-07-18-SliceDisagreementCheck.txt</v>
      </c>
      <c r="AE24" s="145" t="str">
        <f t="shared" si="9"/>
        <v>start /low /b %USERPROFILE%\Documents\GitHub\eaglep3\Utilities\DownloadLogsFromS3.py --loco 4063 --day 2017-07-19</v>
      </c>
      <c r="AF24" s="1"/>
    </row>
    <row r="25" spans="1:32" x14ac:dyDescent="0.25">
      <c r="A25" s="31">
        <v>42934.879201388889</v>
      </c>
      <c r="B25" s="30" t="s">
        <v>361</v>
      </c>
      <c r="C25" s="30" t="s">
        <v>664</v>
      </c>
      <c r="D25" s="30" t="s">
        <v>49</v>
      </c>
      <c r="E25" s="30" t="s">
        <v>181</v>
      </c>
      <c r="F25" s="42">
        <v>0</v>
      </c>
      <c r="G25" s="42">
        <v>35</v>
      </c>
      <c r="H25" s="42">
        <v>107</v>
      </c>
      <c r="I25" s="42">
        <v>87</v>
      </c>
      <c r="J25" s="30" t="s">
        <v>182</v>
      </c>
      <c r="K25" s="42">
        <v>1</v>
      </c>
      <c r="L25" s="131" t="s">
        <v>51</v>
      </c>
      <c r="M25" s="132">
        <f t="shared" si="0"/>
        <v>45.408000000000001</v>
      </c>
      <c r="N25" s="133" t="str">
        <f>VLOOKUP(C25,'Trips&amp;Operators'!$C$1:$G$99999,5,FALSE)</f>
        <v>CASSIDY BRANDON</v>
      </c>
      <c r="O25" s="203" t="s">
        <v>180</v>
      </c>
      <c r="P25" s="134"/>
      <c r="Q25" s="30"/>
      <c r="R25" s="81" t="str">
        <f>VLOOKUP(C25,'Train Runs'!$A$13:$AE$9925,31,0)</f>
        <v>aws s3 cp s3://rtdc.mdm.uploadarchive.raw/RTDC4013/ "%USERPROFILE%\AppData\Local\Temp\OnboardLogs"\RTDC4013\2017-07-18 --exclude "*" --recursive --include "*20170718*" &amp; "%USERPROFILE%\Documents\GitHub\mrs-test-scripts\Headless Mode &amp; Sideloading\WalkAndUnGZ.bat" "%USERPROFILE%\AppData\Local\Temp\OnboardLogs"\RTDC4013\2017-07-18 &amp; aws s3 cp s3://rtdc.mdm.uploadarchive.raw/RTDC4013/ "%USERPROFILE%\AppData\Local\Temp\OnboardLogs"\RTDC4013\2017-07-19 --exclude "*" --recursive --include "*20170719*" &amp; "%USERPROFILE%\Documents\GitHub\mrs-test-scripts\Headless Mode &amp; Sideloading\WalkAndUnGZ.bat" "%USERPROFILE%\AppData\Local\Temp\OnboardLogs"\RTDC4013\2017-07-19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-07-18T19:21:46-0600',mode:absolute,to:'2017-07-18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 t="shared" si="1"/>
        <v>"C:\Program Files (x86)\AstroGrep\AstroGrep.exe" /e /r /s /spath="%USERPROFILE%\AppData\Local\Temp\OnboardLogs" /stypes="*4013*201707190*" /stext=" 03:.+((SYSTEM_STATE.+slice.+state.+changed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42935.129201388889</v>
      </c>
      <c r="W25" s="45" t="str">
        <f t="shared" si="4"/>
        <v>EC</v>
      </c>
      <c r="X25" s="22">
        <f t="shared" si="5"/>
        <v>224</v>
      </c>
      <c r="Y25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{"issue":{"subject":"","project_id":79,"tracker_id":40,"status_id":1,"priority_id":2,"assigned_to_id":23,"start_date":"2017-07-18","description":"","custom_fields":[{"id":1,"name":"Subdivision","value":"EC"},{"id":4,"name":"Milepost","value":"0.0001"},{"id":17,"name":"Train ID","value":"224-18"},{"id":16,"name":"Locomotive ID","value":"4013"},{"id":130,"name":"Impact","value":""},{"id":150,"name":"Time of Event (Mountain Time)","value":"21:06:03"},{"id":151,"name":"Denver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/c/Users/stu/AppData/Local/Temp/OnboardLogs/RTDC4013 --include="*4013*201707190*"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"%USERPROFILE%\AppData\Local\Temp\OnboardLogs"\RTDC4013\*4013*201707190* &gt;&gt; 2017-07-18-SliceDisagreementCheck.txt</v>
      </c>
      <c r="AE25" s="145" t="str">
        <f t="shared" si="9"/>
        <v>start /low /b %USERPROFILE%\Documents\GitHub\eaglep3\Utilities\DownloadLogsFromS3.py --loco 4013 --day 2017-07-19</v>
      </c>
      <c r="AF25" s="1"/>
    </row>
    <row r="26" spans="1:32" x14ac:dyDescent="0.25">
      <c r="A26" s="31">
        <v>42934.514525462961</v>
      </c>
      <c r="B26" s="30" t="s">
        <v>540</v>
      </c>
      <c r="C26" s="30" t="s">
        <v>650</v>
      </c>
      <c r="D26" s="30" t="s">
        <v>49</v>
      </c>
      <c r="E26" s="30" t="s">
        <v>181</v>
      </c>
      <c r="F26" s="42">
        <v>0</v>
      </c>
      <c r="G26" s="42">
        <v>48</v>
      </c>
      <c r="H26" s="42">
        <v>233338</v>
      </c>
      <c r="I26" s="42">
        <v>233381</v>
      </c>
      <c r="J26" s="30" t="s">
        <v>182</v>
      </c>
      <c r="K26" s="42">
        <v>233491</v>
      </c>
      <c r="L26" s="131" t="s">
        <v>50</v>
      </c>
      <c r="M26" s="132">
        <f t="shared" si="0"/>
        <v>58.08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Runs'!$A$13:$AE$9925,31,0)</f>
        <v>aws s3 cp s3://rtdc.mdm.uploadarchive.raw/RTDC4026/ "%USERPROFILE%\AppData\Local\Temp\OnboardLogs"\RTDC4026\2017-07-18 --exclude "*" --recursive --include "*20170718*" &amp; "%USERPROFILE%\Documents\GitHub\mrs-test-scripts\Headless Mode &amp; Sideloading\WalkAndUnGZ.bat" "%USERPROFILE%\AppData\Local\Temp\OnboardLogs"\RTDC4026\2017-07-18 &amp; aws s3 cp s3://rtdc.mdm.uploadarchive.raw/RTDC4026/ "%USERPROFILE%\AppData\Local\Temp\OnboardLogs"\RTDC4026\2017-07-19 --exclude "*" --recursive --include "*20170719*" &amp; "%USERPROFILE%\Documents\GitHub\mrs-test-scripts\Headless Mode &amp; Sideloading\WalkAndUnGZ.bat" "%USERPROFILE%\AppData\Local\Temp\OnboardLogs"\RTDC4026\2017-07-19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-07-18T10:41:37-0600',mode:absolute,to:'2017-07-18T13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 t="shared" si="1"/>
        <v>"C:\Program Files (x86)\AstroGrep\AstroGrep.exe" /e /r /s /spath="%USERPROFILE%\AppData\Local\Temp\OnboardLogs" /stypes="*4026*201707181*"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42934.764525462961</v>
      </c>
      <c r="W26" s="45" t="str">
        <f t="shared" si="4"/>
        <v>EC</v>
      </c>
      <c r="X26" s="22">
        <f t="shared" si="5"/>
        <v>165</v>
      </c>
      <c r="Y26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{"issue":{"subject":"","project_id":79,"tracker_id":40,"status_id":1,"priority_id":2,"assigned_to_id":23,"start_date":"2017-07-18","description":"","custom_fields":[{"id":1,"name":"Subdivision","value":"EC"},{"id":4,"name":"Milepost","value":"23.3491"},{"id":17,"name":"Train ID","value":"165-18"},{"id":16,"name":"Locomotive ID","value":"4026"},{"id":130,"name":"Impact","value":""},{"id":150,"name":"Time of Event (Mountain Time)","value":"12:20:55"},{"id":151,"name":"Denver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/c/Users/stu/AppData/Local/Temp/OnboardLogs/RTDC4026 --include="*4026*201707181*"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"%USERPROFILE%\AppData\Local\Temp\OnboardLogs"\RTDC4026\*4026*201707181* &gt;&gt; 2017-07-18-SliceDisagreementCheck.txt</v>
      </c>
      <c r="AE26" s="145" t="str">
        <f t="shared" si="9"/>
        <v>start /low /b %USERPROFILE%\Documents\GitHub\eaglep3\Utilities\DownloadLogsFromS3.py --loco 4026 --day 2017-07-18</v>
      </c>
      <c r="AF26" s="1"/>
    </row>
    <row r="27" spans="1:32" s="20" customFormat="1" x14ac:dyDescent="0.25">
      <c r="A27" s="31">
        <v>42934.755856481483</v>
      </c>
      <c r="B27" s="30" t="s">
        <v>515</v>
      </c>
      <c r="C27" s="30" t="s">
        <v>660</v>
      </c>
      <c r="D27" s="30" t="s">
        <v>49</v>
      </c>
      <c r="E27" s="30" t="s">
        <v>181</v>
      </c>
      <c r="F27" s="42">
        <v>0</v>
      </c>
      <c r="G27" s="42">
        <v>59</v>
      </c>
      <c r="H27" s="42">
        <v>233293</v>
      </c>
      <c r="I27" s="42">
        <v>233339</v>
      </c>
      <c r="J27" s="30" t="s">
        <v>182</v>
      </c>
      <c r="K27" s="42">
        <v>233491</v>
      </c>
      <c r="L27" s="131" t="s">
        <v>50</v>
      </c>
      <c r="M27" s="132">
        <f t="shared" si="0"/>
        <v>80.256</v>
      </c>
      <c r="N27" s="133" t="str">
        <f>VLOOKUP(C27,'Trips&amp;Operators'!$C$1:$G$99999,5,FALSE)</f>
        <v>THOMPSON LESTER</v>
      </c>
      <c r="O27" s="203" t="s">
        <v>180</v>
      </c>
      <c r="P27" s="134"/>
      <c r="Q27" s="30"/>
      <c r="R27" s="81" t="str">
        <f>VLOOKUP(C27,'Train Runs'!$A$13:$AE$9925,31,0)</f>
        <v>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 &amp; 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-07-18T16:27:31-0600',mode:absolute,to:'2017-07-18T19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7" s="86" t="str">
        <f t="shared" si="1"/>
        <v>"C:\Program Files (x86)\AstroGrep\AstroGrep.exe" /e /r /s /spath="%USERPROFILE%\AppData\Local\Temp\OnboardLogs" /stypes="*4064*201707190*"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4064</v>
      </c>
      <c r="V27" s="31">
        <f t="shared" si="3"/>
        <v>42935.005856481483</v>
      </c>
      <c r="W27" s="45" t="str">
        <f t="shared" si="4"/>
        <v>EC</v>
      </c>
      <c r="X27" s="22">
        <f t="shared" si="5"/>
        <v>211</v>
      </c>
      <c r="Y27" s="96" t="str">
        <f t="shared" si="6"/>
        <v>echo {"issue":{"subject":"","project_id":79,"tracker_id":40,"status_id":1,"priority_id":2,"assigned_to_id":23,"start_date":"2017-07-18","description":"","custom_fields":[{"id":1,"name":"Subdivision","value":"EC"},{"id":4,"name":"Milepost","value":"23.3491"},{"id":17,"name":"Train ID","value":"211-18"},{"id":16,"name":"Locomotive ID","value":"4064"},{"id":130,"name":"Impact","value":""},{"id":150,"name":"Time of Event (Mountain Time)","value":"18:08:26"},{"id":151,"name":"Denver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/c/Users/stu/AppData/Local/Temp/OnboardLogs/RTDC4064 --include="*4064*201707190*"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"%USERPROFILE%\AppData\Local\Temp\OnboardLogs"\RTDC4064\*4064*201707190* &gt;&gt; 2017-07-18-SliceDisagreementCheck.txt</v>
      </c>
      <c r="AE27" s="145" t="str">
        <f t="shared" si="9"/>
        <v>start /low /b %USERPROFILE%\Documents\GitHub\eaglep3\Utilities\DownloadLogsFromS3.py --loco 4064 --day 2017-07-19</v>
      </c>
      <c r="AF27" s="1"/>
    </row>
    <row r="28" spans="1:32" x14ac:dyDescent="0.25">
      <c r="A28" s="31">
        <v>42934.289490740739</v>
      </c>
      <c r="B28" s="30" t="s">
        <v>630</v>
      </c>
      <c r="C28" s="30" t="s">
        <v>641</v>
      </c>
      <c r="D28" s="30" t="s">
        <v>49</v>
      </c>
      <c r="E28" s="30" t="s">
        <v>197</v>
      </c>
      <c r="F28" s="42">
        <v>300</v>
      </c>
      <c r="G28" s="42">
        <v>354</v>
      </c>
      <c r="H28" s="42">
        <v>20542</v>
      </c>
      <c r="I28" s="42">
        <v>21670</v>
      </c>
      <c r="J28" s="30" t="s">
        <v>198</v>
      </c>
      <c r="K28" s="42">
        <v>21299</v>
      </c>
      <c r="L28" s="131" t="s">
        <v>50</v>
      </c>
      <c r="M28" s="132">
        <f t="shared" si="0"/>
        <v>-195.88800000000001</v>
      </c>
      <c r="N28" s="133" t="str">
        <f>VLOOKUP(C28,'Trips&amp;Operators'!$C$1:$G$99999,5,FALSE)</f>
        <v>LANGERAK WILLIAM</v>
      </c>
      <c r="O28" s="203" t="s">
        <v>180</v>
      </c>
      <c r="P28" s="134"/>
      <c r="Q28" s="30"/>
      <c r="R28" s="81" t="str">
        <f>VLOOKUP(C28,'Train Runs'!$A$13:$AE$9925,31,0)</f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-07-18T05:45:55-0600',mode:absolute,to:'2017-07-18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8" s="86" t="str">
        <f t="shared" si="1"/>
        <v>"C:\Program Files (x86)\AstroGrep\AstroGrep.exe" /e /r /s /spath="%USERPROFILE%\AppData\Local\Temp\OnboardLogs" /stypes="*4050*201707181*"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4050</v>
      </c>
      <c r="V28" s="31">
        <f t="shared" si="3"/>
        <v>42934.539490740739</v>
      </c>
      <c r="W28" s="45" t="str">
        <f t="shared" si="4"/>
        <v>NW</v>
      </c>
      <c r="X28" s="22">
        <f t="shared" si="5"/>
        <v>805</v>
      </c>
      <c r="Y28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{"issue":{"subject":"","project_id":79,"tracker_id":40,"status_id":1,"priority_id":2,"assigned_to_id":23,"start_date":"2017-07-18","description":"","custom_fields":[{"id":1,"name":"Subdivision","value":"NW"},{"id":4,"name":"Milepost","value":"2.1299"},{"id":17,"name":"Train ID","value":"805-18"},{"id":16,"name":"Locomotive ID","value":"4050"},{"id":130,"name":"Impact","value":""},{"id":150,"name":"Time of Event (Mountain Time)","value":"06:56:52"},{"id":151,"name":"Denver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/c/Users/stu/AppData/Local/Temp/OnboardLogs/RTDC4050 --include="*4050*201707181*"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"%USERPROFILE%\AppData\Local\Temp\OnboardLogs"\RTDC4050\*4050*201707181* &gt;&gt; 2017-07-18-SliceDisagreementCheck.txt</v>
      </c>
      <c r="AE28" s="145" t="str">
        <f t="shared" si="9"/>
        <v>start /low /b %USERPROFILE%\Documents\GitHub\eaglep3\Utilities\DownloadLogsFromS3.py --loco 4050 --day 2017-07-18</v>
      </c>
      <c r="AF28" s="1"/>
    </row>
    <row r="29" spans="1:32" x14ac:dyDescent="0.25">
      <c r="A29" s="31">
        <v>42934.533506944441</v>
      </c>
      <c r="B29" s="30" t="s">
        <v>477</v>
      </c>
      <c r="C29" s="30" t="s">
        <v>651</v>
      </c>
      <c r="D29" s="30" t="s">
        <v>49</v>
      </c>
      <c r="E29" s="30" t="s">
        <v>197</v>
      </c>
      <c r="F29" s="42">
        <v>300</v>
      </c>
      <c r="G29" s="42">
        <v>598</v>
      </c>
      <c r="H29" s="42">
        <v>26913</v>
      </c>
      <c r="I29" s="42">
        <v>24849</v>
      </c>
      <c r="J29" s="30" t="s">
        <v>198</v>
      </c>
      <c r="K29" s="42">
        <v>23561</v>
      </c>
      <c r="L29" s="131" t="s">
        <v>51</v>
      </c>
      <c r="M29" s="132">
        <f t="shared" si="0"/>
        <v>680.06399999999996</v>
      </c>
      <c r="N29" s="133" t="str">
        <f>VLOOKUP(C29,'Trips&amp;Operators'!$C$1:$G$99999,5,FALSE)</f>
        <v>YANG JAN</v>
      </c>
      <c r="O29" s="203" t="s">
        <v>180</v>
      </c>
      <c r="P29" s="134"/>
      <c r="Q29" s="30"/>
      <c r="R29" s="81" t="str">
        <f>VLOOKUP(C29,'Train Runs'!$A$13:$AE$9925,31,0)</f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-07-18T11:37:22-0600',mode:absolute,to:'2017-07-18T13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9" s="86" t="str">
        <f t="shared" si="1"/>
        <v>"C:\Program Files (x86)\AstroGrep\AstroGrep.exe" /e /r /s /spath="%USERPROFILE%\AppData\Local\Temp\OnboardLogs" /stypes="*4023*201707181*" /stext=" 18:.+((SYSTEM_STATE.+slice.+state.+changed )|(ment ac)|(multiple cpu faults)|(system.+state.+changed )|(\[timeout)|(PRM\|1\|D)|(kpr)|(kdp)|(train st.+moving)|(\|lc)|(penalty))"</v>
      </c>
      <c r="U29" s="9" t="str">
        <f t="shared" si="2"/>
        <v>4023</v>
      </c>
      <c r="V29" s="31">
        <f t="shared" si="3"/>
        <v>42934.783506944441</v>
      </c>
      <c r="W29" s="45" t="str">
        <f t="shared" si="4"/>
        <v>NW</v>
      </c>
      <c r="X29" s="22">
        <f t="shared" si="5"/>
        <v>820</v>
      </c>
      <c r="Y29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{"issue":{"subject":"","project_id":79,"tracker_id":40,"status_id":1,"priority_id":2,"assigned_to_id":23,"start_date":"2017-07-18","description":"","custom_fields":[{"id":1,"name":"Subdivision","value":"NW"},{"id":4,"name":"Milepost","value":"2.3561"},{"id":17,"name":"Train ID","value":"820-18"},{"id":16,"name":"Locomotive ID","value":"4023"},{"id":130,"name":"Impact","value":""},{"id":150,"name":"Time of Event (Mountain Time)","value":"12:48:15"},{"id":151,"name":"Denver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/c/Users/stu/AppData/Local/Temp/OnboardLogs/RTDC4023 --include="*4023*201707181*"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"%USERPROFILE%\AppData\Local\Temp\OnboardLogs"\RTDC4023\*4023*201707181* &gt;&gt; 2017-07-18-SliceDisagreementCheck.txt</v>
      </c>
      <c r="AE29" s="145" t="str">
        <f t="shared" si="9"/>
        <v>start /low /b %USERPROFILE%\Documents\GitHub\eaglep3\Utilities\DownloadLogsFromS3.py --loco 4023 --day 2017-07-18</v>
      </c>
      <c r="AF29" s="1"/>
    </row>
    <row r="30" spans="1:32" x14ac:dyDescent="0.25">
      <c r="A30" s="31">
        <v>42934.721215277779</v>
      </c>
      <c r="B30" s="30" t="s">
        <v>632</v>
      </c>
      <c r="C30" s="30" t="s">
        <v>657</v>
      </c>
      <c r="D30" s="30" t="s">
        <v>49</v>
      </c>
      <c r="E30" s="30" t="s">
        <v>197</v>
      </c>
      <c r="F30" s="42">
        <v>300</v>
      </c>
      <c r="G30" s="42">
        <v>381</v>
      </c>
      <c r="H30" s="42">
        <v>24227</v>
      </c>
      <c r="I30" s="42">
        <v>23129</v>
      </c>
      <c r="J30" s="30" t="s">
        <v>198</v>
      </c>
      <c r="K30" s="42">
        <v>23561</v>
      </c>
      <c r="L30" s="131" t="s">
        <v>51</v>
      </c>
      <c r="M30" s="132">
        <f t="shared" si="0"/>
        <v>-228.096</v>
      </c>
      <c r="N30" s="133" t="str">
        <f>VLOOKUP(C30,'Trips&amp;Operators'!$C$1:$G$99999,5,FALSE)</f>
        <v>BIRKHOLZ NADINE</v>
      </c>
      <c r="O30" s="203" t="s">
        <v>180</v>
      </c>
      <c r="P30" s="134"/>
      <c r="Q30" s="30"/>
      <c r="R30" s="81" t="str">
        <f>VLOOKUP(C30,'Train Runs'!$A$13:$AE$9925,31,0)</f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-07-18T16:06:41-0600',mode:absolute,to:'2017-07-18T18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0" s="86" t="str">
        <f t="shared" si="1"/>
        <v>"C:\Program Files (x86)\AstroGrep\AstroGrep.exe" /e /r /s /spath="%USERPROFILE%\AppData\Local\Temp\OnboardLogs" /stypes="*4049*201707182*"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4049</v>
      </c>
      <c r="V30" s="31">
        <f t="shared" si="3"/>
        <v>42934.971215277779</v>
      </c>
      <c r="W30" s="45" t="str">
        <f t="shared" si="4"/>
        <v>NW</v>
      </c>
      <c r="X30" s="22">
        <f t="shared" si="5"/>
        <v>832</v>
      </c>
      <c r="Y30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{"issue":{"subject":"","project_id":79,"tracker_id":40,"status_id":1,"priority_id":2,"assigned_to_id":23,"start_date":"2017-07-18","description":"","custom_fields":[{"id":1,"name":"Subdivision","value":"NW"},{"id":4,"name":"Milepost","value":"2.3561"},{"id":17,"name":"Train ID","value":"832-18"},{"id":16,"name":"Locomotive ID","value":"4049"},{"id":130,"name":"Impact","value":""},{"id":150,"name":"Time of Event (Mountain Time)","value":"17:18:33"},{"id":151,"name":"Denver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/c/Users/stu/AppData/Local/Temp/OnboardLogs/RTDC4049 --include="*4049*201707182*"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"%USERPROFILE%\AppData\Local\Temp\OnboardLogs"\RTDC4049\*4049*201707182* &gt;&gt; 2017-07-18-SliceDisagreementCheck.txt</v>
      </c>
      <c r="AE30" s="145" t="str">
        <f t="shared" si="9"/>
        <v>start /low /b %USERPROFILE%\Documents\GitHub\eaglep3\Utilities\DownloadLogsFromS3.py --loco 4049 --day 2017-07-18</v>
      </c>
      <c r="AF30" s="1"/>
    </row>
    <row r="31" spans="1:32" x14ac:dyDescent="0.25">
      <c r="A31" s="31">
        <v>42934.708391203705</v>
      </c>
      <c r="B31" s="30" t="s">
        <v>630</v>
      </c>
      <c r="C31" s="30" t="s">
        <v>656</v>
      </c>
      <c r="D31" s="30" t="s">
        <v>49</v>
      </c>
      <c r="E31" s="30" t="s">
        <v>197</v>
      </c>
      <c r="F31" s="42">
        <v>400</v>
      </c>
      <c r="G31" s="42">
        <v>462</v>
      </c>
      <c r="H31" s="42">
        <v>46994</v>
      </c>
      <c r="I31" s="42">
        <v>48325</v>
      </c>
      <c r="J31" s="30" t="s">
        <v>198</v>
      </c>
      <c r="K31" s="42">
        <v>47810</v>
      </c>
      <c r="L31" s="131" t="s">
        <v>50</v>
      </c>
      <c r="M31" s="132">
        <f t="shared" si="0"/>
        <v>-271.92</v>
      </c>
      <c r="N31" s="133" t="str">
        <f>VLOOKUP(C31,'Trips&amp;Operators'!$C$1:$G$99999,5,FALSE)</f>
        <v>BIRKHOLZ NADINE</v>
      </c>
      <c r="O31" s="203" t="s">
        <v>180</v>
      </c>
      <c r="P31" s="134"/>
      <c r="Q31" s="30"/>
      <c r="R31" s="81" t="str">
        <f>VLOOKUP(C31,'Train Runs'!$A$13:$AE$9925,31,0)</f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-07-18T15:38:27-0600',mode:absolute,to:'2017-07-18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1" s="86" t="str">
        <f t="shared" si="1"/>
        <v>"C:\Program Files (x86)\AstroGrep\AstroGrep.exe" /e /r /s /spath="%USERPROFILE%\AppData\Local\Temp\OnboardLogs" /stypes="*4050*201707182*"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4050</v>
      </c>
      <c r="V31" s="31">
        <f t="shared" si="3"/>
        <v>42934.958391203705</v>
      </c>
      <c r="W31" s="45" t="str">
        <f t="shared" si="4"/>
        <v>NW</v>
      </c>
      <c r="X31" s="22">
        <f t="shared" si="5"/>
        <v>831</v>
      </c>
      <c r="Y31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{"issue":{"subject":"","project_id":79,"tracker_id":40,"status_id":1,"priority_id":2,"assigned_to_id":23,"start_date":"2017-07-18","description":"","custom_fields":[{"id":1,"name":"Subdivision","value":"NW"},{"id":4,"name":"Milepost","value":"4.781"},{"id":17,"name":"Train ID","value":"831-18"},{"id":16,"name":"Locomotive ID","value":"4050"},{"id":130,"name":"Impact","value":""},{"id":150,"name":"Time of Event (Mountain Time)","value":"17:00:05"},{"id":151,"name":"Denver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/c/Users/stu/AppData/Local/Temp/OnboardLogs/RTDC4050 --include="*4050*201707182*"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"%USERPROFILE%\AppData\Local\Temp\OnboardLogs"\RTDC4050\*4050*201707182* &gt;&gt; 2017-07-18-SliceDisagreementCheck.txt</v>
      </c>
      <c r="AE31" s="145" t="str">
        <f t="shared" si="9"/>
        <v>start /low /b %USERPROFILE%\Documents\GitHub\eaglep3\Utilities\DownloadLogsFromS3.py --loco 4050 --day 2017-07-18</v>
      </c>
      <c r="AF31" s="1"/>
    </row>
    <row r="32" spans="1:32" x14ac:dyDescent="0.25">
      <c r="A32" s="31">
        <v>42934.214421296296</v>
      </c>
      <c r="B32" s="30" t="s">
        <v>632</v>
      </c>
      <c r="C32" s="30" t="s">
        <v>633</v>
      </c>
      <c r="D32" s="30" t="s">
        <v>96</v>
      </c>
      <c r="E32" s="30" t="s">
        <v>356</v>
      </c>
      <c r="F32" s="42">
        <v>0</v>
      </c>
      <c r="G32" s="42">
        <v>43</v>
      </c>
      <c r="H32" s="42">
        <v>58413</v>
      </c>
      <c r="I32" s="42">
        <v>58335</v>
      </c>
      <c r="J32" s="30" t="s">
        <v>357</v>
      </c>
      <c r="K32" s="42">
        <v>58472</v>
      </c>
      <c r="L32" s="131" t="s">
        <v>51</v>
      </c>
      <c r="M32" s="132">
        <f t="shared" si="0"/>
        <v>-72.335999999999999</v>
      </c>
      <c r="N32" s="133" t="str">
        <f>VLOOKUP(C32,'Trips&amp;Operators'!$C$1:$G$99999,5,FALSE)</f>
        <v>LANGERAK WILLIAM</v>
      </c>
      <c r="O32" s="203" t="s">
        <v>439</v>
      </c>
      <c r="P32" s="134" t="s">
        <v>1066</v>
      </c>
      <c r="Q32" s="30"/>
      <c r="R32" s="81" t="str">
        <f>VLOOKUP(C32,'Train Runs'!$A$13:$AE$9925,31,0)</f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-07-18T04:11:39-0600',mode:absolute,to:'2017-07-18T06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2" s="86" t="str">
        <f t="shared" si="1"/>
        <v>"C:\Program Files (x86)\AstroGrep\AstroGrep.exe" /e /r /s /spath="%USERPROFILE%\AppData\Local\Temp\OnboardLogs" /stypes="*4049*201707181*" /stext=" 11:.+((SYSTEM_STATE.+slice.+state.+changed )|(ment ac)|(multiple cpu faults)|(system.+state.+changed )|(\[timeout)|(PRM\|1\|D)|(kpr)|(kdp)|(train st.+moving)|(\|lc)|(penalty))"</v>
      </c>
      <c r="U32" s="9" t="str">
        <f t="shared" si="2"/>
        <v>4049</v>
      </c>
      <c r="V32" s="31">
        <f t="shared" si="3"/>
        <v>42934.464421296296</v>
      </c>
      <c r="W32" s="45" t="str">
        <f t="shared" si="4"/>
        <v>NW</v>
      </c>
      <c r="X32" s="22">
        <f t="shared" si="5"/>
        <v>800</v>
      </c>
      <c r="Y32" s="96" t="str">
        <f t="shared" si="6"/>
        <v>echo {"issue":{"subject":"Westminster ELXS failure","project_id":79,"tracker_id":40,"status_id":1,"priority_id":2,"assigned_to_id":23,"start_date":"2017-07-18","description":"","custom_fields":[{"id":1,"name":"Subdivision","value":"NW"},{"id":4,"name":"Milepost","value":"5.8472"},{"id":17,"name":"Train ID","value":"800-18"},{"id":16,"name":"Locomotive ID","value":"4049"},{"id":130,"name":"Impact","value":""},{"id":150,"name":"Time of Event (Mountain Time)","value":"05:08:46"},{"id":151,"name":"Denver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/c/Users/stu/AppData/Local/Temp/OnboardLogs/RTDC4049 --include="*4049*201707181*"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"%USERPROFILE%\AppData\Local\Temp\OnboardLogs"\RTDC4049\*4049*201707181* &gt;&gt; 2017-07-18-SliceDisagreementCheck.txt</v>
      </c>
      <c r="AE32" s="145" t="str">
        <f t="shared" si="9"/>
        <v>start /low /b %USERPROFILE%\Documents\GitHub\eaglep3\Utilities\DownloadLogsFromS3.py --loco 4049 --day 2017-07-18</v>
      </c>
      <c r="AF32" s="1"/>
    </row>
    <row r="33" spans="1:32" x14ac:dyDescent="0.25">
      <c r="A33" s="31">
        <v>42934.256192129629</v>
      </c>
      <c r="B33" s="30" t="s">
        <v>632</v>
      </c>
      <c r="C33" s="30" t="s">
        <v>634</v>
      </c>
      <c r="D33" s="30" t="s">
        <v>96</v>
      </c>
      <c r="E33" s="30" t="s">
        <v>356</v>
      </c>
      <c r="F33" s="42">
        <v>0</v>
      </c>
      <c r="G33" s="42">
        <v>51</v>
      </c>
      <c r="H33" s="42">
        <v>58401</v>
      </c>
      <c r="I33" s="42">
        <v>58375</v>
      </c>
      <c r="J33" s="30" t="s">
        <v>357</v>
      </c>
      <c r="K33" s="42">
        <v>58472</v>
      </c>
      <c r="L33" s="131" t="s">
        <v>51</v>
      </c>
      <c r="M33" s="132">
        <f t="shared" si="0"/>
        <v>-51.216000000000001</v>
      </c>
      <c r="N33" s="133" t="str">
        <f>VLOOKUP(C33,'Trips&amp;Operators'!$C$1:$G$99999,5,FALSE)</f>
        <v>LANGERAK WILLIAM</v>
      </c>
      <c r="O33" s="203" t="s">
        <v>439</v>
      </c>
      <c r="P33" s="134" t="s">
        <v>1066</v>
      </c>
      <c r="Q33" s="30"/>
      <c r="R33" s="81" t="str">
        <f>VLOOKUP(C33,'Train Runs'!$A$13:$AE$9925,31,0)</f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-07-18T05:12:29-0600',mode:absolute,to:'2017-07-18T07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3" s="86" t="str">
        <f t="shared" si="1"/>
        <v>"C:\Program Files (x86)\AstroGrep\AstroGrep.exe" /e /r /s /spath="%USERPROFILE%\AppData\Local\Temp\OnboardLogs" /stypes="*4049*201707181*" /stext=" 12:.+((SYSTEM_STATE.+slice.+state.+changed )|(ment ac)|(multiple cpu faults)|(system.+state.+changed )|(\[timeout)|(PRM\|1\|D)|(kpr)|(kdp)|(train st.+moving)|(\|lc)|(penalty))"</v>
      </c>
      <c r="U33" s="9" t="str">
        <f t="shared" si="2"/>
        <v>4049</v>
      </c>
      <c r="V33" s="31">
        <f t="shared" si="3"/>
        <v>42934.506192129629</v>
      </c>
      <c r="W33" s="45" t="str">
        <f t="shared" si="4"/>
        <v>NW</v>
      </c>
      <c r="X33" s="22">
        <f t="shared" si="5"/>
        <v>802</v>
      </c>
      <c r="Y33" s="96" t="str">
        <f t="shared" si="6"/>
        <v>echo {"issue":{"subject":"Westminster ELXS failure","project_id":79,"tracker_id":40,"status_id":1,"priority_id":2,"assigned_to_id":23,"start_date":"2017-07-18","description":"","custom_fields":[{"id":1,"name":"Subdivision","value":"NW"},{"id":4,"name":"Milepost","value":"5.8472"},{"id":17,"name":"Train ID","value":"802-18"},{"id":16,"name":"Locomotive ID","value":"4049"},{"id":130,"name":"Impact","value":""},{"id":150,"name":"Time of Event (Mountain Time)","value":"06:08:55"},{"id":151,"name":"Denver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/c/Users/stu/AppData/Local/Temp/OnboardLogs/RTDC4049 --include="*4049*201707181*"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"%USERPROFILE%\AppData\Local\Temp\OnboardLogs"\RTDC4049\*4049*201707181* &gt;&gt; 2017-07-18-SliceDisagreementCheck.txt</v>
      </c>
      <c r="AE33" s="145" t="str">
        <f t="shared" si="9"/>
        <v>start /low /b %USERPROFILE%\Documents\GitHub\eaglep3\Utilities\DownloadLogsFromS3.py --loco 4049 --day 2017-07-18</v>
      </c>
      <c r="AF33" s="1"/>
    </row>
    <row r="34" spans="1:32" x14ac:dyDescent="0.25">
      <c r="A34" s="31">
        <v>42934.278460648151</v>
      </c>
      <c r="B34" s="30" t="s">
        <v>477</v>
      </c>
      <c r="C34" s="30" t="s">
        <v>640</v>
      </c>
      <c r="D34" s="30" t="s">
        <v>96</v>
      </c>
      <c r="E34" s="30" t="s">
        <v>356</v>
      </c>
      <c r="F34" s="42">
        <v>0</v>
      </c>
      <c r="G34" s="42">
        <v>31</v>
      </c>
      <c r="H34" s="42">
        <v>58366</v>
      </c>
      <c r="I34" s="42">
        <v>58329</v>
      </c>
      <c r="J34" s="30" t="s">
        <v>357</v>
      </c>
      <c r="K34" s="42">
        <v>58472</v>
      </c>
      <c r="L34" s="131" t="s">
        <v>51</v>
      </c>
      <c r="M34" s="132">
        <f t="shared" si="0"/>
        <v>-75.504000000000005</v>
      </c>
      <c r="N34" s="133" t="str">
        <f>VLOOKUP(C34,'Trips&amp;Operators'!$C$1:$G$99999,5,FALSE)</f>
        <v>YANG JAN</v>
      </c>
      <c r="O34" s="203" t="s">
        <v>439</v>
      </c>
      <c r="P34" s="134" t="s">
        <v>1066</v>
      </c>
      <c r="Q34" s="30"/>
      <c r="R34" s="81" t="str">
        <f>VLOOKUP(C34,'Train Runs'!$A$13:$AE$9925,31,0)</f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-07-18T05:42:47-0600',mode:absolute,to:'2017-07-18T07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 t="shared" si="1"/>
        <v>"C:\Program Files (x86)\AstroGrep\AstroGrep.exe" /e /r /s /spath="%USERPROFILE%\AppData\Local\Temp\OnboardLogs" /stypes="*4023*201707181*"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4023</v>
      </c>
      <c r="V34" s="31">
        <f t="shared" si="3"/>
        <v>42934.528460648151</v>
      </c>
      <c r="W34" s="45" t="str">
        <f t="shared" si="4"/>
        <v>NW</v>
      </c>
      <c r="X34" s="22">
        <f t="shared" si="5"/>
        <v>804</v>
      </c>
      <c r="Y34" s="96" t="str">
        <f t="shared" si="6"/>
        <v>echo {"issue":{"subject":"Westminster ELXS failure","project_id":79,"tracker_id":40,"status_id":1,"priority_id":2,"assigned_to_id":23,"start_date":"2017-07-18","description":"","custom_fields":[{"id":1,"name":"Subdivision","value":"NW"},{"id":4,"name":"Milepost","value":"5.8472"},{"id":17,"name":"Train ID","value":"804-18"},{"id":16,"name":"Locomotive ID","value":"4023"},{"id":130,"name":"Impact","value":""},{"id":150,"name":"Time of Event (Mountain Time)","value":"06:40:59"},{"id":151,"name":"Denver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/c/Users/stu/AppData/Local/Temp/OnboardLogs/RTDC4023 --include="*4023*201707181*"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"%USERPROFILE%\AppData\Local\Temp\OnboardLogs"\RTDC4023\*4023*201707181* &gt;&gt; 2017-07-18-SliceDisagreementCheck.txt</v>
      </c>
      <c r="AE34" s="145" t="str">
        <f t="shared" si="9"/>
        <v>start /low /b %USERPROFILE%\Documents\GitHub\eaglep3\Utilities\DownloadLogsFromS3.py --loco 4023 --day 2017-07-18</v>
      </c>
      <c r="AF34" s="1"/>
    </row>
    <row r="35" spans="1:32" x14ac:dyDescent="0.25">
      <c r="A35" s="31">
        <v>42934.319918981484</v>
      </c>
      <c r="B35" s="30" t="s">
        <v>477</v>
      </c>
      <c r="C35" s="30" t="s">
        <v>642</v>
      </c>
      <c r="D35" s="30" t="s">
        <v>96</v>
      </c>
      <c r="E35" s="30" t="s">
        <v>356</v>
      </c>
      <c r="F35" s="42">
        <v>0</v>
      </c>
      <c r="G35" s="42">
        <v>34</v>
      </c>
      <c r="H35" s="42">
        <v>58351</v>
      </c>
      <c r="I35" s="42">
        <v>58342</v>
      </c>
      <c r="J35" s="30" t="s">
        <v>357</v>
      </c>
      <c r="K35" s="42">
        <v>58472</v>
      </c>
      <c r="L35" s="131" t="s">
        <v>51</v>
      </c>
      <c r="M35" s="132">
        <f t="shared" si="0"/>
        <v>-68.64</v>
      </c>
      <c r="N35" s="133" t="str">
        <f>VLOOKUP(C35,'Trips&amp;Operators'!$C$1:$G$99999,5,FALSE)</f>
        <v>YANG JAN</v>
      </c>
      <c r="O35" s="203" t="s">
        <v>439</v>
      </c>
      <c r="P35" s="134" t="s">
        <v>1066</v>
      </c>
      <c r="Q35" s="30"/>
      <c r="R35" s="81" t="str">
        <f>VLOOKUP(C35,'Train Runs'!$A$13:$AE$9925,31,0)</f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-07-18T06:42:18-0600',mode:absolute,to:'2017-07-18T08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86" t="str">
        <f t="shared" si="1"/>
        <v>"C:\Program Files (x86)\AstroGrep\AstroGrep.exe" /e /r /s /spath="%USERPROFILE%\AppData\Local\Temp\OnboardLogs" /stypes="*4023*201707181*"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4023</v>
      </c>
      <c r="V35" s="31">
        <f t="shared" si="3"/>
        <v>42934.569918981484</v>
      </c>
      <c r="W35" s="45" t="str">
        <f t="shared" si="4"/>
        <v>NW</v>
      </c>
      <c r="X35" s="22">
        <f t="shared" si="5"/>
        <v>808</v>
      </c>
      <c r="Y35" s="96" t="str">
        <f t="shared" si="6"/>
        <v>echo {"issue":{"subject":"Westminster ELXS failure","project_id":79,"tracker_id":40,"status_id":1,"priority_id":2,"assigned_to_id":23,"start_date":"2017-07-18","description":"","custom_fields":[{"id":1,"name":"Subdivision","value":"NW"},{"id":4,"name":"Milepost","value":"5.8472"},{"id":17,"name":"Train ID","value":"808-18"},{"id":16,"name":"Locomotive ID","value":"4023"},{"id":130,"name":"Impact","value":""},{"id":150,"name":"Time of Event (Mountain Time)","value":"07:40:41"},{"id":151,"name":"Denver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/c/Users/stu/AppData/Local/Temp/OnboardLogs/RTDC4023 --include="*4023*201707181*"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"%USERPROFILE%\AppData\Local\Temp\OnboardLogs"\RTDC4023\*4023*201707181* &gt;&gt; 2017-07-18-SliceDisagreementCheck.txt</v>
      </c>
      <c r="AE35" s="145" t="str">
        <f t="shared" si="9"/>
        <v>start /low /b %USERPROFILE%\Documents\GitHub\eaglep3\Utilities\DownloadLogsFromS3.py --loco 4023 --day 2017-07-18</v>
      </c>
      <c r="AF35" s="1"/>
    </row>
    <row r="36" spans="1:32" x14ac:dyDescent="0.25">
      <c r="A36" s="31">
        <v>42934.361400462964</v>
      </c>
      <c r="B36" s="30" t="s">
        <v>477</v>
      </c>
      <c r="C36" s="30" t="s">
        <v>645</v>
      </c>
      <c r="D36" s="30" t="s">
        <v>96</v>
      </c>
      <c r="E36" s="30" t="s">
        <v>356</v>
      </c>
      <c r="F36" s="42">
        <v>0</v>
      </c>
      <c r="G36" s="42">
        <v>19</v>
      </c>
      <c r="H36" s="42">
        <v>58340</v>
      </c>
      <c r="I36" s="42">
        <v>58337</v>
      </c>
      <c r="J36" s="30" t="s">
        <v>357</v>
      </c>
      <c r="K36" s="42">
        <v>58472</v>
      </c>
      <c r="L36" s="131" t="s">
        <v>51</v>
      </c>
      <c r="M36" s="132">
        <f t="shared" si="0"/>
        <v>-71.28</v>
      </c>
      <c r="N36" s="133" t="str">
        <f>VLOOKUP(C36,'Trips&amp;Operators'!$C$1:$G$99999,5,FALSE)</f>
        <v>YANG JAN</v>
      </c>
      <c r="O36" s="203" t="s">
        <v>439</v>
      </c>
      <c r="P36" s="134" t="s">
        <v>1066</v>
      </c>
      <c r="Q36" s="30"/>
      <c r="R36" s="81" t="str">
        <f>VLOOKUP(C36,'Train Runs'!$A$13:$AE$9925,31,0)</f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-07-18T07:42:56-0600',mode:absolute,to:'2017-07-18T09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86" t="str">
        <f t="shared" si="1"/>
        <v>"C:\Program Files (x86)\AstroGrep\AstroGrep.exe" /e /r /s /spath="%USERPROFILE%\AppData\Local\Temp\OnboardLogs" /stypes="*4023*201707181*" /stext=" 14:.+((SYSTEM_STATE.+slice.+state.+changed )|(ment ac)|(multiple cpu faults)|(system.+state.+changed )|(\[timeout)|(PRM\|1\|D)|(kpr)|(kdp)|(train st.+moving)|(\|lc)|(penalty))"</v>
      </c>
      <c r="U36" s="9" t="str">
        <f t="shared" si="2"/>
        <v>4023</v>
      </c>
      <c r="V36" s="31">
        <f t="shared" si="3"/>
        <v>42934.611400462964</v>
      </c>
      <c r="W36" s="45" t="str">
        <f t="shared" si="4"/>
        <v>NW</v>
      </c>
      <c r="X36" s="22">
        <f t="shared" si="5"/>
        <v>812</v>
      </c>
      <c r="Y36" s="96" t="str">
        <f t="shared" si="6"/>
        <v>echo {"issue":{"subject":"Westminster ELXS failure","project_id":79,"tracker_id":40,"status_id":1,"priority_id":2,"assigned_to_id":23,"start_date":"2017-07-18","description":"","custom_fields":[{"id":1,"name":"Subdivision","value":"NW"},{"id":4,"name":"Milepost","value":"5.8472"},{"id":17,"name":"Train ID","value":"812-18"},{"id":16,"name":"Locomotive ID","value":"4023"},{"id":130,"name":"Impact","value":""},{"id":150,"name":"Time of Event (Mountain Time)","value":"08:40:25"},{"id":151,"name":"Denver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/c/Users/stu/AppData/Local/Temp/OnboardLogs/RTDC4023 --include="*4023*201707181*"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"%USERPROFILE%\AppData\Local\Temp\OnboardLogs"\RTDC4023\*4023*201707181* &gt;&gt; 2017-07-18-SliceDisagreementCheck.txt</v>
      </c>
      <c r="AE36" s="145" t="str">
        <f t="shared" si="9"/>
        <v>start /low /b %USERPROFILE%\Documents\GitHub\eaglep3\Utilities\DownloadLogsFromS3.py --loco 4023 --day 2017-07-18</v>
      </c>
      <c r="AF36" s="1"/>
    </row>
    <row r="37" spans="1:32" x14ac:dyDescent="0.25">
      <c r="A37" s="31">
        <v>42934.912731481483</v>
      </c>
      <c r="B37" s="30" t="s">
        <v>477</v>
      </c>
      <c r="C37" s="30" t="s">
        <v>665</v>
      </c>
      <c r="D37" s="30" t="s">
        <v>49</v>
      </c>
      <c r="E37" s="30" t="s">
        <v>181</v>
      </c>
      <c r="F37" s="42">
        <v>0</v>
      </c>
      <c r="G37" s="42">
        <v>36</v>
      </c>
      <c r="H37" s="42">
        <v>685</v>
      </c>
      <c r="I37" s="42">
        <v>657</v>
      </c>
      <c r="J37" s="30" t="s">
        <v>182</v>
      </c>
      <c r="K37" s="42">
        <v>575</v>
      </c>
      <c r="L37" s="131" t="s">
        <v>51</v>
      </c>
      <c r="M37" s="132">
        <f t="shared" si="0"/>
        <v>43.296000000000006</v>
      </c>
      <c r="N37" s="133" t="str">
        <f>VLOOKUP(C37,'Trips&amp;Operators'!$C$1:$G$99999,5,FALSE)</f>
        <v>BIRKHOLZ NADINE</v>
      </c>
      <c r="O37" s="203" t="s">
        <v>180</v>
      </c>
      <c r="P37" s="134"/>
      <c r="Q37" s="30"/>
      <c r="R37" s="81" t="str">
        <f>VLOOKUP(C37,'Train Runs'!$A$13:$AE$9925,31,0)</f>
        <v>aws s3 cp s3://rtdc.mdm.uploadarchive.raw/RTDC4023/ "%USERPROFILE%\AppData\Local\Temp\OnboardLogs"\RTDC4023\2017-07-18 --exclude "*" --recursive --include "*20170718*" &amp; "%USERPROFILE%\Documents\GitHub\mrs-test-scripts\Headless Mode &amp; Sideloading\WalkAndUnGZ.bat" "%USERPROFILE%\AppData\Local\Temp\OnboardLogs"\RTDC4023\2017-07-18 &amp; 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</v>
      </c>
      <c r="S37" s="84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-07-18T20:35:36-0600',mode:absolute,to:'2017-07-18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86" t="str">
        <f t="shared" si="1"/>
        <v>"C:\Program Files (x86)\AstroGrep\AstroGrep.exe" /e /r /s /spath="%USERPROFILE%\AppData\Local\Temp\OnboardLogs" /stypes="*4023*201707190*"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4023</v>
      </c>
      <c r="V37" s="31">
        <f t="shared" si="3"/>
        <v>42935.162731481483</v>
      </c>
      <c r="W37" s="45" t="str">
        <f t="shared" si="4"/>
        <v>NW</v>
      </c>
      <c r="X37" s="22">
        <f t="shared" si="5"/>
        <v>844</v>
      </c>
      <c r="Y37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{"issue":{"subject":"","project_id":79,"tracker_id":40,"status_id":1,"priority_id":2,"assigned_to_id":23,"start_date":"2017-07-18","description":"","custom_fields":[{"id":1,"name":"Subdivision","value":"NW"},{"id":4,"name":"Milepost","value":"0.0575"},{"id":17,"name":"Train ID","value":"844-18"},{"id":16,"name":"Locomotive ID","value":"4023"},{"id":130,"name":"Impact","value":""},{"id":150,"name":"Time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/c/Users/stu/AppData/Local/Temp/OnboardLogs/RTDC4023 --include="*4023*201707190*"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"%USERPROFILE%\AppData\Local\Temp\OnboardLogs"\RTDC4023\*4023*201707190* &gt;&gt; 2017-07-18-SliceDisagreementCheck.txt</v>
      </c>
      <c r="AE37" s="145" t="str">
        <f t="shared" si="9"/>
        <v>start /low /b %USERPROFILE%\Documents\GitHub\eaglep3\Utilities\DownloadLogsFromS3.py --loco 4023 --day 2017-07-19</v>
      </c>
      <c r="AF37" s="1"/>
    </row>
    <row r="38" spans="1:32" x14ac:dyDescent="0.25">
      <c r="A38" s="31">
        <v>42934.711736111109</v>
      </c>
      <c r="B38" s="30" t="s">
        <v>630</v>
      </c>
      <c r="C38" s="30" t="s">
        <v>656</v>
      </c>
      <c r="D38" s="30" t="s">
        <v>49</v>
      </c>
      <c r="E38" s="30" t="s">
        <v>181</v>
      </c>
      <c r="F38" s="42">
        <v>0</v>
      </c>
      <c r="G38" s="42">
        <v>42</v>
      </c>
      <c r="H38" s="42">
        <v>58960</v>
      </c>
      <c r="I38" s="42">
        <v>58982</v>
      </c>
      <c r="J38" s="30" t="s">
        <v>182</v>
      </c>
      <c r="K38" s="42">
        <v>59048</v>
      </c>
      <c r="L38" s="131" t="s">
        <v>50</v>
      </c>
      <c r="M38" s="132">
        <f t="shared" si="0"/>
        <v>34.847999999999999</v>
      </c>
      <c r="N38" s="133" t="str">
        <f>VLOOKUP(C38,'Trips&amp;Operators'!$C$1:$G$99999,5,FALSE)</f>
        <v>BIRKHOLZ NADINE</v>
      </c>
      <c r="O38" s="203" t="s">
        <v>180</v>
      </c>
      <c r="P38" s="134"/>
      <c r="Q38" s="30"/>
      <c r="R38" s="81" t="str">
        <f>VLOOKUP(C38,'Train Runs'!$A$13:$AE$9925,31,0)</f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S38" s="84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-07-18T15:38:27-0600',mode:absolute,to:'2017-07-18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6" t="str">
        <f t="shared" si="1"/>
        <v>"C:\Program Files (x86)\AstroGrep\AstroGrep.exe" /e /r /s /spath="%USERPROFILE%\AppData\Local\Temp\OnboardLogs" /stypes="*4050*201707182*"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4050</v>
      </c>
      <c r="V38" s="31">
        <f t="shared" si="3"/>
        <v>42934.961736111109</v>
      </c>
      <c r="W38" s="45" t="str">
        <f t="shared" si="4"/>
        <v>NW</v>
      </c>
      <c r="X38" s="22">
        <f t="shared" si="5"/>
        <v>831</v>
      </c>
      <c r="Y38" s="96" t="str">
        <f t="shared" si="6"/>
        <v>echo {"issue":{"subject":"","project_id":79,"tracker_id":40,"status_id":1,"priority_id":2,"assigned_to_id":23,"start_date":"2017-07-18","description":"","custom_fields":[{"id":1,"name":"Subdivision","value":"NW"},{"id":4,"name":"Milepost","value":"5.9048"},{"id":17,"name":"Train ID","value":"831-18"},{"id":16,"name":"Locomotive ID","value":"4050"},{"id":130,"name":"Impact","value":""},{"id":150,"name":"Time of Event (Mountain Time)","value":"17:04:54"},{"id":151,"name":"Denver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/c/Users/stu/AppData/Local/Temp/OnboardLogs/RTDC4050 --include="*4050*201707182*"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"%USERPROFILE%\AppData\Local\Temp\OnboardLogs"\RTDC4050\*4050*201707182* &gt;&gt; 2017-07-18-SliceDisagreementCheck.txt</v>
      </c>
      <c r="AE38" s="145" t="str">
        <f t="shared" si="9"/>
        <v>start /low /b %USERPROFILE%\Documents\GitHub\eaglep3\Utilities\DownloadLogsFromS3.py --loco 4050 --day 2017-07-18</v>
      </c>
      <c r="AF38" s="1"/>
    </row>
    <row r="39" spans="1:32" x14ac:dyDescent="0.25">
      <c r="A39" s="31">
        <v>42934.810995370368</v>
      </c>
      <c r="B39" s="30" t="s">
        <v>632</v>
      </c>
      <c r="C39" s="30" t="s">
        <v>662</v>
      </c>
      <c r="D39" s="30" t="s">
        <v>49</v>
      </c>
      <c r="E39" s="30" t="s">
        <v>356</v>
      </c>
      <c r="F39" s="42">
        <v>0</v>
      </c>
      <c r="G39" s="42">
        <v>78</v>
      </c>
      <c r="H39" s="42">
        <v>32082</v>
      </c>
      <c r="I39" s="42">
        <v>32002</v>
      </c>
      <c r="J39" s="30" t="s">
        <v>357</v>
      </c>
      <c r="K39" s="42">
        <v>30521</v>
      </c>
      <c r="L39" s="131" t="s">
        <v>51</v>
      </c>
      <c r="M39" s="132">
        <f t="shared" si="0"/>
        <v>781.96799999999996</v>
      </c>
      <c r="N39" s="133" t="str">
        <f>VLOOKUP(C39,'Trips&amp;Operators'!$C$1:$G$99999,5,FALSE)</f>
        <v>BIRKHOLZ NADINE</v>
      </c>
      <c r="O39" s="203" t="s">
        <v>180</v>
      </c>
      <c r="P39" s="134"/>
      <c r="Q39" s="30"/>
      <c r="R39" s="81" t="str">
        <f>VLOOKUP(C39,'Train Runs'!$A$13:$AE$9925,31,0)</f>
        <v>aws s3 cp s3://rtdc.mdm.uploadarchive.raw/RTDC4049/ "%USERPROFILE%\AppData\Local\Temp\OnboardLogs"\RTDC4049\2017-07-18 --exclude "*" --recursive --include "*20170718*" &amp; "%USERPROFILE%\Documents\GitHub\mrs-test-scripts\Headless Mode &amp; Sideloading\WalkAndUnGZ.bat" "%USERPROFILE%\AppData\Local\Temp\OnboardLogs"\RTDC4049\2017-07-18 &amp; aws s3 cp s3://rtdc.mdm.uploadarchive.raw/RTDC4049/ "%USERPROFILE%\AppData\Local\Temp\OnboardLogs"\RTDC4049\2017-07-19 --exclude "*" --recursive --include "*20170719*" &amp; "%USERPROFILE%\Documents\GitHub\mrs-test-scripts\Headless Mode &amp; Sideloading\WalkAndUnGZ.bat" "%USERPROFILE%\AppData\Local\Temp\OnboardLogs"\RTDC4049\2017-07-19</v>
      </c>
      <c r="S39" s="84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-07-18T18:08:07-0600',mode:absolute,to:'2017-07-18T20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9" s="86" t="str">
        <f t="shared" si="1"/>
        <v>"C:\Program Files (x86)\AstroGrep\AstroGrep.exe" /e /r /s /spath="%USERPROFILE%\AppData\Local\Temp\OnboardLogs" /stypes="*4049*201707190*" /stext=" 01:.+((SYSTEM_STATE.+slice.+state.+changed )|(ment ac)|(multiple cpu faults)|(system.+state.+changed )|(\[timeout)|(PRM\|1\|D)|(kpr)|(kdp)|(train st.+moving)|(\|lc)|(penalty))"</v>
      </c>
      <c r="U39" s="9" t="str">
        <f t="shared" si="2"/>
        <v>4049</v>
      </c>
      <c r="V39" s="31">
        <f t="shared" si="3"/>
        <v>42935.060995370368</v>
      </c>
      <c r="W39" s="45" t="str">
        <f t="shared" si="4"/>
        <v>Other</v>
      </c>
      <c r="X39" s="22">
        <f t="shared" si="5"/>
        <v>906</v>
      </c>
      <c r="Y39" s="96" t="str">
        <f t="shared" si="6"/>
        <v>echo {"issue":{"subject":"","project_id":79,"tracker_id":40,"status_id":1,"priority_id":2,"assigned_to_id":23,"start_date":"2017-07-18","description":"","custom_fields":[{"id":1,"name":"Subdivision","value":"Other"},{"id":4,"name":"Milepost","value":"3.0521"},{"id":17,"name":"Train ID","value":"906-18"},{"id":16,"name":"Locomotive ID","value":"4049"},{"id":130,"name":"Impact","value":""},{"id":150,"name":"Time of Event (Mountain Time)","value":"19:27:50"},{"id":151,"name":"Denver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/c/Users/stu/AppData/Local/Temp/OnboardLogs/RTDC4049 --include="*4049*201707190*"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"%USERPROFILE%\AppData\Local\Temp\OnboardLogs"\RTDC4049\*4049*201707190* &gt;&gt; 2017-07-18-SliceDisagreementCheck.txt</v>
      </c>
      <c r="AE39" s="145" t="str">
        <f t="shared" si="9"/>
        <v>start /low /b %USERPROFILE%\Documents\GitHub\eaglep3\Utilities\DownloadLogsFromS3.py --loco 4049 --day 2017-07-19</v>
      </c>
      <c r="AF39" s="1"/>
    </row>
    <row r="40" spans="1:32" x14ac:dyDescent="0.25">
      <c r="A40" s="31">
        <v>42934.208171296297</v>
      </c>
      <c r="B40" s="30" t="s">
        <v>630</v>
      </c>
      <c r="C40" s="30" t="s">
        <v>631</v>
      </c>
      <c r="D40" s="30" t="s">
        <v>49</v>
      </c>
      <c r="E40" s="30" t="s">
        <v>356</v>
      </c>
      <c r="F40" s="42">
        <v>0</v>
      </c>
      <c r="G40" s="42">
        <v>114</v>
      </c>
      <c r="H40" s="42">
        <v>57550</v>
      </c>
      <c r="I40" s="42">
        <v>57726</v>
      </c>
      <c r="J40" s="30" t="s">
        <v>357</v>
      </c>
      <c r="K40" s="42">
        <v>57971</v>
      </c>
      <c r="L40" s="131" t="s">
        <v>50</v>
      </c>
      <c r="M40" s="132">
        <f t="shared" si="0"/>
        <v>129.36000000000001</v>
      </c>
      <c r="N40" s="133" t="str">
        <f>VLOOKUP(C40,'Trips&amp;Operators'!$C$1:$G$99999,5,FALSE)</f>
        <v>LANGERAK WILLIAM</v>
      </c>
      <c r="O40" s="203" t="s">
        <v>180</v>
      </c>
      <c r="P40" s="134"/>
      <c r="Q40" s="30"/>
      <c r="R40" s="81" t="str">
        <f>VLOOKUP(C40,'Train Runs'!$A$13:$AE$9925,31,0)</f>
        <v>aws s3 cp s3://rtdc.mdm.uploadarchive.raw/RTDC4050/ "%USERPROFILE%\AppData\Local\Temp\OnboardLogs"\RTDC4050\2017-07-18 --exclude "*" --recursive --include "*20170718*" &amp; "%USERPROFILE%\Documents\GitHub\mrs-test-scripts\Headless Mode &amp; Sideloading\WalkAndUnGZ.bat" "%USERPROFILE%\AppData\Local\Temp\OnboardLogs"\RTDC4050\2017-07-18 &amp; aws s3 cp s3://rtdc.mdm.uploadarchive.raw/RTDC4050/ "%USERPROFILE%\AppData\Local\Temp\OnboardLogs"\RTDC4050\2017-07-19 --exclude "*" --recursive --include "*20170719*" &amp; "%USERPROFILE%\Documents\GitHub\mrs-test-scripts\Headless Mode &amp; Sideloading\WalkAndUnGZ.bat" "%USERPROFILE%\AppData\Local\Temp\OnboardLogs"\RTDC4050\2017-07-19</v>
      </c>
      <c r="S40" s="84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-07-18T03:44:37-0600',mode:absolute,to:'2017-07-18T05:59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0" s="86" t="str">
        <f t="shared" si="1"/>
        <v>"C:\Program Files (x86)\AstroGrep\AstroGrep.exe" /e /r /s /spath="%USERPROFILE%\AppData\Local\Temp\OnboardLogs" /stypes="*4050*201707181*" /stext=" 10:.+((SYSTEM_STATE.+slice.+state.+changed )|(ment ac)|(multiple cpu faults)|(system.+state.+changed )|(\[timeout)|(PRM\|1\|D)|(kpr)|(kdp)|(train st.+moving)|(\|lc)|(penalty))"</v>
      </c>
      <c r="U40" s="9" t="str">
        <f t="shared" si="2"/>
        <v>4050</v>
      </c>
      <c r="V40" s="31">
        <f t="shared" si="3"/>
        <v>42934.458171296297</v>
      </c>
      <c r="W40" s="45" t="str">
        <f t="shared" si="4"/>
        <v>Other</v>
      </c>
      <c r="X40" s="22">
        <f t="shared" si="5"/>
        <v>901</v>
      </c>
      <c r="Y40" s="96" t="str">
        <f t="shared" si="6"/>
        <v>echo {"issue":{"subject":"","project_id":79,"tracker_id":40,"status_id":1,"priority_id":2,"assigned_to_id":23,"start_date":"2017-07-18","description":"","custom_fields":[{"id":1,"name":"Subdivision","value":"Other"},{"id":4,"name":"Milepost","value":"5.7971"},{"id":17,"name":"Train ID","value":"901-18"},{"id":16,"name":"Locomotive ID","value":"4050"},{"id":130,"name":"Impact","value":""},{"id":150,"name":"Time of Event (Mountain Time)","value":"04:59:46"},{"id":151,"name":"Denver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/c/Users/stu/AppData/Local/Temp/OnboardLogs/RTDC4050 --include="*4050*201707181*"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"%USERPROFILE%\AppData\Local\Temp\OnboardLogs"\RTDC4050\*4050*201707181* &gt;&gt; 2017-07-18-SliceDisagreementCheck.txt</v>
      </c>
      <c r="AE40" s="145" t="str">
        <f t="shared" si="9"/>
        <v>start /low /b %USERPROFILE%\Documents\GitHub\eaglep3\Utilities\DownloadLogsFromS3.py --loco 4050 --day 2017-07-18</v>
      </c>
      <c r="AF40" s="1"/>
    </row>
    <row r="41" spans="1:32" x14ac:dyDescent="0.25">
      <c r="A41" s="31">
        <v>42934.193553240744</v>
      </c>
      <c r="B41" s="30" t="s">
        <v>567</v>
      </c>
      <c r="C41" s="30" t="s">
        <v>629</v>
      </c>
      <c r="D41" s="30" t="s">
        <v>49</v>
      </c>
      <c r="E41" s="30" t="s">
        <v>181</v>
      </c>
      <c r="F41" s="42">
        <v>0</v>
      </c>
      <c r="G41" s="42">
        <v>76</v>
      </c>
      <c r="H41" s="42">
        <v>276</v>
      </c>
      <c r="I41" s="42">
        <v>200</v>
      </c>
      <c r="J41" s="30" t="s">
        <v>182</v>
      </c>
      <c r="K41" s="42">
        <v>1</v>
      </c>
      <c r="L41" s="131" t="s">
        <v>51</v>
      </c>
      <c r="M41" s="132">
        <f t="shared" si="0"/>
        <v>105.072</v>
      </c>
      <c r="N41" s="133" t="str">
        <f>VLOOKUP(C41,'Trips&amp;Operators'!$C$1:$G$99999,5,FALSE)</f>
        <v>MILLER KEVIN</v>
      </c>
      <c r="O41" s="203" t="s">
        <v>180</v>
      </c>
      <c r="P41" s="134"/>
      <c r="Q41" s="30"/>
      <c r="R41" s="81" t="str">
        <f>VLOOKUP(C41,'Train Runs'!$A$13:$AE$9925,31,0)</f>
        <v>aws s3 cp s3://rtdc.mdm.uploadarchive.raw/RTDC4025/ "%USERPROFILE%\AppData\Local\Temp\OnboardLogs"\RTDC4025\2017-07-18 --exclude "*" --recursive --include "*20170718*" &amp; "%USERPROFILE%\Documents\GitHub\mrs-test-scripts\Headless Mode &amp; Sideloading\WalkAndUnGZ.bat" "%USERPROFILE%\AppData\Local\Temp\OnboardLogs"\RTDC4025\2017-07-18 &amp; aws s3 cp s3://rtdc.mdm.uploadarchive.raw/RTDC4025/ "%USERPROFILE%\AppData\Local\Temp\OnboardLogs"\RTDC4025\2017-07-19 --exclude "*" --recursive --include "*20170719*" &amp; "%USERPROFILE%\Documents\GitHub\mrs-test-scripts\Headless Mode &amp; Sideloading\WalkAndUnGZ.bat" "%USERPROFILE%\AppData\Local\Temp\OnboardLogs"\RTDC4025\2017-07-19</v>
      </c>
      <c r="S41" s="84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-07-18T03:27:44-0600',mode:absolute,to:'2017-07-18T05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1" s="86" t="str">
        <f t="shared" si="1"/>
        <v>"C:\Program Files (x86)\AstroGrep\AstroGrep.exe" /e /r /s /spath="%USERPROFILE%\AppData\Local\Temp\OnboardLogs" /stypes="*4025*201707181*" /stext=" 10:.+((SYSTEM_STATE.+slice.+state.+changed )|(ment ac)|(multiple cpu faults)|(system.+state.+changed )|(\[timeout)|(PRM\|1\|D)|(kpr)|(kdp)|(train st.+moving)|(\|lc)|(penalty))"</v>
      </c>
      <c r="U41" s="9" t="str">
        <f t="shared" si="2"/>
        <v>4025</v>
      </c>
      <c r="V41" s="31">
        <f t="shared" si="3"/>
        <v>42934.443553240744</v>
      </c>
      <c r="W41" s="45" t="str">
        <f t="shared" si="4"/>
        <v>Other</v>
      </c>
      <c r="X41" s="22">
        <f t="shared" si="5"/>
        <v>308</v>
      </c>
      <c r="Y41" s="96" t="str">
        <f t="shared" si="6"/>
        <v>echo {"issue":{"subject":"","project_id":79,"tracker_id":40,"status_id":1,"priority_id":2,"assigned_to_id":23,"start_date":"2017-07-18","description":"","custom_fields":[{"id":1,"name":"Subdivision","value":"Other"},{"id":4,"name":"Milepost","value":"0.0001"},{"id":17,"name":"Train ID","value":"308-18"},{"id":16,"name":"Locomotive ID","value":"4025"},{"id":130,"name":"Impact","value":""},{"id":150,"name":"Time of Event (Mountain Time)","value":"04:38:43"},{"id":151,"name":"Denver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/c/Users/stu/AppData/Local/Temp/OnboardLogs/RTDC4025 --include="*4025*201707181*"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"%USERPROFILE%\AppData\Local\Temp\OnboardLogs"\RTDC4025\*4025*201707181* &gt;&gt; 2017-07-18-SliceDisagreementCheck.txt</v>
      </c>
      <c r="AE41" s="145" t="str">
        <f t="shared" si="9"/>
        <v>start /low /b %USERPROFILE%\Documents\GitHub\eaglep3\Utilities\DownloadLogsFromS3.py --loco 4025 --day 2017-07-18</v>
      </c>
      <c r="AF41" s="1"/>
    </row>
    <row r="42" spans="1:32" x14ac:dyDescent="0.25">
      <c r="A42" s="31">
        <v>42934.457662037035</v>
      </c>
      <c r="B42" s="30" t="s">
        <v>395</v>
      </c>
      <c r="C42" s="30" t="s">
        <v>648</v>
      </c>
      <c r="D42" s="30" t="s">
        <v>96</v>
      </c>
      <c r="E42" s="30" t="s">
        <v>181</v>
      </c>
      <c r="F42" s="42">
        <v>0</v>
      </c>
      <c r="G42" s="42">
        <v>9</v>
      </c>
      <c r="H42" s="42">
        <v>825</v>
      </c>
      <c r="I42" s="42">
        <v>0</v>
      </c>
      <c r="J42" s="30" t="s">
        <v>182</v>
      </c>
      <c r="K42" s="42">
        <v>826</v>
      </c>
      <c r="L42" s="131" t="s">
        <v>51</v>
      </c>
      <c r="M42" s="132">
        <f t="shared" si="0"/>
        <v>-436.12799999999999</v>
      </c>
      <c r="N42" s="133" t="str">
        <f>VLOOKUP(C42,'Trips&amp;Operators'!$C$1:$G$99999,5,FALSE)</f>
        <v>ROMERO CHAD</v>
      </c>
      <c r="O42" s="203" t="s">
        <v>180</v>
      </c>
      <c r="P42" s="134"/>
      <c r="Q42" s="30"/>
      <c r="R42" s="81" t="str">
        <f>VLOOKUP(C42,'Train Runs'!$A$13:$AE$9925,31,0)</f>
        <v>aws s3 cp s3://rtdc.mdm.uploadarchive.raw/RTDC4045/ "%USERPROFILE%\AppData\Local\Temp\OnboardLogs"\RTDC4045\2017-07-18 --exclude "*" --recursive --include "*20170718*" &amp; "%USERPROFILE%\Documents\GitHub\mrs-test-scripts\Headless Mode &amp; Sideloading\WalkAndUnGZ.bat" "%USERPROFILE%\AppData\Local\Temp\OnboardLogs"\RTDC4045\2017-07-18 &amp; 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</v>
      </c>
      <c r="S42" s="84" t="str">
        <f>VLOOKUP(C42,'Train Runs'!$A$13:$AE$9925,22,0)</f>
        <v>https://d0f6bd738d7f1b3e5a7ca70fe4ff75f0.us-east-1.aws.found.io/app/kibana#/discover/Steve-Slow-Train-Analysis-(2080s-and-2083s)?_g=(refreshInterval:(display:Off,pause:!f,section:0,value:0),time:(from:'2017-07-18T09:42:29-0600',mode:absolute,to:'2017-07-18T11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2" s="86" t="str">
        <f t="shared" si="1"/>
        <v>"C:\Program Files (x86)\AstroGrep\AstroGrep.exe" /e /r /s /spath="%USERPROFILE%\AppData\Local\Temp\OnboardLogs" /stypes="*4045*201707181*" /stext=" 16:.+((SYSTEM_STATE.+slice.+state.+changed )|(ment ac)|(multiple cpu faults)|(system.+state.+changed )|(\[timeout)|(PRM\|1\|D)|(kpr)|(kdp)|(train st.+moving)|(\|lc)|(penalty))"</v>
      </c>
      <c r="U42" s="9" t="str">
        <f t="shared" si="2"/>
        <v>4045</v>
      </c>
      <c r="V42" s="31">
        <f t="shared" si="3"/>
        <v>42934.707662037035</v>
      </c>
      <c r="W42" s="45" t="str">
        <f t="shared" si="4"/>
        <v>Shuttle/Test</v>
      </c>
      <c r="X42" s="22">
        <f t="shared" si="5"/>
        <v>54</v>
      </c>
      <c r="Y42" s="96" t="str">
        <f t="shared" si="6"/>
        <v>echo {"issue":{"subject":"","project_id":79,"tracker_id":40,"status_id":1,"priority_id":2,"assigned_to_id":23,"start_date":"2017-07-18","description":"","custom_fields":[{"id":1,"name":"Subdivision","value":"Shuttle/Test"},{"id":4,"name":"Milepost","value":"0.0826"},{"id":17,"name":"Train ID","value":"54-18"},{"id":16,"name":"Locomotive ID","value":"4045"},{"id":130,"name":"Impact","value":""},{"id":150,"name":"Time of Event (Mountain Time)","value":"10:59:02"},{"id":151,"name":"Denver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/c/Users/stu/AppData/Local/Temp/OnboardLogs/RTDC4045 --include="*4045*201707181*"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"%USERPROFILE%\AppData\Local\Temp\OnboardLogs"\RTDC4045\*4045*201707181* &gt;&gt; 2017-07-18-SliceDisagreementCheck.txt</v>
      </c>
      <c r="AE42" s="145" t="str">
        <f t="shared" si="9"/>
        <v>start /low /b %USERPROFILE%\Documents\GitHub\eaglep3\Utilities\DownloadLogsFromS3.py --loco 4045 --day 2017-07-18</v>
      </c>
      <c r="AF42" s="1"/>
    </row>
    <row r="43" spans="1:32" x14ac:dyDescent="0.25">
      <c r="A43" s="31">
        <v>42934.751273148147</v>
      </c>
      <c r="B43" s="30" t="s">
        <v>558</v>
      </c>
      <c r="C43" s="30" t="s">
        <v>659</v>
      </c>
      <c r="D43" s="30" t="s">
        <v>49</v>
      </c>
      <c r="E43" s="30" t="s">
        <v>181</v>
      </c>
      <c r="F43" s="42">
        <v>0</v>
      </c>
      <c r="G43" s="42">
        <v>32</v>
      </c>
      <c r="H43" s="42">
        <v>975</v>
      </c>
      <c r="I43" s="42">
        <v>928</v>
      </c>
      <c r="J43" s="30" t="s">
        <v>182</v>
      </c>
      <c r="K43" s="42">
        <v>839</v>
      </c>
      <c r="L43" s="131" t="s">
        <v>51</v>
      </c>
      <c r="M43" s="132">
        <f t="shared" si="0"/>
        <v>46.991999999999997</v>
      </c>
      <c r="N43" s="133" t="str">
        <f>VLOOKUP(C43,'Trips&amp;Operators'!$C$1:$G$99999,5,FALSE)</f>
        <v>DUNCAN SHEILA</v>
      </c>
      <c r="O43" s="203" t="s">
        <v>180</v>
      </c>
      <c r="P43" s="134"/>
      <c r="Q43" s="30"/>
      <c r="R43" s="81" t="str">
        <f>VLOOKUP(C43,'Train Runs'!$A$13:$AE$9925,31,0)</f>
        <v>aws s3 cp s3://rtdc.mdm.uploadarchive.raw/RTDC4021/ "%USERPROFILE%\AppData\Local\Temp\OnboardLogs"\RTDC4021\2017-07-18 --exclude "*" --recursive --include "*20170718*" &amp; "%USERPROFILE%\Documents\GitHub\mrs-test-scripts\Headless Mode &amp; Sideloading\WalkAndUnGZ.bat" "%USERPROFILE%\AppData\Local\Temp\OnboardLogs"\RTDC4021\2017-07-18 &amp; aws s3 cp s3://rtdc.mdm.uploadarchive.raw/RTDC4021/ "%USERPROFILE%\AppData\Local\Temp\OnboardLogs"\RTDC4021\2017-07-19 --exclude "*" --recursive --include "*20170719*" &amp; "%USERPROFILE%\Documents\GitHub\mrs-test-scripts\Headless Mode &amp; Sideloading\WalkAndUnGZ.bat" "%USERPROFILE%\AppData\Local\Temp\OnboardLogs"\RTDC4021\2017-07-19</v>
      </c>
      <c r="S43" s="84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-07-18T16:39:58-0600',mode:absolute,to:'2017-07-18T19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3" s="86" t="str">
        <f t="shared" si="1"/>
        <v>"C:\Program Files (x86)\AstroGrep\AstroGrep.exe" /e /r /s /spath="%USERPROFILE%\AppData\Local\Temp\OnboardLogs" /stypes="*4021*201707190*"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4021</v>
      </c>
      <c r="V43" s="31">
        <f t="shared" si="3"/>
        <v>42935.001273148147</v>
      </c>
      <c r="W43" s="45" t="str">
        <f t="shared" si="4"/>
        <v>Shuttle/Test</v>
      </c>
      <c r="X43" s="22">
        <f t="shared" si="5"/>
        <v>53</v>
      </c>
      <c r="Y43" s="96" t="str">
        <f t="shared" si="6"/>
        <v>echo {"issue":{"subject":"","project_id":79,"tracker_id":40,"status_id":1,"priority_id":2,"assigned_to_id":23,"start_date":"2017-07-18","description":"","custom_fields":[{"id":1,"name":"Subdivision","value":"Shuttle/Test"},{"id":4,"name":"Milepost","value":"0.0839"},{"id":17,"name":"Train ID","value":"53-18"},{"id":16,"name":"Locomotive ID","value":"4021"},{"id":130,"name":"Impact","value":""},{"id":150,"name":"Time of Event (Mountain Time)","value":"18:01:50"},{"id":151,"name":"Denver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/c/Users/stu/AppData/Local/Temp/OnboardLogs/RTDC4021 --include="*4021*201707190*"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"%USERPROFILE%\AppData\Local\Temp\OnboardLogs"\RTDC4021\*4021*201707190* &gt;&gt; 2017-07-18-SliceDisagreementCheck.txt</v>
      </c>
      <c r="AE43" s="145" t="str">
        <f t="shared" si="9"/>
        <v>start /low /b %USERPROFILE%\Documents\GitHub\eaglep3\Utilities\DownloadLogsFromS3.py --loco 4021 --day 2017-07-19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3"/>
      <sortCondition ref="E7:E43"/>
      <sortCondition ref="K7:K43"/>
      <sortCondition ref="F7:F43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" s="30" t="e">
        <f>VLOOKUP(B3,'Train Runs'!$A$13:$A$99922,1,FALSE)</f>
        <v>#N/A</v>
      </c>
    </row>
    <row r="4" spans="1:10" x14ac:dyDescent="0.25">
      <c r="A4" s="195"/>
      <c r="B4" s="42" t="str">
        <f>A4&amp;"-"&amp;IF(DAY(Variables!$A$2)&lt;10,0,"")&amp;DAY(Variables!$A$2)</f>
        <v>-18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Runs'!$A$13:$A$99922,1,FALSE)</f>
        <v>#N/A</v>
      </c>
    </row>
    <row r="5" spans="1:10" x14ac:dyDescent="0.25">
      <c r="A5" s="195"/>
      <c r="B5" s="42" t="str">
        <f>A5&amp;"-"&amp;IF(DAY(Variables!$A$2)&lt;10,0,"")&amp;DAY(Variables!$A$2)</f>
        <v>-18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Runs'!$A$13:$A$99922,1,FALSE)</f>
        <v>#N/A</v>
      </c>
    </row>
    <row r="6" spans="1:10" x14ac:dyDescent="0.25">
      <c r="A6" s="195"/>
      <c r="B6" s="42" t="str">
        <f>A6&amp;"-"&amp;IF(DAY(Variables!$A$2)&lt;10,0,"")&amp;DAY(Variables!$A$2)</f>
        <v>-18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Runs'!$A$13:$A$99922,1,FALSE)</f>
        <v>#N/A</v>
      </c>
    </row>
    <row r="7" spans="1:10" x14ac:dyDescent="0.25">
      <c r="A7" s="195"/>
      <c r="B7" s="42" t="str">
        <f>A7&amp;"-"&amp;IF(DAY(Variables!$A$2)&lt;10,0,"")&amp;DAY(Variables!$A$2)</f>
        <v>-18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Runs'!$A$13:$A$99922,1,FALSE)</f>
        <v>#N/A</v>
      </c>
    </row>
    <row r="8" spans="1:10" x14ac:dyDescent="0.25">
      <c r="A8" s="195"/>
      <c r="B8" s="42" t="str">
        <f>A8&amp;"-"&amp;IF(DAY(Variables!$A$2)&lt;10,0,"")&amp;DAY(Variables!$A$2)</f>
        <v>-18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Runs'!$A$13:$A$99922,1,FALSE)</f>
        <v>#N/A</v>
      </c>
    </row>
    <row r="9" spans="1:10" x14ac:dyDescent="0.25">
      <c r="A9" s="195"/>
      <c r="B9" s="42" t="str">
        <f>A9&amp;"-"&amp;IF(DAY(Variables!$A$2)&lt;10,0,"")&amp;DAY(Variables!$A$2)</f>
        <v>-18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Runs'!$A$13:$A$99922,1,FALSE)</f>
        <v>#N/A</v>
      </c>
    </row>
    <row r="10" spans="1:10" x14ac:dyDescent="0.25">
      <c r="A10" s="195"/>
      <c r="B10" s="42" t="str">
        <f>A10&amp;"-"&amp;IF(DAY(Variables!$A$2)&lt;10,0,"")&amp;DAY(Variables!$A$2)</f>
        <v>-18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Runs'!$A$13:$A$99922,1,FALSE)</f>
        <v>#N/A</v>
      </c>
    </row>
    <row r="11" spans="1:10" x14ac:dyDescent="0.25">
      <c r="A11" s="195"/>
      <c r="B11" s="42" t="str">
        <f>A11&amp;"-"&amp;IF(DAY(Variables!$A$2)&lt;10,0,"")&amp;DAY(Variables!$A$2)</f>
        <v>-18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Runs'!$A$13:$A$99922,1,FALSE)</f>
        <v>#N/A</v>
      </c>
    </row>
    <row r="12" spans="1:10" x14ac:dyDescent="0.25">
      <c r="A12" s="195"/>
      <c r="B12" s="42" t="str">
        <f>A12&amp;"-"&amp;IF(DAY(Variables!$A$2)&lt;10,0,"")&amp;DAY(Variables!$A$2)</f>
        <v>-18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Runs'!$A$13:$A$99922,1,FALSE)</f>
        <v>#N/A</v>
      </c>
    </row>
    <row r="13" spans="1:10" x14ac:dyDescent="0.25">
      <c r="A13" s="195"/>
      <c r="B13" s="42" t="str">
        <f>A13&amp;"-"&amp;IF(DAY(Variables!$A$2)&lt;10,0,"")&amp;DAY(Variables!$A$2)</f>
        <v>-18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Runs'!$A$13:$A$99922,1,FALSE)</f>
        <v>#N/A</v>
      </c>
    </row>
    <row r="14" spans="1:10" x14ac:dyDescent="0.25">
      <c r="A14" s="195"/>
      <c r="B14" s="42" t="str">
        <f>A14&amp;"-"&amp;IF(DAY(Variables!$A$2)&lt;10,0,"")&amp;DAY(Variables!$A$2)</f>
        <v>-18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Runs'!$A$13:$A$99922,1,FALSE)</f>
        <v>#N/A</v>
      </c>
    </row>
    <row r="15" spans="1:10" x14ac:dyDescent="0.25">
      <c r="A15" s="195"/>
      <c r="B15" s="42" t="str">
        <f>A15&amp;"-"&amp;IF(DAY(Variables!$A$2)&lt;10,0,"")&amp;DAY(Variables!$A$2)</f>
        <v>-18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Runs'!$A$13:$A$99922,1,FALSE)</f>
        <v>#N/A</v>
      </c>
    </row>
    <row r="16" spans="1:10" x14ac:dyDescent="0.25">
      <c r="A16" s="195"/>
      <c r="B16" s="42" t="str">
        <f>A16&amp;"-"&amp;IF(DAY(Variables!$A$2)&lt;10,0,"")&amp;DAY(Variables!$A$2)</f>
        <v>-18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Runs'!$A$13:$A$99922,1,FALSE)</f>
        <v>#N/A</v>
      </c>
    </row>
    <row r="17" spans="1:10" x14ac:dyDescent="0.25">
      <c r="A17" s="195"/>
      <c r="B17" s="42" t="str">
        <f>A17&amp;"-"&amp;IF(DAY(Variables!$A$2)&lt;10,0,"")&amp;DAY(Variables!$A$2)</f>
        <v>-18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Runs'!$A$13:$A$99922,1,FALSE)</f>
        <v>#N/A</v>
      </c>
    </row>
    <row r="18" spans="1:10" x14ac:dyDescent="0.25">
      <c r="A18" s="195"/>
      <c r="B18" s="42" t="str">
        <f>A18&amp;"-"&amp;IF(DAY(Variables!$A$2)&lt;10,0,"")&amp;DAY(Variables!$A$2)</f>
        <v>-18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Runs'!$A$13:$A$99922,1,FALSE)</f>
        <v>#N/A</v>
      </c>
    </row>
    <row r="19" spans="1:10" x14ac:dyDescent="0.25">
      <c r="A19" s="195"/>
      <c r="B19" s="42" t="str">
        <f>A19&amp;"-"&amp;IF(DAY(Variables!$A$2)&lt;10,0,"")&amp;DAY(Variables!$A$2)</f>
        <v>-18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Runs'!$A$13:$A$99922,1,FALSE)</f>
        <v>#N/A</v>
      </c>
    </row>
    <row r="20" spans="1:10" x14ac:dyDescent="0.25">
      <c r="A20" s="195"/>
      <c r="B20" s="42" t="str">
        <f>A20&amp;"-"&amp;IF(DAY(Variables!$A$2)&lt;10,0,"")&amp;DAY(Variables!$A$2)</f>
        <v>-18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Runs'!$A$13:$A$99922,1,FALSE)</f>
        <v>#N/A</v>
      </c>
    </row>
    <row r="21" spans="1:10" x14ac:dyDescent="0.25">
      <c r="A21" s="195"/>
      <c r="B21" s="42" t="str">
        <f>A21&amp;"-"&amp;IF(DAY(Variables!$A$2)&lt;10,0,"")&amp;DAY(Variables!$A$2)</f>
        <v>-18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Runs'!$A$13:$A$99922,1,FALSE)</f>
        <v>#N/A</v>
      </c>
    </row>
    <row r="22" spans="1:10" x14ac:dyDescent="0.25">
      <c r="A22" s="195"/>
      <c r="B22" s="42" t="str">
        <f>A22&amp;"-"&amp;IF(DAY(Variables!$A$2)&lt;10,0,"")&amp;DAY(Variables!$A$2)</f>
        <v>-18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Runs'!$A$13:$A$99922,1,FALSE)</f>
        <v>#N/A</v>
      </c>
    </row>
    <row r="23" spans="1:10" x14ac:dyDescent="0.25">
      <c r="A23" s="195"/>
      <c r="B23" s="42" t="str">
        <f>A23&amp;"-"&amp;IF(DAY(Variables!$A$2)&lt;10,0,"")&amp;DAY(Variables!$A$2)</f>
        <v>-18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Runs'!$A$13:$A$99922,1,FALSE)</f>
        <v>#N/A</v>
      </c>
    </row>
    <row r="24" spans="1:10" x14ac:dyDescent="0.25">
      <c r="A24" s="195"/>
      <c r="B24" s="42" t="str">
        <f>A24&amp;"-"&amp;IF(DAY(Variables!$A$2)&lt;10,0,"")&amp;DAY(Variables!$A$2)</f>
        <v>-18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Runs'!$A$13:$A$99922,1,FALSE)</f>
        <v>#N/A</v>
      </c>
    </row>
    <row r="25" spans="1:10" x14ac:dyDescent="0.25">
      <c r="A25" s="195"/>
      <c r="B25" s="42" t="str">
        <f>A25&amp;"-"&amp;IF(DAY(Variables!$A$2)&lt;10,0,"")&amp;DAY(Variables!$A$2)</f>
        <v>-18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Runs'!$A$13:$A$99922,1,FALSE)</f>
        <v>#N/A</v>
      </c>
    </row>
    <row r="26" spans="1:10" x14ac:dyDescent="0.25">
      <c r="A26" s="195"/>
      <c r="B26" s="42" t="str">
        <f>A26&amp;"-"&amp;IF(DAY(Variables!$A$2)&lt;10,0,"")&amp;DAY(Variables!$A$2)</f>
        <v>-18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Runs'!$A$13:$A$99922,1,FALSE)</f>
        <v>#N/A</v>
      </c>
    </row>
    <row r="27" spans="1:10" x14ac:dyDescent="0.25">
      <c r="A27" s="195"/>
      <c r="B27" s="42" t="str">
        <f>A27&amp;"-"&amp;IF(DAY(Variables!$A$2)&lt;10,0,"")&amp;DAY(Variables!$A$2)</f>
        <v>-18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Runs'!$A$13:$A$99922,1,FALSE)</f>
        <v>#N/A</v>
      </c>
    </row>
    <row r="28" spans="1:10" x14ac:dyDescent="0.25">
      <c r="A28" s="195"/>
      <c r="B28" s="42" t="str">
        <f>A28&amp;"-"&amp;IF(DAY(Variables!$A$2)&lt;10,0,"")&amp;DAY(Variables!$A$2)</f>
        <v>-18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Runs'!$A$13:$A$99922,1,FALSE)</f>
        <v>#N/A</v>
      </c>
    </row>
    <row r="29" spans="1:10" x14ac:dyDescent="0.25">
      <c r="A29" s="195"/>
      <c r="B29" s="42" t="str">
        <f>A29&amp;"-"&amp;IF(DAY(Variables!$A$2)&lt;10,0,"")&amp;DAY(Variables!$A$2)</f>
        <v>-18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Runs'!$A$13:$A$99922,1,FALSE)</f>
        <v>#N/A</v>
      </c>
    </row>
    <row r="30" spans="1:10" x14ac:dyDescent="0.25">
      <c r="A30" s="195"/>
      <c r="B30" s="42" t="str">
        <f>A30&amp;"-"&amp;IF(DAY(Variables!$A$2)&lt;10,0,"")&amp;DAY(Variables!$A$2)</f>
        <v>-18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Runs'!$A$13:$A$99922,1,FALSE)</f>
        <v>#N/A</v>
      </c>
    </row>
    <row r="31" spans="1:10" x14ac:dyDescent="0.25">
      <c r="A31" s="195"/>
      <c r="B31" s="42" t="str">
        <f>A31&amp;"-"&amp;IF(DAY(Variables!$A$2)&lt;10,0,"")&amp;DAY(Variables!$A$2)</f>
        <v>-18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Runs'!$A$13:$A$99922,1,FALSE)</f>
        <v>#N/A</v>
      </c>
    </row>
    <row r="32" spans="1:10" x14ac:dyDescent="0.25">
      <c r="A32" s="195"/>
      <c r="B32" s="42" t="str">
        <f>A32&amp;"-"&amp;IF(DAY(Variables!$A$2)&lt;10,0,"")&amp;DAY(Variables!$A$2)</f>
        <v>-18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Runs'!$A$13:$A$99922,1,FALSE)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42934.037164351852</v>
      </c>
      <c r="B2" s="20" t="s">
        <v>481</v>
      </c>
      <c r="C2" s="20" t="s">
        <v>576</v>
      </c>
      <c r="D2" s="138">
        <v>3130000</v>
      </c>
      <c r="E2" s="20" t="s">
        <v>375</v>
      </c>
      <c r="F2" s="20" t="s">
        <v>376</v>
      </c>
      <c r="G2" s="8" t="str">
        <f>E2&amp;" "&amp;F2</f>
        <v>ZEWDU DEREJE</v>
      </c>
    </row>
    <row r="3" spans="1:7" x14ac:dyDescent="0.25">
      <c r="A3" s="8">
        <v>42934.04792824074</v>
      </c>
      <c r="B3" s="20" t="s">
        <v>526</v>
      </c>
      <c r="C3" s="20" t="s">
        <v>577</v>
      </c>
      <c r="D3" s="138">
        <v>2230000</v>
      </c>
      <c r="E3" s="20" t="s">
        <v>338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42934.049432870372</v>
      </c>
      <c r="B4" s="20" t="s">
        <v>468</v>
      </c>
      <c r="C4" s="20" t="s">
        <v>578</v>
      </c>
      <c r="D4" s="138">
        <v>2970000</v>
      </c>
      <c r="E4" s="20" t="s">
        <v>370</v>
      </c>
      <c r="F4" s="20" t="s">
        <v>371</v>
      </c>
      <c r="G4" s="8" t="str">
        <f t="shared" si="0"/>
        <v>GUZMAN DANNY</v>
      </c>
    </row>
    <row r="5" spans="1:7" x14ac:dyDescent="0.25">
      <c r="A5" s="8">
        <v>42934.069432870368</v>
      </c>
      <c r="B5" s="20" t="s">
        <v>467</v>
      </c>
      <c r="C5" s="20" t="s">
        <v>579</v>
      </c>
      <c r="D5" s="138">
        <v>3130000</v>
      </c>
      <c r="E5" s="20" t="s">
        <v>375</v>
      </c>
      <c r="F5" s="20" t="s">
        <v>376</v>
      </c>
      <c r="G5" s="8" t="str">
        <f t="shared" si="0"/>
        <v>ZEWDU DEREJE</v>
      </c>
    </row>
    <row r="6" spans="1:7" x14ac:dyDescent="0.25">
      <c r="A6" s="8">
        <v>42934.090289351851</v>
      </c>
      <c r="B6" s="20" t="s">
        <v>336</v>
      </c>
      <c r="C6" s="20" t="s">
        <v>580</v>
      </c>
      <c r="D6" s="138">
        <v>2970000</v>
      </c>
      <c r="E6" s="20" t="s">
        <v>370</v>
      </c>
      <c r="F6" s="20" t="s">
        <v>371</v>
      </c>
      <c r="G6" s="8" t="str">
        <f t="shared" si="0"/>
        <v>GUZMAN DANNY</v>
      </c>
    </row>
    <row r="7" spans="1:7" x14ac:dyDescent="0.25">
      <c r="A7" s="8">
        <v>42934.113946759258</v>
      </c>
      <c r="B7" s="20" t="s">
        <v>392</v>
      </c>
      <c r="C7" s="20" t="s">
        <v>581</v>
      </c>
      <c r="D7" s="138">
        <v>1110000</v>
      </c>
      <c r="E7" s="20" t="s">
        <v>426</v>
      </c>
      <c r="F7" s="20" t="s">
        <v>427</v>
      </c>
      <c r="G7" s="8" t="str">
        <f t="shared" si="0"/>
        <v>STARKS ANGELINA</v>
      </c>
    </row>
    <row r="8" spans="1:7" x14ac:dyDescent="0.25">
      <c r="A8" s="8">
        <v>42934.125532407408</v>
      </c>
      <c r="B8" s="20" t="s">
        <v>393</v>
      </c>
      <c r="C8" s="20" t="s">
        <v>667</v>
      </c>
      <c r="D8" s="138">
        <v>1090000</v>
      </c>
      <c r="E8" s="20" t="s">
        <v>668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42934.126064814816</v>
      </c>
      <c r="B9" s="20" t="s">
        <v>436</v>
      </c>
      <c r="C9" s="20" t="s">
        <v>669</v>
      </c>
      <c r="D9" s="138">
        <v>1110000</v>
      </c>
      <c r="E9" s="20" t="s">
        <v>426</v>
      </c>
      <c r="F9" s="20" t="s">
        <v>427</v>
      </c>
      <c r="G9" s="8" t="str">
        <f t="shared" si="0"/>
        <v>STARKS ANGELINA</v>
      </c>
    </row>
    <row r="10" spans="1:7" x14ac:dyDescent="0.25">
      <c r="A10" s="8">
        <v>42934.138391203705</v>
      </c>
      <c r="B10" s="20" t="s">
        <v>514</v>
      </c>
      <c r="C10" s="20" t="s">
        <v>670</v>
      </c>
      <c r="D10" s="138">
        <v>3340000</v>
      </c>
      <c r="E10" s="20" t="s">
        <v>472</v>
      </c>
      <c r="F10" s="20" t="s">
        <v>473</v>
      </c>
      <c r="G10" s="8" t="str">
        <f t="shared" si="0"/>
        <v>ELBAUM MIKE</v>
      </c>
    </row>
    <row r="11" spans="1:7" x14ac:dyDescent="0.25">
      <c r="A11" s="8">
        <v>42934.140706018516</v>
      </c>
      <c r="B11" s="20" t="s">
        <v>392</v>
      </c>
      <c r="C11" s="20" t="s">
        <v>671</v>
      </c>
      <c r="D11" s="138">
        <v>1090000</v>
      </c>
      <c r="E11" s="20" t="s">
        <v>668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42934.149016203701</v>
      </c>
      <c r="B12" s="20" t="s">
        <v>513</v>
      </c>
      <c r="C12" s="20" t="s">
        <v>672</v>
      </c>
      <c r="D12" s="138">
        <v>3340000</v>
      </c>
      <c r="E12" s="20" t="s">
        <v>472</v>
      </c>
      <c r="F12" s="20" t="s">
        <v>473</v>
      </c>
      <c r="G12" s="8" t="str">
        <f t="shared" si="0"/>
        <v>ELBAUM MIKE</v>
      </c>
    </row>
    <row r="13" spans="1:7" x14ac:dyDescent="0.25">
      <c r="A13" s="8">
        <v>42934.159247685187</v>
      </c>
      <c r="B13" s="20" t="s">
        <v>418</v>
      </c>
      <c r="C13" s="20" t="s">
        <v>673</v>
      </c>
      <c r="D13" s="138">
        <v>2010000</v>
      </c>
      <c r="E13" s="20" t="s">
        <v>527</v>
      </c>
      <c r="F13" s="20" t="s">
        <v>528</v>
      </c>
      <c r="G13" s="8" t="str">
        <f t="shared" si="0"/>
        <v>MAELZER KURT</v>
      </c>
    </row>
    <row r="14" spans="1:7" x14ac:dyDescent="0.25">
      <c r="A14" s="8">
        <v>42934.163680555554</v>
      </c>
      <c r="B14" s="20" t="s">
        <v>437</v>
      </c>
      <c r="C14" s="20" t="s">
        <v>674</v>
      </c>
      <c r="D14" s="138">
        <v>1110000</v>
      </c>
      <c r="E14" s="20" t="s">
        <v>426</v>
      </c>
      <c r="F14" s="20" t="s">
        <v>427</v>
      </c>
      <c r="G14" s="8" t="str">
        <f t="shared" si="0"/>
        <v>STARKS ANGELINA</v>
      </c>
    </row>
    <row r="15" spans="1:7" x14ac:dyDescent="0.25">
      <c r="A15" s="8">
        <v>42934.165972222225</v>
      </c>
      <c r="B15" s="20" t="s">
        <v>361</v>
      </c>
      <c r="C15" s="20" t="s">
        <v>675</v>
      </c>
      <c r="D15" s="138">
        <v>3320000</v>
      </c>
      <c r="E15" s="20" t="s">
        <v>560</v>
      </c>
      <c r="F15" s="20" t="s">
        <v>561</v>
      </c>
      <c r="G15" s="8" t="str">
        <f t="shared" si="0"/>
        <v>NICHOLSON WESLEY</v>
      </c>
    </row>
    <row r="16" spans="1:7" x14ac:dyDescent="0.25">
      <c r="A16" s="8">
        <v>42934.170312499999</v>
      </c>
      <c r="B16" s="20" t="s">
        <v>382</v>
      </c>
      <c r="C16" s="20" t="s">
        <v>676</v>
      </c>
      <c r="D16" s="138">
        <v>2010000</v>
      </c>
      <c r="E16" s="20" t="s">
        <v>527</v>
      </c>
      <c r="F16" s="20" t="s">
        <v>528</v>
      </c>
      <c r="G16" s="8" t="str">
        <f t="shared" si="0"/>
        <v>MAELZER KURT</v>
      </c>
    </row>
    <row r="17" spans="1:7" x14ac:dyDescent="0.25">
      <c r="A17" s="8">
        <v>42934.183541666665</v>
      </c>
      <c r="B17" s="20" t="s">
        <v>367</v>
      </c>
      <c r="C17" s="20" t="s">
        <v>677</v>
      </c>
      <c r="D17" s="138">
        <v>3320000</v>
      </c>
      <c r="E17" s="20" t="s">
        <v>560</v>
      </c>
      <c r="F17" s="20" t="s">
        <v>561</v>
      </c>
      <c r="G17" s="8" t="str">
        <f t="shared" si="0"/>
        <v>NICHOLSON WESLEY</v>
      </c>
    </row>
    <row r="18" spans="1:7" x14ac:dyDescent="0.25">
      <c r="A18" s="8">
        <v>42934.185104166667</v>
      </c>
      <c r="B18" s="20" t="s">
        <v>567</v>
      </c>
      <c r="C18" s="20" t="s">
        <v>629</v>
      </c>
      <c r="D18" s="138">
        <v>3200000</v>
      </c>
      <c r="E18" s="20" t="s">
        <v>559</v>
      </c>
      <c r="F18" s="20" t="s">
        <v>482</v>
      </c>
      <c r="G18" s="8" t="str">
        <f t="shared" si="0"/>
        <v>MILLER KEVIN</v>
      </c>
    </row>
    <row r="19" spans="1:7" x14ac:dyDescent="0.25">
      <c r="A19" s="8">
        <v>42934.185208333336</v>
      </c>
      <c r="B19" s="20" t="s">
        <v>367</v>
      </c>
      <c r="C19" s="20" t="s">
        <v>677</v>
      </c>
      <c r="D19" s="138">
        <v>3320000</v>
      </c>
      <c r="E19" s="20" t="s">
        <v>560</v>
      </c>
      <c r="F19" s="20" t="s">
        <v>561</v>
      </c>
      <c r="G19" s="8" t="str">
        <f t="shared" si="0"/>
        <v>NICHOLSON WESLEY</v>
      </c>
    </row>
    <row r="20" spans="1:7" x14ac:dyDescent="0.25">
      <c r="A20" s="8">
        <v>42934.186273148145</v>
      </c>
      <c r="B20" s="20" t="s">
        <v>567</v>
      </c>
      <c r="C20" s="20" t="s">
        <v>629</v>
      </c>
      <c r="D20" s="138">
        <v>3200000</v>
      </c>
      <c r="E20" s="20" t="s">
        <v>559</v>
      </c>
      <c r="F20" s="20" t="s">
        <v>482</v>
      </c>
      <c r="G20" s="8" t="str">
        <f t="shared" si="0"/>
        <v>MILLER KEVIN</v>
      </c>
    </row>
    <row r="21" spans="1:7" x14ac:dyDescent="0.25">
      <c r="A21" s="8">
        <v>42934.193530092591</v>
      </c>
      <c r="B21" s="20" t="s">
        <v>514</v>
      </c>
      <c r="C21" s="20" t="s">
        <v>678</v>
      </c>
      <c r="D21" s="138">
        <v>3340000</v>
      </c>
      <c r="E21" s="20" t="s">
        <v>472</v>
      </c>
      <c r="F21" s="20" t="s">
        <v>473</v>
      </c>
      <c r="G21" s="8" t="str">
        <f t="shared" si="0"/>
        <v>ELBAUM MIKE</v>
      </c>
    </row>
    <row r="22" spans="1:7" x14ac:dyDescent="0.25">
      <c r="A22" s="26">
        <v>42934.195277777777</v>
      </c>
      <c r="B22" s="20" t="s">
        <v>540</v>
      </c>
      <c r="C22" s="20" t="s">
        <v>679</v>
      </c>
      <c r="D22" s="138">
        <v>3200000</v>
      </c>
      <c r="E22" s="20" t="s">
        <v>559</v>
      </c>
      <c r="F22" s="20" t="s">
        <v>482</v>
      </c>
      <c r="G22" s="8" t="str">
        <f t="shared" si="0"/>
        <v>MILLER KEVIN</v>
      </c>
    </row>
    <row r="23" spans="1:7" x14ac:dyDescent="0.25">
      <c r="A23" s="8">
        <v>42934.198379629626</v>
      </c>
      <c r="B23" s="20" t="s">
        <v>630</v>
      </c>
      <c r="C23" s="20" t="s">
        <v>631</v>
      </c>
      <c r="D23" s="138">
        <v>3300000</v>
      </c>
      <c r="E23" s="20" t="s">
        <v>564</v>
      </c>
      <c r="F23" s="20" t="s">
        <v>500</v>
      </c>
      <c r="G23" s="8" t="str">
        <f t="shared" si="0"/>
        <v>LANGERAK WILLIAM</v>
      </c>
    </row>
    <row r="24" spans="1:7" x14ac:dyDescent="0.25">
      <c r="A24" s="8">
        <v>42934.205347222225</v>
      </c>
      <c r="B24" s="20" t="s">
        <v>436</v>
      </c>
      <c r="C24" s="20" t="s">
        <v>680</v>
      </c>
      <c r="D24" s="138">
        <v>1110000</v>
      </c>
      <c r="E24" s="20" t="s">
        <v>426</v>
      </c>
      <c r="F24" s="20" t="s">
        <v>427</v>
      </c>
      <c r="G24" s="8" t="str">
        <f t="shared" si="0"/>
        <v>STARKS ANGELINA</v>
      </c>
    </row>
    <row r="25" spans="1:7" x14ac:dyDescent="0.25">
      <c r="A25" s="8">
        <v>42934.207453703704</v>
      </c>
      <c r="B25" s="20" t="s">
        <v>418</v>
      </c>
      <c r="C25" s="20" t="s">
        <v>681</v>
      </c>
      <c r="D25" s="138">
        <v>2010000</v>
      </c>
      <c r="E25" s="20" t="s">
        <v>527</v>
      </c>
      <c r="F25" s="20" t="s">
        <v>528</v>
      </c>
      <c r="G25" s="8" t="str">
        <f t="shared" si="0"/>
        <v>MAELZER KURT</v>
      </c>
    </row>
    <row r="26" spans="1:7" x14ac:dyDescent="0.25">
      <c r="A26" s="8">
        <v>42934.20758101852</v>
      </c>
      <c r="B26" s="20" t="s">
        <v>636</v>
      </c>
      <c r="C26" s="20" t="s">
        <v>682</v>
      </c>
      <c r="D26" s="138">
        <v>3330000</v>
      </c>
      <c r="E26" s="20" t="s">
        <v>565</v>
      </c>
      <c r="F26" s="20" t="s">
        <v>566</v>
      </c>
      <c r="G26" s="8" t="str">
        <f t="shared" si="0"/>
        <v>GONZALEZ ARMANDO</v>
      </c>
    </row>
    <row r="27" spans="1:7" x14ac:dyDescent="0.25">
      <c r="A27" s="8">
        <v>42934.212407407409</v>
      </c>
      <c r="B27" s="20" t="s">
        <v>632</v>
      </c>
      <c r="C27" s="20" t="s">
        <v>633</v>
      </c>
      <c r="D27" s="138">
        <v>3300000</v>
      </c>
      <c r="E27" s="20" t="s">
        <v>564</v>
      </c>
      <c r="F27" s="20" t="s">
        <v>500</v>
      </c>
      <c r="G27" s="8" t="str">
        <f t="shared" si="0"/>
        <v>LANGERAK WILLIAM</v>
      </c>
    </row>
    <row r="28" spans="1:7" x14ac:dyDescent="0.25">
      <c r="A28" s="8">
        <v>42934.214386574073</v>
      </c>
      <c r="B28" s="20" t="s">
        <v>361</v>
      </c>
      <c r="C28" s="20" t="s">
        <v>683</v>
      </c>
      <c r="D28" s="138">
        <v>3320000</v>
      </c>
      <c r="E28" s="20" t="s">
        <v>560</v>
      </c>
      <c r="F28" s="20" t="s">
        <v>561</v>
      </c>
      <c r="G28" s="8" t="str">
        <f t="shared" si="0"/>
        <v>NICHOLSON WESLEY</v>
      </c>
    </row>
    <row r="29" spans="1:7" x14ac:dyDescent="0.25">
      <c r="A29" s="8">
        <v>42934.216597222221</v>
      </c>
      <c r="B29" s="20" t="s">
        <v>632</v>
      </c>
      <c r="C29" s="20" t="s">
        <v>633</v>
      </c>
      <c r="D29" s="138">
        <v>3300000</v>
      </c>
      <c r="E29" s="20" t="s">
        <v>564</v>
      </c>
      <c r="F29" s="20" t="s">
        <v>500</v>
      </c>
      <c r="G29" s="8" t="str">
        <f t="shared" si="0"/>
        <v>LANGERAK WILLIAM</v>
      </c>
    </row>
    <row r="30" spans="1:7" x14ac:dyDescent="0.25">
      <c r="A30" s="8">
        <v>42934.217905092592</v>
      </c>
      <c r="B30" s="20" t="s">
        <v>515</v>
      </c>
      <c r="C30" s="20" t="s">
        <v>684</v>
      </c>
      <c r="D30" s="138">
        <v>890000</v>
      </c>
      <c r="E30" s="20" t="s">
        <v>685</v>
      </c>
      <c r="F30" s="20" t="s">
        <v>686</v>
      </c>
      <c r="G30" s="8" t="str">
        <f t="shared" si="0"/>
        <v>LOZA FIDEL</v>
      </c>
    </row>
    <row r="31" spans="1:7" x14ac:dyDescent="0.25">
      <c r="A31" s="8">
        <v>42934.220254629632</v>
      </c>
      <c r="B31" s="20" t="s">
        <v>435</v>
      </c>
      <c r="C31" s="20" t="s">
        <v>687</v>
      </c>
      <c r="D31" s="138">
        <v>2600000</v>
      </c>
      <c r="E31" s="20" t="s">
        <v>532</v>
      </c>
      <c r="F31" s="20" t="s">
        <v>533</v>
      </c>
      <c r="G31" s="8" t="str">
        <f t="shared" si="0"/>
        <v>DAVIDSON DAVID</v>
      </c>
    </row>
    <row r="32" spans="1:7" x14ac:dyDescent="0.25">
      <c r="A32" s="8">
        <v>42934.225347222222</v>
      </c>
      <c r="B32" s="20" t="s">
        <v>513</v>
      </c>
      <c r="C32" s="20" t="s">
        <v>688</v>
      </c>
      <c r="D32" s="138">
        <v>3340000</v>
      </c>
      <c r="E32" s="20" t="s">
        <v>472</v>
      </c>
      <c r="F32" s="20" t="s">
        <v>473</v>
      </c>
      <c r="G32" s="8" t="str">
        <f t="shared" si="0"/>
        <v>ELBAUM MIKE</v>
      </c>
    </row>
    <row r="33" spans="1:7" x14ac:dyDescent="0.25">
      <c r="A33" s="8">
        <v>42934.234791666669</v>
      </c>
      <c r="B33" s="20" t="s">
        <v>567</v>
      </c>
      <c r="C33" s="20" t="s">
        <v>689</v>
      </c>
      <c r="D33" s="138">
        <v>3200000</v>
      </c>
      <c r="E33" s="20" t="s">
        <v>559</v>
      </c>
      <c r="F33" s="20" t="s">
        <v>482</v>
      </c>
      <c r="G33" s="8" t="str">
        <f t="shared" si="0"/>
        <v>MILLER KEVIN</v>
      </c>
    </row>
    <row r="34" spans="1:7" x14ac:dyDescent="0.25">
      <c r="A34" s="8">
        <v>42934.236574074072</v>
      </c>
      <c r="B34" s="20" t="s">
        <v>425</v>
      </c>
      <c r="C34" s="20" t="s">
        <v>690</v>
      </c>
      <c r="D34" s="138">
        <v>2600000</v>
      </c>
      <c r="E34" s="20" t="s">
        <v>532</v>
      </c>
      <c r="F34" s="20" t="s">
        <v>533</v>
      </c>
      <c r="G34" s="8" t="str">
        <f t="shared" si="0"/>
        <v>DAVIDSON DAVID</v>
      </c>
    </row>
    <row r="35" spans="1:7" x14ac:dyDescent="0.25">
      <c r="A35" s="8">
        <v>42934.242118055554</v>
      </c>
      <c r="B35" s="20" t="s">
        <v>630</v>
      </c>
      <c r="C35" s="20" t="s">
        <v>691</v>
      </c>
      <c r="D35" s="138">
        <v>3300000</v>
      </c>
      <c r="E35" s="20" t="s">
        <v>564</v>
      </c>
      <c r="F35" s="20" t="s">
        <v>500</v>
      </c>
      <c r="G35" s="8" t="str">
        <f t="shared" si="0"/>
        <v>LANGERAK WILLIAM</v>
      </c>
    </row>
    <row r="36" spans="1:7" x14ac:dyDescent="0.25">
      <c r="A36" s="8">
        <v>42934.245555555557</v>
      </c>
      <c r="B36" s="20" t="s">
        <v>382</v>
      </c>
      <c r="C36" s="20" t="s">
        <v>692</v>
      </c>
      <c r="D36" s="138">
        <v>2010000</v>
      </c>
      <c r="E36" s="20" t="s">
        <v>527</v>
      </c>
      <c r="F36" s="20" t="s">
        <v>528</v>
      </c>
      <c r="G36" s="8" t="str">
        <f t="shared" si="0"/>
        <v>MAELZER KURT</v>
      </c>
    </row>
    <row r="37" spans="1:7" x14ac:dyDescent="0.25">
      <c r="A37" s="8">
        <v>42934.245717592596</v>
      </c>
      <c r="B37" s="20" t="s">
        <v>477</v>
      </c>
      <c r="C37" s="20" t="s">
        <v>693</v>
      </c>
      <c r="D37" s="138">
        <v>2730000</v>
      </c>
      <c r="E37" s="20" t="s">
        <v>694</v>
      </c>
      <c r="F37" s="20" t="s">
        <v>695</v>
      </c>
      <c r="G37" s="8" t="str">
        <f t="shared" si="0"/>
        <v>YANG JAN</v>
      </c>
    </row>
    <row r="38" spans="1:7" x14ac:dyDescent="0.25">
      <c r="A38" s="8">
        <v>42934.246666666666</v>
      </c>
      <c r="B38" s="20" t="s">
        <v>437</v>
      </c>
      <c r="C38" s="20" t="s">
        <v>696</v>
      </c>
      <c r="D38" s="138">
        <v>1110000</v>
      </c>
      <c r="E38" s="20" t="s">
        <v>426</v>
      </c>
      <c r="F38" s="20" t="s">
        <v>427</v>
      </c>
      <c r="G38" s="8" t="str">
        <f t="shared" si="0"/>
        <v>STARKS ANGELINA</v>
      </c>
    </row>
    <row r="39" spans="1:7" x14ac:dyDescent="0.25">
      <c r="A39" s="8">
        <v>42934.254895833335</v>
      </c>
      <c r="B39" s="20" t="s">
        <v>632</v>
      </c>
      <c r="C39" s="20" t="s">
        <v>634</v>
      </c>
      <c r="D39" s="138">
        <v>3300000</v>
      </c>
      <c r="E39" s="20" t="s">
        <v>564</v>
      </c>
      <c r="F39" s="20" t="s">
        <v>500</v>
      </c>
      <c r="G39" s="8" t="str">
        <f t="shared" si="0"/>
        <v>LANGERAK WILLIAM</v>
      </c>
    </row>
    <row r="40" spans="1:7" x14ac:dyDescent="0.25">
      <c r="A40" s="8">
        <v>42934.255925925929</v>
      </c>
      <c r="B40" s="25" t="s">
        <v>367</v>
      </c>
      <c r="C40" s="20" t="s">
        <v>697</v>
      </c>
      <c r="D40" s="138">
        <v>3320000</v>
      </c>
      <c r="E40" s="20" t="s">
        <v>560</v>
      </c>
      <c r="F40" s="20" t="s">
        <v>561</v>
      </c>
      <c r="G40" s="8" t="str">
        <f t="shared" si="0"/>
        <v>NICHOLSON WESLEY</v>
      </c>
    </row>
    <row r="41" spans="1:7" x14ac:dyDescent="0.25">
      <c r="A41" s="8">
        <v>42934.257696759261</v>
      </c>
      <c r="B41" s="20" t="s">
        <v>636</v>
      </c>
      <c r="C41" s="20" t="s">
        <v>637</v>
      </c>
      <c r="D41" s="138">
        <v>890000</v>
      </c>
      <c r="E41" s="20" t="s">
        <v>685</v>
      </c>
      <c r="F41" s="20" t="s">
        <v>686</v>
      </c>
      <c r="G41" s="8" t="str">
        <f t="shared" si="0"/>
        <v>LOZA FIDEL</v>
      </c>
    </row>
    <row r="42" spans="1:7" x14ac:dyDescent="0.25">
      <c r="A42" s="8">
        <v>42934.258842592593</v>
      </c>
      <c r="B42" s="20" t="s">
        <v>632</v>
      </c>
      <c r="C42" s="20" t="s">
        <v>634</v>
      </c>
      <c r="D42" s="138">
        <v>3300000</v>
      </c>
      <c r="E42" s="20" t="s">
        <v>564</v>
      </c>
      <c r="F42" s="20" t="s">
        <v>500</v>
      </c>
      <c r="G42" s="8" t="str">
        <f t="shared" si="0"/>
        <v>LANGERAK WILLIAM</v>
      </c>
    </row>
    <row r="43" spans="1:7" x14ac:dyDescent="0.25">
      <c r="A43" s="8">
        <v>42934.261840277781</v>
      </c>
      <c r="B43" s="20" t="s">
        <v>698</v>
      </c>
      <c r="C43" s="20" t="s">
        <v>699</v>
      </c>
      <c r="D43" s="138">
        <v>2730000</v>
      </c>
      <c r="E43" s="20" t="s">
        <v>694</v>
      </c>
      <c r="F43" s="20" t="s">
        <v>695</v>
      </c>
      <c r="G43" s="8" t="str">
        <f t="shared" si="0"/>
        <v>YANG JAN</v>
      </c>
    </row>
    <row r="44" spans="1:7" x14ac:dyDescent="0.25">
      <c r="A44" s="8">
        <v>42934.266134259262</v>
      </c>
      <c r="B44" s="20" t="s">
        <v>540</v>
      </c>
      <c r="C44" s="20" t="s">
        <v>700</v>
      </c>
      <c r="D44" s="138">
        <v>3200000</v>
      </c>
      <c r="E44" s="20" t="s">
        <v>559</v>
      </c>
      <c r="F44" s="20" t="s">
        <v>482</v>
      </c>
      <c r="G44" s="8" t="str">
        <f t="shared" si="0"/>
        <v>MILLER KEVIN</v>
      </c>
    </row>
    <row r="45" spans="1:7" x14ac:dyDescent="0.25">
      <c r="A45" s="8">
        <v>42934.266168981485</v>
      </c>
      <c r="B45" s="20" t="s">
        <v>514</v>
      </c>
      <c r="C45" s="20" t="s">
        <v>635</v>
      </c>
      <c r="D45" s="138">
        <v>3340000</v>
      </c>
      <c r="E45" s="20" t="s">
        <v>472</v>
      </c>
      <c r="F45" s="20" t="s">
        <v>473</v>
      </c>
      <c r="G45" s="8" t="str">
        <f t="shared" si="0"/>
        <v>ELBAUM MIKE</v>
      </c>
    </row>
    <row r="46" spans="1:7" x14ac:dyDescent="0.25">
      <c r="A46" s="8">
        <v>42934.268912037034</v>
      </c>
      <c r="B46" s="20" t="s">
        <v>435</v>
      </c>
      <c r="C46" s="20" t="s">
        <v>701</v>
      </c>
      <c r="D46" s="138">
        <v>2600000</v>
      </c>
      <c r="E46" s="20" t="s">
        <v>532</v>
      </c>
      <c r="F46" s="20" t="s">
        <v>533</v>
      </c>
      <c r="G46" s="8" t="str">
        <f t="shared" si="0"/>
        <v>DAVIDSON DAVID</v>
      </c>
    </row>
    <row r="47" spans="1:7" x14ac:dyDescent="0.25">
      <c r="A47" s="8">
        <v>42934.276932870373</v>
      </c>
      <c r="B47" s="20" t="s">
        <v>477</v>
      </c>
      <c r="C47" s="20" t="s">
        <v>640</v>
      </c>
      <c r="D47" s="138">
        <v>2730000</v>
      </c>
      <c r="E47" s="20" t="s">
        <v>694</v>
      </c>
      <c r="F47" s="20" t="s">
        <v>695</v>
      </c>
      <c r="G47" s="8" t="str">
        <f t="shared" si="0"/>
        <v>YANG JAN</v>
      </c>
    </row>
    <row r="48" spans="1:7" x14ac:dyDescent="0.25">
      <c r="A48" s="8">
        <v>42934.278090277781</v>
      </c>
      <c r="B48" s="20" t="s">
        <v>436</v>
      </c>
      <c r="C48" s="20" t="s">
        <v>702</v>
      </c>
      <c r="D48" s="138">
        <v>1110000</v>
      </c>
      <c r="E48" s="20" t="s">
        <v>426</v>
      </c>
      <c r="F48" s="20" t="s">
        <v>427</v>
      </c>
      <c r="G48" s="8" t="str">
        <f t="shared" si="0"/>
        <v>STARKS ANGELINA</v>
      </c>
    </row>
    <row r="49" spans="1:7" x14ac:dyDescent="0.25">
      <c r="A49" s="8">
        <v>42934.27988425926</v>
      </c>
      <c r="B49" s="20" t="s">
        <v>477</v>
      </c>
      <c r="C49" s="20" t="s">
        <v>640</v>
      </c>
      <c r="D49" s="138">
        <v>2730000</v>
      </c>
      <c r="E49" s="20" t="s">
        <v>694</v>
      </c>
      <c r="F49" s="20" t="s">
        <v>695</v>
      </c>
      <c r="G49" s="8" t="str">
        <f t="shared" si="0"/>
        <v>YANG JAN</v>
      </c>
    </row>
    <row r="50" spans="1:7" x14ac:dyDescent="0.25">
      <c r="A50" s="8">
        <v>42934.282638888886</v>
      </c>
      <c r="B50" s="20" t="s">
        <v>630</v>
      </c>
      <c r="C50" s="20" t="s">
        <v>641</v>
      </c>
      <c r="D50" s="138">
        <v>3300000</v>
      </c>
      <c r="E50" s="20" t="s">
        <v>564</v>
      </c>
      <c r="F50" s="20" t="s">
        <v>500</v>
      </c>
      <c r="G50" s="8" t="str">
        <f t="shared" si="0"/>
        <v>LANGERAK WILLIAM</v>
      </c>
    </row>
    <row r="51" spans="1:7" x14ac:dyDescent="0.25">
      <c r="A51" s="8">
        <v>42934.283831018518</v>
      </c>
      <c r="B51" s="20" t="s">
        <v>418</v>
      </c>
      <c r="C51" s="20" t="s">
        <v>703</v>
      </c>
      <c r="D51" s="138">
        <v>2010000</v>
      </c>
      <c r="E51" s="20" t="s">
        <v>527</v>
      </c>
      <c r="F51" s="20" t="s">
        <v>528</v>
      </c>
      <c r="G51" s="8" t="str">
        <f t="shared" si="0"/>
        <v>MAELZER KURT</v>
      </c>
    </row>
    <row r="52" spans="1:7" x14ac:dyDescent="0.25">
      <c r="A52" s="8">
        <v>42934.2890625</v>
      </c>
      <c r="B52" s="20" t="s">
        <v>361</v>
      </c>
      <c r="C52" s="20" t="s">
        <v>704</v>
      </c>
      <c r="D52" s="138">
        <v>3320000</v>
      </c>
      <c r="E52" s="20" t="s">
        <v>560</v>
      </c>
      <c r="F52" s="20" t="s">
        <v>561</v>
      </c>
      <c r="G52" s="8" t="str">
        <f t="shared" si="0"/>
        <v>NICHOLSON WESLEY</v>
      </c>
    </row>
    <row r="53" spans="1:7" x14ac:dyDescent="0.25">
      <c r="A53" s="8">
        <v>42934.289224537039</v>
      </c>
      <c r="B53" s="20" t="s">
        <v>515</v>
      </c>
      <c r="C53" s="20" t="s">
        <v>705</v>
      </c>
      <c r="D53" s="138">
        <v>3330000</v>
      </c>
      <c r="E53" s="20" t="s">
        <v>565</v>
      </c>
      <c r="F53" s="20" t="s">
        <v>566</v>
      </c>
      <c r="G53" s="8" t="str">
        <f t="shared" si="0"/>
        <v>GONZALEZ ARMANDO</v>
      </c>
    </row>
    <row r="54" spans="1:7" x14ac:dyDescent="0.25">
      <c r="A54" s="8">
        <v>42934.298229166663</v>
      </c>
      <c r="B54" s="20" t="s">
        <v>632</v>
      </c>
      <c r="C54" s="20" t="s">
        <v>706</v>
      </c>
      <c r="D54" s="138">
        <v>3300000</v>
      </c>
      <c r="E54" s="20" t="s">
        <v>564</v>
      </c>
      <c r="F54" s="20" t="s">
        <v>500</v>
      </c>
      <c r="G54" s="8" t="str">
        <f t="shared" si="0"/>
        <v>LANGERAK WILLIAM</v>
      </c>
    </row>
    <row r="55" spans="1:7" x14ac:dyDescent="0.25">
      <c r="A55" s="8">
        <v>42934.299085648148</v>
      </c>
      <c r="B55" s="20" t="s">
        <v>513</v>
      </c>
      <c r="C55" s="20" t="s">
        <v>707</v>
      </c>
      <c r="D55" s="138">
        <v>3340000</v>
      </c>
      <c r="E55" s="20" t="s">
        <v>472</v>
      </c>
      <c r="F55" s="20" t="s">
        <v>473</v>
      </c>
      <c r="G55" s="8" t="str">
        <f t="shared" si="0"/>
        <v>ELBAUM MIKE</v>
      </c>
    </row>
    <row r="56" spans="1:7" x14ac:dyDescent="0.25">
      <c r="A56" s="8">
        <v>42934.299270833333</v>
      </c>
      <c r="B56" s="20" t="s">
        <v>567</v>
      </c>
      <c r="C56" s="20" t="s">
        <v>708</v>
      </c>
      <c r="D56" s="138">
        <v>3200000</v>
      </c>
      <c r="E56" s="20" t="s">
        <v>559</v>
      </c>
      <c r="F56" s="20" t="s">
        <v>482</v>
      </c>
      <c r="G56" s="8" t="str">
        <f t="shared" si="0"/>
        <v>MILLER KEVIN</v>
      </c>
    </row>
    <row r="57" spans="1:7" x14ac:dyDescent="0.25">
      <c r="A57" s="8">
        <v>42934.302083333336</v>
      </c>
      <c r="B57" s="20" t="s">
        <v>632</v>
      </c>
      <c r="C57" s="20" t="s">
        <v>706</v>
      </c>
      <c r="D57" s="138">
        <v>3300000</v>
      </c>
      <c r="E57" s="20" t="s">
        <v>564</v>
      </c>
      <c r="F57" s="20" t="s">
        <v>500</v>
      </c>
      <c r="G57" s="8" t="str">
        <f t="shared" si="0"/>
        <v>LANGERAK WILLIAM</v>
      </c>
    </row>
    <row r="58" spans="1:7" x14ac:dyDescent="0.25">
      <c r="A58" s="8">
        <v>42934.302361111113</v>
      </c>
      <c r="B58" s="20" t="s">
        <v>698</v>
      </c>
      <c r="C58" s="20" t="s">
        <v>709</v>
      </c>
      <c r="D58" s="138">
        <v>2730000</v>
      </c>
      <c r="E58" s="20" t="s">
        <v>694</v>
      </c>
      <c r="F58" s="20" t="s">
        <v>695</v>
      </c>
      <c r="G58" s="8" t="str">
        <f t="shared" si="0"/>
        <v>YANG JAN</v>
      </c>
    </row>
    <row r="59" spans="1:7" x14ac:dyDescent="0.25">
      <c r="A59" s="8">
        <v>42934.308553240742</v>
      </c>
      <c r="B59" s="20" t="s">
        <v>425</v>
      </c>
      <c r="C59" s="20" t="s">
        <v>710</v>
      </c>
      <c r="D59" s="138">
        <v>2600000</v>
      </c>
      <c r="E59" s="20" t="s">
        <v>532</v>
      </c>
      <c r="F59" s="20" t="s">
        <v>533</v>
      </c>
      <c r="G59" s="8" t="str">
        <f t="shared" si="0"/>
        <v>DAVIDSON DAVID</v>
      </c>
    </row>
    <row r="60" spans="1:7" x14ac:dyDescent="0.25">
      <c r="A60" s="8">
        <v>42934.318541666667</v>
      </c>
      <c r="B60" s="20" t="s">
        <v>477</v>
      </c>
      <c r="C60" s="20" t="s">
        <v>642</v>
      </c>
      <c r="D60" s="138">
        <v>2730000</v>
      </c>
      <c r="E60" s="20" t="s">
        <v>694</v>
      </c>
      <c r="F60" s="20" t="s">
        <v>695</v>
      </c>
      <c r="G60" s="8" t="str">
        <f t="shared" si="0"/>
        <v>YANG JAN</v>
      </c>
    </row>
    <row r="61" spans="1:7" x14ac:dyDescent="0.25">
      <c r="A61" s="8">
        <v>42934.318935185183</v>
      </c>
      <c r="B61" s="20" t="s">
        <v>437</v>
      </c>
      <c r="C61" s="20" t="s">
        <v>644</v>
      </c>
      <c r="D61" s="138">
        <v>1110000</v>
      </c>
      <c r="E61" s="20" t="s">
        <v>426</v>
      </c>
      <c r="F61" s="20" t="s">
        <v>427</v>
      </c>
      <c r="G61" s="8" t="str">
        <f t="shared" si="0"/>
        <v>STARKS ANGELINA</v>
      </c>
    </row>
    <row r="62" spans="1:7" x14ac:dyDescent="0.25">
      <c r="A62" s="8">
        <v>42934.320393518516</v>
      </c>
      <c r="B62" s="20" t="s">
        <v>382</v>
      </c>
      <c r="C62" s="20" t="s">
        <v>711</v>
      </c>
      <c r="D62" s="138">
        <v>2010000</v>
      </c>
      <c r="E62" s="20" t="s">
        <v>527</v>
      </c>
      <c r="F62" s="20" t="s">
        <v>528</v>
      </c>
      <c r="G62" s="8" t="str">
        <f t="shared" si="0"/>
        <v>MAELZER KURT</v>
      </c>
    </row>
    <row r="63" spans="1:7" x14ac:dyDescent="0.25">
      <c r="A63" s="8">
        <v>42934.320833333331</v>
      </c>
      <c r="B63" s="20" t="s">
        <v>636</v>
      </c>
      <c r="C63" s="20" t="s">
        <v>712</v>
      </c>
      <c r="D63" s="138">
        <v>890000</v>
      </c>
      <c r="E63" s="20" t="s">
        <v>685</v>
      </c>
      <c r="F63" s="20" t="s">
        <v>686</v>
      </c>
      <c r="G63" s="8" t="str">
        <f t="shared" si="0"/>
        <v>LOZA FIDEL</v>
      </c>
    </row>
    <row r="64" spans="1:7" x14ac:dyDescent="0.25">
      <c r="A64" s="26">
        <v>42934.321273148147</v>
      </c>
      <c r="B64" s="20" t="s">
        <v>477</v>
      </c>
      <c r="C64" s="20" t="s">
        <v>642</v>
      </c>
      <c r="D64" s="138">
        <v>2730000</v>
      </c>
      <c r="E64" s="20" t="s">
        <v>694</v>
      </c>
      <c r="F64" s="20" t="s">
        <v>695</v>
      </c>
      <c r="G64" s="8" t="str">
        <f t="shared" si="0"/>
        <v>YANG JAN</v>
      </c>
    </row>
    <row r="65" spans="1:7" x14ac:dyDescent="0.25">
      <c r="A65" s="8">
        <v>42934.323634259257</v>
      </c>
      <c r="B65" s="20" t="s">
        <v>630</v>
      </c>
      <c r="C65" s="20" t="s">
        <v>713</v>
      </c>
      <c r="D65" s="138">
        <v>3300000</v>
      </c>
      <c r="E65" s="20" t="s">
        <v>564</v>
      </c>
      <c r="F65" s="20" t="s">
        <v>500</v>
      </c>
      <c r="G65" s="8" t="str">
        <f t="shared" si="0"/>
        <v>LANGERAK WILLIAM</v>
      </c>
    </row>
    <row r="66" spans="1:7" x14ac:dyDescent="0.25">
      <c r="A66" s="8">
        <v>42934.329988425925</v>
      </c>
      <c r="B66" s="20" t="s">
        <v>367</v>
      </c>
      <c r="C66" s="20" t="s">
        <v>643</v>
      </c>
      <c r="D66" s="138">
        <v>3320000</v>
      </c>
      <c r="E66" s="20" t="s">
        <v>560</v>
      </c>
      <c r="F66" s="20" t="s">
        <v>561</v>
      </c>
      <c r="G66" s="8" t="str">
        <f t="shared" si="0"/>
        <v>NICHOLSON WESLEY</v>
      </c>
    </row>
    <row r="67" spans="1:7" x14ac:dyDescent="0.25">
      <c r="A67" s="8">
        <v>42934.336875000001</v>
      </c>
      <c r="B67" s="20" t="s">
        <v>514</v>
      </c>
      <c r="C67" s="20" t="s">
        <v>714</v>
      </c>
      <c r="D67" s="138">
        <v>3340000</v>
      </c>
      <c r="E67" s="20" t="s">
        <v>472</v>
      </c>
      <c r="F67" s="20" t="s">
        <v>473</v>
      </c>
      <c r="G67" s="8" t="str">
        <f t="shared" ref="G67:G130" si="1">E67&amp;" "&amp;F67</f>
        <v>ELBAUM MIKE</v>
      </c>
    </row>
    <row r="68" spans="1:7" x14ac:dyDescent="0.25">
      <c r="A68" s="8">
        <v>42934.338379629633</v>
      </c>
      <c r="B68" s="20" t="s">
        <v>632</v>
      </c>
      <c r="C68" s="20" t="s">
        <v>715</v>
      </c>
      <c r="D68" s="138">
        <v>3300000</v>
      </c>
      <c r="E68" s="20" t="s">
        <v>564</v>
      </c>
      <c r="F68" s="20" t="s">
        <v>500</v>
      </c>
      <c r="G68" s="8" t="str">
        <f t="shared" si="1"/>
        <v>LANGERAK WILLIAM</v>
      </c>
    </row>
    <row r="69" spans="1:7" x14ac:dyDescent="0.25">
      <c r="A69" s="8">
        <v>42934.340185185189</v>
      </c>
      <c r="B69" s="20" t="s">
        <v>435</v>
      </c>
      <c r="C69" s="20" t="s">
        <v>716</v>
      </c>
      <c r="D69" s="138">
        <v>2600000</v>
      </c>
      <c r="E69" s="20" t="s">
        <v>532</v>
      </c>
      <c r="F69" s="20" t="s">
        <v>533</v>
      </c>
      <c r="G69" s="8" t="str">
        <f t="shared" si="1"/>
        <v>DAVIDSON DAVID</v>
      </c>
    </row>
    <row r="70" spans="1:7" x14ac:dyDescent="0.25">
      <c r="A70" s="8">
        <v>42934.340671296297</v>
      </c>
      <c r="B70" s="20" t="s">
        <v>632</v>
      </c>
      <c r="C70" s="20" t="s">
        <v>715</v>
      </c>
      <c r="D70" s="138">
        <v>3300000</v>
      </c>
      <c r="E70" s="20" t="s">
        <v>564</v>
      </c>
      <c r="F70" s="20" t="s">
        <v>500</v>
      </c>
      <c r="G70" s="8" t="str">
        <f t="shared" si="1"/>
        <v>LANGERAK WILLIAM</v>
      </c>
    </row>
    <row r="71" spans="1:7" x14ac:dyDescent="0.25">
      <c r="A71" s="8">
        <v>42934.34138888889</v>
      </c>
      <c r="B71" s="20" t="s">
        <v>540</v>
      </c>
      <c r="C71" s="20" t="s">
        <v>717</v>
      </c>
      <c r="D71" s="138">
        <v>3200000</v>
      </c>
      <c r="E71" s="20" t="s">
        <v>559</v>
      </c>
      <c r="F71" s="20" t="s">
        <v>482</v>
      </c>
      <c r="G71" s="8" t="str">
        <f t="shared" si="1"/>
        <v>MILLER KEVIN</v>
      </c>
    </row>
    <row r="72" spans="1:7" x14ac:dyDescent="0.25">
      <c r="A72" s="8">
        <v>42934.343032407407</v>
      </c>
      <c r="B72" s="20" t="s">
        <v>698</v>
      </c>
      <c r="C72" s="20" t="s">
        <v>718</v>
      </c>
      <c r="D72" s="138">
        <v>2730000</v>
      </c>
      <c r="E72" s="20" t="s">
        <v>694</v>
      </c>
      <c r="F72" s="20" t="s">
        <v>695</v>
      </c>
      <c r="G72" s="8" t="str">
        <f t="shared" si="1"/>
        <v>YANG JAN</v>
      </c>
    </row>
    <row r="73" spans="1:7" x14ac:dyDescent="0.25">
      <c r="A73" s="8">
        <v>42934.34412037037</v>
      </c>
      <c r="B73" s="20" t="s">
        <v>367</v>
      </c>
      <c r="C73" s="20" t="s">
        <v>643</v>
      </c>
      <c r="D73" s="138">
        <v>3320000</v>
      </c>
      <c r="E73" s="20" t="s">
        <v>560</v>
      </c>
      <c r="F73" s="20" t="s">
        <v>561</v>
      </c>
      <c r="G73" s="8" t="str">
        <f t="shared" si="1"/>
        <v>NICHOLSON WESLEY</v>
      </c>
    </row>
    <row r="74" spans="1:7" x14ac:dyDescent="0.25">
      <c r="A74" s="8">
        <v>42934.352696759262</v>
      </c>
      <c r="B74" s="20" t="s">
        <v>436</v>
      </c>
      <c r="C74" s="20" t="s">
        <v>719</v>
      </c>
      <c r="D74" s="138">
        <v>1110000</v>
      </c>
      <c r="E74" s="20" t="s">
        <v>426</v>
      </c>
      <c r="F74" s="20" t="s">
        <v>427</v>
      </c>
      <c r="G74" s="8" t="str">
        <f t="shared" si="1"/>
        <v>STARKS ANGELINA</v>
      </c>
    </row>
    <row r="75" spans="1:7" x14ac:dyDescent="0.25">
      <c r="A75" s="8">
        <v>42934.35361111111</v>
      </c>
      <c r="B75" s="20" t="s">
        <v>367</v>
      </c>
      <c r="C75" s="20" t="s">
        <v>643</v>
      </c>
      <c r="D75" s="138">
        <v>3320000</v>
      </c>
      <c r="E75" s="20" t="s">
        <v>560</v>
      </c>
      <c r="F75" s="20" t="s">
        <v>561</v>
      </c>
      <c r="G75" s="8" t="str">
        <f t="shared" si="1"/>
        <v>NICHOLSON WESLEY</v>
      </c>
    </row>
    <row r="76" spans="1:7" x14ac:dyDescent="0.25">
      <c r="A76" s="8">
        <v>42934.353888888887</v>
      </c>
      <c r="B76" s="20" t="s">
        <v>418</v>
      </c>
      <c r="C76" s="20" t="s">
        <v>720</v>
      </c>
      <c r="D76" s="138">
        <v>2010000</v>
      </c>
      <c r="E76" s="20" t="s">
        <v>527</v>
      </c>
      <c r="F76" s="20" t="s">
        <v>528</v>
      </c>
      <c r="G76" s="8" t="str">
        <f t="shared" si="1"/>
        <v>MAELZER KURT</v>
      </c>
    </row>
    <row r="77" spans="1:7" x14ac:dyDescent="0.25">
      <c r="A77" s="8">
        <v>42934.354618055557</v>
      </c>
      <c r="B77" s="20" t="s">
        <v>630</v>
      </c>
      <c r="C77" s="20" t="s">
        <v>721</v>
      </c>
      <c r="D77" s="138">
        <v>3300000</v>
      </c>
      <c r="E77" s="20" t="s">
        <v>564</v>
      </c>
      <c r="F77" s="20" t="s">
        <v>500</v>
      </c>
      <c r="G77" s="8" t="str">
        <f t="shared" si="1"/>
        <v>LANGERAK WILLIAM</v>
      </c>
    </row>
    <row r="78" spans="1:7" x14ac:dyDescent="0.25">
      <c r="A78" s="8">
        <v>42934.360115740739</v>
      </c>
      <c r="B78" s="20" t="s">
        <v>477</v>
      </c>
      <c r="C78" s="20" t="s">
        <v>645</v>
      </c>
      <c r="D78" s="138">
        <v>2730000</v>
      </c>
      <c r="E78" s="20" t="s">
        <v>694</v>
      </c>
      <c r="F78" s="20" t="s">
        <v>695</v>
      </c>
      <c r="G78" s="8" t="str">
        <f t="shared" si="1"/>
        <v>YANG JAN</v>
      </c>
    </row>
    <row r="79" spans="1:7" x14ac:dyDescent="0.25">
      <c r="A79" s="8">
        <v>42934.363321759258</v>
      </c>
      <c r="B79" s="20" t="s">
        <v>477</v>
      </c>
      <c r="C79" s="20" t="s">
        <v>645</v>
      </c>
      <c r="D79" s="138">
        <v>2730000</v>
      </c>
      <c r="E79" s="20" t="s">
        <v>694</v>
      </c>
      <c r="F79" s="20" t="s">
        <v>695</v>
      </c>
      <c r="G79" s="8" t="str">
        <f t="shared" si="1"/>
        <v>YANG JAN</v>
      </c>
    </row>
    <row r="80" spans="1:7" x14ac:dyDescent="0.25">
      <c r="A80" s="8">
        <v>42934.363425925927</v>
      </c>
      <c r="B80" s="20" t="s">
        <v>515</v>
      </c>
      <c r="C80" s="20" t="s">
        <v>722</v>
      </c>
      <c r="D80" s="138">
        <v>890000</v>
      </c>
      <c r="E80" s="20" t="s">
        <v>685</v>
      </c>
      <c r="F80" s="20" t="s">
        <v>686</v>
      </c>
      <c r="G80" s="8" t="str">
        <f t="shared" si="1"/>
        <v>LOZA FIDEL</v>
      </c>
    </row>
    <row r="81" spans="1:7" x14ac:dyDescent="0.25">
      <c r="A81" s="8">
        <v>42934.370474537034</v>
      </c>
      <c r="B81" s="20" t="s">
        <v>361</v>
      </c>
      <c r="C81" s="20" t="s">
        <v>723</v>
      </c>
      <c r="D81" s="138">
        <v>3320000</v>
      </c>
      <c r="E81" s="20" t="s">
        <v>560</v>
      </c>
      <c r="F81" s="20" t="s">
        <v>561</v>
      </c>
      <c r="G81" s="8" t="str">
        <f t="shared" si="1"/>
        <v>NICHOLSON WESLEY</v>
      </c>
    </row>
    <row r="82" spans="1:7" x14ac:dyDescent="0.25">
      <c r="A82" s="8">
        <v>42934.371481481481</v>
      </c>
      <c r="B82" s="20" t="s">
        <v>513</v>
      </c>
      <c r="C82" s="20" t="s">
        <v>724</v>
      </c>
      <c r="D82" s="138">
        <v>3340000</v>
      </c>
      <c r="E82" s="20" t="s">
        <v>472</v>
      </c>
      <c r="F82" s="20" t="s">
        <v>473</v>
      </c>
      <c r="G82" s="8" t="str">
        <f t="shared" si="1"/>
        <v>ELBAUM MIKE</v>
      </c>
    </row>
    <row r="83" spans="1:7" x14ac:dyDescent="0.25">
      <c r="A83" s="8">
        <v>42934.371990740743</v>
      </c>
      <c r="B83" s="20" t="s">
        <v>567</v>
      </c>
      <c r="C83" s="20" t="s">
        <v>725</v>
      </c>
      <c r="D83" s="138">
        <v>3200000</v>
      </c>
      <c r="E83" s="20" t="s">
        <v>559</v>
      </c>
      <c r="F83" s="20" t="s">
        <v>482</v>
      </c>
      <c r="G83" s="8" t="str">
        <f t="shared" si="1"/>
        <v>MILLER KEVIN</v>
      </c>
    </row>
    <row r="84" spans="1:7" x14ac:dyDescent="0.25">
      <c r="A84" s="8">
        <v>42934.383750000001</v>
      </c>
      <c r="B84" s="20" t="s">
        <v>425</v>
      </c>
      <c r="C84" s="20" t="s">
        <v>726</v>
      </c>
      <c r="D84" s="138">
        <v>2600000</v>
      </c>
      <c r="E84" s="20" t="s">
        <v>532</v>
      </c>
      <c r="F84" s="20" t="s">
        <v>533</v>
      </c>
      <c r="G84" s="8" t="str">
        <f t="shared" si="1"/>
        <v>DAVIDSON DAVID</v>
      </c>
    </row>
    <row r="85" spans="1:7" x14ac:dyDescent="0.25">
      <c r="A85" s="8">
        <v>42934.383888888886</v>
      </c>
      <c r="B85" s="20" t="s">
        <v>698</v>
      </c>
      <c r="C85" s="20" t="s">
        <v>727</v>
      </c>
      <c r="D85" s="138">
        <v>2730000</v>
      </c>
      <c r="E85" s="20" t="s">
        <v>694</v>
      </c>
      <c r="F85" s="20" t="s">
        <v>695</v>
      </c>
      <c r="G85" s="8" t="str">
        <f t="shared" si="1"/>
        <v>YANG JAN</v>
      </c>
    </row>
    <row r="86" spans="1:7" x14ac:dyDescent="0.25">
      <c r="A86" s="8">
        <v>42934.386412037034</v>
      </c>
      <c r="B86" s="20" t="s">
        <v>393</v>
      </c>
      <c r="C86" s="20" t="s">
        <v>728</v>
      </c>
      <c r="D86" s="138">
        <v>1090000</v>
      </c>
      <c r="E86" s="20" t="s">
        <v>668</v>
      </c>
      <c r="F86" s="20" t="s">
        <v>192</v>
      </c>
      <c r="G86" s="8" t="str">
        <f t="shared" si="1"/>
        <v>SPECTOR MICHAEL</v>
      </c>
    </row>
    <row r="87" spans="1:7" x14ac:dyDescent="0.25">
      <c r="A87" s="8">
        <v>42934.391689814816</v>
      </c>
      <c r="B87" s="20" t="s">
        <v>392</v>
      </c>
      <c r="C87" s="20" t="s">
        <v>728</v>
      </c>
      <c r="D87" s="138">
        <v>1090000</v>
      </c>
      <c r="E87" s="20" t="s">
        <v>668</v>
      </c>
      <c r="F87" s="20" t="s">
        <v>192</v>
      </c>
      <c r="G87" s="8" t="str">
        <f t="shared" si="1"/>
        <v>SPECTOR MICHAEL</v>
      </c>
    </row>
    <row r="88" spans="1:7" x14ac:dyDescent="0.25">
      <c r="A88" s="8">
        <v>42934.392222222225</v>
      </c>
      <c r="B88" s="20" t="s">
        <v>382</v>
      </c>
      <c r="C88" s="20" t="s">
        <v>729</v>
      </c>
      <c r="D88" s="138">
        <v>2010000</v>
      </c>
      <c r="E88" s="20" t="s">
        <v>527</v>
      </c>
      <c r="F88" s="20" t="s">
        <v>528</v>
      </c>
      <c r="G88" s="8" t="str">
        <f t="shared" si="1"/>
        <v>MAELZER KURT</v>
      </c>
    </row>
    <row r="89" spans="1:7" x14ac:dyDescent="0.25">
      <c r="A89" s="8">
        <v>42934.392893518518</v>
      </c>
      <c r="B89" s="20" t="s">
        <v>437</v>
      </c>
      <c r="C89" s="20" t="s">
        <v>646</v>
      </c>
      <c r="D89" s="138">
        <v>1110000</v>
      </c>
      <c r="E89" s="20" t="s">
        <v>426</v>
      </c>
      <c r="F89" s="20" t="s">
        <v>427</v>
      </c>
      <c r="G89" s="8" t="str">
        <f t="shared" si="1"/>
        <v>STARKS ANGELINA</v>
      </c>
    </row>
    <row r="90" spans="1:7" x14ac:dyDescent="0.25">
      <c r="A90" s="8">
        <v>42934.401446759257</v>
      </c>
      <c r="B90" s="20" t="s">
        <v>636</v>
      </c>
      <c r="C90" s="20" t="s">
        <v>730</v>
      </c>
      <c r="D90" s="138">
        <v>890000</v>
      </c>
      <c r="E90" s="20" t="s">
        <v>685</v>
      </c>
      <c r="F90" s="20" t="s">
        <v>686</v>
      </c>
      <c r="G90" s="8" t="str">
        <f t="shared" si="1"/>
        <v>LOZA FIDEL</v>
      </c>
    </row>
    <row r="91" spans="1:7" x14ac:dyDescent="0.25">
      <c r="A91" s="8">
        <v>42934.402951388889</v>
      </c>
      <c r="B91" s="20" t="s">
        <v>514</v>
      </c>
      <c r="C91" s="20" t="s">
        <v>731</v>
      </c>
      <c r="D91" s="138">
        <v>3340000</v>
      </c>
      <c r="E91" s="20" t="s">
        <v>472</v>
      </c>
      <c r="F91" s="20" t="s">
        <v>473</v>
      </c>
      <c r="G91" s="8" t="str">
        <f t="shared" si="1"/>
        <v>ELBAUM MIKE</v>
      </c>
    </row>
    <row r="92" spans="1:7" x14ac:dyDescent="0.25">
      <c r="A92" s="8">
        <v>42934.403819444444</v>
      </c>
      <c r="B92" s="20" t="s">
        <v>477</v>
      </c>
      <c r="C92" s="20" t="s">
        <v>732</v>
      </c>
      <c r="D92" s="138">
        <v>2730000</v>
      </c>
      <c r="E92" s="20" t="s">
        <v>694</v>
      </c>
      <c r="F92" s="20" t="s">
        <v>695</v>
      </c>
      <c r="G92" s="8" t="str">
        <f t="shared" si="1"/>
        <v>YANG JAN</v>
      </c>
    </row>
    <row r="93" spans="1:7" x14ac:dyDescent="0.25">
      <c r="A93" s="8">
        <v>42934.403946759259</v>
      </c>
      <c r="B93" s="20" t="s">
        <v>393</v>
      </c>
      <c r="C93" s="20" t="s">
        <v>733</v>
      </c>
      <c r="D93" s="138">
        <v>3320000</v>
      </c>
      <c r="E93" s="20" t="s">
        <v>560</v>
      </c>
      <c r="F93" s="20" t="s">
        <v>561</v>
      </c>
      <c r="G93" s="8" t="str">
        <f t="shared" si="1"/>
        <v>NICHOLSON WESLEY</v>
      </c>
    </row>
    <row r="94" spans="1:7" x14ac:dyDescent="0.25">
      <c r="A94" s="8">
        <v>42934.412685185183</v>
      </c>
      <c r="B94" s="20" t="s">
        <v>540</v>
      </c>
      <c r="C94" s="20" t="s">
        <v>734</v>
      </c>
      <c r="D94" s="138">
        <v>3200000</v>
      </c>
      <c r="E94" s="20" t="s">
        <v>559</v>
      </c>
      <c r="F94" s="20" t="s">
        <v>482</v>
      </c>
      <c r="G94" s="8" t="str">
        <f t="shared" si="1"/>
        <v>MILLER KEVIN</v>
      </c>
    </row>
    <row r="95" spans="1:7" x14ac:dyDescent="0.25">
      <c r="A95" s="8">
        <v>42934.416168981479</v>
      </c>
      <c r="B95" s="20" t="s">
        <v>435</v>
      </c>
      <c r="C95" s="20" t="s">
        <v>735</v>
      </c>
      <c r="D95" s="138">
        <v>2600000</v>
      </c>
      <c r="E95" s="20" t="s">
        <v>532</v>
      </c>
      <c r="F95" s="20" t="s">
        <v>533</v>
      </c>
      <c r="G95" s="8" t="str">
        <f t="shared" si="1"/>
        <v>DAVIDSON DAVID</v>
      </c>
    </row>
    <row r="96" spans="1:7" x14ac:dyDescent="0.25">
      <c r="A96" s="8">
        <v>42934.425543981481</v>
      </c>
      <c r="B96" s="20" t="s">
        <v>436</v>
      </c>
      <c r="C96" s="20" t="s">
        <v>736</v>
      </c>
      <c r="D96" s="138">
        <v>3300000</v>
      </c>
      <c r="E96" s="20" t="s">
        <v>564</v>
      </c>
      <c r="F96" s="20" t="s">
        <v>500</v>
      </c>
      <c r="G96" s="8" t="str">
        <f t="shared" si="1"/>
        <v>LANGERAK WILLIAM</v>
      </c>
    </row>
    <row r="97" spans="1:7" x14ac:dyDescent="0.25">
      <c r="A97" s="8">
        <v>42934.425868055558</v>
      </c>
      <c r="B97" s="20" t="s">
        <v>698</v>
      </c>
      <c r="C97" s="20" t="s">
        <v>737</v>
      </c>
      <c r="D97" s="138">
        <v>2730000</v>
      </c>
      <c r="E97" s="20" t="s">
        <v>694</v>
      </c>
      <c r="F97" s="20" t="s">
        <v>695</v>
      </c>
      <c r="G97" s="8" t="str">
        <f t="shared" si="1"/>
        <v>YANG JAN</v>
      </c>
    </row>
    <row r="98" spans="1:7" x14ac:dyDescent="0.25">
      <c r="A98" s="8">
        <v>42934.433240740742</v>
      </c>
      <c r="B98" s="20" t="s">
        <v>515</v>
      </c>
      <c r="C98" s="20" t="s">
        <v>647</v>
      </c>
      <c r="D98" s="138">
        <v>3330000</v>
      </c>
      <c r="E98" s="20" t="s">
        <v>565</v>
      </c>
      <c r="F98" s="20" t="s">
        <v>566</v>
      </c>
      <c r="G98" s="8" t="str">
        <f t="shared" si="1"/>
        <v>GONZALEZ ARMANDO</v>
      </c>
    </row>
    <row r="99" spans="1:7" x14ac:dyDescent="0.25">
      <c r="A99" s="8">
        <v>42934.433946759258</v>
      </c>
      <c r="B99" s="20" t="s">
        <v>418</v>
      </c>
      <c r="C99" s="20" t="s">
        <v>738</v>
      </c>
      <c r="D99" s="138">
        <v>2010000</v>
      </c>
      <c r="E99" s="20" t="s">
        <v>527</v>
      </c>
      <c r="F99" s="20" t="s">
        <v>528</v>
      </c>
      <c r="G99" s="8" t="str">
        <f t="shared" si="1"/>
        <v>MAELZER KURT</v>
      </c>
    </row>
    <row r="100" spans="1:7" x14ac:dyDescent="0.25">
      <c r="A100" s="8">
        <v>42934.436319444445</v>
      </c>
      <c r="B100" s="20" t="s">
        <v>392</v>
      </c>
      <c r="C100" s="20" t="s">
        <v>739</v>
      </c>
      <c r="D100" s="138">
        <v>3320000</v>
      </c>
      <c r="E100" s="20" t="s">
        <v>560</v>
      </c>
      <c r="F100" s="20" t="s">
        <v>561</v>
      </c>
      <c r="G100" s="8" t="str">
        <f t="shared" si="1"/>
        <v>NICHOLSON WESLEY</v>
      </c>
    </row>
    <row r="101" spans="1:7" x14ac:dyDescent="0.25">
      <c r="A101" s="8">
        <v>42934.443298611113</v>
      </c>
      <c r="B101" s="20" t="s">
        <v>477</v>
      </c>
      <c r="C101" s="20" t="s">
        <v>740</v>
      </c>
      <c r="D101" s="138">
        <v>2730000</v>
      </c>
      <c r="E101" s="20" t="s">
        <v>694</v>
      </c>
      <c r="F101" s="20" t="s">
        <v>695</v>
      </c>
      <c r="G101" s="8" t="str">
        <f t="shared" si="1"/>
        <v>YANG JAN</v>
      </c>
    </row>
    <row r="102" spans="1:7" x14ac:dyDescent="0.25">
      <c r="A102" s="8">
        <v>42934.445219907408</v>
      </c>
      <c r="B102" s="20" t="s">
        <v>567</v>
      </c>
      <c r="C102" s="20" t="s">
        <v>741</v>
      </c>
      <c r="D102" s="138">
        <v>3200000</v>
      </c>
      <c r="E102" s="20" t="s">
        <v>559</v>
      </c>
      <c r="F102" s="20" t="s">
        <v>482</v>
      </c>
      <c r="G102" s="8" t="str">
        <f t="shared" si="1"/>
        <v>MILLER KEVIN</v>
      </c>
    </row>
    <row r="103" spans="1:7" x14ac:dyDescent="0.25">
      <c r="A103" s="8">
        <v>42934.446863425925</v>
      </c>
      <c r="B103" s="20" t="s">
        <v>515</v>
      </c>
      <c r="C103" s="20" t="s">
        <v>647</v>
      </c>
      <c r="D103" s="138">
        <v>3330000</v>
      </c>
      <c r="E103" s="20" t="s">
        <v>565</v>
      </c>
      <c r="F103" s="20" t="s">
        <v>566</v>
      </c>
      <c r="G103" s="8" t="str">
        <f t="shared" si="1"/>
        <v>GONZALEZ ARMANDO</v>
      </c>
    </row>
    <row r="104" spans="1:7" x14ac:dyDescent="0.25">
      <c r="A104" s="8">
        <v>42934.446921296294</v>
      </c>
      <c r="B104" s="20" t="s">
        <v>395</v>
      </c>
      <c r="C104" s="20" t="s">
        <v>648</v>
      </c>
      <c r="D104" s="138">
        <v>2470000</v>
      </c>
      <c r="E104" s="20" t="s">
        <v>742</v>
      </c>
      <c r="F104" s="20" t="s">
        <v>743</v>
      </c>
      <c r="G104" s="8" t="str">
        <f t="shared" si="1"/>
        <v>ROMERO CHAD</v>
      </c>
    </row>
    <row r="105" spans="1:7" x14ac:dyDescent="0.25">
      <c r="A105" s="8">
        <v>42934.447523148148</v>
      </c>
      <c r="B105" s="20" t="s">
        <v>513</v>
      </c>
      <c r="C105" s="20" t="s">
        <v>744</v>
      </c>
      <c r="D105" s="138">
        <v>920000</v>
      </c>
      <c r="E105" s="20" t="s">
        <v>383</v>
      </c>
      <c r="F105" s="20" t="s">
        <v>192</v>
      </c>
      <c r="G105" s="8" t="str">
        <f t="shared" si="1"/>
        <v>DAVIS MICHAEL</v>
      </c>
    </row>
    <row r="106" spans="1:7" x14ac:dyDescent="0.25">
      <c r="A106" s="8">
        <v>42934.454074074078</v>
      </c>
      <c r="B106" s="20" t="s">
        <v>425</v>
      </c>
      <c r="C106" s="20" t="s">
        <v>745</v>
      </c>
      <c r="D106" s="138">
        <v>2600000</v>
      </c>
      <c r="E106" s="20" t="s">
        <v>532</v>
      </c>
      <c r="F106" s="20" t="s">
        <v>533</v>
      </c>
      <c r="G106" s="8" t="str">
        <f t="shared" si="1"/>
        <v>DAVIDSON DAVID</v>
      </c>
    </row>
    <row r="107" spans="1:7" x14ac:dyDescent="0.25">
      <c r="A107" s="8">
        <v>42934.457743055558</v>
      </c>
      <c r="B107" s="20" t="s">
        <v>437</v>
      </c>
      <c r="C107" s="20" t="s">
        <v>746</v>
      </c>
      <c r="D107" s="138">
        <v>3300000</v>
      </c>
      <c r="E107" s="20" t="s">
        <v>564</v>
      </c>
      <c r="F107" s="20" t="s">
        <v>500</v>
      </c>
      <c r="G107" s="8" t="str">
        <f t="shared" si="1"/>
        <v>LANGERAK WILLIAM</v>
      </c>
    </row>
    <row r="108" spans="1:7" x14ac:dyDescent="0.25">
      <c r="A108" s="8">
        <v>42934.458182870374</v>
      </c>
      <c r="B108" s="20" t="s">
        <v>698</v>
      </c>
      <c r="C108" s="20" t="s">
        <v>747</v>
      </c>
      <c r="D108" s="138">
        <v>2730000</v>
      </c>
      <c r="E108" s="20" t="s">
        <v>694</v>
      </c>
      <c r="F108" s="20" t="s">
        <v>695</v>
      </c>
      <c r="G108" s="8" t="str">
        <f t="shared" si="1"/>
        <v>YANG JAN</v>
      </c>
    </row>
    <row r="109" spans="1:7" x14ac:dyDescent="0.25">
      <c r="A109" s="8">
        <v>42934.464965277781</v>
      </c>
      <c r="B109" s="20" t="s">
        <v>382</v>
      </c>
      <c r="C109" s="20" t="s">
        <v>748</v>
      </c>
      <c r="D109" s="138">
        <v>2040000</v>
      </c>
      <c r="E109" s="20" t="s">
        <v>428</v>
      </c>
      <c r="F109" s="20" t="s">
        <v>429</v>
      </c>
      <c r="G109" s="8" t="str">
        <f t="shared" si="1"/>
        <v>MOSES BRADLEY</v>
      </c>
    </row>
    <row r="110" spans="1:7" x14ac:dyDescent="0.25">
      <c r="A110" s="8">
        <v>42934.475370370368</v>
      </c>
      <c r="B110" s="20" t="s">
        <v>636</v>
      </c>
      <c r="C110" s="20" t="s">
        <v>749</v>
      </c>
      <c r="D110" s="138">
        <v>3330000</v>
      </c>
      <c r="E110" s="20" t="s">
        <v>565</v>
      </c>
      <c r="F110" s="20" t="s">
        <v>566</v>
      </c>
      <c r="G110" s="8" t="str">
        <f t="shared" si="1"/>
        <v>GONZALEZ ARMANDO</v>
      </c>
    </row>
    <row r="111" spans="1:7" x14ac:dyDescent="0.25">
      <c r="A111" s="8">
        <v>42934.477418981478</v>
      </c>
      <c r="B111" s="20" t="s">
        <v>394</v>
      </c>
      <c r="C111" s="20" t="s">
        <v>750</v>
      </c>
      <c r="D111" s="138">
        <v>2010000</v>
      </c>
      <c r="E111" s="20" t="s">
        <v>527</v>
      </c>
      <c r="F111" s="20" t="s">
        <v>528</v>
      </c>
      <c r="G111" s="8" t="str">
        <f t="shared" si="1"/>
        <v>MAELZER KURT</v>
      </c>
    </row>
    <row r="112" spans="1:7" x14ac:dyDescent="0.25">
      <c r="A112" s="8">
        <v>42934.477731481478</v>
      </c>
      <c r="B112" s="20" t="s">
        <v>393</v>
      </c>
      <c r="C112" s="20" t="s">
        <v>649</v>
      </c>
      <c r="D112" s="138">
        <v>3260000</v>
      </c>
      <c r="E112" s="20" t="s">
        <v>568</v>
      </c>
      <c r="F112" s="20" t="s">
        <v>569</v>
      </c>
      <c r="G112" s="8" t="str">
        <f t="shared" si="1"/>
        <v>PAGE MARCUS</v>
      </c>
    </row>
    <row r="113" spans="1:7" x14ac:dyDescent="0.25">
      <c r="A113" s="8">
        <v>42934.484363425923</v>
      </c>
      <c r="B113" s="20" t="s">
        <v>477</v>
      </c>
      <c r="C113" s="20" t="s">
        <v>751</v>
      </c>
      <c r="D113" s="138">
        <v>2730000</v>
      </c>
      <c r="E113" s="20" t="s">
        <v>694</v>
      </c>
      <c r="F113" s="20" t="s">
        <v>695</v>
      </c>
      <c r="G113" s="8" t="str">
        <f t="shared" si="1"/>
        <v>YANG JAN</v>
      </c>
    </row>
    <row r="114" spans="1:7" x14ac:dyDescent="0.25">
      <c r="A114" s="8">
        <v>42934.486064814817</v>
      </c>
      <c r="B114" s="20" t="s">
        <v>514</v>
      </c>
      <c r="C114" s="20" t="s">
        <v>752</v>
      </c>
      <c r="D114" s="138">
        <v>920000</v>
      </c>
      <c r="E114" s="20" t="s">
        <v>383</v>
      </c>
      <c r="F114" s="20" t="s">
        <v>192</v>
      </c>
      <c r="G114" s="8" t="str">
        <f t="shared" si="1"/>
        <v>DAVIS MICHAEL</v>
      </c>
    </row>
    <row r="115" spans="1:7" x14ac:dyDescent="0.25">
      <c r="A115" s="8">
        <v>42934.486828703702</v>
      </c>
      <c r="B115" s="20" t="s">
        <v>435</v>
      </c>
      <c r="C115" s="20" t="s">
        <v>753</v>
      </c>
      <c r="D115" s="138">
        <v>2600000</v>
      </c>
      <c r="E115" s="20" t="s">
        <v>532</v>
      </c>
      <c r="F115" s="20" t="s">
        <v>533</v>
      </c>
      <c r="G115" s="8" t="str">
        <f t="shared" si="1"/>
        <v>DAVIDSON DAVID</v>
      </c>
    </row>
    <row r="116" spans="1:7" x14ac:dyDescent="0.25">
      <c r="A116" s="8">
        <v>42934.487754629627</v>
      </c>
      <c r="B116" s="20" t="s">
        <v>540</v>
      </c>
      <c r="C116" s="20" t="s">
        <v>650</v>
      </c>
      <c r="D116" s="138">
        <v>1300000</v>
      </c>
      <c r="E116" s="20" t="s">
        <v>572</v>
      </c>
      <c r="F116" s="20" t="s">
        <v>573</v>
      </c>
      <c r="G116" s="8" t="str">
        <f t="shared" si="1"/>
        <v>LEVIN SCOTT</v>
      </c>
    </row>
    <row r="117" spans="1:7" x14ac:dyDescent="0.25">
      <c r="A117" s="8">
        <v>42934.498263888891</v>
      </c>
      <c r="B117" s="20" t="s">
        <v>436</v>
      </c>
      <c r="C117" s="20" t="s">
        <v>754</v>
      </c>
      <c r="D117" s="138">
        <v>3310000</v>
      </c>
      <c r="E117" s="20" t="s">
        <v>570</v>
      </c>
      <c r="F117" s="20" t="s">
        <v>571</v>
      </c>
      <c r="G117" s="8" t="str">
        <f t="shared" si="1"/>
        <v>ANDERS STEVEN</v>
      </c>
    </row>
    <row r="118" spans="1:7" x14ac:dyDescent="0.25">
      <c r="A118" s="8">
        <v>42934.507152777776</v>
      </c>
      <c r="B118" s="20" t="s">
        <v>418</v>
      </c>
      <c r="C118" s="20" t="s">
        <v>652</v>
      </c>
      <c r="D118" s="138">
        <v>2040000</v>
      </c>
      <c r="E118" s="20" t="s">
        <v>428</v>
      </c>
      <c r="F118" s="20" t="s">
        <v>429</v>
      </c>
      <c r="G118" s="8" t="str">
        <f t="shared" si="1"/>
        <v>MOSES BRADLEY</v>
      </c>
    </row>
    <row r="119" spans="1:7" x14ac:dyDescent="0.25">
      <c r="A119" s="8">
        <v>42934.507777777777</v>
      </c>
      <c r="B119" s="20" t="s">
        <v>515</v>
      </c>
      <c r="C119" s="20" t="s">
        <v>755</v>
      </c>
      <c r="D119" s="138">
        <v>3120000</v>
      </c>
      <c r="E119" s="20" t="s">
        <v>534</v>
      </c>
      <c r="F119" s="20" t="s">
        <v>535</v>
      </c>
      <c r="G119" s="8" t="str">
        <f t="shared" si="1"/>
        <v>THOMPSON LESTER</v>
      </c>
    </row>
    <row r="120" spans="1:7" x14ac:dyDescent="0.25">
      <c r="A120" s="8">
        <v>42934.507847222223</v>
      </c>
      <c r="B120" s="20" t="s">
        <v>392</v>
      </c>
      <c r="C120" s="20" t="s">
        <v>653</v>
      </c>
      <c r="D120" s="138">
        <v>3260000</v>
      </c>
      <c r="E120" s="20" t="s">
        <v>568</v>
      </c>
      <c r="F120" s="20" t="s">
        <v>569</v>
      </c>
      <c r="G120" s="8" t="str">
        <f t="shared" si="1"/>
        <v>PAGE MARCUS</v>
      </c>
    </row>
    <row r="121" spans="1:7" x14ac:dyDescent="0.25">
      <c r="A121" s="8">
        <v>42934.509895833333</v>
      </c>
      <c r="B121" s="20" t="s">
        <v>698</v>
      </c>
      <c r="C121" s="20" t="s">
        <v>756</v>
      </c>
      <c r="D121" s="138">
        <v>2730000</v>
      </c>
      <c r="E121" s="20" t="s">
        <v>694</v>
      </c>
      <c r="F121" s="20" t="s">
        <v>695</v>
      </c>
      <c r="G121" s="8" t="str">
        <f t="shared" si="1"/>
        <v>YANG JAN</v>
      </c>
    </row>
    <row r="122" spans="1:7" x14ac:dyDescent="0.25">
      <c r="A122" s="8">
        <v>42934.516585648147</v>
      </c>
      <c r="B122" s="25" t="s">
        <v>513</v>
      </c>
      <c r="C122" s="20" t="s">
        <v>757</v>
      </c>
      <c r="D122" s="138">
        <v>1810000</v>
      </c>
      <c r="E122" s="20" t="s">
        <v>529</v>
      </c>
      <c r="F122" s="20" t="s">
        <v>189</v>
      </c>
      <c r="G122" s="8" t="str">
        <f t="shared" si="1"/>
        <v>NEWELL JAMES</v>
      </c>
    </row>
    <row r="123" spans="1:7" x14ac:dyDescent="0.25">
      <c r="A123" s="8">
        <v>42934.524930555555</v>
      </c>
      <c r="B123" s="20" t="s">
        <v>513</v>
      </c>
      <c r="C123" s="20" t="s">
        <v>757</v>
      </c>
      <c r="D123" s="138">
        <v>1810000</v>
      </c>
      <c r="E123" s="20" t="s">
        <v>529</v>
      </c>
      <c r="F123" s="20" t="s">
        <v>189</v>
      </c>
      <c r="G123" s="8" t="str">
        <f t="shared" si="1"/>
        <v>NEWELL JAMES</v>
      </c>
    </row>
    <row r="124" spans="1:7" x14ac:dyDescent="0.25">
      <c r="A124" s="8">
        <v>42934.526261574072</v>
      </c>
      <c r="B124" s="20" t="s">
        <v>477</v>
      </c>
      <c r="C124" s="20" t="s">
        <v>651</v>
      </c>
      <c r="D124" s="138">
        <v>2730000</v>
      </c>
      <c r="E124" s="20" t="s">
        <v>694</v>
      </c>
      <c r="F124" s="20" t="s">
        <v>695</v>
      </c>
      <c r="G124" s="8" t="str">
        <f t="shared" si="1"/>
        <v>YANG JAN</v>
      </c>
    </row>
    <row r="125" spans="1:7" x14ac:dyDescent="0.25">
      <c r="A125" s="8">
        <v>42934.527407407404</v>
      </c>
      <c r="B125" s="20" t="s">
        <v>567</v>
      </c>
      <c r="C125" s="20" t="s">
        <v>758</v>
      </c>
      <c r="D125" s="138">
        <v>1300000</v>
      </c>
      <c r="E125" s="20" t="s">
        <v>572</v>
      </c>
      <c r="F125" s="20" t="s">
        <v>573</v>
      </c>
      <c r="G125" s="8" t="str">
        <f t="shared" si="1"/>
        <v>LEVIN SCOTT</v>
      </c>
    </row>
    <row r="126" spans="1:7" x14ac:dyDescent="0.25">
      <c r="A126" s="8">
        <v>42934.528229166666</v>
      </c>
      <c r="B126" s="20" t="s">
        <v>425</v>
      </c>
      <c r="C126" s="20" t="s">
        <v>759</v>
      </c>
      <c r="D126" s="138">
        <v>2540000</v>
      </c>
      <c r="E126" s="20" t="s">
        <v>538</v>
      </c>
      <c r="F126" s="20" t="s">
        <v>539</v>
      </c>
      <c r="G126" s="8" t="str">
        <f t="shared" si="1"/>
        <v>MCREYNOLDS KYLE</v>
      </c>
    </row>
    <row r="127" spans="1:7" x14ac:dyDescent="0.25">
      <c r="A127" s="8">
        <v>42934.534074074072</v>
      </c>
      <c r="B127" s="20" t="s">
        <v>437</v>
      </c>
      <c r="C127" s="20" t="s">
        <v>760</v>
      </c>
      <c r="D127" s="138">
        <v>3310000</v>
      </c>
      <c r="E127" s="20" t="s">
        <v>570</v>
      </c>
      <c r="F127" s="20" t="s">
        <v>571</v>
      </c>
      <c r="G127" s="8" t="str">
        <f t="shared" si="1"/>
        <v>ANDERS STEVEN</v>
      </c>
    </row>
    <row r="128" spans="1:7" x14ac:dyDescent="0.25">
      <c r="A128" s="8">
        <v>42934.540081018517</v>
      </c>
      <c r="B128" s="20" t="s">
        <v>382</v>
      </c>
      <c r="C128" s="20" t="s">
        <v>761</v>
      </c>
      <c r="D128" s="138">
        <v>2040000</v>
      </c>
      <c r="E128" s="20" t="s">
        <v>428</v>
      </c>
      <c r="F128" s="20" t="s">
        <v>429</v>
      </c>
      <c r="G128" s="8" t="str">
        <f t="shared" si="1"/>
        <v>MOSES BRADLEY</v>
      </c>
    </row>
    <row r="129" spans="1:7" x14ac:dyDescent="0.25">
      <c r="A129" s="8">
        <v>42934.547662037039</v>
      </c>
      <c r="B129" s="20" t="s">
        <v>393</v>
      </c>
      <c r="C129" s="20" t="s">
        <v>762</v>
      </c>
      <c r="D129" s="138">
        <v>3260000</v>
      </c>
      <c r="E129" s="20" t="s">
        <v>568</v>
      </c>
      <c r="F129" s="20" t="s">
        <v>569</v>
      </c>
      <c r="G129" s="8" t="str">
        <f t="shared" si="1"/>
        <v>PAGE MARCUS</v>
      </c>
    </row>
    <row r="130" spans="1:7" x14ac:dyDescent="0.25">
      <c r="A130" s="8">
        <v>42934.547719907408</v>
      </c>
      <c r="B130" s="20" t="s">
        <v>698</v>
      </c>
      <c r="C130" s="20" t="s">
        <v>763</v>
      </c>
      <c r="D130" s="138">
        <v>1770000</v>
      </c>
      <c r="E130" s="20" t="s">
        <v>536</v>
      </c>
      <c r="F130" s="20" t="s">
        <v>537</v>
      </c>
      <c r="G130" s="8" t="str">
        <f t="shared" si="1"/>
        <v>BRUDER RICHARD</v>
      </c>
    </row>
    <row r="131" spans="1:7" x14ac:dyDescent="0.25">
      <c r="A131" s="8">
        <v>42934.54792824074</v>
      </c>
      <c r="B131" s="20" t="s">
        <v>514</v>
      </c>
      <c r="C131" s="20" t="s">
        <v>764</v>
      </c>
      <c r="D131" s="138">
        <v>1810000</v>
      </c>
      <c r="E131" s="20" t="s">
        <v>529</v>
      </c>
      <c r="F131" s="20" t="s">
        <v>189</v>
      </c>
      <c r="G131" s="8" t="str">
        <f t="shared" ref="G131:G194" si="2">E131&amp;" "&amp;F131</f>
        <v>NEWELL JAMES</v>
      </c>
    </row>
    <row r="132" spans="1:7" x14ac:dyDescent="0.25">
      <c r="A132" s="8">
        <v>42934.548171296294</v>
      </c>
      <c r="B132" s="20" t="s">
        <v>636</v>
      </c>
      <c r="C132" s="20" t="s">
        <v>765</v>
      </c>
      <c r="D132" s="138">
        <v>3120000</v>
      </c>
      <c r="E132" s="20" t="s">
        <v>534</v>
      </c>
      <c r="F132" s="20" t="s">
        <v>535</v>
      </c>
      <c r="G132" s="8" t="str">
        <f t="shared" si="2"/>
        <v>THOMPSON LESTER</v>
      </c>
    </row>
    <row r="133" spans="1:7" x14ac:dyDescent="0.25">
      <c r="A133" s="8">
        <v>42934.56150462963</v>
      </c>
      <c r="B133" s="20" t="s">
        <v>540</v>
      </c>
      <c r="C133" s="20" t="s">
        <v>766</v>
      </c>
      <c r="D133" s="138">
        <v>1300000</v>
      </c>
      <c r="E133" s="20" t="s">
        <v>572</v>
      </c>
      <c r="F133" s="20" t="s">
        <v>573</v>
      </c>
      <c r="G133" s="8" t="str">
        <f t="shared" si="2"/>
        <v>LEVIN SCOTT</v>
      </c>
    </row>
    <row r="134" spans="1:7" x14ac:dyDescent="0.25">
      <c r="A134" s="8">
        <v>42934.566331018519</v>
      </c>
      <c r="B134" s="20" t="s">
        <v>435</v>
      </c>
      <c r="C134" s="20" t="s">
        <v>767</v>
      </c>
      <c r="D134" s="138">
        <v>2540000</v>
      </c>
      <c r="E134" s="20" t="s">
        <v>538</v>
      </c>
      <c r="F134" s="20" t="s">
        <v>539</v>
      </c>
      <c r="G134" s="8" t="str">
        <f t="shared" si="2"/>
        <v>MCREYNOLDS KYLE</v>
      </c>
    </row>
    <row r="135" spans="1:7" x14ac:dyDescent="0.25">
      <c r="A135" s="8">
        <v>42934.568981481483</v>
      </c>
      <c r="B135" s="20" t="s">
        <v>477</v>
      </c>
      <c r="C135" s="20" t="s">
        <v>768</v>
      </c>
      <c r="D135" s="138">
        <v>1770000</v>
      </c>
      <c r="E135" s="20" t="s">
        <v>536</v>
      </c>
      <c r="F135" s="20" t="s">
        <v>537</v>
      </c>
      <c r="G135" s="8" t="str">
        <f t="shared" si="2"/>
        <v>BRUDER RICHARD</v>
      </c>
    </row>
    <row r="136" spans="1:7" x14ac:dyDescent="0.25">
      <c r="A136" s="8">
        <v>42934.572511574072</v>
      </c>
      <c r="B136" s="20" t="s">
        <v>436</v>
      </c>
      <c r="C136" s="20" t="s">
        <v>769</v>
      </c>
      <c r="D136" s="138">
        <v>3310000</v>
      </c>
      <c r="E136" s="20" t="s">
        <v>570</v>
      </c>
      <c r="F136" s="20" t="s">
        <v>571</v>
      </c>
      <c r="G136" s="8" t="str">
        <f t="shared" si="2"/>
        <v>ANDERS STEVEN</v>
      </c>
    </row>
    <row r="137" spans="1:7" x14ac:dyDescent="0.25">
      <c r="A137" s="8">
        <v>42934.577893518515</v>
      </c>
      <c r="B137" s="20" t="s">
        <v>418</v>
      </c>
      <c r="C137" s="20" t="s">
        <v>770</v>
      </c>
      <c r="D137" s="138">
        <v>2040000</v>
      </c>
      <c r="E137" s="20" t="s">
        <v>428</v>
      </c>
      <c r="F137" s="20" t="s">
        <v>429</v>
      </c>
      <c r="G137" s="8" t="str">
        <f t="shared" si="2"/>
        <v>MOSES BRADLEY</v>
      </c>
    </row>
    <row r="138" spans="1:7" x14ac:dyDescent="0.25">
      <c r="A138" s="8">
        <v>42934.578576388885</v>
      </c>
      <c r="B138" s="20" t="s">
        <v>367</v>
      </c>
      <c r="C138" s="20" t="s">
        <v>771</v>
      </c>
      <c r="D138" s="138">
        <v>1780000</v>
      </c>
      <c r="E138" s="20" t="s">
        <v>562</v>
      </c>
      <c r="F138" s="20" t="s">
        <v>563</v>
      </c>
      <c r="G138" s="8" t="str">
        <f t="shared" si="2"/>
        <v>DE LA ROSA ALEX</v>
      </c>
    </row>
    <row r="139" spans="1:7" x14ac:dyDescent="0.25">
      <c r="A139" s="8">
        <v>42934.58258101852</v>
      </c>
      <c r="B139" s="20" t="s">
        <v>515</v>
      </c>
      <c r="C139" s="20" t="s">
        <v>772</v>
      </c>
      <c r="D139" s="138">
        <v>3120000</v>
      </c>
      <c r="E139" s="20" t="s">
        <v>534</v>
      </c>
      <c r="F139" s="20" t="s">
        <v>535</v>
      </c>
      <c r="G139" s="8" t="str">
        <f t="shared" si="2"/>
        <v>THOMPSON LESTER</v>
      </c>
    </row>
    <row r="140" spans="1:7" x14ac:dyDescent="0.25">
      <c r="A140" s="8">
        <v>42934.582986111112</v>
      </c>
      <c r="B140" s="20" t="s">
        <v>361</v>
      </c>
      <c r="C140" s="20" t="s">
        <v>771</v>
      </c>
      <c r="D140" s="138">
        <v>1780000</v>
      </c>
      <c r="E140" s="20" t="s">
        <v>562</v>
      </c>
      <c r="F140" s="20" t="s">
        <v>563</v>
      </c>
      <c r="G140" s="8" t="str">
        <f t="shared" si="2"/>
        <v>DE LA ROSA ALEX</v>
      </c>
    </row>
    <row r="141" spans="1:7" x14ac:dyDescent="0.25">
      <c r="A141" s="8">
        <v>42934.584502314814</v>
      </c>
      <c r="B141" s="20" t="s">
        <v>392</v>
      </c>
      <c r="C141" s="20" t="s">
        <v>773</v>
      </c>
      <c r="D141" s="138">
        <v>3260000</v>
      </c>
      <c r="E141" s="20" t="s">
        <v>568</v>
      </c>
      <c r="F141" s="20" t="s">
        <v>569</v>
      </c>
      <c r="G141" s="8" t="str">
        <f t="shared" si="2"/>
        <v>PAGE MARCUS</v>
      </c>
    </row>
    <row r="142" spans="1:7" x14ac:dyDescent="0.25">
      <c r="A142" s="8">
        <v>42934.586030092592</v>
      </c>
      <c r="B142" s="20" t="s">
        <v>367</v>
      </c>
      <c r="C142" s="20" t="s">
        <v>774</v>
      </c>
      <c r="D142" s="138">
        <v>1780000</v>
      </c>
      <c r="E142" s="20" t="s">
        <v>562</v>
      </c>
      <c r="F142" s="20" t="s">
        <v>563</v>
      </c>
      <c r="G142" s="8" t="str">
        <f t="shared" si="2"/>
        <v>DE LA ROSA ALEX</v>
      </c>
    </row>
    <row r="143" spans="1:7" x14ac:dyDescent="0.25">
      <c r="A143" s="8">
        <v>42934.595856481479</v>
      </c>
      <c r="B143" s="20" t="s">
        <v>698</v>
      </c>
      <c r="C143" s="20" t="s">
        <v>775</v>
      </c>
      <c r="D143" s="138">
        <v>1770000</v>
      </c>
      <c r="E143" s="20" t="s">
        <v>536</v>
      </c>
      <c r="F143" s="20" t="s">
        <v>537</v>
      </c>
      <c r="G143" s="8" t="str">
        <f t="shared" si="2"/>
        <v>BRUDER RICHARD</v>
      </c>
    </row>
    <row r="144" spans="1:7" x14ac:dyDescent="0.25">
      <c r="A144" s="8">
        <v>42934.599039351851</v>
      </c>
      <c r="B144" s="20" t="s">
        <v>567</v>
      </c>
      <c r="C144" s="20" t="s">
        <v>776</v>
      </c>
      <c r="D144" s="138">
        <v>1300000</v>
      </c>
      <c r="E144" s="20" t="s">
        <v>572</v>
      </c>
      <c r="F144" s="20" t="s">
        <v>573</v>
      </c>
      <c r="G144" s="8" t="str">
        <f t="shared" si="2"/>
        <v>LEVIN SCOTT</v>
      </c>
    </row>
    <row r="145" spans="1:7" x14ac:dyDescent="0.25">
      <c r="A145" s="8">
        <v>42934.60297453704</v>
      </c>
      <c r="B145" s="20" t="s">
        <v>425</v>
      </c>
      <c r="C145" s="20" t="s">
        <v>777</v>
      </c>
      <c r="D145" s="138">
        <v>2540000</v>
      </c>
      <c r="E145" s="20" t="s">
        <v>538</v>
      </c>
      <c r="F145" s="20" t="s">
        <v>539</v>
      </c>
      <c r="G145" s="8" t="str">
        <f t="shared" si="2"/>
        <v>MCREYNOLDS KYLE</v>
      </c>
    </row>
    <row r="146" spans="1:7" x14ac:dyDescent="0.25">
      <c r="A146" s="8">
        <v>42934.608912037038</v>
      </c>
      <c r="B146" s="20" t="s">
        <v>437</v>
      </c>
      <c r="C146" s="20" t="s">
        <v>778</v>
      </c>
      <c r="D146" s="138">
        <v>3310000</v>
      </c>
      <c r="E146" s="20" t="s">
        <v>570</v>
      </c>
      <c r="F146" s="20" t="s">
        <v>571</v>
      </c>
      <c r="G146" s="8" t="str">
        <f t="shared" si="2"/>
        <v>ANDERS STEVEN</v>
      </c>
    </row>
    <row r="147" spans="1:7" x14ac:dyDescent="0.25">
      <c r="A147" s="8">
        <v>42934.609375</v>
      </c>
      <c r="B147" s="20" t="s">
        <v>477</v>
      </c>
      <c r="C147" s="20" t="s">
        <v>779</v>
      </c>
      <c r="D147" s="138">
        <v>1770000</v>
      </c>
      <c r="E147" s="20" t="s">
        <v>536</v>
      </c>
      <c r="F147" s="20" t="s">
        <v>537</v>
      </c>
      <c r="G147" s="8" t="str">
        <f t="shared" si="2"/>
        <v>BRUDER RICHARD</v>
      </c>
    </row>
    <row r="148" spans="1:7" x14ac:dyDescent="0.25">
      <c r="A148" s="8">
        <v>42934.612638888888</v>
      </c>
      <c r="B148" s="20" t="s">
        <v>382</v>
      </c>
      <c r="C148" s="20" t="s">
        <v>780</v>
      </c>
      <c r="D148" s="138">
        <v>880000</v>
      </c>
      <c r="E148" s="20" t="s">
        <v>781</v>
      </c>
      <c r="F148" s="20" t="s">
        <v>192</v>
      </c>
      <c r="G148" s="8" t="str">
        <f t="shared" si="2"/>
        <v>STEWART MICHAEL</v>
      </c>
    </row>
    <row r="149" spans="1:7" x14ac:dyDescent="0.25">
      <c r="A149" s="8">
        <v>42934.621469907404</v>
      </c>
      <c r="B149" s="20" t="s">
        <v>636</v>
      </c>
      <c r="C149" s="20" t="s">
        <v>782</v>
      </c>
      <c r="D149" s="138">
        <v>3120000</v>
      </c>
      <c r="E149" s="20" t="s">
        <v>534</v>
      </c>
      <c r="F149" s="20" t="s">
        <v>535</v>
      </c>
      <c r="G149" s="8" t="str">
        <f t="shared" si="2"/>
        <v>THOMPSON LESTER</v>
      </c>
    </row>
    <row r="150" spans="1:7" x14ac:dyDescent="0.25">
      <c r="A150" s="8">
        <v>42934.622870370367</v>
      </c>
      <c r="B150" s="20" t="s">
        <v>393</v>
      </c>
      <c r="C150" s="20" t="s">
        <v>783</v>
      </c>
      <c r="D150" s="138">
        <v>3260000</v>
      </c>
      <c r="E150" s="20" t="s">
        <v>568</v>
      </c>
      <c r="F150" s="20" t="s">
        <v>569</v>
      </c>
      <c r="G150" s="8" t="str">
        <f t="shared" si="2"/>
        <v>PAGE MARCUS</v>
      </c>
    </row>
    <row r="151" spans="1:7" x14ac:dyDescent="0.25">
      <c r="A151" s="8">
        <v>42934.630358796298</v>
      </c>
      <c r="B151" s="20" t="s">
        <v>361</v>
      </c>
      <c r="C151" s="20" t="s">
        <v>784</v>
      </c>
      <c r="D151" s="138">
        <v>1780000</v>
      </c>
      <c r="E151" s="20" t="s">
        <v>562</v>
      </c>
      <c r="F151" s="20" t="s">
        <v>563</v>
      </c>
      <c r="G151" s="8" t="str">
        <f t="shared" si="2"/>
        <v>DE LA ROSA ALEX</v>
      </c>
    </row>
    <row r="152" spans="1:7" x14ac:dyDescent="0.25">
      <c r="A152" s="8">
        <v>42934.632939814815</v>
      </c>
      <c r="B152" s="20" t="s">
        <v>540</v>
      </c>
      <c r="C152" s="20" t="s">
        <v>654</v>
      </c>
      <c r="D152" s="138">
        <v>1300000</v>
      </c>
      <c r="E152" s="20" t="s">
        <v>572</v>
      </c>
      <c r="F152" s="20" t="s">
        <v>573</v>
      </c>
      <c r="G152" s="8" t="str">
        <f t="shared" si="2"/>
        <v>LEVIN SCOTT</v>
      </c>
    </row>
    <row r="153" spans="1:7" x14ac:dyDescent="0.25">
      <c r="A153" s="8">
        <v>42934.633310185185</v>
      </c>
      <c r="B153" s="20" t="s">
        <v>435</v>
      </c>
      <c r="C153" s="20" t="s">
        <v>785</v>
      </c>
      <c r="D153" s="138">
        <v>2540000</v>
      </c>
      <c r="E153" s="20" t="s">
        <v>538</v>
      </c>
      <c r="F153" s="20" t="s">
        <v>539</v>
      </c>
      <c r="G153" s="8" t="str">
        <f t="shared" si="2"/>
        <v>MCREYNOLDS KYLE</v>
      </c>
    </row>
    <row r="154" spans="1:7" x14ac:dyDescent="0.25">
      <c r="A154" s="8">
        <v>42934.635046296295</v>
      </c>
      <c r="B154" s="20" t="s">
        <v>632</v>
      </c>
      <c r="C154" s="20" t="s">
        <v>786</v>
      </c>
      <c r="D154" s="138">
        <v>3280000</v>
      </c>
      <c r="E154" s="20" t="s">
        <v>470</v>
      </c>
      <c r="F154" s="20" t="s">
        <v>471</v>
      </c>
      <c r="G154" s="8" t="str">
        <f t="shared" si="2"/>
        <v>BIRKHOLZ NADINE</v>
      </c>
    </row>
    <row r="155" spans="1:7" x14ac:dyDescent="0.25">
      <c r="A155" s="8">
        <v>42934.637349537035</v>
      </c>
      <c r="B155" s="20" t="s">
        <v>698</v>
      </c>
      <c r="C155" s="20" t="s">
        <v>787</v>
      </c>
      <c r="D155" s="138">
        <v>1770000</v>
      </c>
      <c r="E155" s="20" t="s">
        <v>536</v>
      </c>
      <c r="F155" s="20" t="s">
        <v>537</v>
      </c>
      <c r="G155" s="8" t="str">
        <f t="shared" si="2"/>
        <v>BRUDER RICHARD</v>
      </c>
    </row>
    <row r="156" spans="1:7" x14ac:dyDescent="0.25">
      <c r="A156" s="8">
        <v>42934.643946759257</v>
      </c>
      <c r="B156" s="20" t="s">
        <v>436</v>
      </c>
      <c r="C156" s="20" t="s">
        <v>788</v>
      </c>
      <c r="D156" s="138">
        <v>3310000</v>
      </c>
      <c r="E156" s="20" t="s">
        <v>570</v>
      </c>
      <c r="F156" s="20" t="s">
        <v>571</v>
      </c>
      <c r="G156" s="8" t="str">
        <f t="shared" si="2"/>
        <v>ANDERS STEVEN</v>
      </c>
    </row>
    <row r="157" spans="1:7" x14ac:dyDescent="0.25">
      <c r="A157" s="8">
        <v>42934.651099537034</v>
      </c>
      <c r="B157" s="20" t="s">
        <v>477</v>
      </c>
      <c r="C157" s="20" t="s">
        <v>789</v>
      </c>
      <c r="D157" s="138">
        <v>1770000</v>
      </c>
      <c r="E157" s="20" t="s">
        <v>536</v>
      </c>
      <c r="F157" s="20" t="s">
        <v>537</v>
      </c>
      <c r="G157" s="8" t="str">
        <f t="shared" si="2"/>
        <v>BRUDER RICHARD</v>
      </c>
    </row>
    <row r="158" spans="1:7" x14ac:dyDescent="0.25">
      <c r="A158" s="8">
        <v>42934.651099537034</v>
      </c>
      <c r="B158" s="20" t="s">
        <v>630</v>
      </c>
      <c r="C158" s="20" t="s">
        <v>790</v>
      </c>
      <c r="D158" s="138">
        <v>3280000</v>
      </c>
      <c r="E158" s="20" t="s">
        <v>470</v>
      </c>
      <c r="F158" s="20" t="s">
        <v>471</v>
      </c>
      <c r="G158" s="8" t="str">
        <f t="shared" si="2"/>
        <v>BIRKHOLZ NADINE</v>
      </c>
    </row>
    <row r="159" spans="1:7" x14ac:dyDescent="0.25">
      <c r="A159" s="8">
        <v>42934.651875000003</v>
      </c>
      <c r="B159" s="20" t="s">
        <v>392</v>
      </c>
      <c r="C159" s="20" t="s">
        <v>791</v>
      </c>
      <c r="D159" s="138">
        <v>3260000</v>
      </c>
      <c r="E159" s="20" t="s">
        <v>568</v>
      </c>
      <c r="F159" s="20" t="s">
        <v>569</v>
      </c>
      <c r="G159" s="8" t="str">
        <f t="shared" si="2"/>
        <v>PAGE MARCUS</v>
      </c>
    </row>
    <row r="160" spans="1:7" x14ac:dyDescent="0.25">
      <c r="A160" s="8">
        <v>42934.65215277778</v>
      </c>
      <c r="B160" s="20" t="s">
        <v>418</v>
      </c>
      <c r="C160" s="20" t="s">
        <v>792</v>
      </c>
      <c r="D160" s="138">
        <v>880000</v>
      </c>
      <c r="E160" s="20" t="s">
        <v>781</v>
      </c>
      <c r="F160" s="20" t="s">
        <v>192</v>
      </c>
      <c r="G160" s="8" t="str">
        <f t="shared" si="2"/>
        <v>STEWART MICHAEL</v>
      </c>
    </row>
    <row r="161" spans="1:7" x14ac:dyDescent="0.25">
      <c r="A161" s="8">
        <v>42934.654756944445</v>
      </c>
      <c r="B161" s="20" t="s">
        <v>515</v>
      </c>
      <c r="C161" s="20" t="s">
        <v>793</v>
      </c>
      <c r="D161" s="138">
        <v>3120000</v>
      </c>
      <c r="E161" s="20" t="s">
        <v>534</v>
      </c>
      <c r="F161" s="20" t="s">
        <v>535</v>
      </c>
      <c r="G161" s="8" t="str">
        <f t="shared" si="2"/>
        <v>THOMPSON LESTER</v>
      </c>
    </row>
    <row r="162" spans="1:7" x14ac:dyDescent="0.25">
      <c r="A162" s="8">
        <v>42934.663877314815</v>
      </c>
      <c r="B162" s="20" t="s">
        <v>367</v>
      </c>
      <c r="C162" s="20" t="s">
        <v>794</v>
      </c>
      <c r="D162" s="138">
        <v>920000</v>
      </c>
      <c r="E162" s="20" t="s">
        <v>383</v>
      </c>
      <c r="F162" s="20" t="s">
        <v>192</v>
      </c>
      <c r="G162" s="8" t="str">
        <f t="shared" si="2"/>
        <v>DAVIS MICHAEL</v>
      </c>
    </row>
    <row r="163" spans="1:7" x14ac:dyDescent="0.25">
      <c r="A163" s="8">
        <v>42934.672083333331</v>
      </c>
      <c r="B163" s="20" t="s">
        <v>632</v>
      </c>
      <c r="C163" s="20" t="s">
        <v>795</v>
      </c>
      <c r="D163" s="138">
        <v>3280000</v>
      </c>
      <c r="E163" s="20" t="s">
        <v>470</v>
      </c>
      <c r="F163" s="20" t="s">
        <v>471</v>
      </c>
      <c r="G163" s="8" t="str">
        <f t="shared" si="2"/>
        <v>BIRKHOLZ NADINE</v>
      </c>
    </row>
    <row r="164" spans="1:7" x14ac:dyDescent="0.25">
      <c r="A164" s="8">
        <v>42934.672650462962</v>
      </c>
      <c r="B164" s="20" t="s">
        <v>425</v>
      </c>
      <c r="C164" s="20" t="s">
        <v>796</v>
      </c>
      <c r="D164" s="138">
        <v>2540000</v>
      </c>
      <c r="E164" s="20" t="s">
        <v>538</v>
      </c>
      <c r="F164" s="20" t="s">
        <v>539</v>
      </c>
      <c r="G164" s="8" t="str">
        <f t="shared" si="2"/>
        <v>MCREYNOLDS KYLE</v>
      </c>
    </row>
    <row r="165" spans="1:7" x14ac:dyDescent="0.25">
      <c r="A165" s="8">
        <v>42934.673252314817</v>
      </c>
      <c r="B165" s="20" t="s">
        <v>567</v>
      </c>
      <c r="C165" s="20" t="s">
        <v>797</v>
      </c>
      <c r="D165" s="138">
        <v>1300000</v>
      </c>
      <c r="E165" s="20" t="s">
        <v>572</v>
      </c>
      <c r="F165" s="20" t="s">
        <v>573</v>
      </c>
      <c r="G165" s="8" t="str">
        <f t="shared" si="2"/>
        <v>LEVIN SCOTT</v>
      </c>
    </row>
    <row r="166" spans="1:7" x14ac:dyDescent="0.25">
      <c r="A166" s="8">
        <v>42934.677824074075</v>
      </c>
      <c r="B166" s="20" t="s">
        <v>698</v>
      </c>
      <c r="C166" s="20" t="s">
        <v>798</v>
      </c>
      <c r="D166" s="138">
        <v>1770000</v>
      </c>
      <c r="E166" s="20" t="s">
        <v>536</v>
      </c>
      <c r="F166" s="20" t="s">
        <v>537</v>
      </c>
      <c r="G166" s="8" t="str">
        <f t="shared" si="2"/>
        <v>BRUDER RICHARD</v>
      </c>
    </row>
    <row r="167" spans="1:7" x14ac:dyDescent="0.25">
      <c r="A167" s="8">
        <v>42934.680648148147</v>
      </c>
      <c r="B167" s="20" t="s">
        <v>437</v>
      </c>
      <c r="C167" s="20" t="s">
        <v>799</v>
      </c>
      <c r="D167" s="138">
        <v>3310000</v>
      </c>
      <c r="E167" s="20" t="s">
        <v>570</v>
      </c>
      <c r="F167" s="20" t="s">
        <v>571</v>
      </c>
      <c r="G167" s="8" t="str">
        <f t="shared" si="2"/>
        <v>ANDERS STEVEN</v>
      </c>
    </row>
    <row r="168" spans="1:7" x14ac:dyDescent="0.25">
      <c r="A168" s="8">
        <v>42934.685185185182</v>
      </c>
      <c r="B168" s="20" t="s">
        <v>382</v>
      </c>
      <c r="C168" s="20" t="s">
        <v>800</v>
      </c>
      <c r="D168" s="138">
        <v>880000</v>
      </c>
      <c r="E168" s="20" t="s">
        <v>781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42934.686793981484</v>
      </c>
      <c r="B169" s="20" t="s">
        <v>513</v>
      </c>
      <c r="C169" s="20" t="s">
        <v>801</v>
      </c>
      <c r="D169" s="138">
        <v>1810000</v>
      </c>
      <c r="E169" s="20" t="s">
        <v>529</v>
      </c>
      <c r="F169" s="20" t="s">
        <v>189</v>
      </c>
      <c r="G169" s="8" t="str">
        <f t="shared" si="2"/>
        <v>NEWELL JAMES</v>
      </c>
    </row>
    <row r="170" spans="1:7" x14ac:dyDescent="0.25">
      <c r="A170" s="8">
        <v>42934.692939814813</v>
      </c>
      <c r="B170" s="20" t="s">
        <v>477</v>
      </c>
      <c r="C170" s="20" t="s">
        <v>802</v>
      </c>
      <c r="D170" s="138">
        <v>1770000</v>
      </c>
      <c r="E170" s="20" t="s">
        <v>536</v>
      </c>
      <c r="F170" s="20" t="s">
        <v>537</v>
      </c>
      <c r="G170" s="8" t="str">
        <f t="shared" si="2"/>
        <v>BRUDER RICHARD</v>
      </c>
    </row>
    <row r="171" spans="1:7" x14ac:dyDescent="0.25">
      <c r="A171" s="8">
        <v>42934.693611111114</v>
      </c>
      <c r="B171" s="20" t="s">
        <v>636</v>
      </c>
      <c r="C171" s="20" t="s">
        <v>803</v>
      </c>
      <c r="D171" s="138">
        <v>3120000</v>
      </c>
      <c r="E171" s="20" t="s">
        <v>534</v>
      </c>
      <c r="F171" s="20" t="s">
        <v>535</v>
      </c>
      <c r="G171" s="8" t="str">
        <f t="shared" si="2"/>
        <v>THOMPSON LESTER</v>
      </c>
    </row>
    <row r="172" spans="1:7" x14ac:dyDescent="0.25">
      <c r="A172" s="8">
        <v>42934.69394675926</v>
      </c>
      <c r="B172" s="20" t="s">
        <v>393</v>
      </c>
      <c r="C172" s="20" t="s">
        <v>655</v>
      </c>
      <c r="D172" s="138">
        <v>3260000</v>
      </c>
      <c r="E172" s="20" t="s">
        <v>568</v>
      </c>
      <c r="F172" s="20" t="s">
        <v>569</v>
      </c>
      <c r="G172" s="8" t="str">
        <f t="shared" si="2"/>
        <v>PAGE MARCUS</v>
      </c>
    </row>
    <row r="173" spans="1:7" x14ac:dyDescent="0.25">
      <c r="A173" s="8">
        <v>42934.694212962961</v>
      </c>
      <c r="B173" s="20" t="s">
        <v>630</v>
      </c>
      <c r="C173" s="20" t="s">
        <v>656</v>
      </c>
      <c r="D173" s="138">
        <v>3280000</v>
      </c>
      <c r="E173" s="20" t="s">
        <v>470</v>
      </c>
      <c r="F173" s="20" t="s">
        <v>471</v>
      </c>
      <c r="G173" s="8" t="str">
        <f t="shared" si="2"/>
        <v>BIRKHOLZ NADINE</v>
      </c>
    </row>
    <row r="174" spans="1:7" x14ac:dyDescent="0.25">
      <c r="A174" s="8">
        <v>42934.704710648148</v>
      </c>
      <c r="B174" s="20" t="s">
        <v>540</v>
      </c>
      <c r="C174" s="20" t="s">
        <v>804</v>
      </c>
      <c r="D174" s="138">
        <v>1300000</v>
      </c>
      <c r="E174" s="20" t="s">
        <v>572</v>
      </c>
      <c r="F174" s="20" t="s">
        <v>573</v>
      </c>
      <c r="G174" s="8" t="str">
        <f t="shared" si="2"/>
        <v>LEVIN SCOTT</v>
      </c>
    </row>
    <row r="175" spans="1:7" x14ac:dyDescent="0.25">
      <c r="A175" s="8">
        <v>42934.704791666663</v>
      </c>
      <c r="B175" s="20" t="s">
        <v>361</v>
      </c>
      <c r="C175" s="20" t="s">
        <v>805</v>
      </c>
      <c r="D175" s="138">
        <v>920000</v>
      </c>
      <c r="E175" s="20" t="s">
        <v>383</v>
      </c>
      <c r="F175" s="20" t="s">
        <v>192</v>
      </c>
      <c r="G175" s="8" t="str">
        <f t="shared" si="2"/>
        <v>DAVIS MICHAEL</v>
      </c>
    </row>
    <row r="176" spans="1:7" x14ac:dyDescent="0.25">
      <c r="A176" s="8">
        <v>42934.710277777776</v>
      </c>
      <c r="B176" s="20" t="s">
        <v>435</v>
      </c>
      <c r="C176" s="20" t="s">
        <v>806</v>
      </c>
      <c r="D176" s="138">
        <v>2540000</v>
      </c>
      <c r="E176" s="20" t="s">
        <v>538</v>
      </c>
      <c r="F176" s="20" t="s">
        <v>539</v>
      </c>
      <c r="G176" s="8" t="str">
        <f t="shared" si="2"/>
        <v>MCREYNOLDS KYLE</v>
      </c>
    </row>
    <row r="177" spans="1:7" x14ac:dyDescent="0.25">
      <c r="A177" s="8">
        <v>42934.713414351849</v>
      </c>
      <c r="B177" s="20" t="s">
        <v>632</v>
      </c>
      <c r="C177" s="20" t="s">
        <v>657</v>
      </c>
      <c r="D177" s="138">
        <v>3280000</v>
      </c>
      <c r="E177" s="20" t="s">
        <v>470</v>
      </c>
      <c r="F177" s="20" t="s">
        <v>471</v>
      </c>
      <c r="G177" s="8" t="str">
        <f t="shared" si="2"/>
        <v>BIRKHOLZ NADINE</v>
      </c>
    </row>
    <row r="178" spans="1:7" x14ac:dyDescent="0.25">
      <c r="A178" s="8">
        <v>42934.714837962965</v>
      </c>
      <c r="B178" s="20" t="s">
        <v>436</v>
      </c>
      <c r="C178" s="20" t="s">
        <v>658</v>
      </c>
      <c r="D178" s="138">
        <v>3310000</v>
      </c>
      <c r="E178" s="20" t="s">
        <v>570</v>
      </c>
      <c r="F178" s="20" t="s">
        <v>571</v>
      </c>
      <c r="G178" s="8" t="str">
        <f t="shared" si="2"/>
        <v>ANDERS STEVEN</v>
      </c>
    </row>
    <row r="179" spans="1:7" x14ac:dyDescent="0.25">
      <c r="A179" s="8">
        <v>42934.719502314816</v>
      </c>
      <c r="B179" s="20" t="s">
        <v>698</v>
      </c>
      <c r="C179" s="20" t="s">
        <v>807</v>
      </c>
      <c r="D179" s="138">
        <v>1770000</v>
      </c>
      <c r="E179" s="20" t="s">
        <v>536</v>
      </c>
      <c r="F179" s="20" t="s">
        <v>537</v>
      </c>
      <c r="G179" s="8" t="str">
        <f t="shared" si="2"/>
        <v>BRUDER RICHARD</v>
      </c>
    </row>
    <row r="180" spans="1:7" x14ac:dyDescent="0.25">
      <c r="A180" s="8">
        <v>42934.724976851852</v>
      </c>
      <c r="B180" s="20" t="s">
        <v>418</v>
      </c>
      <c r="C180" s="20" t="s">
        <v>808</v>
      </c>
      <c r="D180" s="138">
        <v>880000</v>
      </c>
      <c r="E180" s="20" t="s">
        <v>781</v>
      </c>
      <c r="F180" s="20" t="s">
        <v>192</v>
      </c>
      <c r="G180" s="8" t="str">
        <f t="shared" si="2"/>
        <v>STEWART MICHAEL</v>
      </c>
    </row>
    <row r="181" spans="1:7" x14ac:dyDescent="0.25">
      <c r="A181" s="8">
        <v>42934.727071759262</v>
      </c>
      <c r="B181" s="20" t="s">
        <v>392</v>
      </c>
      <c r="C181" s="20" t="s">
        <v>809</v>
      </c>
      <c r="D181" s="138">
        <v>3260000</v>
      </c>
      <c r="E181" s="20" t="s">
        <v>568</v>
      </c>
      <c r="F181" s="20" t="s">
        <v>569</v>
      </c>
      <c r="G181" s="8" t="str">
        <f t="shared" si="2"/>
        <v>PAGE MARCUS</v>
      </c>
    </row>
    <row r="182" spans="1:7" x14ac:dyDescent="0.25">
      <c r="A182" s="8">
        <v>42934.727256944447</v>
      </c>
      <c r="B182" s="20" t="s">
        <v>352</v>
      </c>
      <c r="C182" s="20" t="s">
        <v>810</v>
      </c>
      <c r="D182" s="138">
        <v>2270000</v>
      </c>
      <c r="E182" s="20" t="s">
        <v>530</v>
      </c>
      <c r="F182" s="20" t="s">
        <v>531</v>
      </c>
      <c r="G182" s="8" t="str">
        <f t="shared" si="2"/>
        <v>BROWN JACOB</v>
      </c>
    </row>
    <row r="183" spans="1:7" x14ac:dyDescent="0.25">
      <c r="A183" s="8">
        <v>42934.72792824074</v>
      </c>
      <c r="B183" s="20" t="s">
        <v>515</v>
      </c>
      <c r="C183" s="20" t="s">
        <v>660</v>
      </c>
      <c r="D183" s="138">
        <v>3120000</v>
      </c>
      <c r="E183" s="20" t="s">
        <v>534</v>
      </c>
      <c r="F183" s="20" t="s">
        <v>535</v>
      </c>
      <c r="G183" s="8" t="str">
        <f t="shared" si="2"/>
        <v>THOMPSON LESTER</v>
      </c>
    </row>
    <row r="184" spans="1:7" x14ac:dyDescent="0.25">
      <c r="A184" s="8">
        <v>42934.734212962961</v>
      </c>
      <c r="B184" s="20" t="s">
        <v>477</v>
      </c>
      <c r="C184" s="20" t="s">
        <v>811</v>
      </c>
      <c r="D184" s="138">
        <v>1770000</v>
      </c>
      <c r="E184" s="20" t="s">
        <v>536</v>
      </c>
      <c r="F184" s="20" t="s">
        <v>537</v>
      </c>
      <c r="G184" s="8" t="str">
        <f t="shared" si="2"/>
        <v>BRUDER RICHARD</v>
      </c>
    </row>
    <row r="185" spans="1:7" x14ac:dyDescent="0.25">
      <c r="A185" s="8">
        <v>42934.735810185186</v>
      </c>
      <c r="B185" s="20" t="s">
        <v>630</v>
      </c>
      <c r="C185" s="20" t="s">
        <v>812</v>
      </c>
      <c r="D185" s="138">
        <v>3280000</v>
      </c>
      <c r="E185" s="20" t="s">
        <v>470</v>
      </c>
      <c r="F185" s="20" t="s">
        <v>471</v>
      </c>
      <c r="G185" s="8" t="str">
        <f t="shared" si="2"/>
        <v>BIRKHOLZ NADINE</v>
      </c>
    </row>
    <row r="186" spans="1:7" x14ac:dyDescent="0.25">
      <c r="A186" s="8">
        <v>42934.736712962964</v>
      </c>
      <c r="B186" s="20" t="s">
        <v>558</v>
      </c>
      <c r="C186" s="20" t="s">
        <v>659</v>
      </c>
      <c r="D186" s="138">
        <v>2680000</v>
      </c>
      <c r="E186" s="20" t="s">
        <v>813</v>
      </c>
      <c r="F186" s="20" t="s">
        <v>814</v>
      </c>
      <c r="G186" s="8" t="str">
        <f t="shared" si="2"/>
        <v>DUNCAN SHEILA</v>
      </c>
    </row>
    <row r="187" spans="1:7" x14ac:dyDescent="0.25">
      <c r="A187" s="8">
        <v>42934.737569444442</v>
      </c>
      <c r="B187" s="20" t="s">
        <v>367</v>
      </c>
      <c r="C187" s="20" t="s">
        <v>815</v>
      </c>
      <c r="D187" s="138">
        <v>3290000</v>
      </c>
      <c r="E187" s="20" t="s">
        <v>574</v>
      </c>
      <c r="F187" s="20" t="s">
        <v>575</v>
      </c>
      <c r="G187" s="8" t="str">
        <f t="shared" si="2"/>
        <v>CASSIDY BRANDON</v>
      </c>
    </row>
    <row r="188" spans="1:7" x14ac:dyDescent="0.25">
      <c r="A188" s="8">
        <v>42934.74622685185</v>
      </c>
      <c r="B188" s="20" t="s">
        <v>567</v>
      </c>
      <c r="C188" s="20" t="s">
        <v>816</v>
      </c>
      <c r="D188" s="138">
        <v>1300000</v>
      </c>
      <c r="E188" s="20" t="s">
        <v>572</v>
      </c>
      <c r="F188" s="20" t="s">
        <v>573</v>
      </c>
      <c r="G188" s="8" t="str">
        <f t="shared" si="2"/>
        <v>LEVIN SCOTT</v>
      </c>
    </row>
    <row r="189" spans="1:7" x14ac:dyDescent="0.25">
      <c r="A189" s="8">
        <v>42934.747581018521</v>
      </c>
      <c r="B189" s="20" t="s">
        <v>425</v>
      </c>
      <c r="C189" s="20" t="s">
        <v>817</v>
      </c>
      <c r="D189" s="138">
        <v>2540000</v>
      </c>
      <c r="E189" s="20" t="s">
        <v>538</v>
      </c>
      <c r="F189" s="20" t="s">
        <v>539</v>
      </c>
      <c r="G189" s="8" t="str">
        <f t="shared" si="2"/>
        <v>MCREYNOLDS KYLE</v>
      </c>
    </row>
    <row r="190" spans="1:7" x14ac:dyDescent="0.25">
      <c r="A190" s="8">
        <v>42934.755636574075</v>
      </c>
      <c r="B190" s="20" t="s">
        <v>632</v>
      </c>
      <c r="C190" s="20" t="s">
        <v>818</v>
      </c>
      <c r="D190" s="138">
        <v>3280000</v>
      </c>
      <c r="E190" s="20" t="s">
        <v>470</v>
      </c>
      <c r="F190" s="20" t="s">
        <v>471</v>
      </c>
      <c r="G190" s="8" t="str">
        <f t="shared" si="2"/>
        <v>BIRKHOLZ NADINE</v>
      </c>
    </row>
    <row r="191" spans="1:7" x14ac:dyDescent="0.25">
      <c r="A191" s="8">
        <v>42934.755671296298</v>
      </c>
      <c r="B191" s="20" t="s">
        <v>437</v>
      </c>
      <c r="C191" s="20" t="s">
        <v>819</v>
      </c>
      <c r="D191" s="138">
        <v>3310000</v>
      </c>
      <c r="E191" s="20" t="s">
        <v>570</v>
      </c>
      <c r="F191" s="20" t="s">
        <v>571</v>
      </c>
      <c r="G191" s="8" t="str">
        <f t="shared" si="2"/>
        <v>ANDERS STEVEN</v>
      </c>
    </row>
    <row r="192" spans="1:7" x14ac:dyDescent="0.25">
      <c r="A192" s="8">
        <v>42934.757685185185</v>
      </c>
      <c r="B192" s="20" t="s">
        <v>382</v>
      </c>
      <c r="C192" s="20" t="s">
        <v>820</v>
      </c>
      <c r="D192" s="138">
        <v>3000000</v>
      </c>
      <c r="E192" s="20" t="s">
        <v>387</v>
      </c>
      <c r="F192" s="20" t="s">
        <v>388</v>
      </c>
      <c r="G192" s="8" t="str">
        <f t="shared" si="2"/>
        <v>FORTUNATO FRANK</v>
      </c>
    </row>
    <row r="193" spans="1:7" x14ac:dyDescent="0.25">
      <c r="A193" s="8">
        <v>42934.761145833334</v>
      </c>
      <c r="B193" s="20" t="s">
        <v>698</v>
      </c>
      <c r="C193" s="20" t="s">
        <v>821</v>
      </c>
      <c r="D193" s="138">
        <v>1770000</v>
      </c>
      <c r="E193" s="20" t="s">
        <v>536</v>
      </c>
      <c r="F193" s="20" t="s">
        <v>537</v>
      </c>
      <c r="G193" s="8" t="str">
        <f t="shared" si="2"/>
        <v>BRUDER RICHARD</v>
      </c>
    </row>
    <row r="194" spans="1:7" x14ac:dyDescent="0.25">
      <c r="A194" s="8">
        <v>42934.766851851855</v>
      </c>
      <c r="B194" s="20" t="s">
        <v>636</v>
      </c>
      <c r="C194" s="20" t="s">
        <v>661</v>
      </c>
      <c r="D194" s="138">
        <v>3120000</v>
      </c>
      <c r="E194" s="20" t="s">
        <v>534</v>
      </c>
      <c r="F194" s="20" t="s">
        <v>535</v>
      </c>
      <c r="G194" s="8" t="str">
        <f t="shared" si="2"/>
        <v>THOMPSON LESTER</v>
      </c>
    </row>
    <row r="195" spans="1:7" x14ac:dyDescent="0.25">
      <c r="A195" s="8">
        <v>42934.768923611111</v>
      </c>
      <c r="B195" s="20" t="s">
        <v>393</v>
      </c>
      <c r="C195" s="20" t="s">
        <v>822</v>
      </c>
      <c r="D195" s="138">
        <v>3090000</v>
      </c>
      <c r="E195" s="20" t="s">
        <v>368</v>
      </c>
      <c r="F195" s="20" t="s">
        <v>369</v>
      </c>
      <c r="G195" s="8" t="str">
        <f t="shared" ref="G195:G258" si="3">E195&amp;" "&amp;F195</f>
        <v>LAMAR NEKESHA</v>
      </c>
    </row>
    <row r="196" spans="1:7" x14ac:dyDescent="0.25">
      <c r="A196" s="8">
        <v>42934.774791666663</v>
      </c>
      <c r="B196" s="20" t="s">
        <v>361</v>
      </c>
      <c r="C196" s="20" t="s">
        <v>823</v>
      </c>
      <c r="D196" s="138">
        <v>3290000</v>
      </c>
      <c r="E196" s="20" t="s">
        <v>574</v>
      </c>
      <c r="F196" s="20" t="s">
        <v>575</v>
      </c>
      <c r="G196" s="8" t="str">
        <f t="shared" si="3"/>
        <v>CASSIDY BRANDON</v>
      </c>
    </row>
    <row r="197" spans="1:7" x14ac:dyDescent="0.25">
      <c r="A197" s="8">
        <v>42934.77584490741</v>
      </c>
      <c r="B197" s="20" t="s">
        <v>540</v>
      </c>
      <c r="C197" s="20" t="s">
        <v>824</v>
      </c>
      <c r="D197" s="138">
        <v>1300000</v>
      </c>
      <c r="E197" s="20" t="s">
        <v>572</v>
      </c>
      <c r="F197" s="20" t="s">
        <v>573</v>
      </c>
      <c r="G197" s="8" t="str">
        <f t="shared" si="3"/>
        <v>LEVIN SCOTT</v>
      </c>
    </row>
    <row r="198" spans="1:7" x14ac:dyDescent="0.25">
      <c r="A198" s="8">
        <v>42934.775960648149</v>
      </c>
      <c r="B198" s="20" t="s">
        <v>477</v>
      </c>
      <c r="C198" s="20" t="s">
        <v>825</v>
      </c>
      <c r="D198" s="138">
        <v>1770000</v>
      </c>
      <c r="E198" s="20" t="s">
        <v>536</v>
      </c>
      <c r="F198" s="20" t="s">
        <v>537</v>
      </c>
      <c r="G198" s="8" t="str">
        <f t="shared" si="3"/>
        <v>BRUDER RICHARD</v>
      </c>
    </row>
    <row r="199" spans="1:7" x14ac:dyDescent="0.25">
      <c r="A199" s="8">
        <v>42934.778738425928</v>
      </c>
      <c r="B199" s="20" t="s">
        <v>435</v>
      </c>
      <c r="C199" s="20" t="s">
        <v>826</v>
      </c>
      <c r="D199" s="138">
        <v>2540000</v>
      </c>
      <c r="E199" s="20" t="s">
        <v>538</v>
      </c>
      <c r="F199" s="20" t="s">
        <v>539</v>
      </c>
      <c r="G199" s="8" t="str">
        <f t="shared" si="3"/>
        <v>MCREYNOLDS KYLE</v>
      </c>
    </row>
    <row r="200" spans="1:7" x14ac:dyDescent="0.25">
      <c r="A200" s="8">
        <v>42934.781180555554</v>
      </c>
      <c r="B200" s="20" t="s">
        <v>630</v>
      </c>
      <c r="C200" s="20" t="s">
        <v>827</v>
      </c>
      <c r="D200" s="138">
        <v>3280000</v>
      </c>
      <c r="E200" s="20" t="s">
        <v>470</v>
      </c>
      <c r="F200" s="20" t="s">
        <v>471</v>
      </c>
      <c r="G200" s="8" t="str">
        <f t="shared" si="3"/>
        <v>BIRKHOLZ NADINE</v>
      </c>
    </row>
    <row r="201" spans="1:7" x14ac:dyDescent="0.25">
      <c r="A201" s="8">
        <v>42934.789398148147</v>
      </c>
      <c r="B201" s="20" t="s">
        <v>436</v>
      </c>
      <c r="C201" s="20" t="s">
        <v>828</v>
      </c>
      <c r="D201" s="138">
        <v>2090000</v>
      </c>
      <c r="E201" s="20" t="s">
        <v>398</v>
      </c>
      <c r="F201" s="20" t="s">
        <v>192</v>
      </c>
      <c r="G201" s="8" t="str">
        <f t="shared" si="3"/>
        <v>HAITHCOX MICHAEL</v>
      </c>
    </row>
    <row r="202" spans="1:7" x14ac:dyDescent="0.25">
      <c r="A202" s="26">
        <v>42934.790451388886</v>
      </c>
      <c r="B202" s="20" t="s">
        <v>418</v>
      </c>
      <c r="C202" s="20" t="s">
        <v>663</v>
      </c>
      <c r="D202" s="138">
        <v>3000000</v>
      </c>
      <c r="E202" s="20" t="s">
        <v>387</v>
      </c>
      <c r="F202" s="20" t="s">
        <v>388</v>
      </c>
      <c r="G202" s="8" t="str">
        <f t="shared" si="3"/>
        <v>FORTUNATO FRANK</v>
      </c>
    </row>
    <row r="203" spans="1:7" x14ac:dyDescent="0.25">
      <c r="A203" s="8">
        <v>42934.797696759262</v>
      </c>
      <c r="B203" s="20" t="s">
        <v>632</v>
      </c>
      <c r="C203" s="20" t="s">
        <v>662</v>
      </c>
      <c r="D203" s="138">
        <v>3280000</v>
      </c>
      <c r="E203" s="20" t="s">
        <v>470</v>
      </c>
      <c r="F203" s="20" t="s">
        <v>471</v>
      </c>
      <c r="G203" s="8" t="str">
        <f t="shared" si="3"/>
        <v>BIRKHOLZ NADINE</v>
      </c>
    </row>
    <row r="204" spans="1:7" x14ac:dyDescent="0.25">
      <c r="A204" s="8">
        <v>42934.797881944447</v>
      </c>
      <c r="B204" s="20" t="s">
        <v>515</v>
      </c>
      <c r="C204" s="20" t="s">
        <v>829</v>
      </c>
      <c r="D204" s="138">
        <v>3120000</v>
      </c>
      <c r="E204" s="20" t="s">
        <v>534</v>
      </c>
      <c r="F204" s="20" t="s">
        <v>535</v>
      </c>
      <c r="G204" s="8" t="str">
        <f t="shared" si="3"/>
        <v>THOMPSON LESTER</v>
      </c>
    </row>
    <row r="205" spans="1:7" x14ac:dyDescent="0.25">
      <c r="A205" s="8">
        <v>42934.803703703707</v>
      </c>
      <c r="B205" s="20" t="s">
        <v>698</v>
      </c>
      <c r="C205" s="20" t="s">
        <v>830</v>
      </c>
      <c r="D205" s="138">
        <v>1770000</v>
      </c>
      <c r="E205" s="20" t="s">
        <v>536</v>
      </c>
      <c r="F205" s="20" t="s">
        <v>537</v>
      </c>
      <c r="G205" s="8" t="str">
        <f t="shared" si="3"/>
        <v>BRUDER RICHARD</v>
      </c>
    </row>
    <row r="206" spans="1:7" x14ac:dyDescent="0.25">
      <c r="A206" s="8">
        <v>42934.808055555557</v>
      </c>
      <c r="B206" s="20" t="s">
        <v>367</v>
      </c>
      <c r="C206" s="20" t="s">
        <v>831</v>
      </c>
      <c r="D206" s="138">
        <v>3290000</v>
      </c>
      <c r="E206" s="20" t="s">
        <v>574</v>
      </c>
      <c r="F206" s="20" t="s">
        <v>575</v>
      </c>
      <c r="G206" s="8" t="str">
        <f t="shared" si="3"/>
        <v>CASSIDY BRANDON</v>
      </c>
    </row>
    <row r="207" spans="1:7" x14ac:dyDescent="0.25">
      <c r="A207" s="8">
        <v>42934.808310185188</v>
      </c>
      <c r="B207" s="20" t="s">
        <v>392</v>
      </c>
      <c r="C207" s="20" t="s">
        <v>832</v>
      </c>
      <c r="D207" s="138">
        <v>3090000</v>
      </c>
      <c r="E207" s="20" t="s">
        <v>368</v>
      </c>
      <c r="F207" s="20" t="s">
        <v>369</v>
      </c>
      <c r="G207" s="8" t="str">
        <f t="shared" si="3"/>
        <v>LAMAR NEKESHA</v>
      </c>
    </row>
    <row r="208" spans="1:7" x14ac:dyDescent="0.25">
      <c r="A208" s="8">
        <v>42934.817418981482</v>
      </c>
      <c r="B208" s="20" t="s">
        <v>477</v>
      </c>
      <c r="C208" s="20" t="s">
        <v>833</v>
      </c>
      <c r="D208" s="138">
        <v>1770000</v>
      </c>
      <c r="E208" s="20" t="s">
        <v>536</v>
      </c>
      <c r="F208" s="20" t="s">
        <v>537</v>
      </c>
      <c r="G208" s="8" t="str">
        <f t="shared" si="3"/>
        <v>BRUDER RICHARD</v>
      </c>
    </row>
    <row r="209" spans="1:7" x14ac:dyDescent="0.25">
      <c r="A209" s="8">
        <v>42934.818749999999</v>
      </c>
      <c r="B209" s="20" t="s">
        <v>425</v>
      </c>
      <c r="C209" s="20" t="s">
        <v>834</v>
      </c>
      <c r="D209" s="138">
        <v>2540000</v>
      </c>
      <c r="E209" s="20" t="s">
        <v>538</v>
      </c>
      <c r="F209" s="20" t="s">
        <v>539</v>
      </c>
      <c r="G209" s="8" t="str">
        <f t="shared" si="3"/>
        <v>MCREYNOLDS KYLE</v>
      </c>
    </row>
    <row r="210" spans="1:7" x14ac:dyDescent="0.25">
      <c r="A210" s="8">
        <v>42934.82099537037</v>
      </c>
      <c r="B210" s="20" t="s">
        <v>437</v>
      </c>
      <c r="C210" s="20" t="s">
        <v>835</v>
      </c>
      <c r="D210" s="138">
        <v>2090000</v>
      </c>
      <c r="E210" s="20" t="s">
        <v>398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42934.830706018518</v>
      </c>
      <c r="B211" s="20" t="s">
        <v>382</v>
      </c>
      <c r="C211" s="20" t="s">
        <v>836</v>
      </c>
      <c r="D211" s="138">
        <v>3000000</v>
      </c>
      <c r="E211" s="20" t="s">
        <v>387</v>
      </c>
      <c r="F211" s="20" t="s">
        <v>388</v>
      </c>
      <c r="G211" s="8" t="str">
        <f t="shared" si="3"/>
        <v>FORTUNATO FRANK</v>
      </c>
    </row>
    <row r="212" spans="1:7" x14ac:dyDescent="0.25">
      <c r="A212" s="8">
        <v>42934.845462962963</v>
      </c>
      <c r="B212" s="20" t="s">
        <v>698</v>
      </c>
      <c r="C212" s="20" t="s">
        <v>837</v>
      </c>
      <c r="D212" s="138">
        <v>1770000</v>
      </c>
      <c r="E212" s="20" t="s">
        <v>536</v>
      </c>
      <c r="F212" s="20" t="s">
        <v>537</v>
      </c>
      <c r="G212" s="8" t="str">
        <f t="shared" si="3"/>
        <v>BRUDER RICHARD</v>
      </c>
    </row>
    <row r="213" spans="1:7" x14ac:dyDescent="0.25">
      <c r="A213" s="8">
        <v>42934.84884259259</v>
      </c>
      <c r="B213" s="20" t="s">
        <v>361</v>
      </c>
      <c r="C213" s="20" t="s">
        <v>664</v>
      </c>
      <c r="D213" s="138">
        <v>3290000</v>
      </c>
      <c r="E213" s="20" t="s">
        <v>574</v>
      </c>
      <c r="F213" s="20" t="s">
        <v>575</v>
      </c>
      <c r="G213" s="8" t="str">
        <f t="shared" si="3"/>
        <v>CASSIDY BRANDON</v>
      </c>
    </row>
    <row r="214" spans="1:7" x14ac:dyDescent="0.25">
      <c r="A214" s="8">
        <v>42934.850393518522</v>
      </c>
      <c r="B214" s="20" t="s">
        <v>393</v>
      </c>
      <c r="C214" s="20" t="s">
        <v>838</v>
      </c>
      <c r="D214" s="138">
        <v>3090000</v>
      </c>
      <c r="E214" s="20" t="s">
        <v>368</v>
      </c>
      <c r="F214" s="20" t="s">
        <v>369</v>
      </c>
      <c r="G214" s="8" t="str">
        <f t="shared" si="3"/>
        <v>LAMAR NEKESHA</v>
      </c>
    </row>
    <row r="215" spans="1:7" x14ac:dyDescent="0.25">
      <c r="A215" s="8">
        <v>42934.859305555554</v>
      </c>
      <c r="B215" s="20" t="s">
        <v>477</v>
      </c>
      <c r="C215" s="20" t="s">
        <v>839</v>
      </c>
      <c r="D215" s="138">
        <v>1770000</v>
      </c>
      <c r="E215" s="20" t="s">
        <v>536</v>
      </c>
      <c r="F215" s="20" t="s">
        <v>537</v>
      </c>
      <c r="G215" s="8" t="str">
        <f t="shared" si="3"/>
        <v>BRUDER RICHARD</v>
      </c>
    </row>
    <row r="216" spans="1:7" x14ac:dyDescent="0.25">
      <c r="A216" s="8">
        <v>42934.861921296295</v>
      </c>
      <c r="B216" s="20" t="s">
        <v>436</v>
      </c>
      <c r="C216" s="20" t="s">
        <v>840</v>
      </c>
      <c r="D216" s="138">
        <v>2090000</v>
      </c>
      <c r="E216" s="20" t="s">
        <v>398</v>
      </c>
      <c r="F216" s="20" t="s">
        <v>192</v>
      </c>
      <c r="G216" s="8" t="str">
        <f t="shared" si="3"/>
        <v>HAITHCOX MICHAEL</v>
      </c>
    </row>
    <row r="217" spans="1:7" x14ac:dyDescent="0.25">
      <c r="A217" s="8">
        <v>42934.865474537037</v>
      </c>
      <c r="B217" s="20" t="s">
        <v>418</v>
      </c>
      <c r="C217" s="20" t="s">
        <v>841</v>
      </c>
      <c r="D217" s="138">
        <v>3000000</v>
      </c>
      <c r="E217" s="20" t="s">
        <v>387</v>
      </c>
      <c r="F217" s="20" t="s">
        <v>388</v>
      </c>
      <c r="G217" s="8" t="str">
        <f t="shared" si="3"/>
        <v>FORTUNATO FRANK</v>
      </c>
    </row>
    <row r="218" spans="1:7" x14ac:dyDescent="0.25">
      <c r="A218" s="8">
        <v>42934.878668981481</v>
      </c>
      <c r="B218" s="20" t="s">
        <v>698</v>
      </c>
      <c r="C218" s="20" t="s">
        <v>842</v>
      </c>
      <c r="D218" s="138">
        <v>3280000</v>
      </c>
      <c r="E218" s="20" t="s">
        <v>470</v>
      </c>
      <c r="F218" s="20" t="s">
        <v>471</v>
      </c>
      <c r="G218" s="8" t="str">
        <f t="shared" si="3"/>
        <v>BIRKHOLZ NADINE</v>
      </c>
    </row>
    <row r="219" spans="1:7" x14ac:dyDescent="0.25">
      <c r="A219" s="8">
        <v>42934.886458333334</v>
      </c>
      <c r="B219" s="20" t="s">
        <v>367</v>
      </c>
      <c r="C219" s="20" t="s">
        <v>843</v>
      </c>
      <c r="D219" s="138">
        <v>3290000</v>
      </c>
      <c r="E219" s="20" t="s">
        <v>574</v>
      </c>
      <c r="F219" s="20" t="s">
        <v>575</v>
      </c>
      <c r="G219" s="8" t="str">
        <f t="shared" si="3"/>
        <v>CASSIDY BRANDON</v>
      </c>
    </row>
    <row r="220" spans="1:7" x14ac:dyDescent="0.25">
      <c r="A220" s="8">
        <v>42934.889664351853</v>
      </c>
      <c r="B220" s="20" t="s">
        <v>392</v>
      </c>
      <c r="C220" s="20" t="s">
        <v>844</v>
      </c>
      <c r="D220" s="138">
        <v>3090000</v>
      </c>
      <c r="E220" s="20" t="s">
        <v>368</v>
      </c>
      <c r="F220" s="20" t="s">
        <v>369</v>
      </c>
      <c r="G220" s="8" t="str">
        <f t="shared" si="3"/>
        <v>LAMAR NEKESHA</v>
      </c>
    </row>
    <row r="221" spans="1:7" x14ac:dyDescent="0.25">
      <c r="A221" s="8">
        <v>42934.900266203702</v>
      </c>
      <c r="B221" s="20" t="s">
        <v>477</v>
      </c>
      <c r="C221" s="20" t="s">
        <v>665</v>
      </c>
      <c r="D221" s="138">
        <v>3280000</v>
      </c>
      <c r="E221" s="20" t="s">
        <v>470</v>
      </c>
      <c r="F221" s="20" t="s">
        <v>471</v>
      </c>
      <c r="G221" s="8" t="str">
        <f t="shared" si="3"/>
        <v>BIRKHOLZ NADINE</v>
      </c>
    </row>
    <row r="222" spans="1:7" x14ac:dyDescent="0.25">
      <c r="A222" s="8">
        <v>42934.903425925928</v>
      </c>
      <c r="B222" s="20" t="s">
        <v>437</v>
      </c>
      <c r="C222" s="20" t="s">
        <v>845</v>
      </c>
      <c r="D222" s="138">
        <v>2090000</v>
      </c>
      <c r="E222" s="20" t="s">
        <v>398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42934.90425925926</v>
      </c>
      <c r="B223" s="20" t="s">
        <v>382</v>
      </c>
      <c r="C223" s="20" t="s">
        <v>846</v>
      </c>
      <c r="D223" s="138">
        <v>3000000</v>
      </c>
      <c r="E223" s="20" t="s">
        <v>387</v>
      </c>
      <c r="F223" s="20" t="s">
        <v>388</v>
      </c>
      <c r="G223" s="8" t="str">
        <f t="shared" si="3"/>
        <v>FORTUNATO FRANK</v>
      </c>
    </row>
    <row r="224" spans="1:7" x14ac:dyDescent="0.25">
      <c r="A224" s="8">
        <v>42934.9140625</v>
      </c>
      <c r="B224" t="s">
        <v>437</v>
      </c>
      <c r="C224" t="s">
        <v>845</v>
      </c>
      <c r="D224" s="138">
        <v>2090000</v>
      </c>
      <c r="E224" t="s">
        <v>398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42934.920844907407</v>
      </c>
      <c r="B225" t="s">
        <v>698</v>
      </c>
      <c r="C225" t="s">
        <v>847</v>
      </c>
      <c r="D225" s="138">
        <v>3280000</v>
      </c>
      <c r="E225" t="s">
        <v>470</v>
      </c>
      <c r="F225" s="20" t="s">
        <v>471</v>
      </c>
      <c r="G225" s="8" t="str">
        <f t="shared" si="3"/>
        <v>BIRKHOLZ NADINE</v>
      </c>
    </row>
    <row r="226" spans="1:7" x14ac:dyDescent="0.25">
      <c r="A226" s="8">
        <v>42934.932696759257</v>
      </c>
      <c r="B226" t="s">
        <v>361</v>
      </c>
      <c r="C226" t="s">
        <v>848</v>
      </c>
      <c r="D226" s="138">
        <v>3290000</v>
      </c>
      <c r="E226" t="s">
        <v>574</v>
      </c>
      <c r="F226" s="20" t="s">
        <v>575</v>
      </c>
      <c r="G226" s="8" t="str">
        <f t="shared" si="3"/>
        <v>CASSIDY BRANDON</v>
      </c>
    </row>
    <row r="227" spans="1:7" x14ac:dyDescent="0.25">
      <c r="A227" s="8">
        <v>42934.933020833334</v>
      </c>
      <c r="B227" t="s">
        <v>393</v>
      </c>
      <c r="C227" t="s">
        <v>849</v>
      </c>
      <c r="D227" s="138">
        <v>3090000</v>
      </c>
      <c r="E227" t="s">
        <v>368</v>
      </c>
      <c r="F227" s="20" t="s">
        <v>369</v>
      </c>
      <c r="G227" s="8" t="str">
        <f t="shared" si="3"/>
        <v>LAMAR NEKESHA</v>
      </c>
    </row>
    <row r="228" spans="1:7" x14ac:dyDescent="0.25">
      <c r="A228" s="8">
        <v>42934.943645833337</v>
      </c>
      <c r="B228" t="s">
        <v>477</v>
      </c>
      <c r="C228" t="s">
        <v>850</v>
      </c>
      <c r="D228" s="138">
        <v>3280000</v>
      </c>
      <c r="E228" t="s">
        <v>470</v>
      </c>
      <c r="F228" s="20" t="s">
        <v>471</v>
      </c>
      <c r="G228" s="8" t="str">
        <f t="shared" si="3"/>
        <v>BIRKHOLZ NADINE</v>
      </c>
    </row>
    <row r="229" spans="1:7" x14ac:dyDescent="0.25">
      <c r="A229" s="8">
        <v>42934.944768518515</v>
      </c>
      <c r="B229" t="s">
        <v>436</v>
      </c>
      <c r="C229" t="s">
        <v>666</v>
      </c>
      <c r="D229" s="138">
        <v>2090000</v>
      </c>
      <c r="E229" t="s">
        <v>398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42934.947048611109</v>
      </c>
      <c r="B230" t="s">
        <v>418</v>
      </c>
      <c r="C230" t="s">
        <v>851</v>
      </c>
      <c r="D230" s="138">
        <v>3000000</v>
      </c>
      <c r="E230" t="s">
        <v>387</v>
      </c>
      <c r="F230" s="20" t="s">
        <v>388</v>
      </c>
      <c r="G230" s="8" t="str">
        <f t="shared" si="3"/>
        <v>FORTUNATO FRANK</v>
      </c>
    </row>
    <row r="231" spans="1:7" x14ac:dyDescent="0.25">
      <c r="A231" s="8">
        <v>42934.966944444444</v>
      </c>
      <c r="B231" t="s">
        <v>367</v>
      </c>
      <c r="C231" t="s">
        <v>852</v>
      </c>
      <c r="D231" s="138">
        <v>3290000</v>
      </c>
      <c r="E231" t="s">
        <v>574</v>
      </c>
      <c r="F231" s="20" t="s">
        <v>575</v>
      </c>
      <c r="G231" s="8" t="str">
        <f t="shared" si="3"/>
        <v>CASSIDY BRANDON</v>
      </c>
    </row>
    <row r="232" spans="1:7" x14ac:dyDescent="0.25">
      <c r="A232" s="8">
        <v>42934.97216435185</v>
      </c>
      <c r="B232" t="s">
        <v>392</v>
      </c>
      <c r="C232" t="s">
        <v>853</v>
      </c>
      <c r="D232" s="138">
        <v>3090000</v>
      </c>
      <c r="E232" t="s">
        <v>368</v>
      </c>
      <c r="F232" s="20" t="s">
        <v>369</v>
      </c>
      <c r="G232" s="8" t="str">
        <f t="shared" si="3"/>
        <v>LAMAR NEKESHA</v>
      </c>
    </row>
    <row r="233" spans="1:7" x14ac:dyDescent="0.25">
      <c r="A233" s="8">
        <v>42934.98710648148</v>
      </c>
      <c r="B233" t="s">
        <v>437</v>
      </c>
      <c r="C233" t="s">
        <v>854</v>
      </c>
      <c r="D233" s="138">
        <v>2090000</v>
      </c>
      <c r="E233" t="s">
        <v>398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42934.989270833335</v>
      </c>
      <c r="B234" t="s">
        <v>382</v>
      </c>
      <c r="C234" t="s">
        <v>855</v>
      </c>
      <c r="D234" s="138">
        <v>3000000</v>
      </c>
      <c r="E234" t="s">
        <v>387</v>
      </c>
      <c r="F234" s="20" t="s">
        <v>388</v>
      </c>
      <c r="G234" s="8" t="str">
        <f t="shared" si="3"/>
        <v>FORTUNATO FRANK</v>
      </c>
    </row>
    <row r="235" spans="1:7" x14ac:dyDescent="0.25">
      <c r="A235" s="8">
        <v>42935.013807870368</v>
      </c>
      <c r="B235" t="s">
        <v>393</v>
      </c>
      <c r="C235" t="s">
        <v>856</v>
      </c>
      <c r="D235" s="138">
        <v>3090000</v>
      </c>
      <c r="E235" t="s">
        <v>368</v>
      </c>
      <c r="F235" s="20" t="s">
        <v>369</v>
      </c>
      <c r="G235" s="8" t="str">
        <f t="shared" si="3"/>
        <v>LAMAR NEKESHA</v>
      </c>
    </row>
    <row r="236" spans="1:7" x14ac:dyDescent="0.25">
      <c r="A236" s="8">
        <v>42935.015752314815</v>
      </c>
      <c r="B236" t="s">
        <v>361</v>
      </c>
      <c r="C236" t="s">
        <v>857</v>
      </c>
      <c r="D236" s="138">
        <v>3290000</v>
      </c>
      <c r="E236" t="s">
        <v>574</v>
      </c>
      <c r="F236" s="20" t="s">
        <v>575</v>
      </c>
      <c r="G236" s="8" t="str">
        <f t="shared" si="3"/>
        <v>CASSIDY BRANDON</v>
      </c>
    </row>
    <row r="237" spans="1:7" x14ac:dyDescent="0.25">
      <c r="A237" s="8">
        <v>42935.028692129628</v>
      </c>
      <c r="B237" t="s">
        <v>418</v>
      </c>
      <c r="C237" t="s">
        <v>858</v>
      </c>
      <c r="D237" s="138">
        <v>3000000</v>
      </c>
      <c r="E237" t="s">
        <v>387</v>
      </c>
      <c r="F237" s="20" t="s">
        <v>388</v>
      </c>
      <c r="G237" s="8" t="str">
        <f t="shared" si="3"/>
        <v>FORTUNATO FRANK</v>
      </c>
    </row>
    <row r="238" spans="1:7" x14ac:dyDescent="0.25">
      <c r="A238" s="8">
        <v>42935.028738425928</v>
      </c>
      <c r="B238" t="s">
        <v>436</v>
      </c>
      <c r="C238" t="s">
        <v>859</v>
      </c>
      <c r="D238" s="138">
        <v>2090000</v>
      </c>
      <c r="E238" t="s">
        <v>398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42935.04959490741</v>
      </c>
      <c r="B239" t="s">
        <v>367</v>
      </c>
      <c r="C239" t="s">
        <v>860</v>
      </c>
      <c r="D239" s="138">
        <v>3290000</v>
      </c>
      <c r="E239" t="s">
        <v>574</v>
      </c>
      <c r="F239" s="20" t="s">
        <v>575</v>
      </c>
      <c r="G239" s="8" t="str">
        <f t="shared" si="3"/>
        <v>CASSIDY BRANDON</v>
      </c>
    </row>
    <row r="240" spans="1:7" x14ac:dyDescent="0.25">
      <c r="A240" s="8">
        <v>42935.056493055556</v>
      </c>
      <c r="B240" t="s">
        <v>392</v>
      </c>
      <c r="C240" t="s">
        <v>861</v>
      </c>
      <c r="D240" s="138">
        <v>3090000</v>
      </c>
      <c r="E240" t="s">
        <v>368</v>
      </c>
      <c r="F240" s="20" t="s">
        <v>369</v>
      </c>
      <c r="G240" s="8" t="str">
        <f t="shared" si="3"/>
        <v>LAMAR NEKESHA</v>
      </c>
    </row>
    <row r="241" spans="1:7" x14ac:dyDescent="0.25">
      <c r="A241" s="8">
        <v>42935.068726851852</v>
      </c>
      <c r="B241" t="s">
        <v>382</v>
      </c>
      <c r="C241" t="s">
        <v>862</v>
      </c>
      <c r="D241" s="138">
        <v>3000000</v>
      </c>
      <c r="E241" t="s">
        <v>387</v>
      </c>
      <c r="F241" s="20" t="s">
        <v>388</v>
      </c>
      <c r="G241" s="8" t="str">
        <f t="shared" si="3"/>
        <v>FORTUNATO FRANK</v>
      </c>
    </row>
    <row r="242" spans="1:7" x14ac:dyDescent="0.25">
      <c r="A242" s="8">
        <v>42935.069699074076</v>
      </c>
      <c r="B242" t="s">
        <v>382</v>
      </c>
      <c r="C242" t="s">
        <v>862</v>
      </c>
      <c r="D242" s="138">
        <v>3000000</v>
      </c>
      <c r="E242" t="s">
        <v>387</v>
      </c>
      <c r="F242" s="20" t="s">
        <v>388</v>
      </c>
      <c r="G242" s="8" t="str">
        <f t="shared" si="3"/>
        <v>FORTUNATO FRANK</v>
      </c>
    </row>
    <row r="243" spans="1:7" x14ac:dyDescent="0.25">
      <c r="A243" s="8">
        <v>42935.089259259257</v>
      </c>
      <c r="B243" t="s">
        <v>393</v>
      </c>
      <c r="C243" t="s">
        <v>863</v>
      </c>
      <c r="D243" s="138">
        <v>3090000</v>
      </c>
      <c r="E243" t="s">
        <v>368</v>
      </c>
      <c r="F243" s="20" t="s">
        <v>369</v>
      </c>
      <c r="G243" s="8" t="str">
        <f t="shared" si="3"/>
        <v>LAMAR NEKESHA</v>
      </c>
    </row>
    <row r="244" spans="1:7" x14ac:dyDescent="0.25">
      <c r="A244" s="8">
        <v>42935.112824074073</v>
      </c>
      <c r="B244" t="s">
        <v>395</v>
      </c>
      <c r="C244" t="s">
        <v>864</v>
      </c>
      <c r="D244" s="138">
        <v>3340000</v>
      </c>
      <c r="E244" t="s">
        <v>472</v>
      </c>
      <c r="F244" s="20" t="s">
        <v>473</v>
      </c>
      <c r="G244" s="8" t="str">
        <f t="shared" si="3"/>
        <v>ELBAUM MIKE</v>
      </c>
    </row>
    <row r="245" spans="1:7" x14ac:dyDescent="0.25">
      <c r="A245" s="8">
        <v>42934.090289351851</v>
      </c>
      <c r="B245" t="s">
        <v>336</v>
      </c>
      <c r="C245" t="s">
        <v>580</v>
      </c>
      <c r="D245" s="138">
        <v>2970000</v>
      </c>
      <c r="E245" t="s">
        <v>370</v>
      </c>
      <c r="F245" s="20" t="s">
        <v>371</v>
      </c>
      <c r="G245" s="8" t="str">
        <f t="shared" si="3"/>
        <v>GUZMAN DANNY</v>
      </c>
    </row>
    <row r="246" spans="1:7" x14ac:dyDescent="0.25">
      <c r="A246" s="8">
        <v>42934.113946759258</v>
      </c>
      <c r="B246" t="s">
        <v>392</v>
      </c>
      <c r="C246" t="s">
        <v>581</v>
      </c>
      <c r="D246" s="138">
        <v>1110000</v>
      </c>
      <c r="E246" t="s">
        <v>426</v>
      </c>
      <c r="F246" s="20" t="s">
        <v>427</v>
      </c>
      <c r="G246" s="8" t="str">
        <f t="shared" si="3"/>
        <v>STARKS ANGELINA</v>
      </c>
    </row>
    <row r="247" spans="1:7" x14ac:dyDescent="0.25">
      <c r="A247" s="8">
        <v>42929.050497685188</v>
      </c>
      <c r="B247" t="s">
        <v>425</v>
      </c>
      <c r="C247" t="s">
        <v>503</v>
      </c>
      <c r="D247" s="138">
        <v>2630000</v>
      </c>
      <c r="E247" t="s">
        <v>501</v>
      </c>
      <c r="F247" s="20" t="s">
        <v>502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392</v>
      </c>
      <c r="C248" t="s">
        <v>499</v>
      </c>
      <c r="D248" s="138">
        <v>3090000</v>
      </c>
      <c r="E248" t="s">
        <v>368</v>
      </c>
      <c r="F248" s="20" t="s">
        <v>369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412</v>
      </c>
      <c r="C249" t="s">
        <v>504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393</v>
      </c>
      <c r="C250" t="s">
        <v>505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393</v>
      </c>
      <c r="C251" t="s">
        <v>505</v>
      </c>
      <c r="D251" s="138">
        <v>3090000</v>
      </c>
      <c r="E251" t="s">
        <v>368</v>
      </c>
      <c r="F251" s="20" t="s">
        <v>369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393</v>
      </c>
      <c r="C252" t="s">
        <v>505</v>
      </c>
      <c r="D252" s="138">
        <v>3090000</v>
      </c>
      <c r="E252" t="s">
        <v>368</v>
      </c>
      <c r="F252" s="20" t="s">
        <v>369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477</v>
      </c>
      <c r="C253" t="s">
        <v>506</v>
      </c>
      <c r="D253" s="138">
        <v>1110000</v>
      </c>
      <c r="E253" t="s">
        <v>426</v>
      </c>
      <c r="F253" s="20" t="s">
        <v>427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418</v>
      </c>
      <c r="C254" t="s">
        <v>483</v>
      </c>
      <c r="D254" s="138">
        <v>3280000</v>
      </c>
      <c r="E254" t="s">
        <v>470</v>
      </c>
      <c r="F254" s="20" t="s">
        <v>471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352</v>
      </c>
      <c r="C255" t="s">
        <v>484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478</v>
      </c>
      <c r="C256" t="s">
        <v>485</v>
      </c>
      <c r="D256" s="138">
        <v>2090000</v>
      </c>
      <c r="E256" t="s">
        <v>398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478</v>
      </c>
      <c r="C257" t="s">
        <v>485</v>
      </c>
      <c r="D257" s="138">
        <v>2090000</v>
      </c>
      <c r="E257" t="s">
        <v>398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468</v>
      </c>
      <c r="C258" t="s">
        <v>486</v>
      </c>
      <c r="D258" s="138">
        <v>3000000</v>
      </c>
      <c r="E258" t="s">
        <v>387</v>
      </c>
      <c r="F258" s="20" t="s">
        <v>388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487</v>
      </c>
      <c r="D259" s="138">
        <v>3280000</v>
      </c>
      <c r="E259" t="s">
        <v>470</v>
      </c>
      <c r="F259" s="20" t="s">
        <v>471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434</v>
      </c>
      <c r="C260" t="s">
        <v>488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489</v>
      </c>
      <c r="D261" s="138">
        <v>3000000</v>
      </c>
      <c r="E261" t="s">
        <v>387</v>
      </c>
      <c r="F261" s="20" t="s">
        <v>388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489</v>
      </c>
      <c r="D262" s="138">
        <v>3000000</v>
      </c>
      <c r="E262" t="s">
        <v>387</v>
      </c>
      <c r="F262" s="20" t="s">
        <v>388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489</v>
      </c>
      <c r="D263" s="138">
        <v>3000000</v>
      </c>
      <c r="E263" t="s">
        <v>387</v>
      </c>
      <c r="F263" s="20" t="s">
        <v>388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490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469</v>
      </c>
      <c r="D265" s="138">
        <v>3000000</v>
      </c>
      <c r="E265" t="s">
        <v>387</v>
      </c>
      <c r="F265" s="20" t="s">
        <v>388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474</v>
      </c>
      <c r="C266" t="s">
        <v>475</v>
      </c>
      <c r="D266" s="138">
        <v>1110000</v>
      </c>
      <c r="E266" t="s">
        <v>426</v>
      </c>
      <c r="F266" s="20" t="s">
        <v>427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412</v>
      </c>
      <c r="C267" t="s">
        <v>440</v>
      </c>
      <c r="D267" s="138">
        <v>2090000</v>
      </c>
      <c r="E267" t="s">
        <v>398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393</v>
      </c>
      <c r="C268" t="s">
        <v>441</v>
      </c>
      <c r="D268" s="138">
        <v>2000000</v>
      </c>
      <c r="E268" t="s">
        <v>400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418</v>
      </c>
      <c r="C269" t="s">
        <v>442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394</v>
      </c>
      <c r="C270" t="s">
        <v>443</v>
      </c>
      <c r="D270" s="138">
        <v>2610000</v>
      </c>
      <c r="E270" t="s">
        <v>384</v>
      </c>
      <c r="F270" s="20" t="s">
        <v>385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412</v>
      </c>
      <c r="C271" t="s">
        <v>440</v>
      </c>
      <c r="D271" s="138">
        <v>2090000</v>
      </c>
      <c r="E271" t="s">
        <v>398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392</v>
      </c>
      <c r="C272" t="s">
        <v>444</v>
      </c>
      <c r="D272" s="138">
        <v>2000000</v>
      </c>
      <c r="E272" t="s">
        <v>400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395</v>
      </c>
      <c r="C273" t="s">
        <v>443</v>
      </c>
      <c r="D273" s="138">
        <v>2610000</v>
      </c>
      <c r="E273" t="s">
        <v>384</v>
      </c>
      <c r="F273" s="20" t="s">
        <v>385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437</v>
      </c>
      <c r="C274" t="s">
        <v>445</v>
      </c>
      <c r="D274" s="138">
        <v>3000000</v>
      </c>
      <c r="E274" t="s">
        <v>387</v>
      </c>
      <c r="F274" s="20" t="s">
        <v>388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394</v>
      </c>
      <c r="C275" t="s">
        <v>446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393</v>
      </c>
      <c r="C276" t="s">
        <v>447</v>
      </c>
      <c r="D276" s="138">
        <v>2000000</v>
      </c>
      <c r="E276" t="s">
        <v>400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414</v>
      </c>
      <c r="C277" t="s">
        <v>448</v>
      </c>
      <c r="D277" s="138">
        <v>2090000</v>
      </c>
      <c r="E277" t="s">
        <v>398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449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392</v>
      </c>
      <c r="C279" t="s">
        <v>450</v>
      </c>
      <c r="D279" s="138">
        <v>2000000</v>
      </c>
      <c r="E279" t="s">
        <v>400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436</v>
      </c>
      <c r="C280" t="s">
        <v>451</v>
      </c>
      <c r="D280" s="138">
        <v>3000000</v>
      </c>
      <c r="E280" t="s">
        <v>387</v>
      </c>
      <c r="F280" s="20" t="s">
        <v>388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395</v>
      </c>
      <c r="C281" t="s">
        <v>452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393</v>
      </c>
      <c r="C282" t="s">
        <v>450</v>
      </c>
      <c r="D282" s="138">
        <v>2000000</v>
      </c>
      <c r="E282" t="s">
        <v>400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412</v>
      </c>
      <c r="C283" t="s">
        <v>453</v>
      </c>
      <c r="D283" s="138">
        <v>2090000</v>
      </c>
      <c r="E283" t="s">
        <v>398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454</v>
      </c>
      <c r="D284" s="138">
        <v>2610000</v>
      </c>
      <c r="E284" t="s">
        <v>384</v>
      </c>
      <c r="F284" s="20" t="s">
        <v>385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434</v>
      </c>
      <c r="C285" t="s">
        <v>455</v>
      </c>
      <c r="D285" s="138">
        <v>2610000</v>
      </c>
      <c r="E285" t="s">
        <v>384</v>
      </c>
      <c r="F285" s="20" t="s">
        <v>385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418</v>
      </c>
      <c r="C286" t="s">
        <v>456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437</v>
      </c>
      <c r="C287" t="s">
        <v>457</v>
      </c>
      <c r="D287" s="138">
        <v>3000000</v>
      </c>
      <c r="E287" t="s">
        <v>387</v>
      </c>
      <c r="F287" s="20" t="s">
        <v>388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458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414</v>
      </c>
      <c r="C289" t="s">
        <v>438</v>
      </c>
      <c r="D289" s="138">
        <v>2090000</v>
      </c>
      <c r="E289" t="s">
        <v>398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459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436</v>
      </c>
      <c r="C291" t="s">
        <v>460</v>
      </c>
      <c r="D291" s="138">
        <v>3000000</v>
      </c>
      <c r="E291" t="s">
        <v>387</v>
      </c>
      <c r="F291" s="20" t="s">
        <v>388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412</v>
      </c>
      <c r="C292" t="s">
        <v>461</v>
      </c>
      <c r="D292" s="138">
        <v>2090000</v>
      </c>
      <c r="E292" t="s">
        <v>398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418</v>
      </c>
      <c r="C293" t="s">
        <v>462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463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464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464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464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491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401</v>
      </c>
      <c r="P1" s="171" t="s">
        <v>156</v>
      </c>
      <c r="Q1" s="171" t="s">
        <v>163</v>
      </c>
      <c r="R1" s="171" t="s">
        <v>402</v>
      </c>
      <c r="S1" s="171" t="s">
        <v>160</v>
      </c>
    </row>
    <row r="2" spans="1:19" x14ac:dyDescent="0.25">
      <c r="A2" s="172">
        <v>74.260000000000005</v>
      </c>
      <c r="B2" s="172">
        <v>0.03</v>
      </c>
      <c r="C2" s="172">
        <v>48.09</v>
      </c>
      <c r="D2" s="8">
        <v>42934</v>
      </c>
      <c r="E2" s="172">
        <v>0.4</v>
      </c>
      <c r="F2" s="172" t="s">
        <v>516</v>
      </c>
      <c r="G2" s="172">
        <v>285.89999999999998</v>
      </c>
      <c r="H2" s="172">
        <v>0</v>
      </c>
      <c r="I2" s="172">
        <v>0</v>
      </c>
      <c r="J2" s="172"/>
      <c r="K2" s="172">
        <v>1010.1</v>
      </c>
      <c r="L2" s="172" t="s">
        <v>517</v>
      </c>
      <c r="M2" s="172">
        <v>74.260000000000005</v>
      </c>
      <c r="N2" s="172">
        <v>1500357600</v>
      </c>
      <c r="O2" s="172">
        <v>0</v>
      </c>
      <c r="P2" s="172">
        <v>10</v>
      </c>
      <c r="Q2" s="172">
        <v>216</v>
      </c>
      <c r="R2" s="172">
        <v>6.23</v>
      </c>
      <c r="S2" s="172">
        <v>4.8499999999999996</v>
      </c>
    </row>
    <row r="3" spans="1:19" x14ac:dyDescent="0.25">
      <c r="A3" s="172">
        <v>73.36</v>
      </c>
      <c r="B3" s="172">
        <v>0.04</v>
      </c>
      <c r="C3" s="172">
        <v>48.22</v>
      </c>
      <c r="D3" s="8">
        <v>42934.041666666664</v>
      </c>
      <c r="E3" s="172">
        <v>0.41</v>
      </c>
      <c r="F3" s="172" t="s">
        <v>516</v>
      </c>
      <c r="G3" s="172">
        <v>285.89999999999998</v>
      </c>
      <c r="H3" s="172">
        <v>0</v>
      </c>
      <c r="I3" s="172">
        <v>0</v>
      </c>
      <c r="J3" s="172"/>
      <c r="K3" s="172">
        <v>1010.03</v>
      </c>
      <c r="L3" s="172" t="s">
        <v>517</v>
      </c>
      <c r="M3" s="172">
        <v>73.36</v>
      </c>
      <c r="N3" s="172">
        <v>1500361200</v>
      </c>
      <c r="O3" s="172">
        <v>0</v>
      </c>
      <c r="P3" s="172">
        <v>10</v>
      </c>
      <c r="Q3" s="172">
        <v>197</v>
      </c>
      <c r="R3" s="172">
        <v>6.71</v>
      </c>
      <c r="S3" s="172">
        <v>4.74</v>
      </c>
    </row>
    <row r="4" spans="1:19" x14ac:dyDescent="0.25">
      <c r="A4" s="172">
        <v>71.3</v>
      </c>
      <c r="B4" s="172">
        <v>0.06</v>
      </c>
      <c r="C4" s="172">
        <v>47.79</v>
      </c>
      <c r="D4" s="8">
        <v>42934.083333333336</v>
      </c>
      <c r="E4" s="172">
        <v>0.43</v>
      </c>
      <c r="F4" s="172" t="s">
        <v>492</v>
      </c>
      <c r="G4" s="172">
        <v>286.02</v>
      </c>
      <c r="H4" s="172">
        <v>8.3999999999999995E-3</v>
      </c>
      <c r="I4" s="172">
        <v>0.06</v>
      </c>
      <c r="J4" s="172" t="s">
        <v>492</v>
      </c>
      <c r="K4" s="172">
        <v>1009.91</v>
      </c>
      <c r="L4" s="172" t="s">
        <v>582</v>
      </c>
      <c r="M4" s="172">
        <v>71.3</v>
      </c>
      <c r="N4" s="172">
        <v>1500364800</v>
      </c>
      <c r="O4" s="172">
        <v>0</v>
      </c>
      <c r="P4" s="172">
        <v>10</v>
      </c>
      <c r="Q4" s="172">
        <v>224</v>
      </c>
      <c r="R4" s="172">
        <v>6.76</v>
      </c>
      <c r="S4" s="172">
        <v>4.51</v>
      </c>
    </row>
    <row r="5" spans="1:19" x14ac:dyDescent="0.25">
      <c r="A5" s="172">
        <v>69.489999999999995</v>
      </c>
      <c r="B5" s="172">
        <v>0.08</v>
      </c>
      <c r="C5" s="172">
        <v>46.85</v>
      </c>
      <c r="D5" s="8">
        <v>42934.125</v>
      </c>
      <c r="E5" s="172">
        <v>0.44</v>
      </c>
      <c r="F5" s="172" t="s">
        <v>492</v>
      </c>
      <c r="G5" s="172">
        <v>286.01</v>
      </c>
      <c r="H5" s="172">
        <v>1.5699999999999999E-2</v>
      </c>
      <c r="I5" s="172">
        <v>0.1</v>
      </c>
      <c r="J5" s="172" t="s">
        <v>492</v>
      </c>
      <c r="K5" s="172">
        <v>1010.37</v>
      </c>
      <c r="L5" s="172" t="s">
        <v>583</v>
      </c>
      <c r="M5" s="172">
        <v>69.489999999999995</v>
      </c>
      <c r="N5" s="172">
        <v>1500368400</v>
      </c>
      <c r="O5" s="172">
        <v>0</v>
      </c>
      <c r="P5" s="172">
        <v>10</v>
      </c>
      <c r="Q5" s="172">
        <v>214</v>
      </c>
      <c r="R5" s="172">
        <v>5.41</v>
      </c>
      <c r="S5" s="172">
        <v>4.03</v>
      </c>
    </row>
    <row r="6" spans="1:19" x14ac:dyDescent="0.25">
      <c r="A6" s="172">
        <v>67.92</v>
      </c>
      <c r="B6" s="172">
        <v>0.1</v>
      </c>
      <c r="C6" s="172">
        <v>46.5</v>
      </c>
      <c r="D6" s="8">
        <v>42934.166666666664</v>
      </c>
      <c r="E6" s="172">
        <v>0.46</v>
      </c>
      <c r="F6" s="172" t="s">
        <v>492</v>
      </c>
      <c r="G6" s="172">
        <v>285.67</v>
      </c>
      <c r="H6" s="172">
        <v>9.2999999999999992E-3</v>
      </c>
      <c r="I6" s="172">
        <v>7.0000000000000007E-2</v>
      </c>
      <c r="J6" s="172" t="s">
        <v>492</v>
      </c>
      <c r="K6" s="172">
        <v>1010.59</v>
      </c>
      <c r="L6" s="172" t="s">
        <v>583</v>
      </c>
      <c r="M6" s="172">
        <v>67.92</v>
      </c>
      <c r="N6" s="172">
        <v>1500372000</v>
      </c>
      <c r="O6" s="172">
        <v>0</v>
      </c>
      <c r="P6" s="172">
        <v>10</v>
      </c>
      <c r="Q6" s="172">
        <v>225</v>
      </c>
      <c r="R6" s="172">
        <v>5.95</v>
      </c>
      <c r="S6" s="172">
        <v>4.17</v>
      </c>
    </row>
    <row r="7" spans="1:19" x14ac:dyDescent="0.25">
      <c r="A7" s="172">
        <v>66.849999999999994</v>
      </c>
      <c r="B7" s="172">
        <v>0.1</v>
      </c>
      <c r="C7" s="172">
        <v>46.14</v>
      </c>
      <c r="D7" s="8">
        <v>42934.208333333336</v>
      </c>
      <c r="E7" s="172">
        <v>0.47</v>
      </c>
      <c r="F7" s="172" t="s">
        <v>516</v>
      </c>
      <c r="G7" s="172">
        <v>285.20999999999998</v>
      </c>
      <c r="H7" s="172">
        <v>0</v>
      </c>
      <c r="I7" s="172">
        <v>0</v>
      </c>
      <c r="J7" s="172"/>
      <c r="K7" s="172">
        <v>1010.95</v>
      </c>
      <c r="L7" s="172" t="s">
        <v>517</v>
      </c>
      <c r="M7" s="172">
        <v>66.849999999999994</v>
      </c>
      <c r="N7" s="172">
        <v>1500375600</v>
      </c>
      <c r="O7" s="172">
        <v>0</v>
      </c>
      <c r="P7" s="172">
        <v>10</v>
      </c>
      <c r="Q7" s="172">
        <v>224</v>
      </c>
      <c r="R7" s="172">
        <v>5.14</v>
      </c>
      <c r="S7" s="172">
        <v>3.96</v>
      </c>
    </row>
    <row r="8" spans="1:19" x14ac:dyDescent="0.25">
      <c r="A8" s="172">
        <v>68.400000000000006</v>
      </c>
      <c r="B8" s="172">
        <v>0.01</v>
      </c>
      <c r="C8" s="172">
        <v>45.92</v>
      </c>
      <c r="D8" s="8">
        <v>42934.25</v>
      </c>
      <c r="E8" s="172">
        <v>0.44</v>
      </c>
      <c r="F8" s="172" t="s">
        <v>518</v>
      </c>
      <c r="G8" s="172">
        <v>284.17</v>
      </c>
      <c r="H8" s="172">
        <v>0</v>
      </c>
      <c r="I8" s="172">
        <v>0</v>
      </c>
      <c r="J8" s="172"/>
      <c r="K8" s="172">
        <v>1011.58</v>
      </c>
      <c r="L8" s="172" t="s">
        <v>517</v>
      </c>
      <c r="M8" s="172">
        <v>68.400000000000006</v>
      </c>
      <c r="N8" s="172">
        <v>1500379200</v>
      </c>
      <c r="O8" s="172">
        <v>0</v>
      </c>
      <c r="P8" s="172">
        <v>10</v>
      </c>
      <c r="Q8" s="172">
        <v>212</v>
      </c>
      <c r="R8" s="172">
        <v>4.13</v>
      </c>
      <c r="S8" s="172">
        <v>2.2200000000000002</v>
      </c>
    </row>
    <row r="9" spans="1:19" x14ac:dyDescent="0.25">
      <c r="A9" s="172">
        <v>70.78</v>
      </c>
      <c r="B9" s="172">
        <v>0</v>
      </c>
      <c r="C9" s="172">
        <v>46.16</v>
      </c>
      <c r="D9" s="8">
        <v>42934.291666666664</v>
      </c>
      <c r="E9" s="172">
        <v>0.41</v>
      </c>
      <c r="F9" s="172" t="s">
        <v>518</v>
      </c>
      <c r="G9" s="172">
        <v>283.94</v>
      </c>
      <c r="H9" s="172">
        <v>0</v>
      </c>
      <c r="I9" s="172">
        <v>0</v>
      </c>
      <c r="J9" s="172"/>
      <c r="K9" s="172">
        <v>1011.79</v>
      </c>
      <c r="L9" s="172" t="s">
        <v>517</v>
      </c>
      <c r="M9" s="172">
        <v>70.78</v>
      </c>
      <c r="N9" s="172">
        <v>1500382800</v>
      </c>
      <c r="O9" s="172">
        <v>1</v>
      </c>
      <c r="P9" s="172">
        <v>10</v>
      </c>
      <c r="Q9" s="172">
        <v>159</v>
      </c>
      <c r="R9" s="172">
        <v>5.03</v>
      </c>
      <c r="S9" s="172">
        <v>2.4900000000000002</v>
      </c>
    </row>
    <row r="10" spans="1:19" x14ac:dyDescent="0.25">
      <c r="A10" s="172">
        <v>75.680000000000007</v>
      </c>
      <c r="B10" s="172">
        <v>0</v>
      </c>
      <c r="C10" s="172">
        <v>46.27</v>
      </c>
      <c r="D10" s="8">
        <v>42934.333333333336</v>
      </c>
      <c r="E10" s="172">
        <v>0.35</v>
      </c>
      <c r="F10" s="172" t="s">
        <v>518</v>
      </c>
      <c r="G10" s="172">
        <v>283.70999999999998</v>
      </c>
      <c r="H10" s="172">
        <v>0</v>
      </c>
      <c r="I10" s="172">
        <v>0</v>
      </c>
      <c r="J10" s="172"/>
      <c r="K10" s="172">
        <v>1011.9</v>
      </c>
      <c r="L10" s="172" t="s">
        <v>517</v>
      </c>
      <c r="M10" s="172">
        <v>75.680000000000007</v>
      </c>
      <c r="N10" s="172">
        <v>1500386400</v>
      </c>
      <c r="O10" s="172">
        <v>1</v>
      </c>
      <c r="P10" s="172">
        <v>10</v>
      </c>
      <c r="Q10" s="172">
        <v>78</v>
      </c>
      <c r="R10" s="172">
        <v>7.32</v>
      </c>
      <c r="S10" s="172">
        <v>2.5</v>
      </c>
    </row>
    <row r="11" spans="1:19" x14ac:dyDescent="0.25">
      <c r="A11" s="172">
        <v>80.069999999999993</v>
      </c>
      <c r="B11" s="172">
        <v>0.01</v>
      </c>
      <c r="C11" s="172">
        <v>46.12</v>
      </c>
      <c r="D11" s="8">
        <v>42934.375</v>
      </c>
      <c r="E11" s="172">
        <v>0.3</v>
      </c>
      <c r="F11" s="172" t="s">
        <v>518</v>
      </c>
      <c r="G11" s="172">
        <v>283.48</v>
      </c>
      <c r="H11" s="172">
        <v>0</v>
      </c>
      <c r="I11" s="172">
        <v>0</v>
      </c>
      <c r="J11" s="172"/>
      <c r="K11" s="172">
        <v>1012.28</v>
      </c>
      <c r="L11" s="172" t="s">
        <v>517</v>
      </c>
      <c r="M11" s="172">
        <v>80.069999999999993</v>
      </c>
      <c r="N11" s="172">
        <v>1500390000</v>
      </c>
      <c r="O11" s="172">
        <v>3</v>
      </c>
      <c r="P11" s="172">
        <v>10</v>
      </c>
      <c r="Q11" s="172">
        <v>328</v>
      </c>
      <c r="R11" s="172">
        <v>10.07</v>
      </c>
      <c r="S11" s="172">
        <v>2.99</v>
      </c>
    </row>
    <row r="12" spans="1:19" x14ac:dyDescent="0.25">
      <c r="A12" s="172">
        <v>83.8</v>
      </c>
      <c r="B12" s="172">
        <v>0</v>
      </c>
      <c r="C12" s="172">
        <v>45.53</v>
      </c>
      <c r="D12" s="8">
        <v>42934.416666666664</v>
      </c>
      <c r="E12" s="172">
        <v>0.26</v>
      </c>
      <c r="F12" s="172" t="s">
        <v>518</v>
      </c>
      <c r="G12" s="172">
        <v>283.25</v>
      </c>
      <c r="H12" s="172">
        <v>0</v>
      </c>
      <c r="I12" s="172">
        <v>0</v>
      </c>
      <c r="J12" s="172"/>
      <c r="K12" s="172">
        <v>1012.25</v>
      </c>
      <c r="L12" s="172" t="s">
        <v>517</v>
      </c>
      <c r="M12" s="172">
        <v>83.8</v>
      </c>
      <c r="N12" s="172">
        <v>1500393600</v>
      </c>
      <c r="O12" s="172">
        <v>5</v>
      </c>
      <c r="P12" s="172">
        <v>10</v>
      </c>
      <c r="Q12" s="172">
        <v>354</v>
      </c>
      <c r="R12" s="172">
        <v>10.7</v>
      </c>
      <c r="S12" s="172">
        <v>4.8899999999999997</v>
      </c>
    </row>
    <row r="13" spans="1:19" x14ac:dyDescent="0.25">
      <c r="A13" s="172">
        <v>87.27</v>
      </c>
      <c r="B13" s="172">
        <v>0.01</v>
      </c>
      <c r="C13" s="172">
        <v>44.81</v>
      </c>
      <c r="D13" s="8">
        <v>42934.458333333336</v>
      </c>
      <c r="E13" s="172">
        <v>0.23</v>
      </c>
      <c r="F13" s="172" t="s">
        <v>518</v>
      </c>
      <c r="G13" s="172">
        <v>283.01</v>
      </c>
      <c r="H13" s="172">
        <v>0</v>
      </c>
      <c r="I13" s="172">
        <v>0</v>
      </c>
      <c r="J13" s="172"/>
      <c r="K13" s="172">
        <v>1011.95</v>
      </c>
      <c r="L13" s="172" t="s">
        <v>517</v>
      </c>
      <c r="M13" s="172">
        <v>87.27</v>
      </c>
      <c r="N13" s="172">
        <v>1500397200</v>
      </c>
      <c r="O13" s="172">
        <v>8</v>
      </c>
      <c r="P13" s="172">
        <v>10</v>
      </c>
      <c r="Q13" s="172">
        <v>21</v>
      </c>
      <c r="R13" s="172">
        <v>9.89</v>
      </c>
      <c r="S13" s="172">
        <v>6.6</v>
      </c>
    </row>
    <row r="14" spans="1:19" x14ac:dyDescent="0.25">
      <c r="A14" s="172">
        <v>90.35</v>
      </c>
      <c r="B14" s="172">
        <v>0</v>
      </c>
      <c r="C14" s="172">
        <v>45.85</v>
      </c>
      <c r="D14" s="8">
        <v>42934.5</v>
      </c>
      <c r="E14" s="172">
        <v>0.22</v>
      </c>
      <c r="F14" s="172" t="s">
        <v>518</v>
      </c>
      <c r="G14" s="172">
        <v>283.47000000000003</v>
      </c>
      <c r="H14" s="172">
        <v>0</v>
      </c>
      <c r="I14" s="172">
        <v>0</v>
      </c>
      <c r="J14" s="172"/>
      <c r="K14" s="172">
        <v>1011.9</v>
      </c>
      <c r="L14" s="172" t="s">
        <v>517</v>
      </c>
      <c r="M14" s="172">
        <v>90.35</v>
      </c>
      <c r="N14" s="172">
        <v>1500400800</v>
      </c>
      <c r="O14" s="172">
        <v>11</v>
      </c>
      <c r="P14" s="172">
        <v>10</v>
      </c>
      <c r="Q14" s="172">
        <v>45</v>
      </c>
      <c r="R14" s="172">
        <v>9.49</v>
      </c>
      <c r="S14" s="172">
        <v>7.3</v>
      </c>
    </row>
    <row r="15" spans="1:19" x14ac:dyDescent="0.25">
      <c r="A15" s="172">
        <v>92.4</v>
      </c>
      <c r="B15" s="172">
        <v>0.11</v>
      </c>
      <c r="C15" s="172">
        <v>45.82</v>
      </c>
      <c r="D15" s="8">
        <v>42934.541666666664</v>
      </c>
      <c r="E15" s="172">
        <v>0.2</v>
      </c>
      <c r="F15" s="172" t="s">
        <v>518</v>
      </c>
      <c r="G15" s="172">
        <v>283.24</v>
      </c>
      <c r="H15" s="172">
        <v>0</v>
      </c>
      <c r="I15" s="172">
        <v>0</v>
      </c>
      <c r="J15" s="172"/>
      <c r="K15" s="172">
        <v>1011.39</v>
      </c>
      <c r="L15" s="172" t="s">
        <v>517</v>
      </c>
      <c r="M15" s="172">
        <v>92.4</v>
      </c>
      <c r="N15" s="172">
        <v>1500404400</v>
      </c>
      <c r="O15" s="172">
        <v>12</v>
      </c>
      <c r="P15" s="172">
        <v>10</v>
      </c>
      <c r="Q15" s="172">
        <v>45</v>
      </c>
      <c r="R15" s="172">
        <v>8.5</v>
      </c>
      <c r="S15" s="172">
        <v>6.81</v>
      </c>
    </row>
    <row r="16" spans="1:19" x14ac:dyDescent="0.25">
      <c r="A16" s="172">
        <v>93.31</v>
      </c>
      <c r="B16" s="172">
        <v>0.19</v>
      </c>
      <c r="C16" s="172">
        <v>45.51</v>
      </c>
      <c r="D16" s="8">
        <v>42934.583333333336</v>
      </c>
      <c r="E16" s="172">
        <v>0.19</v>
      </c>
      <c r="F16" s="172" t="s">
        <v>492</v>
      </c>
      <c r="G16" s="172">
        <v>282.77</v>
      </c>
      <c r="H16" s="172">
        <v>6.3E-3</v>
      </c>
      <c r="I16" s="172">
        <v>0.02</v>
      </c>
      <c r="J16" s="172" t="s">
        <v>492</v>
      </c>
      <c r="K16" s="172">
        <v>1010.79</v>
      </c>
      <c r="L16" s="172" t="s">
        <v>582</v>
      </c>
      <c r="M16" s="172">
        <v>93.31</v>
      </c>
      <c r="N16" s="172">
        <v>1500408000</v>
      </c>
      <c r="O16" s="172">
        <v>11</v>
      </c>
      <c r="P16" s="172">
        <v>10</v>
      </c>
      <c r="Q16" s="172">
        <v>48</v>
      </c>
      <c r="R16" s="172">
        <v>6.47</v>
      </c>
      <c r="S16" s="172">
        <v>5.51</v>
      </c>
    </row>
    <row r="17" spans="1:19" x14ac:dyDescent="0.25">
      <c r="A17" s="172">
        <v>92.58</v>
      </c>
      <c r="B17" s="172">
        <v>0.25</v>
      </c>
      <c r="C17" s="172">
        <v>45.82</v>
      </c>
      <c r="D17" s="8">
        <v>42934.625</v>
      </c>
      <c r="E17" s="172">
        <v>0.2</v>
      </c>
      <c r="F17" s="172" t="s">
        <v>865</v>
      </c>
      <c r="G17" s="172">
        <v>282.42</v>
      </c>
      <c r="H17" s="172">
        <v>0</v>
      </c>
      <c r="I17" s="172">
        <v>0</v>
      </c>
      <c r="J17" s="172"/>
      <c r="K17" s="172">
        <v>1010.81</v>
      </c>
      <c r="L17" s="172" t="s">
        <v>866</v>
      </c>
      <c r="M17" s="172">
        <v>92.58</v>
      </c>
      <c r="N17" s="172">
        <v>1500411600</v>
      </c>
      <c r="O17" s="172">
        <v>8</v>
      </c>
      <c r="P17" s="172">
        <v>10</v>
      </c>
      <c r="Q17" s="172">
        <v>27</v>
      </c>
      <c r="R17" s="172">
        <v>6.37</v>
      </c>
      <c r="S17" s="172">
        <v>4.37</v>
      </c>
    </row>
    <row r="18" spans="1:19" x14ac:dyDescent="0.25">
      <c r="A18" s="172">
        <v>92.29</v>
      </c>
      <c r="B18" s="172">
        <v>0.35</v>
      </c>
      <c r="C18" s="172">
        <v>46.16</v>
      </c>
      <c r="D18" s="8">
        <v>42934.666666666664</v>
      </c>
      <c r="E18" s="172">
        <v>0.21</v>
      </c>
      <c r="F18" s="172" t="s">
        <v>865</v>
      </c>
      <c r="G18" s="172">
        <v>281.95</v>
      </c>
      <c r="H18" s="172">
        <v>2.5000000000000001E-3</v>
      </c>
      <c r="I18" s="172">
        <v>0.01</v>
      </c>
      <c r="J18" s="172" t="s">
        <v>492</v>
      </c>
      <c r="K18" s="172">
        <v>1010.66</v>
      </c>
      <c r="L18" s="172" t="s">
        <v>866</v>
      </c>
      <c r="M18" s="172">
        <v>92.29</v>
      </c>
      <c r="N18" s="172">
        <v>1500415200</v>
      </c>
      <c r="O18" s="172">
        <v>5</v>
      </c>
      <c r="P18" s="172">
        <v>10</v>
      </c>
      <c r="Q18" s="172">
        <v>29</v>
      </c>
      <c r="R18" s="172">
        <v>7.11</v>
      </c>
      <c r="S18" s="172">
        <v>5.26</v>
      </c>
    </row>
    <row r="19" spans="1:19" x14ac:dyDescent="0.25">
      <c r="A19" s="172">
        <v>92.81</v>
      </c>
      <c r="B19" s="172">
        <v>0.4</v>
      </c>
      <c r="C19" s="172">
        <v>46.28</v>
      </c>
      <c r="D19" s="8">
        <v>42934.708333333336</v>
      </c>
      <c r="E19" s="172">
        <v>0.2</v>
      </c>
      <c r="F19" s="172" t="s">
        <v>865</v>
      </c>
      <c r="G19" s="172">
        <v>281.60000000000002</v>
      </c>
      <c r="H19" s="172">
        <v>0</v>
      </c>
      <c r="I19" s="172">
        <v>0</v>
      </c>
      <c r="J19" s="172"/>
      <c r="K19" s="172">
        <v>1010.39</v>
      </c>
      <c r="L19" s="172" t="s">
        <v>866</v>
      </c>
      <c r="M19" s="172">
        <v>92.81</v>
      </c>
      <c r="N19" s="172">
        <v>1500418800</v>
      </c>
      <c r="O19" s="172">
        <v>2</v>
      </c>
      <c r="P19" s="172">
        <v>10</v>
      </c>
      <c r="Q19" s="172">
        <v>18</v>
      </c>
      <c r="R19" s="172">
        <v>5.93</v>
      </c>
      <c r="S19" s="172">
        <v>4.97</v>
      </c>
    </row>
    <row r="20" spans="1:19" x14ac:dyDescent="0.25">
      <c r="A20" s="172">
        <v>91.21</v>
      </c>
      <c r="B20" s="172">
        <v>0.28999999999999998</v>
      </c>
      <c r="C20" s="172">
        <v>47.89</v>
      </c>
      <c r="D20" s="8">
        <v>42934.75</v>
      </c>
      <c r="E20" s="172">
        <v>0.23</v>
      </c>
      <c r="F20" s="172" t="s">
        <v>865</v>
      </c>
      <c r="G20" s="172">
        <v>281.13</v>
      </c>
      <c r="H20" s="172">
        <v>0</v>
      </c>
      <c r="I20" s="172">
        <v>0</v>
      </c>
      <c r="J20" s="172"/>
      <c r="K20" s="172">
        <v>1011.14</v>
      </c>
      <c r="L20" s="172" t="s">
        <v>866</v>
      </c>
      <c r="M20" s="172">
        <v>91.21</v>
      </c>
      <c r="N20" s="172">
        <v>1500422400</v>
      </c>
      <c r="O20" s="172">
        <v>1</v>
      </c>
      <c r="P20" s="172">
        <v>10</v>
      </c>
      <c r="Q20" s="172">
        <v>211</v>
      </c>
      <c r="R20" s="172">
        <v>8.52</v>
      </c>
      <c r="S20" s="172">
        <v>7.98</v>
      </c>
    </row>
    <row r="21" spans="1:19" x14ac:dyDescent="0.25">
      <c r="A21" s="172">
        <v>88.46</v>
      </c>
      <c r="B21" s="172">
        <v>0.45</v>
      </c>
      <c r="C21" s="172">
        <v>49.76</v>
      </c>
      <c r="D21" s="8">
        <v>42934.791666666664</v>
      </c>
      <c r="E21" s="172">
        <v>0.27</v>
      </c>
      <c r="F21" s="172" t="s">
        <v>865</v>
      </c>
      <c r="G21" s="172">
        <v>280.89999999999998</v>
      </c>
      <c r="H21" s="172">
        <v>0</v>
      </c>
      <c r="I21" s="172">
        <v>0</v>
      </c>
      <c r="J21" s="172"/>
      <c r="K21" s="172">
        <v>1011.45</v>
      </c>
      <c r="L21" s="172" t="s">
        <v>866</v>
      </c>
      <c r="M21" s="172">
        <v>88.46</v>
      </c>
      <c r="N21" s="172">
        <v>1500426000</v>
      </c>
      <c r="O21" s="172">
        <v>1</v>
      </c>
      <c r="P21" s="172">
        <v>10</v>
      </c>
      <c r="Q21" s="172">
        <v>222</v>
      </c>
      <c r="R21" s="172">
        <v>18.21</v>
      </c>
      <c r="S21" s="172">
        <v>10.77</v>
      </c>
    </row>
    <row r="22" spans="1:19" x14ac:dyDescent="0.25">
      <c r="A22" s="172">
        <v>86.2</v>
      </c>
      <c r="B22" s="172">
        <v>0.53</v>
      </c>
      <c r="C22" s="172">
        <v>50.21</v>
      </c>
      <c r="D22" s="8">
        <v>42934.833333333336</v>
      </c>
      <c r="E22" s="172">
        <v>0.28999999999999998</v>
      </c>
      <c r="F22" s="172" t="s">
        <v>865</v>
      </c>
      <c r="G22" s="172">
        <v>280.77999999999997</v>
      </c>
      <c r="H22" s="172">
        <v>0</v>
      </c>
      <c r="I22" s="172">
        <v>0</v>
      </c>
      <c r="J22" s="172"/>
      <c r="K22" s="172">
        <v>1011.84</v>
      </c>
      <c r="L22" s="172" t="s">
        <v>866</v>
      </c>
      <c r="M22" s="172">
        <v>86.2</v>
      </c>
      <c r="N22" s="172">
        <v>1500429600</v>
      </c>
      <c r="O22" s="172">
        <v>0</v>
      </c>
      <c r="P22" s="172">
        <v>10</v>
      </c>
      <c r="Q22" s="172">
        <v>228</v>
      </c>
      <c r="R22" s="172">
        <v>16.32</v>
      </c>
      <c r="S22" s="172">
        <v>8.49</v>
      </c>
    </row>
    <row r="23" spans="1:19" x14ac:dyDescent="0.25">
      <c r="A23" s="172">
        <v>83.28</v>
      </c>
      <c r="B23" s="172">
        <v>0.59</v>
      </c>
      <c r="C23" s="172">
        <v>50.39</v>
      </c>
      <c r="D23" s="8">
        <v>42934.875</v>
      </c>
      <c r="E23" s="172">
        <v>0.32</v>
      </c>
      <c r="F23" s="172" t="s">
        <v>867</v>
      </c>
      <c r="G23" s="172">
        <v>280.54000000000002</v>
      </c>
      <c r="H23" s="172">
        <v>0</v>
      </c>
      <c r="I23" s="172">
        <v>0</v>
      </c>
      <c r="J23" s="172"/>
      <c r="K23" s="172">
        <v>1012.96</v>
      </c>
      <c r="L23" s="172" t="s">
        <v>866</v>
      </c>
      <c r="M23" s="172">
        <v>83.28</v>
      </c>
      <c r="N23" s="172">
        <v>1500433200</v>
      </c>
      <c r="O23" s="172">
        <v>0</v>
      </c>
      <c r="P23" s="172">
        <v>10</v>
      </c>
      <c r="Q23" s="172">
        <v>203</v>
      </c>
      <c r="R23" s="172">
        <v>15.47</v>
      </c>
      <c r="S23" s="172">
        <v>8.0399999999999991</v>
      </c>
    </row>
    <row r="24" spans="1:19" x14ac:dyDescent="0.25">
      <c r="A24" s="172">
        <v>81.5</v>
      </c>
      <c r="B24" s="172">
        <v>0.54</v>
      </c>
      <c r="C24" s="172">
        <v>50.25</v>
      </c>
      <c r="D24" s="8">
        <v>42934.916666666664</v>
      </c>
      <c r="E24" s="172">
        <v>0.34</v>
      </c>
      <c r="F24" s="172" t="s">
        <v>867</v>
      </c>
      <c r="G24" s="172">
        <v>280.31</v>
      </c>
      <c r="H24" s="172">
        <v>0</v>
      </c>
      <c r="I24" s="172">
        <v>0</v>
      </c>
      <c r="J24" s="172"/>
      <c r="K24" s="172">
        <v>1013.16</v>
      </c>
      <c r="L24" s="172" t="s">
        <v>866</v>
      </c>
      <c r="M24" s="172">
        <v>81.5</v>
      </c>
      <c r="N24" s="172">
        <v>1500436800</v>
      </c>
      <c r="O24" s="172">
        <v>0</v>
      </c>
      <c r="P24" s="172">
        <v>10</v>
      </c>
      <c r="Q24" s="172">
        <v>206</v>
      </c>
      <c r="R24" s="172">
        <v>13.91</v>
      </c>
      <c r="S24" s="172">
        <v>7.22</v>
      </c>
    </row>
    <row r="25" spans="1:19" x14ac:dyDescent="0.25">
      <c r="A25" s="172">
        <v>79.91</v>
      </c>
      <c r="B25" s="172">
        <v>0.5</v>
      </c>
      <c r="C25" s="172">
        <v>49.8</v>
      </c>
      <c r="D25" s="8">
        <v>42934.958333333336</v>
      </c>
      <c r="E25" s="172">
        <v>0.35</v>
      </c>
      <c r="F25" s="172" t="s">
        <v>867</v>
      </c>
      <c r="G25" s="172">
        <v>279.83999999999997</v>
      </c>
      <c r="H25" s="172">
        <v>0</v>
      </c>
      <c r="I25" s="172">
        <v>0</v>
      </c>
      <c r="J25" s="172"/>
      <c r="K25" s="172">
        <v>1013.31</v>
      </c>
      <c r="L25" s="172" t="s">
        <v>866</v>
      </c>
      <c r="M25" s="172">
        <v>79.91</v>
      </c>
      <c r="N25" s="172">
        <v>1500440400</v>
      </c>
      <c r="O25" s="172">
        <v>0</v>
      </c>
      <c r="P25" s="172">
        <v>10</v>
      </c>
      <c r="Q25" s="172">
        <v>211</v>
      </c>
      <c r="R25" s="172">
        <v>11.86</v>
      </c>
      <c r="S25" s="172">
        <v>6.47</v>
      </c>
    </row>
    <row r="26" spans="1:19" x14ac:dyDescent="0.25">
      <c r="A26" s="172">
        <v>77.3</v>
      </c>
      <c r="B26" s="172">
        <v>0.28000000000000003</v>
      </c>
      <c r="C26" s="172">
        <v>49.51</v>
      </c>
      <c r="D26" s="8">
        <v>42935</v>
      </c>
      <c r="E26" s="172">
        <v>0.38</v>
      </c>
      <c r="F26" s="172" t="s">
        <v>867</v>
      </c>
      <c r="G26" s="172">
        <v>279.70999999999998</v>
      </c>
      <c r="H26" s="172">
        <v>0</v>
      </c>
      <c r="I26" s="172">
        <v>0</v>
      </c>
      <c r="J26" s="172"/>
      <c r="K26" s="172">
        <v>1013.14</v>
      </c>
      <c r="L26" s="172" t="s">
        <v>866</v>
      </c>
      <c r="M26" s="172">
        <v>77.3</v>
      </c>
      <c r="N26" s="172">
        <v>1500444000</v>
      </c>
      <c r="O26" s="172">
        <v>0</v>
      </c>
      <c r="P26" s="172">
        <v>10</v>
      </c>
      <c r="Q26" s="172">
        <v>193</v>
      </c>
      <c r="R26" s="172">
        <v>10.19</v>
      </c>
      <c r="S26" s="172">
        <v>5.99</v>
      </c>
    </row>
    <row r="27" spans="1:19" x14ac:dyDescent="0.25">
      <c r="A27" s="172">
        <v>75.930000000000007</v>
      </c>
      <c r="B27" s="172">
        <v>0.26</v>
      </c>
      <c r="C27" s="172">
        <v>49.82</v>
      </c>
      <c r="D27" s="8">
        <v>42935.041666666664</v>
      </c>
      <c r="E27" s="172">
        <v>0.4</v>
      </c>
      <c r="F27" s="172" t="s">
        <v>867</v>
      </c>
      <c r="G27" s="172">
        <v>279.70999999999998</v>
      </c>
      <c r="H27" s="172">
        <v>0</v>
      </c>
      <c r="I27" s="172">
        <v>0</v>
      </c>
      <c r="J27" s="172"/>
      <c r="K27" s="172">
        <v>1013.38</v>
      </c>
      <c r="L27" s="172" t="s">
        <v>866</v>
      </c>
      <c r="M27" s="172">
        <v>75.930000000000007</v>
      </c>
      <c r="N27" s="172">
        <v>1500447600</v>
      </c>
      <c r="O27" s="172">
        <v>0</v>
      </c>
      <c r="P27" s="172">
        <v>10</v>
      </c>
      <c r="Q27" s="172">
        <v>207</v>
      </c>
      <c r="R27" s="172">
        <v>9.8800000000000008</v>
      </c>
      <c r="S27" s="172">
        <v>5.48</v>
      </c>
    </row>
    <row r="28" spans="1:19" x14ac:dyDescent="0.25">
      <c r="A28" s="172">
        <v>74.73</v>
      </c>
      <c r="B28" s="172">
        <v>0.44</v>
      </c>
      <c r="C28" s="172">
        <v>50.57</v>
      </c>
      <c r="D28" s="8">
        <v>42935.083333333336</v>
      </c>
      <c r="E28" s="172">
        <v>0.43</v>
      </c>
      <c r="F28" s="172" t="s">
        <v>867</v>
      </c>
      <c r="G28" s="172">
        <v>279.83</v>
      </c>
      <c r="H28" s="172">
        <v>0</v>
      </c>
      <c r="I28" s="172">
        <v>0</v>
      </c>
      <c r="J28" s="172"/>
      <c r="K28" s="172">
        <v>1013.53</v>
      </c>
      <c r="L28" s="172" t="s">
        <v>866</v>
      </c>
      <c r="M28" s="172">
        <v>74.73</v>
      </c>
      <c r="N28" s="172">
        <v>1500451200</v>
      </c>
      <c r="O28" s="172">
        <v>0</v>
      </c>
      <c r="P28" s="172">
        <v>10</v>
      </c>
      <c r="Q28" s="172">
        <v>207</v>
      </c>
      <c r="R28" s="172">
        <v>8.48</v>
      </c>
      <c r="S28" s="172">
        <v>5.38</v>
      </c>
    </row>
    <row r="29" spans="1:19" x14ac:dyDescent="0.25">
      <c r="A29" s="172">
        <v>73.88</v>
      </c>
      <c r="B29" s="172">
        <v>0.43</v>
      </c>
      <c r="C29" s="172">
        <v>50.89</v>
      </c>
      <c r="D29" s="8">
        <v>42935.125</v>
      </c>
      <c r="E29" s="172">
        <v>0.45</v>
      </c>
      <c r="F29" s="172" t="s">
        <v>867</v>
      </c>
      <c r="G29" s="172">
        <v>279.83</v>
      </c>
      <c r="H29" s="172">
        <v>0</v>
      </c>
      <c r="I29" s="172">
        <v>0</v>
      </c>
      <c r="J29" s="172"/>
      <c r="K29" s="172">
        <v>1013.44</v>
      </c>
      <c r="L29" s="172" t="s">
        <v>866</v>
      </c>
      <c r="M29" s="172">
        <v>73.88</v>
      </c>
      <c r="N29" s="172">
        <v>1500454800</v>
      </c>
      <c r="O29" s="172">
        <v>0</v>
      </c>
      <c r="P29" s="172">
        <v>10</v>
      </c>
      <c r="Q29" s="172">
        <v>188</v>
      </c>
      <c r="R29" s="172">
        <v>6.82</v>
      </c>
      <c r="S29" s="172">
        <v>5.18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405</v>
      </c>
      <c r="AE2" s="56" t="s">
        <v>408</v>
      </c>
      <c r="AF2" s="56" t="s">
        <v>409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1044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1045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1049</v>
      </c>
      <c r="J25" s="140" t="s">
        <v>146</v>
      </c>
      <c r="M25" s="154" t="b">
        <v>1</v>
      </c>
    </row>
    <row r="26" spans="3:24" x14ac:dyDescent="0.25">
      <c r="C26" t="s">
        <v>1050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C:\Users\stu\Documents\GitHub\eaglep3-reporting\EC\2017-07-18-refined-times.txt</v>
      </c>
    </row>
    <row r="27" spans="3:24" x14ac:dyDescent="0.25">
      <c r="C27" t="s">
        <v>1051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C:\Users\stu\Documents\GitHub\eaglep3-reporting\EC\2017-07-18-Enforcements.txt</v>
      </c>
    </row>
    <row r="28" spans="3:24" x14ac:dyDescent="0.25">
      <c r="C28" t="s">
        <v>1052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C:\Users\stu\Documents\GitHub\eaglep3-reporting\EC\2017-07-18-Runs-refined.txt</v>
      </c>
    </row>
    <row r="29" spans="3:24" x14ac:dyDescent="0.25">
      <c r="C29" t="s">
        <v>1053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C:\Users\stu\Documents\GitHub\eaglep3-reporting\EC\2017-07-18-Trips.txt</v>
      </c>
    </row>
    <row r="30" spans="3:24" x14ac:dyDescent="0.25">
      <c r="C30" t="s">
        <v>1054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C:\Users\stu\Documents\GitHub\eaglep3-reporting\EC\2017-07-18-Weather.txt</v>
      </c>
    </row>
    <row r="31" spans="3:24" x14ac:dyDescent="0.25">
      <c r="C31" t="s">
        <v>1055</v>
      </c>
      <c r="J31" s="140" t="s">
        <v>194</v>
      </c>
      <c r="M31" s="154" t="s">
        <v>195</v>
      </c>
    </row>
    <row r="32" spans="3:24" x14ac:dyDescent="0.25">
      <c r="C32" t="s">
        <v>1056</v>
      </c>
    </row>
    <row r="33" spans="3:3" x14ac:dyDescent="0.25">
      <c r="C33" t="s">
        <v>1057</v>
      </c>
    </row>
    <row r="34" spans="3:3" x14ac:dyDescent="0.25">
      <c r="C34" t="s">
        <v>1058</v>
      </c>
    </row>
    <row r="35" spans="3:3" x14ac:dyDescent="0.25">
      <c r="C35" t="s">
        <v>1059</v>
      </c>
    </row>
    <row r="36" spans="3:3" x14ac:dyDescent="0.25">
      <c r="C36" t="s">
        <v>1060</v>
      </c>
    </row>
    <row r="37" spans="3:3" x14ac:dyDescent="0.25">
      <c r="C37" t="s">
        <v>1061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2017-07-20T13:11:35Z</dcterms:modified>
</cp:coreProperties>
</file>