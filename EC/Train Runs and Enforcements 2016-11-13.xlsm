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1" i="3" l="1"/>
  <c r="M18" i="3"/>
  <c r="M12" i="3"/>
  <c r="M8" i="3"/>
  <c r="M9" i="3"/>
  <c r="M11" i="3"/>
  <c r="M13" i="3"/>
  <c r="M24" i="3"/>
  <c r="M28" i="3"/>
  <c r="M34" i="3"/>
  <c r="M36" i="3"/>
  <c r="M19" i="3"/>
  <c r="M23" i="3"/>
  <c r="M25" i="3"/>
  <c r="M40" i="3"/>
  <c r="M39" i="3"/>
  <c r="M33" i="3"/>
  <c r="M14" i="3"/>
  <c r="M26" i="3"/>
  <c r="M27" i="3"/>
  <c r="M35" i="3"/>
  <c r="M37" i="3"/>
  <c r="M38" i="3"/>
  <c r="M7" i="3"/>
  <c r="M29" i="3"/>
  <c r="M30" i="3"/>
  <c r="X162" i="1" l="1"/>
  <c r="X163" i="1"/>
  <c r="X164" i="1"/>
  <c r="X165" i="1"/>
  <c r="X166" i="1"/>
  <c r="X167" i="1"/>
  <c r="X168" i="1"/>
  <c r="X169" i="1"/>
  <c r="K14" i="1" l="1"/>
  <c r="L14" i="1"/>
  <c r="M14" i="1"/>
  <c r="N14" i="1" s="1"/>
  <c r="V14" i="1"/>
  <c r="S8" i="3" s="1"/>
  <c r="Y14" i="1"/>
  <c r="Z14" i="1"/>
  <c r="AA14" i="1" s="1"/>
  <c r="AB14" i="1"/>
  <c r="AC14" i="1"/>
  <c r="AD14" i="1"/>
  <c r="T14" i="1" s="1"/>
  <c r="AE14" i="1"/>
  <c r="AF14" i="1"/>
  <c r="AG14" i="1"/>
  <c r="U14" i="1" s="1"/>
  <c r="AH14" i="1"/>
  <c r="K15" i="1"/>
  <c r="L15" i="1"/>
  <c r="M15" i="1"/>
  <c r="N15" i="1" s="1"/>
  <c r="V15" i="1"/>
  <c r="Y15" i="1"/>
  <c r="Z15" i="1"/>
  <c r="AA15" i="1" s="1"/>
  <c r="W15" i="1" s="1"/>
  <c r="AB15" i="1"/>
  <c r="AC15" i="1"/>
  <c r="AD15" i="1"/>
  <c r="AG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R11" i="3" s="1"/>
  <c r="AF24" i="1"/>
  <c r="AG24" i="1"/>
  <c r="AH24" i="1"/>
  <c r="AI24" i="1"/>
  <c r="K25" i="1"/>
  <c r="L25" i="1"/>
  <c r="M25" i="1"/>
  <c r="V25" i="1"/>
  <c r="Y25" i="1"/>
  <c r="Z25" i="1"/>
  <c r="AB25" i="1"/>
  <c r="AC25" i="1"/>
  <c r="AD25" i="1"/>
  <c r="AE25" i="1"/>
  <c r="AF25" i="1"/>
  <c r="AH25" i="1"/>
  <c r="K26" i="1"/>
  <c r="L26" i="1"/>
  <c r="M26" i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/>
  <c r="V27" i="1"/>
  <c r="S10" i="3" s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P28" i="1" s="1"/>
  <c r="V28" i="1"/>
  <c r="Y28" i="1"/>
  <c r="Z28" i="1"/>
  <c r="AB28" i="1"/>
  <c r="AC28" i="1"/>
  <c r="AD28" i="1"/>
  <c r="T28" i="1" s="1"/>
  <c r="AE28" i="1"/>
  <c r="AF28" i="1"/>
  <c r="AG28" i="1"/>
  <c r="AI28" i="1" s="1"/>
  <c r="AH28" i="1"/>
  <c r="K29" i="1"/>
  <c r="L29" i="1"/>
  <c r="M29" i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V31" i="1"/>
  <c r="Y31" i="1"/>
  <c r="Z31" i="1"/>
  <c r="AA31" i="1" s="1"/>
  <c r="AB31" i="1"/>
  <c r="AC31" i="1"/>
  <c r="AD31" i="1"/>
  <c r="AG31" i="1" s="1"/>
  <c r="AE31" i="1"/>
  <c r="AF31" i="1"/>
  <c r="AH31" i="1"/>
  <c r="K32" i="1"/>
  <c r="L32" i="1"/>
  <c r="M32" i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I35" i="1"/>
  <c r="K36" i="1"/>
  <c r="L36" i="1"/>
  <c r="M36" i="1"/>
  <c r="V36" i="1"/>
  <c r="Y36" i="1"/>
  <c r="Z36" i="1"/>
  <c r="AB36" i="1"/>
  <c r="AC36" i="1"/>
  <c r="AD36" i="1"/>
  <c r="AE36" i="1"/>
  <c r="AF36" i="1"/>
  <c r="AH36" i="1"/>
  <c r="K37" i="1"/>
  <c r="L37" i="1"/>
  <c r="M37" i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AA38" i="1" s="1"/>
  <c r="Z38" i="1"/>
  <c r="AB38" i="1"/>
  <c r="AC38" i="1"/>
  <c r="AD38" i="1"/>
  <c r="T38" i="1" s="1"/>
  <c r="AE38" i="1"/>
  <c r="AF38" i="1"/>
  <c r="AG38" i="1"/>
  <c r="AH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R12" i="3" s="1"/>
  <c r="AF39" i="1"/>
  <c r="AH39" i="1"/>
  <c r="K40" i="1"/>
  <c r="L40" i="1"/>
  <c r="M40" i="1"/>
  <c r="N40" i="1" s="1"/>
  <c r="V40" i="1"/>
  <c r="Y40" i="1"/>
  <c r="Z40" i="1"/>
  <c r="AA40" i="1" s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A42" i="1" s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A43" i="1" s="1"/>
  <c r="W43" i="1" s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T50" i="1"/>
  <c r="V50" i="1"/>
  <c r="Y50" i="1"/>
  <c r="Z50" i="1"/>
  <c r="AB50" i="1"/>
  <c r="AC50" i="1"/>
  <c r="AD50" i="1"/>
  <c r="AE50" i="1"/>
  <c r="AF50" i="1"/>
  <c r="AG50" i="1"/>
  <c r="AH50" i="1"/>
  <c r="K51" i="1"/>
  <c r="L51" i="1"/>
  <c r="M51" i="1"/>
  <c r="N51" i="1" s="1"/>
  <c r="V51" i="1"/>
  <c r="Y51" i="1"/>
  <c r="Z51" i="1"/>
  <c r="AA51" i="1" s="1"/>
  <c r="W51" i="1" s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A54" i="1" s="1"/>
  <c r="W54" i="1" s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AA57" i="1" s="1"/>
  <c r="Z57" i="1"/>
  <c r="AB57" i="1"/>
  <c r="AC57" i="1"/>
  <c r="AD57" i="1"/>
  <c r="T57" i="1" s="1"/>
  <c r="AE57" i="1"/>
  <c r="AF57" i="1"/>
  <c r="AH57" i="1"/>
  <c r="K58" i="1"/>
  <c r="L58" i="1"/>
  <c r="M58" i="1"/>
  <c r="N58" i="1"/>
  <c r="V58" i="1"/>
  <c r="Y58" i="1"/>
  <c r="Z58" i="1"/>
  <c r="AB58" i="1"/>
  <c r="AC58" i="1"/>
  <c r="AD58" i="1"/>
  <c r="AG58" i="1" s="1"/>
  <c r="AE58" i="1"/>
  <c r="R16" i="3" s="1"/>
  <c r="AF58" i="1"/>
  <c r="AH58" i="1"/>
  <c r="K59" i="1"/>
  <c r="L59" i="1"/>
  <c r="M59" i="1"/>
  <c r="N59" i="1" s="1"/>
  <c r="V59" i="1"/>
  <c r="Y59" i="1"/>
  <c r="Z59" i="1"/>
  <c r="AA59" i="1" s="1"/>
  <c r="W59" i="1" s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AA61" i="1" s="1"/>
  <c r="Z61" i="1"/>
  <c r="AB61" i="1"/>
  <c r="AC61" i="1"/>
  <c r="AD61" i="1"/>
  <c r="AG61" i="1" s="1"/>
  <c r="AE61" i="1"/>
  <c r="AF61" i="1"/>
  <c r="AH61" i="1"/>
  <c r="K62" i="1"/>
  <c r="L62" i="1"/>
  <c r="M62" i="1"/>
  <c r="N62" i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A67" i="1" s="1"/>
  <c r="AB67" i="1"/>
  <c r="AC67" i="1"/>
  <c r="AD67" i="1"/>
  <c r="AG67" i="1" s="1"/>
  <c r="AE67" i="1"/>
  <c r="AF67" i="1"/>
  <c r="AH67" i="1"/>
  <c r="AI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/>
  <c r="V70" i="1"/>
  <c r="Y70" i="1"/>
  <c r="Z70" i="1"/>
  <c r="AA70" i="1"/>
  <c r="W70" i="1" s="1"/>
  <c r="AB70" i="1"/>
  <c r="AC70" i="1"/>
  <c r="AD70" i="1"/>
  <c r="AG70" i="1" s="1"/>
  <c r="AE70" i="1"/>
  <c r="R22" i="3" s="1"/>
  <c r="AF70" i="1"/>
  <c r="AH70" i="1"/>
  <c r="AI70" i="1"/>
  <c r="K71" i="1"/>
  <c r="L71" i="1"/>
  <c r="M71" i="1"/>
  <c r="N71" i="1" s="1"/>
  <c r="V71" i="1"/>
  <c r="S19" i="3" s="1"/>
  <c r="Y71" i="1"/>
  <c r="Z71" i="1"/>
  <c r="AB71" i="1"/>
  <c r="AC71" i="1"/>
  <c r="AD71" i="1"/>
  <c r="AE71" i="1"/>
  <c r="AF71" i="1"/>
  <c r="AH71" i="1"/>
  <c r="K72" i="1"/>
  <c r="L72" i="1"/>
  <c r="M72" i="1"/>
  <c r="N72" i="1"/>
  <c r="V72" i="1"/>
  <c r="S21" i="3" s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T73" i="1"/>
  <c r="V73" i="1"/>
  <c r="Y73" i="1"/>
  <c r="Z73" i="1"/>
  <c r="AB73" i="1"/>
  <c r="AC73" i="1"/>
  <c r="AD73" i="1"/>
  <c r="X73" i="1" s="1"/>
  <c r="AE73" i="1"/>
  <c r="AF73" i="1"/>
  <c r="AH73" i="1"/>
  <c r="K74" i="1"/>
  <c r="L74" i="1"/>
  <c r="M74" i="1"/>
  <c r="N74" i="1" s="1"/>
  <c r="V74" i="1"/>
  <c r="Y74" i="1"/>
  <c r="Z74" i="1"/>
  <c r="AI74" i="1" s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X76" i="1"/>
  <c r="Y76" i="1"/>
  <c r="Z76" i="1"/>
  <c r="AB76" i="1"/>
  <c r="AC76" i="1"/>
  <c r="AD76" i="1"/>
  <c r="T76" i="1" s="1"/>
  <c r="AE76" i="1"/>
  <c r="AF76" i="1"/>
  <c r="AG76" i="1"/>
  <c r="AH76" i="1"/>
  <c r="K77" i="1"/>
  <c r="L77" i="1"/>
  <c r="M77" i="1"/>
  <c r="N77" i="1" s="1"/>
  <c r="V77" i="1"/>
  <c r="Y77" i="1"/>
  <c r="Z77" i="1"/>
  <c r="AA77" i="1"/>
  <c r="AB77" i="1"/>
  <c r="AC77" i="1"/>
  <c r="AD77" i="1"/>
  <c r="AG77" i="1" s="1"/>
  <c r="AI77" i="1" s="1"/>
  <c r="AE77" i="1"/>
  <c r="AF77" i="1"/>
  <c r="AH77" i="1"/>
  <c r="K78" i="1"/>
  <c r="L78" i="1"/>
  <c r="M78" i="1"/>
  <c r="N78" i="1"/>
  <c r="V78" i="1"/>
  <c r="Y78" i="1"/>
  <c r="Z78" i="1"/>
  <c r="AA78" i="1" s="1"/>
  <c r="W78" i="1" s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I82" i="1" s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I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G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R25" i="3" s="1"/>
  <c r="AF93" i="1"/>
  <c r="AH93" i="1"/>
  <c r="K94" i="1"/>
  <c r="L94" i="1"/>
  <c r="M94" i="1"/>
  <c r="N94" i="1" s="1"/>
  <c r="V94" i="1"/>
  <c r="Y94" i="1"/>
  <c r="Z94" i="1"/>
  <c r="AI94" i="1" s="1"/>
  <c r="AB94" i="1"/>
  <c r="AC94" i="1"/>
  <c r="AD94" i="1"/>
  <c r="AG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0" i="1"/>
  <c r="K165" i="1"/>
  <c r="L165" i="1"/>
  <c r="M165" i="1"/>
  <c r="N165" i="1" s="1"/>
  <c r="T165" i="1"/>
  <c r="V165" i="1"/>
  <c r="Y165" i="1"/>
  <c r="Z165" i="1"/>
  <c r="AB165" i="1"/>
  <c r="AC165" i="1"/>
  <c r="AD165" i="1"/>
  <c r="AE165" i="1"/>
  <c r="AF165" i="1"/>
  <c r="AH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K167" i="1"/>
  <c r="L167" i="1"/>
  <c r="M167" i="1"/>
  <c r="N167" i="1" s="1"/>
  <c r="V167" i="1"/>
  <c r="S14" i="3" s="1"/>
  <c r="Y167" i="1"/>
  <c r="Z167" i="1"/>
  <c r="AB167" i="1"/>
  <c r="AC167" i="1"/>
  <c r="AD167" i="1"/>
  <c r="AG167" i="1" s="1"/>
  <c r="AE167" i="1"/>
  <c r="AF167" i="1"/>
  <c r="AH10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4" i="1"/>
  <c r="K169" i="1"/>
  <c r="L169" i="1"/>
  <c r="M169" i="1"/>
  <c r="N169" i="1" s="1"/>
  <c r="T169" i="1"/>
  <c r="V169" i="1"/>
  <c r="Y169" i="1"/>
  <c r="AA169" i="1" s="1"/>
  <c r="Z169" i="1"/>
  <c r="AB169" i="1"/>
  <c r="AC169" i="1"/>
  <c r="AD169" i="1"/>
  <c r="AE169" i="1"/>
  <c r="AF169" i="1"/>
  <c r="AG169" i="1"/>
  <c r="AH105" i="1"/>
  <c r="K170" i="1"/>
  <c r="L170" i="1"/>
  <c r="M170" i="1"/>
  <c r="N170" i="1" s="1"/>
  <c r="V170" i="1"/>
  <c r="Y170" i="1"/>
  <c r="Z170" i="1"/>
  <c r="AA170" i="1" s="1"/>
  <c r="W170" i="1" s="1"/>
  <c r="AB170" i="1"/>
  <c r="AC170" i="1"/>
  <c r="AD170" i="1"/>
  <c r="AG170" i="1" s="1"/>
  <c r="AE170" i="1"/>
  <c r="AF170" i="1"/>
  <c r="AH10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G171" i="1"/>
  <c r="AH1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2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3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5" i="1"/>
  <c r="K179" i="1"/>
  <c r="L179" i="1"/>
  <c r="M179" i="1"/>
  <c r="N179" i="1" s="1"/>
  <c r="V179" i="1"/>
  <c r="Y179" i="1"/>
  <c r="Z179" i="1"/>
  <c r="AB179" i="1"/>
  <c r="AC179" i="1"/>
  <c r="AD179" i="1"/>
  <c r="AG179" i="1" s="1"/>
  <c r="AI179" i="1" s="1"/>
  <c r="AE179" i="1"/>
  <c r="AF179" i="1"/>
  <c r="AH116" i="1"/>
  <c r="K180" i="1"/>
  <c r="L180" i="1"/>
  <c r="M180" i="1"/>
  <c r="N180" i="1"/>
  <c r="V180" i="1"/>
  <c r="Y180" i="1"/>
  <c r="Z180" i="1"/>
  <c r="AA180" i="1" s="1"/>
  <c r="W180" i="1" s="1"/>
  <c r="AB180" i="1"/>
  <c r="AC180" i="1"/>
  <c r="AD180" i="1"/>
  <c r="AG180" i="1" s="1"/>
  <c r="AE180" i="1"/>
  <c r="AF180" i="1"/>
  <c r="AH117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20" i="1"/>
  <c r="K183" i="1"/>
  <c r="L183" i="1"/>
  <c r="M183" i="1"/>
  <c r="N183" i="1" s="1"/>
  <c r="V183" i="1"/>
  <c r="Y183" i="1"/>
  <c r="Z183" i="1"/>
  <c r="AB183" i="1"/>
  <c r="AC183" i="1"/>
  <c r="AD183" i="1"/>
  <c r="AG183" i="1" s="1"/>
  <c r="AI183" i="1" s="1"/>
  <c r="AE183" i="1"/>
  <c r="AF183" i="1"/>
  <c r="AH121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K186" i="1"/>
  <c r="L186" i="1"/>
  <c r="M186" i="1"/>
  <c r="N186" i="1" s="1"/>
  <c r="V186" i="1"/>
  <c r="Y186" i="1"/>
  <c r="AA186" i="1" s="1"/>
  <c r="Z186" i="1"/>
  <c r="AB186" i="1"/>
  <c r="AC186" i="1"/>
  <c r="AD186" i="1"/>
  <c r="AE186" i="1"/>
  <c r="AF186" i="1"/>
  <c r="AH124" i="1"/>
  <c r="K187" i="1"/>
  <c r="L187" i="1"/>
  <c r="M187" i="1"/>
  <c r="N187" i="1"/>
  <c r="V187" i="1"/>
  <c r="Y187" i="1"/>
  <c r="Z187" i="1"/>
  <c r="AB187" i="1"/>
  <c r="AC187" i="1"/>
  <c r="AD187" i="1"/>
  <c r="AE187" i="1"/>
  <c r="AF187" i="1"/>
  <c r="AH125" i="1"/>
  <c r="K188" i="1"/>
  <c r="L188" i="1"/>
  <c r="M188" i="1"/>
  <c r="N188" i="1" s="1"/>
  <c r="V188" i="1"/>
  <c r="S35" i="3" s="1"/>
  <c r="Y188" i="1"/>
  <c r="Z188" i="1"/>
  <c r="AB188" i="1"/>
  <c r="AC188" i="1"/>
  <c r="AD188" i="1"/>
  <c r="AG188" i="1" s="1"/>
  <c r="AE188" i="1"/>
  <c r="AF188" i="1"/>
  <c r="AH12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7" i="1"/>
  <c r="K190" i="1"/>
  <c r="L190" i="1"/>
  <c r="M190" i="1"/>
  <c r="N190" i="1" s="1"/>
  <c r="T190" i="1"/>
  <c r="V190" i="1"/>
  <c r="Y190" i="1"/>
  <c r="Z190" i="1"/>
  <c r="AA190" i="1" s="1"/>
  <c r="W190" i="1" s="1"/>
  <c r="AB190" i="1"/>
  <c r="AC190" i="1"/>
  <c r="AD190" i="1"/>
  <c r="AG190" i="1" s="1"/>
  <c r="AE190" i="1"/>
  <c r="R37" i="3" s="1"/>
  <c r="AF190" i="1"/>
  <c r="AH128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9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3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1" i="1"/>
  <c r="K193" i="1"/>
  <c r="L193" i="1"/>
  <c r="M193" i="1"/>
  <c r="N193" i="1" s="1"/>
  <c r="V193" i="1"/>
  <c r="Y193" i="1"/>
  <c r="Z193" i="1"/>
  <c r="AA193" i="1" s="1"/>
  <c r="W193" i="1" s="1"/>
  <c r="AB193" i="1"/>
  <c r="AC193" i="1"/>
  <c r="AD193" i="1"/>
  <c r="AG193" i="1" s="1"/>
  <c r="AE193" i="1"/>
  <c r="AF193" i="1"/>
  <c r="AH13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3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35" i="1"/>
  <c r="K102" i="1"/>
  <c r="L102" i="1"/>
  <c r="M102" i="1"/>
  <c r="N102" i="1" s="1"/>
  <c r="T102" i="1"/>
  <c r="U102" i="1" s="1"/>
  <c r="V102" i="1"/>
  <c r="Y102" i="1"/>
  <c r="Z102" i="1"/>
  <c r="AB102" i="1"/>
  <c r="AC102" i="1"/>
  <c r="AD102" i="1"/>
  <c r="AG102" i="1" s="1"/>
  <c r="AE102" i="1"/>
  <c r="AF102" i="1"/>
  <c r="AH136" i="1"/>
  <c r="K103" i="1"/>
  <c r="L103" i="1"/>
  <c r="M103" i="1"/>
  <c r="N103" i="1"/>
  <c r="V103" i="1"/>
  <c r="Y103" i="1"/>
  <c r="Z103" i="1"/>
  <c r="AA103" i="1" s="1"/>
  <c r="AB103" i="1"/>
  <c r="AC103" i="1"/>
  <c r="AD103" i="1"/>
  <c r="T103" i="1" s="1"/>
  <c r="AE103" i="1"/>
  <c r="AF103" i="1"/>
  <c r="AH137" i="1"/>
  <c r="K104" i="1"/>
  <c r="L104" i="1"/>
  <c r="M104" i="1"/>
  <c r="N104" i="1" s="1"/>
  <c r="V104" i="1"/>
  <c r="Y104" i="1"/>
  <c r="Z104" i="1"/>
  <c r="AA104" i="1"/>
  <c r="AB104" i="1"/>
  <c r="AC104" i="1"/>
  <c r="AD104" i="1"/>
  <c r="AG104" i="1" s="1"/>
  <c r="AE104" i="1"/>
  <c r="AF104" i="1"/>
  <c r="AH138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39" i="1"/>
  <c r="K106" i="1"/>
  <c r="L106" i="1"/>
  <c r="M106" i="1"/>
  <c r="N106" i="1" s="1"/>
  <c r="V106" i="1"/>
  <c r="Y106" i="1"/>
  <c r="AA106" i="1" s="1"/>
  <c r="Z106" i="1"/>
  <c r="AB106" i="1"/>
  <c r="AC106" i="1"/>
  <c r="AD106" i="1"/>
  <c r="T106" i="1" s="1"/>
  <c r="AE106" i="1"/>
  <c r="AF106" i="1"/>
  <c r="AH140" i="1"/>
  <c r="K107" i="1"/>
  <c r="L107" i="1"/>
  <c r="M107" i="1"/>
  <c r="N107" i="1"/>
  <c r="V107" i="1"/>
  <c r="Y107" i="1"/>
  <c r="Z107" i="1"/>
  <c r="AB107" i="1"/>
  <c r="AC107" i="1"/>
  <c r="AD107" i="1"/>
  <c r="AE107" i="1"/>
  <c r="AF107" i="1"/>
  <c r="AH141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4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44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5" i="1"/>
  <c r="K110" i="1"/>
  <c r="L110" i="1"/>
  <c r="M110" i="1"/>
  <c r="N110" i="1" s="1"/>
  <c r="V110" i="1"/>
  <c r="Y110" i="1"/>
  <c r="AA110" i="1" s="1"/>
  <c r="Z110" i="1"/>
  <c r="AB110" i="1"/>
  <c r="AC110" i="1"/>
  <c r="AD110" i="1"/>
  <c r="AG110" i="1" s="1"/>
  <c r="AI110" i="1" s="1"/>
  <c r="AE110" i="1"/>
  <c r="AF110" i="1"/>
  <c r="AH146" i="1"/>
  <c r="K111" i="1"/>
  <c r="L111" i="1"/>
  <c r="M111" i="1"/>
  <c r="N111" i="1"/>
  <c r="V111" i="1"/>
  <c r="Y111" i="1"/>
  <c r="Z111" i="1"/>
  <c r="AA111" i="1" s="1"/>
  <c r="AB111" i="1"/>
  <c r="AC111" i="1"/>
  <c r="AD111" i="1"/>
  <c r="T111" i="1" s="1"/>
  <c r="AE111" i="1"/>
  <c r="AF111" i="1"/>
  <c r="AH147" i="1"/>
  <c r="K112" i="1"/>
  <c r="L112" i="1"/>
  <c r="M112" i="1"/>
  <c r="N112" i="1" s="1"/>
  <c r="V112" i="1"/>
  <c r="Y112" i="1"/>
  <c r="Z112" i="1"/>
  <c r="AA112" i="1"/>
  <c r="AB112" i="1"/>
  <c r="AC112" i="1"/>
  <c r="AD112" i="1"/>
  <c r="X112" i="1" s="1"/>
  <c r="AE112" i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K114" i="1"/>
  <c r="L114" i="1"/>
  <c r="M114" i="1"/>
  <c r="N114" i="1" s="1"/>
  <c r="V114" i="1"/>
  <c r="S28" i="3" s="1"/>
  <c r="Y114" i="1"/>
  <c r="Z114" i="1"/>
  <c r="AB114" i="1"/>
  <c r="AC114" i="1"/>
  <c r="AD114" i="1"/>
  <c r="AE114" i="1"/>
  <c r="AF114" i="1"/>
  <c r="AH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K116" i="1"/>
  <c r="L116" i="1"/>
  <c r="M116" i="1"/>
  <c r="N116" i="1"/>
  <c r="V116" i="1"/>
  <c r="Y116" i="1"/>
  <c r="Z116" i="1"/>
  <c r="AB116" i="1"/>
  <c r="AC116" i="1"/>
  <c r="AD116" i="1"/>
  <c r="AG116" i="1" s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K120" i="1"/>
  <c r="L120" i="1"/>
  <c r="M120" i="1"/>
  <c r="N120" i="1"/>
  <c r="V120" i="1"/>
  <c r="Y120" i="1"/>
  <c r="Z120" i="1"/>
  <c r="AA120" i="1" s="1"/>
  <c r="AB120" i="1"/>
  <c r="AC120" i="1"/>
  <c r="AD120" i="1"/>
  <c r="AG120" i="1" s="1"/>
  <c r="AE120" i="1"/>
  <c r="R31" i="3" s="1"/>
  <c r="AF120" i="1"/>
  <c r="AH156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7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58" i="1"/>
  <c r="K123" i="1"/>
  <c r="L123" i="1"/>
  <c r="M123" i="1"/>
  <c r="N123" i="1" s="1"/>
  <c r="V123" i="1"/>
  <c r="Y123" i="1"/>
  <c r="Z123" i="1"/>
  <c r="AA123" i="1" s="1"/>
  <c r="AB123" i="1"/>
  <c r="AC123" i="1"/>
  <c r="AD123" i="1"/>
  <c r="AE123" i="1"/>
  <c r="AF123" i="1"/>
  <c r="AH159" i="1"/>
  <c r="K124" i="1"/>
  <c r="L124" i="1"/>
  <c r="M124" i="1"/>
  <c r="N124" i="1" s="1"/>
  <c r="V124" i="1"/>
  <c r="Y124" i="1"/>
  <c r="Z124" i="1"/>
  <c r="AA124" i="1" s="1"/>
  <c r="W124" i="1" s="1"/>
  <c r="AB124" i="1"/>
  <c r="AC124" i="1"/>
  <c r="AD124" i="1"/>
  <c r="AG124" i="1" s="1"/>
  <c r="AE124" i="1"/>
  <c r="AF124" i="1"/>
  <c r="AH160" i="1"/>
  <c r="K125" i="1"/>
  <c r="L125" i="1"/>
  <c r="M125" i="1"/>
  <c r="N125" i="1" s="1"/>
  <c r="V125" i="1"/>
  <c r="Y125" i="1"/>
  <c r="Z125" i="1"/>
  <c r="AA125" i="1" s="1"/>
  <c r="W125" i="1" s="1"/>
  <c r="AB125" i="1"/>
  <c r="AC125" i="1"/>
  <c r="AD125" i="1"/>
  <c r="AG125" i="1" s="1"/>
  <c r="AE125" i="1"/>
  <c r="AF125" i="1"/>
  <c r="AH161" i="1"/>
  <c r="K126" i="1"/>
  <c r="L126" i="1"/>
  <c r="M126" i="1"/>
  <c r="N126" i="1" s="1"/>
  <c r="V126" i="1"/>
  <c r="S34" i="3" s="1"/>
  <c r="Y126" i="1"/>
  <c r="Z126" i="1"/>
  <c r="AA126" i="1" s="1"/>
  <c r="AB126" i="1"/>
  <c r="AC126" i="1"/>
  <c r="AD126" i="1"/>
  <c r="T126" i="1" s="1"/>
  <c r="AE126" i="1"/>
  <c r="AF126" i="1"/>
  <c r="AH162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3" i="1"/>
  <c r="AI163" i="1"/>
  <c r="K129" i="1"/>
  <c r="L129" i="1"/>
  <c r="M129" i="1"/>
  <c r="N129" i="1" s="1"/>
  <c r="V129" i="1"/>
  <c r="Y129" i="1"/>
  <c r="Z129" i="1"/>
  <c r="AA129" i="1" s="1"/>
  <c r="AB129" i="1"/>
  <c r="AC129" i="1"/>
  <c r="AD129" i="1"/>
  <c r="AG129" i="1" s="1"/>
  <c r="AI129" i="1" s="1"/>
  <c r="AE129" i="1"/>
  <c r="AF129" i="1"/>
  <c r="AH164" i="1"/>
  <c r="K130" i="1"/>
  <c r="L130" i="1"/>
  <c r="M130" i="1"/>
  <c r="N130" i="1" s="1"/>
  <c r="V130" i="1"/>
  <c r="S36" i="3" s="1"/>
  <c r="Y130" i="1"/>
  <c r="Z130" i="1"/>
  <c r="AB130" i="1"/>
  <c r="AC130" i="1"/>
  <c r="AD130" i="1"/>
  <c r="T130" i="1" s="1"/>
  <c r="AE130" i="1"/>
  <c r="AF130" i="1"/>
  <c r="AH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K132" i="1"/>
  <c r="L132" i="1"/>
  <c r="M132" i="1"/>
  <c r="N132" i="1" s="1"/>
  <c r="V132" i="1"/>
  <c r="Y132" i="1"/>
  <c r="Z132" i="1"/>
  <c r="AB132" i="1"/>
  <c r="AC132" i="1"/>
  <c r="AD132" i="1"/>
  <c r="AG132" i="1" s="1"/>
  <c r="AI132" i="1" s="1"/>
  <c r="AE132" i="1"/>
  <c r="AF132" i="1"/>
  <c r="AH167" i="1"/>
  <c r="K133" i="1"/>
  <c r="L133" i="1"/>
  <c r="M133" i="1"/>
  <c r="N133" i="1"/>
  <c r="V133" i="1"/>
  <c r="Y133" i="1"/>
  <c r="Z133" i="1"/>
  <c r="AB133" i="1"/>
  <c r="AC133" i="1"/>
  <c r="AD133" i="1"/>
  <c r="AG133" i="1" s="1"/>
  <c r="AE133" i="1"/>
  <c r="AF133" i="1"/>
  <c r="AH168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9" i="1"/>
  <c r="K135" i="1"/>
  <c r="L135" i="1"/>
  <c r="M135" i="1"/>
  <c r="N135" i="1" s="1"/>
  <c r="V135" i="1"/>
  <c r="Y135" i="1"/>
  <c r="Z135" i="1"/>
  <c r="AA135" i="1" s="1"/>
  <c r="AB135" i="1"/>
  <c r="AC135" i="1"/>
  <c r="AD135" i="1"/>
  <c r="AG135" i="1" s="1"/>
  <c r="AE135" i="1"/>
  <c r="R32" i="3" s="1"/>
  <c r="AF135" i="1"/>
  <c r="AH170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1" i="1"/>
  <c r="AI171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2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3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74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5" i="1"/>
  <c r="K141" i="1"/>
  <c r="L141" i="1"/>
  <c r="M141" i="1"/>
  <c r="N141" i="1"/>
  <c r="V141" i="1"/>
  <c r="Y141" i="1"/>
  <c r="Z141" i="1"/>
  <c r="AB141" i="1"/>
  <c r="AC141" i="1"/>
  <c r="AD141" i="1"/>
  <c r="AG141" i="1" s="1"/>
  <c r="AE141" i="1"/>
  <c r="AF141" i="1"/>
  <c r="AH176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K144" i="1"/>
  <c r="L144" i="1"/>
  <c r="M144" i="1"/>
  <c r="N144" i="1" s="1"/>
  <c r="V144" i="1"/>
  <c r="Y144" i="1"/>
  <c r="Z144" i="1"/>
  <c r="AA144" i="1" s="1"/>
  <c r="W144" i="1" s="1"/>
  <c r="AB144" i="1"/>
  <c r="AC144" i="1"/>
  <c r="AD144" i="1"/>
  <c r="AG144" i="1" s="1"/>
  <c r="AE144" i="1"/>
  <c r="AF144" i="1"/>
  <c r="AH179" i="1"/>
  <c r="K145" i="1"/>
  <c r="L145" i="1"/>
  <c r="M145" i="1"/>
  <c r="N145" i="1" s="1"/>
  <c r="V145" i="1"/>
  <c r="Y145" i="1"/>
  <c r="Z145" i="1"/>
  <c r="AA145" i="1" s="1"/>
  <c r="W145" i="1" s="1"/>
  <c r="AB145" i="1"/>
  <c r="AC145" i="1"/>
  <c r="AD145" i="1"/>
  <c r="AG145" i="1" s="1"/>
  <c r="AE145" i="1"/>
  <c r="AF145" i="1"/>
  <c r="AH180" i="1"/>
  <c r="AI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3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7" i="1"/>
  <c r="K153" i="1"/>
  <c r="L153" i="1"/>
  <c r="M153" i="1"/>
  <c r="N153" i="1" s="1"/>
  <c r="V153" i="1"/>
  <c r="Y153" i="1"/>
  <c r="Z153" i="1"/>
  <c r="AB153" i="1"/>
  <c r="AC153" i="1"/>
  <c r="AD153" i="1"/>
  <c r="AG153" i="1" s="1"/>
  <c r="AI188" i="1" s="1"/>
  <c r="AE153" i="1"/>
  <c r="AF153" i="1"/>
  <c r="AH188" i="1"/>
  <c r="K154" i="1"/>
  <c r="L154" i="1"/>
  <c r="M154" i="1"/>
  <c r="N154" i="1" s="1"/>
  <c r="V154" i="1"/>
  <c r="X154" i="1"/>
  <c r="Y154" i="1"/>
  <c r="Z154" i="1"/>
  <c r="AB154" i="1"/>
  <c r="AC154" i="1"/>
  <c r="AD154" i="1"/>
  <c r="T154" i="1" s="1"/>
  <c r="AE154" i="1"/>
  <c r="AF154" i="1"/>
  <c r="AG154" i="1"/>
  <c r="AH189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K157" i="1"/>
  <c r="L157" i="1"/>
  <c r="M157" i="1"/>
  <c r="N157" i="1" s="1"/>
  <c r="V157" i="1"/>
  <c r="Y157" i="1"/>
  <c r="Z157" i="1"/>
  <c r="AA157" i="1" s="1"/>
  <c r="W157" i="1" s="1"/>
  <c r="AB157" i="1"/>
  <c r="AC157" i="1"/>
  <c r="AD157" i="1"/>
  <c r="AG157" i="1" s="1"/>
  <c r="AE157" i="1"/>
  <c r="AF157" i="1"/>
  <c r="AH192" i="1"/>
  <c r="K158" i="1"/>
  <c r="L158" i="1"/>
  <c r="M158" i="1"/>
  <c r="N158" i="1" s="1"/>
  <c r="V158" i="1"/>
  <c r="Y158" i="1"/>
  <c r="AA158" i="1" s="1"/>
  <c r="Z158" i="1"/>
  <c r="AB158" i="1"/>
  <c r="AC158" i="1"/>
  <c r="AD158" i="1"/>
  <c r="T158" i="1" s="1"/>
  <c r="AE158" i="1"/>
  <c r="AF158" i="1"/>
  <c r="AH193" i="1"/>
  <c r="K159" i="1"/>
  <c r="L159" i="1"/>
  <c r="M159" i="1"/>
  <c r="N159" i="1"/>
  <c r="V159" i="1"/>
  <c r="Y159" i="1"/>
  <c r="Z159" i="1"/>
  <c r="AB159" i="1"/>
  <c r="AC159" i="1"/>
  <c r="AD159" i="1"/>
  <c r="AG159" i="1" s="1"/>
  <c r="AE159" i="1"/>
  <c r="AF159" i="1"/>
  <c r="AH1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5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6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7" i="1"/>
  <c r="AH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K198" i="1"/>
  <c r="L198" i="1"/>
  <c r="M198" i="1"/>
  <c r="N198" i="1"/>
  <c r="V198" i="1"/>
  <c r="Y198" i="1"/>
  <c r="Z198" i="1"/>
  <c r="AB198" i="1"/>
  <c r="AC198" i="1"/>
  <c r="AD198" i="1"/>
  <c r="AG198" i="1" s="1"/>
  <c r="AE198" i="1"/>
  <c r="AF198" i="1"/>
  <c r="AH200" i="1"/>
  <c r="K199" i="1"/>
  <c r="L199" i="1"/>
  <c r="M199" i="1"/>
  <c r="N199" i="1" s="1"/>
  <c r="V199" i="1"/>
  <c r="Y199" i="1"/>
  <c r="Z199" i="1"/>
  <c r="AA199" i="1" s="1"/>
  <c r="W199" i="1" s="1"/>
  <c r="AB199" i="1"/>
  <c r="AC199" i="1"/>
  <c r="AD199" i="1"/>
  <c r="AG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K202" i="1"/>
  <c r="L202" i="1"/>
  <c r="M202" i="1"/>
  <c r="N202" i="1" s="1"/>
  <c r="V202" i="1"/>
  <c r="Y202" i="1"/>
  <c r="Z202" i="1"/>
  <c r="AA202" i="1" s="1"/>
  <c r="AB202" i="1"/>
  <c r="AC202" i="1"/>
  <c r="AD202" i="1"/>
  <c r="AG202" i="1" s="1"/>
  <c r="AE202" i="1"/>
  <c r="AF202" i="1"/>
  <c r="AH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7" i="1"/>
  <c r="K206" i="1"/>
  <c r="L206" i="1"/>
  <c r="M206" i="1"/>
  <c r="N206" i="1" s="1"/>
  <c r="V206" i="1"/>
  <c r="X206" i="1"/>
  <c r="Y206" i="1"/>
  <c r="Z206" i="1"/>
  <c r="AB206" i="1"/>
  <c r="AC206" i="1"/>
  <c r="AD206" i="1"/>
  <c r="AG206" i="1" s="1"/>
  <c r="AE206" i="1"/>
  <c r="AF206" i="1"/>
  <c r="AH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K208" i="1"/>
  <c r="L208" i="1"/>
  <c r="M208" i="1"/>
  <c r="N208" i="1"/>
  <c r="V208" i="1"/>
  <c r="Y208" i="1"/>
  <c r="Z208" i="1"/>
  <c r="AB208" i="1"/>
  <c r="AC208" i="1"/>
  <c r="AD208" i="1"/>
  <c r="AG208" i="1" s="1"/>
  <c r="AE208" i="1"/>
  <c r="AF208" i="1"/>
  <c r="AH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K214" i="1"/>
  <c r="L214" i="1"/>
  <c r="M214" i="1"/>
  <c r="N214" i="1" s="1"/>
  <c r="V214" i="1"/>
  <c r="S29" i="3" s="1"/>
  <c r="Y214" i="1"/>
  <c r="Z214" i="1"/>
  <c r="AB214" i="1"/>
  <c r="AC214" i="1"/>
  <c r="AD214" i="1"/>
  <c r="AG214" i="1" s="1"/>
  <c r="AE214" i="1"/>
  <c r="R30" i="3" s="1"/>
  <c r="AF214" i="1"/>
  <c r="AH214" i="1"/>
  <c r="N8" i="3"/>
  <c r="R8" i="3"/>
  <c r="U8" i="3"/>
  <c r="V8" i="3"/>
  <c r="W8" i="3"/>
  <c r="Y8" i="3" s="1"/>
  <c r="X8" i="3"/>
  <c r="AC8" i="3"/>
  <c r="N9" i="3"/>
  <c r="R9" i="3"/>
  <c r="S9" i="3"/>
  <c r="U9" i="3"/>
  <c r="V9" i="3"/>
  <c r="W9" i="3"/>
  <c r="Y9" i="3" s="1"/>
  <c r="X9" i="3"/>
  <c r="AC9" i="3"/>
  <c r="M10" i="3"/>
  <c r="N10" i="3"/>
  <c r="R10" i="3"/>
  <c r="U10" i="3"/>
  <c r="V10" i="3"/>
  <c r="W10" i="3"/>
  <c r="X10" i="3"/>
  <c r="Y10" i="3"/>
  <c r="N11" i="3"/>
  <c r="S11" i="3"/>
  <c r="U11" i="3"/>
  <c r="V11" i="3"/>
  <c r="W11" i="3"/>
  <c r="Y11" i="3" s="1"/>
  <c r="X11" i="3"/>
  <c r="N12" i="3"/>
  <c r="S12" i="3"/>
  <c r="U12" i="3"/>
  <c r="V12" i="3"/>
  <c r="W12" i="3"/>
  <c r="X12" i="3"/>
  <c r="AC12" i="3"/>
  <c r="N13" i="3"/>
  <c r="R13" i="3"/>
  <c r="S13" i="3"/>
  <c r="U13" i="3"/>
  <c r="V13" i="3"/>
  <c r="W13" i="3"/>
  <c r="X13" i="3"/>
  <c r="AC13" i="3"/>
  <c r="N14" i="3"/>
  <c r="R14" i="3"/>
  <c r="U14" i="3"/>
  <c r="V14" i="3"/>
  <c r="W14" i="3"/>
  <c r="X14" i="3"/>
  <c r="M15" i="3"/>
  <c r="N15" i="3"/>
  <c r="R15" i="3"/>
  <c r="S15" i="3"/>
  <c r="U15" i="3"/>
  <c r="V15" i="3"/>
  <c r="W15" i="3"/>
  <c r="X15" i="3"/>
  <c r="Y15" i="3"/>
  <c r="M16" i="3"/>
  <c r="N16" i="3"/>
  <c r="S16" i="3"/>
  <c r="U16" i="3"/>
  <c r="V16" i="3"/>
  <c r="W16" i="3"/>
  <c r="X16" i="3"/>
  <c r="AC16" i="3"/>
  <c r="M17" i="3"/>
  <c r="N17" i="3"/>
  <c r="S17" i="3"/>
  <c r="U17" i="3"/>
  <c r="V17" i="3"/>
  <c r="W17" i="3"/>
  <c r="X17" i="3"/>
  <c r="AC17" i="3"/>
  <c r="N18" i="3"/>
  <c r="R18" i="3"/>
  <c r="S18" i="3"/>
  <c r="U18" i="3"/>
  <c r="T18" i="3" s="1"/>
  <c r="V18" i="3"/>
  <c r="W18" i="3"/>
  <c r="X18" i="3"/>
  <c r="Y18" i="3"/>
  <c r="N19" i="3"/>
  <c r="R19" i="3"/>
  <c r="U19" i="3"/>
  <c r="V19" i="3"/>
  <c r="W19" i="3"/>
  <c r="X19" i="3"/>
  <c r="M20" i="3"/>
  <c r="N20" i="3"/>
  <c r="R20" i="3"/>
  <c r="U20" i="3"/>
  <c r="V20" i="3"/>
  <c r="W20" i="3"/>
  <c r="Y20" i="3" s="1"/>
  <c r="X20" i="3"/>
  <c r="AC20" i="3"/>
  <c r="M21" i="3"/>
  <c r="N21" i="3"/>
  <c r="R21" i="3"/>
  <c r="U21" i="3"/>
  <c r="V21" i="3"/>
  <c r="W21" i="3"/>
  <c r="X21" i="3"/>
  <c r="AC21" i="3"/>
  <c r="M22" i="3"/>
  <c r="N22" i="3"/>
  <c r="S22" i="3"/>
  <c r="U22" i="3"/>
  <c r="V22" i="3"/>
  <c r="W22" i="3"/>
  <c r="X22" i="3"/>
  <c r="N23" i="3"/>
  <c r="R23" i="3"/>
  <c r="S23" i="3"/>
  <c r="U23" i="3"/>
  <c r="V23" i="3"/>
  <c r="W23" i="3"/>
  <c r="Y23" i="3" s="1"/>
  <c r="X23" i="3"/>
  <c r="N24" i="3"/>
  <c r="R24" i="3"/>
  <c r="S24" i="3"/>
  <c r="U24" i="3"/>
  <c r="V24" i="3"/>
  <c r="W24" i="3"/>
  <c r="X24" i="3"/>
  <c r="AC24" i="3"/>
  <c r="N25" i="3"/>
  <c r="S25" i="3"/>
  <c r="U25" i="3"/>
  <c r="V25" i="3"/>
  <c r="W25" i="3"/>
  <c r="X25" i="3"/>
  <c r="AC25" i="3"/>
  <c r="N26" i="3"/>
  <c r="R26" i="3"/>
  <c r="S26" i="3"/>
  <c r="T26" i="3"/>
  <c r="U26" i="3"/>
  <c r="V26" i="3"/>
  <c r="W26" i="3"/>
  <c r="Y26" i="3" s="1"/>
  <c r="X26" i="3"/>
  <c r="N27" i="3"/>
  <c r="R27" i="3"/>
  <c r="S27" i="3"/>
  <c r="U27" i="3"/>
  <c r="V27" i="3"/>
  <c r="W27" i="3"/>
  <c r="Y27" i="3" s="1"/>
  <c r="X27" i="3"/>
  <c r="N28" i="3"/>
  <c r="R28" i="3"/>
  <c r="U28" i="3"/>
  <c r="V28" i="3"/>
  <c r="W28" i="3"/>
  <c r="X28" i="3"/>
  <c r="AC28" i="3"/>
  <c r="N29" i="3"/>
  <c r="U29" i="3"/>
  <c r="V29" i="3"/>
  <c r="W29" i="3"/>
  <c r="X29" i="3"/>
  <c r="AC29" i="3"/>
  <c r="N30" i="3"/>
  <c r="U30" i="3"/>
  <c r="V30" i="3"/>
  <c r="W30" i="3"/>
  <c r="X30" i="3"/>
  <c r="N31" i="3"/>
  <c r="S31" i="3"/>
  <c r="U31" i="3"/>
  <c r="V31" i="3"/>
  <c r="W31" i="3"/>
  <c r="Y31" i="3" s="1"/>
  <c r="X31" i="3"/>
  <c r="M32" i="3"/>
  <c r="N32" i="3"/>
  <c r="S32" i="3"/>
  <c r="U32" i="3"/>
  <c r="V32" i="3"/>
  <c r="W32" i="3"/>
  <c r="X32" i="3"/>
  <c r="AC32" i="3"/>
  <c r="N33" i="3"/>
  <c r="R33" i="3"/>
  <c r="S33" i="3"/>
  <c r="U33" i="3"/>
  <c r="V33" i="3"/>
  <c r="W33" i="3"/>
  <c r="Y33" i="3" s="1"/>
  <c r="X33" i="3"/>
  <c r="AC33" i="3"/>
  <c r="N34" i="3"/>
  <c r="R34" i="3"/>
  <c r="T34" i="3"/>
  <c r="U34" i="3"/>
  <c r="V34" i="3"/>
  <c r="W34" i="3"/>
  <c r="Y34" i="3" s="1"/>
  <c r="X34" i="3"/>
  <c r="N35" i="3"/>
  <c r="R35" i="3"/>
  <c r="U35" i="3"/>
  <c r="V35" i="3"/>
  <c r="W35" i="3"/>
  <c r="X35" i="3"/>
  <c r="N36" i="3"/>
  <c r="R36" i="3"/>
  <c r="U36" i="3"/>
  <c r="V36" i="3"/>
  <c r="W36" i="3"/>
  <c r="Y36" i="3" s="1"/>
  <c r="X36" i="3"/>
  <c r="AC36" i="3"/>
  <c r="N37" i="3"/>
  <c r="S37" i="3"/>
  <c r="U37" i="3"/>
  <c r="V37" i="3"/>
  <c r="W37" i="3"/>
  <c r="X37" i="3"/>
  <c r="AC37" i="3"/>
  <c r="N38" i="3"/>
  <c r="R38" i="3"/>
  <c r="S38" i="3"/>
  <c r="U38" i="3"/>
  <c r="V38" i="3"/>
  <c r="W38" i="3"/>
  <c r="X38" i="3"/>
  <c r="N39" i="3"/>
  <c r="R39" i="3"/>
  <c r="S39" i="3"/>
  <c r="U39" i="3"/>
  <c r="V39" i="3"/>
  <c r="W39" i="3"/>
  <c r="X39" i="3"/>
  <c r="Y39" i="3"/>
  <c r="N40" i="3"/>
  <c r="R40" i="3"/>
  <c r="S40" i="3"/>
  <c r="U40" i="3"/>
  <c r="V40" i="3"/>
  <c r="W40" i="3"/>
  <c r="X40" i="3"/>
  <c r="AC40" i="3"/>
  <c r="T39" i="3" l="1"/>
  <c r="AD39" i="3"/>
  <c r="T35" i="3"/>
  <c r="AD35" i="3"/>
  <c r="T25" i="3"/>
  <c r="AD25" i="3"/>
  <c r="T13" i="3"/>
  <c r="AD13" i="3"/>
  <c r="T19" i="3"/>
  <c r="AD19" i="3"/>
  <c r="T16" i="3"/>
  <c r="AD16" i="3"/>
  <c r="AC10" i="3"/>
  <c r="AD10" i="3"/>
  <c r="T36" i="3"/>
  <c r="AD36" i="3"/>
  <c r="Y35" i="3"/>
  <c r="Y25" i="3"/>
  <c r="AC22" i="3"/>
  <c r="AD22" i="3"/>
  <c r="T21" i="3"/>
  <c r="AD21" i="3"/>
  <c r="T20" i="3"/>
  <c r="AD20" i="3"/>
  <c r="Y12" i="3"/>
  <c r="T11" i="3"/>
  <c r="AD11" i="3"/>
  <c r="T10" i="3"/>
  <c r="T9" i="3"/>
  <c r="AD9" i="3"/>
  <c r="T8" i="3"/>
  <c r="AD8" i="3"/>
  <c r="T40" i="3"/>
  <c r="AD40" i="3"/>
  <c r="AC18" i="3"/>
  <c r="AD18" i="3"/>
  <c r="T12" i="3"/>
  <c r="AD12" i="3"/>
  <c r="AC30" i="3"/>
  <c r="AD30" i="3"/>
  <c r="T28" i="3"/>
  <c r="AD28" i="3"/>
  <c r="T17" i="3"/>
  <c r="AD17" i="3"/>
  <c r="T15" i="3"/>
  <c r="AD15" i="3"/>
  <c r="AC14" i="3"/>
  <c r="AD14" i="3"/>
  <c r="AC38" i="3"/>
  <c r="AD38" i="3"/>
  <c r="T37" i="3"/>
  <c r="AD37" i="3"/>
  <c r="AC34" i="3"/>
  <c r="AD34" i="3"/>
  <c r="T33" i="3"/>
  <c r="AD33" i="3"/>
  <c r="T32" i="3"/>
  <c r="AD32" i="3"/>
  <c r="T31" i="3"/>
  <c r="AD31" i="3"/>
  <c r="T29" i="3"/>
  <c r="AD29" i="3"/>
  <c r="Y28" i="3"/>
  <c r="T27" i="3"/>
  <c r="AD27" i="3"/>
  <c r="AC26" i="3"/>
  <c r="AD26" i="3"/>
  <c r="T24" i="3"/>
  <c r="AD24" i="3"/>
  <c r="T23" i="3"/>
  <c r="AD23" i="3"/>
  <c r="Y19" i="3"/>
  <c r="Y17" i="3"/>
  <c r="Y16" i="3"/>
  <c r="Y14" i="3"/>
  <c r="W77" i="1"/>
  <c r="P19" i="1"/>
  <c r="AG201" i="1"/>
  <c r="AG151" i="1"/>
  <c r="AG147" i="1"/>
  <c r="AA184" i="1"/>
  <c r="AA183" i="1"/>
  <c r="AA100" i="1"/>
  <c r="AG97" i="1"/>
  <c r="S20" i="3"/>
  <c r="R17" i="3"/>
  <c r="AG209" i="1"/>
  <c r="AA206" i="1"/>
  <c r="W206" i="1" s="1"/>
  <c r="AG160" i="1"/>
  <c r="AI159" i="1"/>
  <c r="AA152" i="1"/>
  <c r="W152" i="1" s="1"/>
  <c r="AI170" i="1"/>
  <c r="AA130" i="1"/>
  <c r="AA119" i="1"/>
  <c r="AA118" i="1"/>
  <c r="AA211" i="1"/>
  <c r="AA188" i="1"/>
  <c r="W188" i="1" s="1"/>
  <c r="T179" i="1"/>
  <c r="AG165" i="1"/>
  <c r="U165" i="1" s="1"/>
  <c r="AA163" i="1"/>
  <c r="AA98" i="1"/>
  <c r="W98" i="1" s="1"/>
  <c r="X74" i="1"/>
  <c r="AA66" i="1"/>
  <c r="AI63" i="1"/>
  <c r="AI55" i="1"/>
  <c r="AI40" i="1"/>
  <c r="AA27" i="1"/>
  <c r="W27" i="1" s="1"/>
  <c r="AA24" i="1"/>
  <c r="W24" i="1" s="1"/>
  <c r="AG16" i="1"/>
  <c r="P22" i="1"/>
  <c r="AA205" i="1"/>
  <c r="AI145" i="1"/>
  <c r="AI128" i="1"/>
  <c r="AI99" i="1"/>
  <c r="AI83" i="1"/>
  <c r="AA214" i="1"/>
  <c r="W214" i="1" s="1"/>
  <c r="AA213" i="1"/>
  <c r="AA212" i="1"/>
  <c r="W212" i="1" s="1"/>
  <c r="T205" i="1"/>
  <c r="X202" i="1"/>
  <c r="AA162" i="1"/>
  <c r="AA161" i="1"/>
  <c r="W161" i="1" s="1"/>
  <c r="AA151" i="1"/>
  <c r="W151" i="1" s="1"/>
  <c r="AA136" i="1"/>
  <c r="W136" i="1" s="1"/>
  <c r="AA105" i="1"/>
  <c r="T193" i="1"/>
  <c r="AA185" i="1"/>
  <c r="T100" i="1"/>
  <c r="X180" i="1"/>
  <c r="W169" i="1"/>
  <c r="AA69" i="1"/>
  <c r="AA65" i="1"/>
  <c r="X50" i="1"/>
  <c r="AA49" i="1"/>
  <c r="AA48" i="1"/>
  <c r="AI47" i="1"/>
  <c r="AA46" i="1"/>
  <c r="AA45" i="1"/>
  <c r="AA33" i="1"/>
  <c r="U24" i="1"/>
  <c r="S24" i="1" s="1"/>
  <c r="P36" i="1"/>
  <c r="P31" i="1"/>
  <c r="P25" i="1"/>
  <c r="AA22" i="1"/>
  <c r="T22" i="1"/>
  <c r="AA19" i="1"/>
  <c r="W19" i="1" s="1"/>
  <c r="AG20" i="1"/>
  <c r="R29" i="3"/>
  <c r="AA207" i="1"/>
  <c r="AA197" i="1"/>
  <c r="AA156" i="1"/>
  <c r="AI148" i="1"/>
  <c r="AG146" i="1"/>
  <c r="X146" i="1"/>
  <c r="AA137" i="1"/>
  <c r="AG131" i="1"/>
  <c r="AA127" i="1"/>
  <c r="AA121" i="1"/>
  <c r="AG119" i="1"/>
  <c r="W119" i="1" s="1"/>
  <c r="AG106" i="1"/>
  <c r="AI106" i="1" s="1"/>
  <c r="X106" i="1"/>
  <c r="X183" i="1"/>
  <c r="X176" i="1"/>
  <c r="AA173" i="1"/>
  <c r="AA99" i="1"/>
  <c r="T99" i="1"/>
  <c r="AA166" i="1"/>
  <c r="AA55" i="1"/>
  <c r="W55" i="1" s="1"/>
  <c r="AA44" i="1"/>
  <c r="W40" i="1"/>
  <c r="AA20" i="1"/>
  <c r="W20" i="1" s="1"/>
  <c r="AI211" i="1"/>
  <c r="AG156" i="1"/>
  <c r="AI191" i="1" s="1"/>
  <c r="AI155" i="1"/>
  <c r="AA147" i="1"/>
  <c r="AI144" i="1"/>
  <c r="AA141" i="1"/>
  <c r="W141" i="1" s="1"/>
  <c r="AI133" i="1"/>
  <c r="AA117" i="1"/>
  <c r="AI116" i="1"/>
  <c r="AG211" i="1"/>
  <c r="W211" i="1" s="1"/>
  <c r="X193" i="1"/>
  <c r="AG185" i="1"/>
  <c r="X185" i="1"/>
  <c r="AI98" i="1"/>
  <c r="AA90" i="1"/>
  <c r="W90" i="1" s="1"/>
  <c r="AA89" i="1"/>
  <c r="AG85" i="1"/>
  <c r="U85" i="1" s="1"/>
  <c r="X85" i="1"/>
  <c r="AA83" i="1"/>
  <c r="W83" i="1" s="1"/>
  <c r="AG81" i="1"/>
  <c r="U81" i="1" s="1"/>
  <c r="X77" i="1"/>
  <c r="AA75" i="1"/>
  <c r="T69" i="1"/>
  <c r="AA63" i="1"/>
  <c r="W63" i="1" s="1"/>
  <c r="AI59" i="1"/>
  <c r="T53" i="1"/>
  <c r="AI51" i="1"/>
  <c r="AA47" i="1"/>
  <c r="W47" i="1" s="1"/>
  <c r="AA32" i="1"/>
  <c r="AA28" i="1"/>
  <c r="W28" i="1" s="1"/>
  <c r="U20" i="1"/>
  <c r="AA16" i="1"/>
  <c r="W16" i="1" s="1"/>
  <c r="AA198" i="1"/>
  <c r="W198" i="1" s="1"/>
  <c r="AI160" i="1"/>
  <c r="X157" i="1"/>
  <c r="X147" i="1"/>
  <c r="AA146" i="1"/>
  <c r="AA139" i="1"/>
  <c r="T135" i="1"/>
  <c r="AA128" i="1"/>
  <c r="W128" i="1" s="1"/>
  <c r="X123" i="1"/>
  <c r="AA113" i="1"/>
  <c r="W113" i="1" s="1"/>
  <c r="AA109" i="1"/>
  <c r="W109" i="1" s="1"/>
  <c r="AG105" i="1"/>
  <c r="X105" i="1"/>
  <c r="AA191" i="1"/>
  <c r="W191" i="1" s="1"/>
  <c r="T191" i="1"/>
  <c r="AA176" i="1"/>
  <c r="W176" i="1" s="1"/>
  <c r="T176" i="1"/>
  <c r="X99" i="1"/>
  <c r="AA86" i="1"/>
  <c r="AA82" i="1"/>
  <c r="W82" i="1" s="1"/>
  <c r="X78" i="1"/>
  <c r="AA76" i="1"/>
  <c r="W76" i="1" s="1"/>
  <c r="AA74" i="1"/>
  <c r="W74" i="1" s="1"/>
  <c r="AG73" i="1"/>
  <c r="AA62" i="1"/>
  <c r="W62" i="1" s="1"/>
  <c r="AA58" i="1"/>
  <c r="AA56" i="1"/>
  <c r="X46" i="1"/>
  <c r="X45" i="1"/>
  <c r="AI43" i="1"/>
  <c r="AA36" i="1"/>
  <c r="AG34" i="1"/>
  <c r="U34" i="1" s="1"/>
  <c r="AG32" i="1"/>
  <c r="AA30" i="1"/>
  <c r="U28" i="1"/>
  <c r="AA25" i="1"/>
  <c r="T19" i="1"/>
  <c r="U135" i="1"/>
  <c r="S135" i="1" s="1"/>
  <c r="U119" i="1"/>
  <c r="S119" i="1" s="1"/>
  <c r="W104" i="1"/>
  <c r="W184" i="1"/>
  <c r="W183" i="1"/>
  <c r="AA93" i="1"/>
  <c r="AA71" i="1"/>
  <c r="AA68" i="1"/>
  <c r="AA64" i="1"/>
  <c r="T27" i="1"/>
  <c r="AI157" i="1"/>
  <c r="AI121" i="1"/>
  <c r="AA201" i="1"/>
  <c r="W201" i="1" s="1"/>
  <c r="AA200" i="1"/>
  <c r="T198" i="1"/>
  <c r="AA148" i="1"/>
  <c r="W148" i="1" s="1"/>
  <c r="U147" i="1"/>
  <c r="T144" i="1"/>
  <c r="T139" i="1"/>
  <c r="W135" i="1"/>
  <c r="W129" i="1"/>
  <c r="W110" i="1"/>
  <c r="U211" i="1"/>
  <c r="S211" i="1" s="1"/>
  <c r="AA107" i="1"/>
  <c r="U106" i="1"/>
  <c r="T101" i="1"/>
  <c r="X101" i="1"/>
  <c r="AG101" i="1"/>
  <c r="U190" i="1"/>
  <c r="S190" i="1" s="1"/>
  <c r="W100" i="1"/>
  <c r="T161" i="1"/>
  <c r="U151" i="1"/>
  <c r="S151" i="1" s="1"/>
  <c r="AA143" i="1"/>
  <c r="X140" i="1"/>
  <c r="AG139" i="1"/>
  <c r="AG138" i="1"/>
  <c r="AI138" i="1" s="1"/>
  <c r="X138" i="1"/>
  <c r="X128" i="1"/>
  <c r="AG127" i="1"/>
  <c r="W127" i="1" s="1"/>
  <c r="X127" i="1"/>
  <c r="T123" i="1"/>
  <c r="X118" i="1"/>
  <c r="AG117" i="1"/>
  <c r="X116" i="1"/>
  <c r="T112" i="1"/>
  <c r="T109" i="1"/>
  <c r="W89" i="1"/>
  <c r="W42" i="1"/>
  <c r="T212" i="1"/>
  <c r="AA209" i="1"/>
  <c r="W209" i="1" s="1"/>
  <c r="AA208" i="1"/>
  <c r="T206" i="1"/>
  <c r="X198" i="1"/>
  <c r="AG197" i="1"/>
  <c r="W197" i="1" s="1"/>
  <c r="AA160" i="1"/>
  <c r="W160" i="1" s="1"/>
  <c r="AA159" i="1"/>
  <c r="T157" i="1"/>
  <c r="AA154" i="1"/>
  <c r="W154" i="1" s="1"/>
  <c r="AA153" i="1"/>
  <c r="W153" i="1" s="1"/>
  <c r="AA149" i="1"/>
  <c r="X144" i="1"/>
  <c r="AG143" i="1"/>
  <c r="AA133" i="1"/>
  <c r="AA131" i="1"/>
  <c r="W131" i="1" s="1"/>
  <c r="AG130" i="1"/>
  <c r="X130" i="1"/>
  <c r="X124" i="1"/>
  <c r="AG123" i="1"/>
  <c r="W123" i="1" s="1"/>
  <c r="W121" i="1"/>
  <c r="AA114" i="1"/>
  <c r="X113" i="1"/>
  <c r="AG112" i="1"/>
  <c r="AI112" i="1" s="1"/>
  <c r="AG111" i="1"/>
  <c r="W111" i="1" s="1"/>
  <c r="X111" i="1"/>
  <c r="AA108" i="1"/>
  <c r="W108" i="1" s="1"/>
  <c r="AI105" i="1"/>
  <c r="AA102" i="1"/>
  <c r="W102" i="1" s="1"/>
  <c r="AG194" i="1"/>
  <c r="X194" i="1"/>
  <c r="AI89" i="1"/>
  <c r="AI42" i="1"/>
  <c r="X212" i="1"/>
  <c r="W205" i="1"/>
  <c r="AA204" i="1"/>
  <c r="T202" i="1"/>
  <c r="X161" i="1"/>
  <c r="W156" i="1"/>
  <c r="AA155" i="1"/>
  <c r="W155" i="1" s="1"/>
  <c r="U154" i="1"/>
  <c r="W147" i="1"/>
  <c r="U146" i="1"/>
  <c r="AA140" i="1"/>
  <c r="W140" i="1" s="1"/>
  <c r="AA138" i="1"/>
  <c r="W137" i="1"/>
  <c r="T136" i="1"/>
  <c r="AA132" i="1"/>
  <c r="W132" i="1" s="1"/>
  <c r="U131" i="1"/>
  <c r="X131" i="1"/>
  <c r="T128" i="1"/>
  <c r="AA122" i="1"/>
  <c r="T118" i="1"/>
  <c r="AA116" i="1"/>
  <c r="W116" i="1" s="1"/>
  <c r="T116" i="1"/>
  <c r="W106" i="1"/>
  <c r="AI137" i="1"/>
  <c r="AG103" i="1"/>
  <c r="W103" i="1" s="1"/>
  <c r="X103" i="1"/>
  <c r="T186" i="1"/>
  <c r="X186" i="1"/>
  <c r="AG186" i="1"/>
  <c r="W186" i="1"/>
  <c r="W163" i="1"/>
  <c r="AA195" i="1"/>
  <c r="AA187" i="1"/>
  <c r="T183" i="1"/>
  <c r="AA179" i="1"/>
  <c r="W179" i="1" s="1"/>
  <c r="AG178" i="1"/>
  <c r="X178" i="1"/>
  <c r="AG175" i="1"/>
  <c r="AI175" i="1" s="1"/>
  <c r="AG173" i="1"/>
  <c r="U173" i="1" s="1"/>
  <c r="S173" i="1" s="1"/>
  <c r="AG172" i="1"/>
  <c r="AI172" i="1" s="1"/>
  <c r="X172" i="1"/>
  <c r="AA164" i="1"/>
  <c r="AA97" i="1"/>
  <c r="AA95" i="1"/>
  <c r="X94" i="1"/>
  <c r="AG93" i="1"/>
  <c r="AG92" i="1"/>
  <c r="X92" i="1"/>
  <c r="T89" i="1"/>
  <c r="U89" i="1" s="1"/>
  <c r="S89" i="1" s="1"/>
  <c r="AA84" i="1"/>
  <c r="AA81" i="1"/>
  <c r="W81" i="1" s="1"/>
  <c r="AI78" i="1"/>
  <c r="T77" i="1"/>
  <c r="U76" i="1"/>
  <c r="AA72" i="1"/>
  <c r="T70" i="1"/>
  <c r="X66" i="1"/>
  <c r="AG65" i="1"/>
  <c r="U65" i="1" s="1"/>
  <c r="T62" i="1"/>
  <c r="T61" i="1"/>
  <c r="U61" i="1" s="1"/>
  <c r="S61" i="1" s="1"/>
  <c r="T58" i="1"/>
  <c r="X54" i="1"/>
  <c r="X47" i="1"/>
  <c r="AG46" i="1"/>
  <c r="AI46" i="1" s="1"/>
  <c r="W44" i="1"/>
  <c r="X38" i="1"/>
  <c r="X31" i="1"/>
  <c r="AG30" i="1"/>
  <c r="X23" i="1"/>
  <c r="X15" i="1"/>
  <c r="X179" i="1"/>
  <c r="U169" i="1"/>
  <c r="S169" i="1" s="1"/>
  <c r="X98" i="1"/>
  <c r="X93" i="1"/>
  <c r="X82" i="1"/>
  <c r="U77" i="1"/>
  <c r="S77" i="1" s="1"/>
  <c r="T74" i="1"/>
  <c r="W69" i="1"/>
  <c r="W61" i="1"/>
  <c r="T51" i="1"/>
  <c r="AG37" i="1"/>
  <c r="X37" i="1"/>
  <c r="X35" i="1"/>
  <c r="AA26" i="1"/>
  <c r="AA18" i="1"/>
  <c r="AA17" i="1"/>
  <c r="AA194" i="1"/>
  <c r="AA101" i="1"/>
  <c r="W101" i="1" s="1"/>
  <c r="AA192" i="1"/>
  <c r="W192" i="1" s="1"/>
  <c r="AA178" i="1"/>
  <c r="AA177" i="1"/>
  <c r="AA172" i="1"/>
  <c r="W172" i="1" s="1"/>
  <c r="AA171" i="1"/>
  <c r="T170" i="1"/>
  <c r="AA167" i="1"/>
  <c r="AA165" i="1"/>
  <c r="W165" i="1" s="1"/>
  <c r="AG164" i="1"/>
  <c r="AI164" i="1" s="1"/>
  <c r="AA94" i="1"/>
  <c r="W94" i="1" s="1"/>
  <c r="AA92" i="1"/>
  <c r="W92" i="1" s="1"/>
  <c r="AA91" i="1"/>
  <c r="AA87" i="1"/>
  <c r="W87" i="1" s="1"/>
  <c r="AA85" i="1"/>
  <c r="AG84" i="1"/>
  <c r="X84" i="1"/>
  <c r="AA73" i="1"/>
  <c r="X70" i="1"/>
  <c r="T66" i="1"/>
  <c r="X62" i="1"/>
  <c r="AA60" i="1"/>
  <c r="X58" i="1"/>
  <c r="AG57" i="1"/>
  <c r="AI57" i="1" s="1"/>
  <c r="T54" i="1"/>
  <c r="AA50" i="1"/>
  <c r="W50" i="1" s="1"/>
  <c r="T42" i="1"/>
  <c r="U42" i="1" s="1"/>
  <c r="S42" i="1" s="1"/>
  <c r="W38" i="1"/>
  <c r="W31" i="1"/>
  <c r="T31" i="1"/>
  <c r="U31" i="1" s="1"/>
  <c r="X27" i="1"/>
  <c r="AG26" i="1"/>
  <c r="AA23" i="1"/>
  <c r="W23" i="1" s="1"/>
  <c r="T23" i="1"/>
  <c r="U23" i="1" s="1"/>
  <c r="AI20" i="1"/>
  <c r="X19" i="1"/>
  <c r="AG18" i="1"/>
  <c r="T15" i="1"/>
  <c r="W14" i="1"/>
  <c r="T98" i="1"/>
  <c r="T90" i="1"/>
  <c r="T82" i="1"/>
  <c r="U69" i="1"/>
  <c r="X51" i="1"/>
  <c r="U38" i="1"/>
  <c r="AA35" i="1"/>
  <c r="AA34" i="1"/>
  <c r="W34" i="1" s="1"/>
  <c r="W30" i="1"/>
  <c r="AA29" i="1"/>
  <c r="W22" i="1"/>
  <c r="AA21" i="1"/>
  <c r="U198" i="1"/>
  <c r="S198" i="1" s="1"/>
  <c r="AI212" i="1"/>
  <c r="U212" i="1"/>
  <c r="S212" i="1" s="1"/>
  <c r="AI214" i="1"/>
  <c r="W208" i="1"/>
  <c r="U206" i="1"/>
  <c r="S206" i="1" s="1"/>
  <c r="AI208" i="1"/>
  <c r="W202" i="1"/>
  <c r="AI201" i="1"/>
  <c r="W162" i="1"/>
  <c r="W159" i="1"/>
  <c r="AI192" i="1"/>
  <c r="U157" i="1"/>
  <c r="S157" i="1" s="1"/>
  <c r="AI176" i="1"/>
  <c r="W133" i="1"/>
  <c r="AI161" i="1"/>
  <c r="AI197" i="1"/>
  <c r="AI194" i="1"/>
  <c r="U202" i="1"/>
  <c r="S202" i="1" s="1"/>
  <c r="AI190" i="1"/>
  <c r="U161" i="1"/>
  <c r="S161" i="1" s="1"/>
  <c r="U156" i="1"/>
  <c r="S156" i="1" s="1"/>
  <c r="U127" i="1"/>
  <c r="S127" i="1" s="1"/>
  <c r="AI139" i="1"/>
  <c r="U105" i="1"/>
  <c r="S105" i="1" s="1"/>
  <c r="T195" i="1"/>
  <c r="X195" i="1"/>
  <c r="AG195" i="1"/>
  <c r="AI195" i="1" s="1"/>
  <c r="X189" i="1"/>
  <c r="AG189" i="1"/>
  <c r="AI189" i="1" s="1"/>
  <c r="X190" i="1"/>
  <c r="AG187" i="1"/>
  <c r="AI187" i="1" s="1"/>
  <c r="X187" i="1"/>
  <c r="T187" i="1"/>
  <c r="X205" i="1"/>
  <c r="AG204" i="1"/>
  <c r="AI204" i="1" s="1"/>
  <c r="X201" i="1"/>
  <c r="S30" i="3"/>
  <c r="X214" i="1"/>
  <c r="T214" i="1"/>
  <c r="U214" i="1" s="1"/>
  <c r="S214" i="1" s="1"/>
  <c r="AG213" i="1"/>
  <c r="X208" i="1"/>
  <c r="T208" i="1"/>
  <c r="U208" i="1" s="1"/>
  <c r="S208" i="1" s="1"/>
  <c r="AG207" i="1"/>
  <c r="AI207" i="1" s="1"/>
  <c r="X204" i="1"/>
  <c r="AG203" i="1"/>
  <c r="AI203" i="1" s="1"/>
  <c r="AI199" i="1"/>
  <c r="X159" i="1"/>
  <c r="T159" i="1"/>
  <c r="U159" i="1" s="1"/>
  <c r="S159" i="1" s="1"/>
  <c r="AG158" i="1"/>
  <c r="X155" i="1"/>
  <c r="T155" i="1"/>
  <c r="U155" i="1" s="1"/>
  <c r="S155" i="1" s="1"/>
  <c r="T149" i="1"/>
  <c r="X149" i="1"/>
  <c r="W146" i="1"/>
  <c r="X213" i="1"/>
  <c r="X207" i="1"/>
  <c r="X203" i="1"/>
  <c r="X199" i="1"/>
  <c r="T199" i="1"/>
  <c r="U199" i="1" s="1"/>
  <c r="S199" i="1" s="1"/>
  <c r="T162" i="1"/>
  <c r="U162" i="1" s="1"/>
  <c r="S162" i="1" s="1"/>
  <c r="X158" i="1"/>
  <c r="T153" i="1"/>
  <c r="U153" i="1" s="1"/>
  <c r="S153" i="1" s="1"/>
  <c r="X153" i="1"/>
  <c r="X152" i="1"/>
  <c r="X151" i="1"/>
  <c r="AA150" i="1"/>
  <c r="AG149" i="1"/>
  <c r="S147" i="1"/>
  <c r="U144" i="1"/>
  <c r="S144" i="1" s="1"/>
  <c r="AG142" i="1"/>
  <c r="AI142" i="1" s="1"/>
  <c r="X142" i="1"/>
  <c r="T140" i="1"/>
  <c r="T137" i="1"/>
  <c r="U137" i="1" s="1"/>
  <c r="S137" i="1" s="1"/>
  <c r="X137" i="1"/>
  <c r="X136" i="1"/>
  <c r="X135" i="1"/>
  <c r="AA134" i="1"/>
  <c r="S131" i="1"/>
  <c r="U128" i="1"/>
  <c r="S128" i="1" s="1"/>
  <c r="AG126" i="1"/>
  <c r="AI126" i="1" s="1"/>
  <c r="X126" i="1"/>
  <c r="T124" i="1"/>
  <c r="T121" i="1"/>
  <c r="U121" i="1" s="1"/>
  <c r="S121" i="1" s="1"/>
  <c r="X121" i="1"/>
  <c r="W120" i="1"/>
  <c r="T120" i="1"/>
  <c r="U120" i="1" s="1"/>
  <c r="S120" i="1" s="1"/>
  <c r="U117" i="1"/>
  <c r="AI152" i="1"/>
  <c r="U116" i="1"/>
  <c r="S116" i="1" s="1"/>
  <c r="U112" i="1"/>
  <c r="S112" i="1" s="1"/>
  <c r="AI146" i="1"/>
  <c r="S102" i="1"/>
  <c r="AI136" i="1"/>
  <c r="AA175" i="1"/>
  <c r="W175" i="1" s="1"/>
  <c r="U175" i="1"/>
  <c r="AI103" i="1"/>
  <c r="U205" i="1"/>
  <c r="S205" i="1" s="1"/>
  <c r="U143" i="1"/>
  <c r="S143" i="1" s="1"/>
  <c r="S117" i="1"/>
  <c r="AI66" i="1"/>
  <c r="U66" i="1"/>
  <c r="S66" i="1" s="1"/>
  <c r="X197" i="1"/>
  <c r="X160" i="1"/>
  <c r="X156" i="1"/>
  <c r="AG150" i="1"/>
  <c r="X150" i="1"/>
  <c r="T148" i="1"/>
  <c r="U148" i="1" s="1"/>
  <c r="S148" i="1" s="1"/>
  <c r="T145" i="1"/>
  <c r="U145" i="1" s="1"/>
  <c r="S145" i="1" s="1"/>
  <c r="X145" i="1"/>
  <c r="X143" i="1"/>
  <c r="AA142" i="1"/>
  <c r="W142" i="1" s="1"/>
  <c r="U136" i="1"/>
  <c r="S136" i="1" s="1"/>
  <c r="AG134" i="1"/>
  <c r="X134" i="1"/>
  <c r="T132" i="1"/>
  <c r="U132" i="1" s="1"/>
  <c r="S132" i="1" s="1"/>
  <c r="T129" i="1"/>
  <c r="U129" i="1" s="1"/>
  <c r="S129" i="1" s="1"/>
  <c r="X129" i="1"/>
  <c r="W126" i="1"/>
  <c r="T122" i="1"/>
  <c r="X120" i="1"/>
  <c r="U111" i="1"/>
  <c r="U193" i="1"/>
  <c r="S193" i="1" s="1"/>
  <c r="AI130" i="1"/>
  <c r="AI120" i="1"/>
  <c r="W177" i="1"/>
  <c r="AI97" i="1"/>
  <c r="U97" i="1"/>
  <c r="S97" i="1" s="1"/>
  <c r="AI75" i="1"/>
  <c r="U209" i="1"/>
  <c r="S209" i="1" s="1"/>
  <c r="U201" i="1"/>
  <c r="S201" i="1" s="1"/>
  <c r="U197" i="1"/>
  <c r="S197" i="1" s="1"/>
  <c r="U160" i="1"/>
  <c r="S160" i="1" s="1"/>
  <c r="S146" i="1"/>
  <c r="T141" i="1"/>
  <c r="U141" i="1" s="1"/>
  <c r="S141" i="1" s="1"/>
  <c r="X141" i="1"/>
  <c r="AI167" i="1"/>
  <c r="AI165" i="1"/>
  <c r="T125" i="1"/>
  <c r="U125" i="1" s="1"/>
  <c r="S125" i="1" s="1"/>
  <c r="X125" i="1"/>
  <c r="AI156" i="1"/>
  <c r="U178" i="1"/>
  <c r="S178" i="1" s="1"/>
  <c r="AI109" i="1"/>
  <c r="U99" i="1"/>
  <c r="S99" i="1" s="1"/>
  <c r="X209" i="1"/>
  <c r="AG200" i="1"/>
  <c r="W200" i="1" s="1"/>
  <c r="X200" i="1"/>
  <c r="S154" i="1"/>
  <c r="T152" i="1"/>
  <c r="U152" i="1" s="1"/>
  <c r="S152" i="1" s="1"/>
  <c r="X148" i="1"/>
  <c r="AI178" i="1"/>
  <c r="U140" i="1"/>
  <c r="S140" i="1" s="1"/>
  <c r="AI173" i="1"/>
  <c r="T133" i="1"/>
  <c r="U133" i="1" s="1"/>
  <c r="S133" i="1" s="1"/>
  <c r="X133" i="1"/>
  <c r="X132" i="1"/>
  <c r="W130" i="1"/>
  <c r="U130" i="1"/>
  <c r="S130" i="1" s="1"/>
  <c r="U124" i="1"/>
  <c r="S124" i="1" s="1"/>
  <c r="AG122" i="1"/>
  <c r="AI122" i="1" s="1"/>
  <c r="AG118" i="1"/>
  <c r="X119" i="1"/>
  <c r="T114" i="1"/>
  <c r="X114" i="1"/>
  <c r="AG114" i="1"/>
  <c r="W114" i="1" s="1"/>
  <c r="X210" i="1"/>
  <c r="AG210" i="1"/>
  <c r="AI210" i="1" s="1"/>
  <c r="X211" i="1"/>
  <c r="AG107" i="1"/>
  <c r="W107" i="1" s="1"/>
  <c r="X107" i="1"/>
  <c r="T107" i="1"/>
  <c r="T189" i="1"/>
  <c r="AI123" i="1"/>
  <c r="U185" i="1"/>
  <c r="S185" i="1" s="1"/>
  <c r="U100" i="1"/>
  <c r="S100" i="1" s="1"/>
  <c r="T181" i="1"/>
  <c r="X181" i="1"/>
  <c r="AG181" i="1"/>
  <c r="AI181" i="1" s="1"/>
  <c r="W167" i="1"/>
  <c r="U92" i="1"/>
  <c r="X117" i="1"/>
  <c r="AG115" i="1"/>
  <c r="AI115" i="1" s="1"/>
  <c r="X115" i="1"/>
  <c r="T113" i="1"/>
  <c r="T110" i="1"/>
  <c r="U110" i="1" s="1"/>
  <c r="S110" i="1" s="1"/>
  <c r="X110" i="1"/>
  <c r="X109" i="1"/>
  <c r="AA210" i="1"/>
  <c r="AI140" i="1"/>
  <c r="S106" i="1"/>
  <c r="U103" i="1"/>
  <c r="S103" i="1" s="1"/>
  <c r="AG196" i="1"/>
  <c r="AI196" i="1" s="1"/>
  <c r="X196" i="1"/>
  <c r="T194" i="1"/>
  <c r="U194" i="1" s="1"/>
  <c r="S194" i="1" s="1"/>
  <c r="T192" i="1"/>
  <c r="U192" i="1" s="1"/>
  <c r="S192" i="1" s="1"/>
  <c r="X192" i="1"/>
  <c r="X191" i="1"/>
  <c r="AA189" i="1"/>
  <c r="W189" i="1" s="1"/>
  <c r="AI124" i="1"/>
  <c r="U183" i="1"/>
  <c r="S183" i="1" s="1"/>
  <c r="AG182" i="1"/>
  <c r="AI182" i="1" s="1"/>
  <c r="X182" i="1"/>
  <c r="T180" i="1"/>
  <c r="U180" i="1" s="1"/>
  <c r="S180" i="1" s="1"/>
  <c r="U179" i="1"/>
  <c r="S179" i="1" s="1"/>
  <c r="T177" i="1"/>
  <c r="U177" i="1" s="1"/>
  <c r="S177" i="1" s="1"/>
  <c r="X177" i="1"/>
  <c r="AI113" i="1"/>
  <c r="U176" i="1"/>
  <c r="S176" i="1" s="1"/>
  <c r="W99" i="1"/>
  <c r="W171" i="1"/>
  <c r="AG168" i="1"/>
  <c r="AI168" i="1" s="1"/>
  <c r="AG166" i="1"/>
  <c r="AI166" i="1" s="1"/>
  <c r="T166" i="1"/>
  <c r="W97" i="1"/>
  <c r="AI84" i="1"/>
  <c r="U84" i="1"/>
  <c r="S84" i="1" s="1"/>
  <c r="T79" i="1"/>
  <c r="X79" i="1"/>
  <c r="AG79" i="1"/>
  <c r="W79" i="1" s="1"/>
  <c r="W75" i="1"/>
  <c r="AI73" i="1"/>
  <c r="U73" i="1"/>
  <c r="S73" i="1" s="1"/>
  <c r="AI68" i="1"/>
  <c r="AA115" i="1"/>
  <c r="U109" i="1"/>
  <c r="S109" i="1" s="1"/>
  <c r="T104" i="1"/>
  <c r="U104" i="1" s="1"/>
  <c r="S104" i="1" s="1"/>
  <c r="X104" i="1"/>
  <c r="X102" i="1"/>
  <c r="AA196" i="1"/>
  <c r="U191" i="1"/>
  <c r="S191" i="1" s="1"/>
  <c r="T184" i="1"/>
  <c r="U184" i="1" s="1"/>
  <c r="S184" i="1" s="1"/>
  <c r="X184" i="1"/>
  <c r="X100" i="1"/>
  <c r="AA182" i="1"/>
  <c r="S175" i="1"/>
  <c r="T168" i="1"/>
  <c r="AI100" i="1"/>
  <c r="U164" i="1"/>
  <c r="S164" i="1" s="1"/>
  <c r="T95" i="1"/>
  <c r="X95" i="1"/>
  <c r="AG95" i="1"/>
  <c r="W95" i="1" s="1"/>
  <c r="W91" i="1"/>
  <c r="X88" i="1"/>
  <c r="AG88" i="1"/>
  <c r="X89" i="1"/>
  <c r="AG86" i="1"/>
  <c r="X86" i="1"/>
  <c r="T86" i="1"/>
  <c r="U74" i="1"/>
  <c r="S74" i="1"/>
  <c r="W67" i="1"/>
  <c r="T60" i="1"/>
  <c r="X60" i="1"/>
  <c r="AG60" i="1"/>
  <c r="W60" i="1" s="1"/>
  <c r="X61" i="1"/>
  <c r="AA53" i="1"/>
  <c r="W53" i="1" s="1"/>
  <c r="U53" i="1"/>
  <c r="U50" i="1"/>
  <c r="S50" i="1" s="1"/>
  <c r="U113" i="1"/>
  <c r="S113" i="1" s="1"/>
  <c r="S111" i="1"/>
  <c r="AI147" i="1"/>
  <c r="T108" i="1"/>
  <c r="U108" i="1" s="1"/>
  <c r="S108" i="1" s="1"/>
  <c r="X108" i="1"/>
  <c r="W105" i="1"/>
  <c r="AI131" i="1"/>
  <c r="T188" i="1"/>
  <c r="U188" i="1" s="1"/>
  <c r="S188" i="1" s="1"/>
  <c r="X188" i="1"/>
  <c r="W185" i="1"/>
  <c r="T174" i="1"/>
  <c r="X174" i="1"/>
  <c r="AG174" i="1"/>
  <c r="AI174" i="1" s="1"/>
  <c r="X175" i="1"/>
  <c r="U172" i="1"/>
  <c r="W166" i="1"/>
  <c r="AI91" i="1"/>
  <c r="AI87" i="1"/>
  <c r="S81" i="1"/>
  <c r="AI81" i="1"/>
  <c r="AI72" i="1"/>
  <c r="X173" i="1"/>
  <c r="T171" i="1"/>
  <c r="U171" i="1" s="1"/>
  <c r="S171" i="1" s="1"/>
  <c r="X171" i="1"/>
  <c r="X170" i="1"/>
  <c r="AA168" i="1"/>
  <c r="W168" i="1" s="1"/>
  <c r="AI101" i="1"/>
  <c r="S165" i="1"/>
  <c r="U98" i="1"/>
  <c r="S98" i="1" s="1"/>
  <c r="AG96" i="1"/>
  <c r="X96" i="1"/>
  <c r="T94" i="1"/>
  <c r="T91" i="1"/>
  <c r="U91" i="1" s="1"/>
  <c r="S91" i="1" s="1"/>
  <c r="X91" i="1"/>
  <c r="X90" i="1"/>
  <c r="AA88" i="1"/>
  <c r="AI85" i="1"/>
  <c r="S85" i="1"/>
  <c r="U82" i="1"/>
  <c r="S82" i="1" s="1"/>
  <c r="AG80" i="1"/>
  <c r="X80" i="1"/>
  <c r="T78" i="1"/>
  <c r="U78" i="1" s="1"/>
  <c r="S78" i="1" s="1"/>
  <c r="T75" i="1"/>
  <c r="U75" i="1" s="1"/>
  <c r="S75" i="1" s="1"/>
  <c r="X75" i="1"/>
  <c r="W73" i="1"/>
  <c r="T72" i="1"/>
  <c r="U72" i="1" s="1"/>
  <c r="S72" i="1" s="1"/>
  <c r="X72" i="1"/>
  <c r="U70" i="1"/>
  <c r="S70" i="1" s="1"/>
  <c r="S69" i="1"/>
  <c r="AI69" i="1"/>
  <c r="X69" i="1"/>
  <c r="W66" i="1"/>
  <c r="T64" i="1"/>
  <c r="X64" i="1"/>
  <c r="AG64" i="1"/>
  <c r="W64" i="1" s="1"/>
  <c r="X65" i="1"/>
  <c r="AI61" i="1"/>
  <c r="W57" i="1"/>
  <c r="AI54" i="1"/>
  <c r="U54" i="1"/>
  <c r="S54" i="1" s="1"/>
  <c r="T48" i="1"/>
  <c r="X48" i="1"/>
  <c r="AG48" i="1"/>
  <c r="W48" i="1" s="1"/>
  <c r="AI44" i="1"/>
  <c r="AI37" i="1"/>
  <c r="S34" i="1"/>
  <c r="U170" i="1"/>
  <c r="S170" i="1" s="1"/>
  <c r="T163" i="1"/>
  <c r="U163" i="1" s="1"/>
  <c r="S163" i="1" s="1"/>
  <c r="X97" i="1"/>
  <c r="AA96" i="1"/>
  <c r="U90" i="1"/>
  <c r="S90" i="1" s="1"/>
  <c r="T83" i="1"/>
  <c r="U83" i="1" s="1"/>
  <c r="S83" i="1" s="1"/>
  <c r="X83" i="1"/>
  <c r="X81" i="1"/>
  <c r="AA80" i="1"/>
  <c r="W68" i="1"/>
  <c r="W65" i="1"/>
  <c r="AI62" i="1"/>
  <c r="U62" i="1"/>
  <c r="S62" i="1" s="1"/>
  <c r="W58" i="1"/>
  <c r="T56" i="1"/>
  <c r="X56" i="1"/>
  <c r="AG56" i="1"/>
  <c r="X57" i="1"/>
  <c r="S53" i="1"/>
  <c r="AI53" i="1"/>
  <c r="AI50" i="1"/>
  <c r="U46" i="1"/>
  <c r="S46" i="1" s="1"/>
  <c r="S172" i="1"/>
  <c r="AI108" i="1"/>
  <c r="T167" i="1"/>
  <c r="U167" i="1" s="1"/>
  <c r="S167" i="1" s="1"/>
  <c r="W164" i="1"/>
  <c r="U94" i="1"/>
  <c r="S94" i="1" s="1"/>
  <c r="S92" i="1"/>
  <c r="AI92" i="1"/>
  <c r="T87" i="1"/>
  <c r="U87" i="1" s="1"/>
  <c r="S87" i="1" s="1"/>
  <c r="X87" i="1"/>
  <c r="W84" i="1"/>
  <c r="S76" i="1"/>
  <c r="AI76" i="1"/>
  <c r="W72" i="1"/>
  <c r="AG71" i="1"/>
  <c r="T71" i="1"/>
  <c r="X71" i="1"/>
  <c r="T68" i="1"/>
  <c r="U68" i="1" s="1"/>
  <c r="S68" i="1" s="1"/>
  <c r="X68" i="1"/>
  <c r="S65" i="1"/>
  <c r="AI65" i="1"/>
  <c r="AI58" i="1"/>
  <c r="U58" i="1"/>
  <c r="S58" i="1" s="1"/>
  <c r="T52" i="1"/>
  <c r="X52" i="1"/>
  <c r="AG52" i="1"/>
  <c r="X53" i="1"/>
  <c r="X41" i="1"/>
  <c r="AG41" i="1"/>
  <c r="X42" i="1"/>
  <c r="AG39" i="1"/>
  <c r="W39" i="1" s="1"/>
  <c r="X39" i="1"/>
  <c r="T39" i="1"/>
  <c r="X67" i="1"/>
  <c r="T67" i="1"/>
  <c r="U67" i="1" s="1"/>
  <c r="S67" i="1" s="1"/>
  <c r="X63" i="1"/>
  <c r="T63" i="1"/>
  <c r="U63" i="1" s="1"/>
  <c r="S63" i="1" s="1"/>
  <c r="X59" i="1"/>
  <c r="T59" i="1"/>
  <c r="U59" i="1" s="1"/>
  <c r="S59" i="1" s="1"/>
  <c r="X55" i="1"/>
  <c r="T55" i="1"/>
  <c r="U55" i="1" s="1"/>
  <c r="S55" i="1" s="1"/>
  <c r="U51" i="1"/>
  <c r="S51" i="1" s="1"/>
  <c r="AG49" i="1"/>
  <c r="X49" i="1"/>
  <c r="T47" i="1"/>
  <c r="T44" i="1"/>
  <c r="U44" i="1" s="1"/>
  <c r="S44" i="1" s="1"/>
  <c r="X44" i="1"/>
  <c r="X43" i="1"/>
  <c r="AA41" i="1"/>
  <c r="W41" i="1" s="1"/>
  <c r="AI38" i="1"/>
  <c r="S38" i="1"/>
  <c r="T37" i="1"/>
  <c r="U37" i="1" s="1"/>
  <c r="AI34" i="1"/>
  <c r="U30" i="1"/>
  <c r="S30" i="1" s="1"/>
  <c r="T29" i="1"/>
  <c r="X29" i="1"/>
  <c r="AG29" i="1"/>
  <c r="X30" i="1"/>
  <c r="U26" i="1"/>
  <c r="T25" i="1"/>
  <c r="X25" i="1"/>
  <c r="AG25" i="1"/>
  <c r="X26" i="1"/>
  <c r="U22" i="1"/>
  <c r="T21" i="1"/>
  <c r="X21" i="1"/>
  <c r="AG21" i="1"/>
  <c r="X22" i="1"/>
  <c r="U18" i="1"/>
  <c r="S18" i="1" s="1"/>
  <c r="T17" i="1"/>
  <c r="X17" i="1"/>
  <c r="AG17" i="1"/>
  <c r="X18" i="1"/>
  <c r="T45" i="1"/>
  <c r="T36" i="1"/>
  <c r="X36" i="1"/>
  <c r="AG33" i="1"/>
  <c r="X34" i="1"/>
  <c r="AI31" i="1"/>
  <c r="AI27" i="1"/>
  <c r="U27" i="1"/>
  <c r="S27" i="1" s="1"/>
  <c r="AI23" i="1"/>
  <c r="AI19" i="1"/>
  <c r="U19" i="1"/>
  <c r="S19" i="1" s="1"/>
  <c r="AI15" i="1"/>
  <c r="U15" i="1"/>
  <c r="S15" i="1" s="1"/>
  <c r="U47" i="1"/>
  <c r="S47" i="1" s="1"/>
  <c r="AG45" i="1"/>
  <c r="W45" i="1" s="1"/>
  <c r="T43" i="1"/>
  <c r="U43" i="1" s="1"/>
  <c r="S43" i="1" s="1"/>
  <c r="T40" i="1"/>
  <c r="U40" i="1" s="1"/>
  <c r="S40" i="1" s="1"/>
  <c r="X40" i="1"/>
  <c r="AA37" i="1"/>
  <c r="W37" i="1" s="1"/>
  <c r="AG36" i="1"/>
  <c r="W35" i="1"/>
  <c r="T35" i="1"/>
  <c r="U35" i="1" s="1"/>
  <c r="S35" i="1" s="1"/>
  <c r="X33" i="1"/>
  <c r="AI30" i="1"/>
  <c r="AI26" i="1"/>
  <c r="W25" i="1"/>
  <c r="AI22" i="1"/>
  <c r="W21" i="1"/>
  <c r="AI18" i="1"/>
  <c r="S14" i="1"/>
  <c r="AI14" i="1"/>
  <c r="X32" i="1"/>
  <c r="X28" i="1"/>
  <c r="X24" i="1"/>
  <c r="X20" i="1"/>
  <c r="X16" i="1"/>
  <c r="Y38" i="3"/>
  <c r="Y30" i="3"/>
  <c r="Y22" i="3"/>
  <c r="Y37" i="3"/>
  <c r="Y24" i="3"/>
  <c r="Y21" i="3"/>
  <c r="Y13" i="3"/>
  <c r="Y40" i="3"/>
  <c r="Y32" i="3"/>
  <c r="Y29" i="3"/>
  <c r="T38" i="3"/>
  <c r="T30" i="3"/>
  <c r="T22" i="3"/>
  <c r="T14" i="3"/>
  <c r="AC39" i="3"/>
  <c r="AC35" i="3"/>
  <c r="AC31" i="3"/>
  <c r="AC27" i="3"/>
  <c r="AC23" i="3"/>
  <c r="AC19" i="3"/>
  <c r="AC15" i="3"/>
  <c r="AC11" i="3"/>
  <c r="N7" i="3"/>
  <c r="R7" i="3"/>
  <c r="S7" i="3"/>
  <c r="U7" i="3"/>
  <c r="V7" i="3"/>
  <c r="W7" i="3"/>
  <c r="X7" i="3"/>
  <c r="T7" i="3" l="1"/>
  <c r="AD7" i="3"/>
  <c r="U57" i="1"/>
  <c r="S57" i="1" s="1"/>
  <c r="W85" i="1"/>
  <c r="W194" i="1"/>
  <c r="W138" i="1"/>
  <c r="W143" i="1"/>
  <c r="W29" i="1"/>
  <c r="U16" i="1"/>
  <c r="S16" i="1" s="1"/>
  <c r="AI16" i="1"/>
  <c r="S22" i="1"/>
  <c r="W210" i="1"/>
  <c r="U139" i="1"/>
  <c r="S139" i="1" s="1"/>
  <c r="U32" i="1"/>
  <c r="S31" i="1" s="1"/>
  <c r="AI32" i="1"/>
  <c r="W32" i="1"/>
  <c r="W80" i="1"/>
  <c r="W96" i="1"/>
  <c r="W174" i="1"/>
  <c r="W196" i="1"/>
  <c r="W187" i="1"/>
  <c r="AI153" i="1"/>
  <c r="AI117" i="1"/>
  <c r="W173" i="1"/>
  <c r="W112" i="1"/>
  <c r="W139" i="1"/>
  <c r="AI114" i="1"/>
  <c r="AI107" i="1"/>
  <c r="W195" i="1"/>
  <c r="W178" i="1"/>
  <c r="U93" i="1"/>
  <c r="S93" i="1" s="1"/>
  <c r="AI93" i="1"/>
  <c r="W93" i="1"/>
  <c r="U186" i="1"/>
  <c r="S186" i="1" s="1"/>
  <c r="AI186" i="1"/>
  <c r="U101" i="1"/>
  <c r="S101" i="1" s="1"/>
  <c r="W117" i="1"/>
  <c r="W149" i="1"/>
  <c r="AI149" i="1"/>
  <c r="W18" i="1"/>
  <c r="AI200" i="1"/>
  <c r="W26" i="1"/>
  <c r="U123" i="1"/>
  <c r="S123" i="1" s="1"/>
  <c r="W46" i="1"/>
  <c r="U138" i="1"/>
  <c r="S138" i="1" s="1"/>
  <c r="AI104" i="1"/>
  <c r="U168" i="1"/>
  <c r="S168" i="1" s="1"/>
  <c r="AI119" i="1"/>
  <c r="U182" i="1"/>
  <c r="S182" i="1" s="1"/>
  <c r="AI151" i="1"/>
  <c r="U115" i="1"/>
  <c r="S115" i="1" s="1"/>
  <c r="AI158" i="1"/>
  <c r="U122" i="1"/>
  <c r="S122" i="1" s="1"/>
  <c r="AI169" i="1"/>
  <c r="U134" i="1"/>
  <c r="S134" i="1" s="1"/>
  <c r="AI185" i="1"/>
  <c r="U150" i="1"/>
  <c r="S150" i="1" s="1"/>
  <c r="AI198" i="1"/>
  <c r="S207" i="1"/>
  <c r="AI209" i="1"/>
  <c r="U207" i="1"/>
  <c r="AI213" i="1"/>
  <c r="U213" i="1"/>
  <c r="S213" i="1" s="1"/>
  <c r="AI88" i="1"/>
  <c r="U88" i="1"/>
  <c r="S88" i="1" s="1"/>
  <c r="U33" i="1"/>
  <c r="S33" i="1" s="1"/>
  <c r="AI33" i="1"/>
  <c r="U21" i="1"/>
  <c r="S21" i="1" s="1"/>
  <c r="AI21" i="1"/>
  <c r="U60" i="1"/>
  <c r="S60" i="1" s="1"/>
  <c r="AI60" i="1"/>
  <c r="AI143" i="1"/>
  <c r="U210" i="1"/>
  <c r="S210" i="1" s="1"/>
  <c r="W122" i="1"/>
  <c r="AI162" i="1"/>
  <c r="U126" i="1"/>
  <c r="S126" i="1" s="1"/>
  <c r="W134" i="1"/>
  <c r="AI177" i="1"/>
  <c r="U142" i="1"/>
  <c r="S142" i="1" s="1"/>
  <c r="AI184" i="1"/>
  <c r="U149" i="1"/>
  <c r="S149" i="1" s="1"/>
  <c r="AI205" i="1"/>
  <c r="U203" i="1"/>
  <c r="S203" i="1" s="1"/>
  <c r="AI206" i="1"/>
  <c r="U204" i="1"/>
  <c r="S204" i="1" s="1"/>
  <c r="AI127" i="1"/>
  <c r="U189" i="1"/>
  <c r="S189" i="1" s="1"/>
  <c r="AI49" i="1"/>
  <c r="U49" i="1"/>
  <c r="S49" i="1" s="1"/>
  <c r="AI96" i="1"/>
  <c r="U96" i="1"/>
  <c r="S96" i="1" s="1"/>
  <c r="U36" i="1"/>
  <c r="S36" i="1" s="1"/>
  <c r="AI36" i="1"/>
  <c r="W49" i="1"/>
  <c r="U25" i="1"/>
  <c r="S25" i="1" s="1"/>
  <c r="AI25" i="1"/>
  <c r="AI41" i="1"/>
  <c r="U41" i="1"/>
  <c r="S41" i="1" s="1"/>
  <c r="U71" i="1"/>
  <c r="S71" i="1" s="1"/>
  <c r="AI71" i="1"/>
  <c r="W71" i="1"/>
  <c r="W33" i="1"/>
  <c r="AI48" i="1"/>
  <c r="U48" i="1"/>
  <c r="S48" i="1" s="1"/>
  <c r="AI80" i="1"/>
  <c r="U80" i="1"/>
  <c r="S80" i="1" s="1"/>
  <c r="W88" i="1"/>
  <c r="U86" i="1"/>
  <c r="S86" i="1" s="1"/>
  <c r="AI86" i="1"/>
  <c r="W182" i="1"/>
  <c r="W115" i="1"/>
  <c r="U166" i="1"/>
  <c r="S166" i="1"/>
  <c r="AI102" i="1"/>
  <c r="AI135" i="1"/>
  <c r="U196" i="1"/>
  <c r="S196" i="1" s="1"/>
  <c r="AI118" i="1"/>
  <c r="U181" i="1"/>
  <c r="S181" i="1" s="1"/>
  <c r="W36" i="1"/>
  <c r="W150" i="1"/>
  <c r="W86" i="1"/>
  <c r="W204" i="1"/>
  <c r="U17" i="1"/>
  <c r="S17" i="1" s="1"/>
  <c r="AI17" i="1"/>
  <c r="U39" i="1"/>
  <c r="S39" i="1" s="1"/>
  <c r="AI39" i="1"/>
  <c r="W17" i="1"/>
  <c r="AI45" i="1"/>
  <c r="U45" i="1"/>
  <c r="S45" i="1" s="1"/>
  <c r="U29" i="1"/>
  <c r="S28" i="1" s="1"/>
  <c r="AI29" i="1"/>
  <c r="U52" i="1"/>
  <c r="S52" i="1" s="1"/>
  <c r="AI52" i="1"/>
  <c r="W52" i="1"/>
  <c r="U56" i="1"/>
  <c r="S56" i="1" s="1"/>
  <c r="AI56" i="1"/>
  <c r="U64" i="1"/>
  <c r="S64" i="1" s="1"/>
  <c r="AI64" i="1"/>
  <c r="U174" i="1"/>
  <c r="S174" i="1" s="1"/>
  <c r="AI111" i="1"/>
  <c r="AI95" i="1"/>
  <c r="U95" i="1"/>
  <c r="S95" i="1" s="1"/>
  <c r="W56" i="1"/>
  <c r="AI79" i="1"/>
  <c r="U79" i="1"/>
  <c r="S79" i="1" s="1"/>
  <c r="U107" i="1"/>
  <c r="S107" i="1" s="1"/>
  <c r="AI141" i="1"/>
  <c r="S114" i="1"/>
  <c r="AI150" i="1"/>
  <c r="U114" i="1"/>
  <c r="U118" i="1"/>
  <c r="S118" i="1"/>
  <c r="AI154" i="1"/>
  <c r="U200" i="1"/>
  <c r="S200" i="1" s="1"/>
  <c r="AI202" i="1"/>
  <c r="W181" i="1"/>
  <c r="W118" i="1"/>
  <c r="U158" i="1"/>
  <c r="S158" i="1" s="1"/>
  <c r="AI193" i="1"/>
  <c r="U187" i="1"/>
  <c r="S187" i="1" s="1"/>
  <c r="AI125" i="1"/>
  <c r="AI134" i="1"/>
  <c r="U195" i="1"/>
  <c r="S195" i="1" s="1"/>
  <c r="W158" i="1"/>
  <c r="W207" i="1"/>
  <c r="W213" i="1"/>
  <c r="W203" i="1"/>
  <c r="AC7" i="3"/>
  <c r="Y7" i="3"/>
  <c r="B4" i="6" l="1"/>
  <c r="K4" i="6"/>
  <c r="J4" i="6" l="1"/>
  <c r="F4" i="6"/>
  <c r="I4" i="6"/>
  <c r="B3" i="6"/>
  <c r="F3" i="6" s="1"/>
  <c r="K3" i="6"/>
  <c r="B5" i="6"/>
  <c r="F5" i="6" s="1"/>
  <c r="K5" i="6"/>
  <c r="B6" i="6"/>
  <c r="K6" i="6"/>
  <c r="B7" i="6"/>
  <c r="K7" i="6"/>
  <c r="B8" i="6"/>
  <c r="F8" i="6" s="1"/>
  <c r="K8" i="6"/>
  <c r="B9" i="6"/>
  <c r="F9" i="6" s="1"/>
  <c r="K9" i="6"/>
  <c r="B10" i="6"/>
  <c r="K10" i="6"/>
  <c r="B11" i="6"/>
  <c r="K11" i="6"/>
  <c r="I11" i="6" l="1"/>
  <c r="F6" i="6"/>
  <c r="F10" i="6"/>
  <c r="I7" i="6"/>
  <c r="J10" i="6"/>
  <c r="I8" i="6"/>
  <c r="J6" i="6"/>
  <c r="I3" i="6"/>
  <c r="J11" i="6"/>
  <c r="F11" i="6"/>
  <c r="I10" i="6"/>
  <c r="I9" i="6"/>
  <c r="J7" i="6"/>
  <c r="F7" i="6"/>
  <c r="I6" i="6"/>
  <c r="I5" i="6"/>
  <c r="J8" i="6"/>
  <c r="J3" i="6"/>
  <c r="J9" i="6"/>
  <c r="J5" i="6"/>
  <c r="V13" i="1" l="1"/>
  <c r="Z13" i="1" l="1"/>
  <c r="Y13" i="1"/>
  <c r="M30" i="5" l="1"/>
  <c r="M29" i="5"/>
  <c r="M28" i="5"/>
  <c r="M27" i="5"/>
  <c r="AE13" i="1" l="1"/>
  <c r="AD13" i="1"/>
  <c r="X14" i="1" s="1"/>
  <c r="AC13" i="1"/>
  <c r="AB13" i="1"/>
  <c r="M13" i="1"/>
  <c r="N13" i="1" s="1"/>
  <c r="L13" i="1"/>
  <c r="K13" i="1"/>
  <c r="AA13" i="1" l="1"/>
  <c r="AG13" i="1"/>
  <c r="AI13" i="1" s="1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4" i="6" s="1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3" i="6" s="1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7" i="6" s="1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9" i="6" s="1"/>
  <c r="G131" i="4"/>
  <c r="H9" i="6" s="1"/>
  <c r="F132" i="4"/>
  <c r="G132" i="4"/>
  <c r="F133" i="4"/>
  <c r="G11" i="6" s="1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0" i="6" s="1"/>
  <c r="G140" i="4"/>
  <c r="H10" i="6" s="1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11" i="6" l="1"/>
  <c r="H7" i="6"/>
  <c r="H3" i="6"/>
  <c r="H4" i="6"/>
  <c r="H8" i="6"/>
  <c r="H5" i="6"/>
  <c r="H6" i="6"/>
  <c r="G8" i="6"/>
  <c r="G5" i="6"/>
  <c r="G6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<sst xmlns="http://schemas.openxmlformats.org/spreadsheetml/2006/main" count="2192" uniqueCount="805">
  <si>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</si>
  <si>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</si>
  <si>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</si>
  <si>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</si>
  <si>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</si>
  <si>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</si>
  <si>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</si>
  <si>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</si>
  <si>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</si>
  <si>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</si>
  <si>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</si>
  <si>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</si>
  <si>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</si>
  <si>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</si>
  <si>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</si>
  <si>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</si>
  <si>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</si>
  <si>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</si>
  <si>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</si>
  <si>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</si>
  <si>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</si>
  <si>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</si>
  <si>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</si>
  <si>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</si>
  <si>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</si>
  <si>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</si>
  <si>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</si>
  <si>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</si>
  <si>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</si>
  <si>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</si>
  <si>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</si>
  <si>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</si>
  <si>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</si>
  <si>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</si>
  <si>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</si>
  <si>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</si>
  <si>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</si>
  <si>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</si>
  <si>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</si>
  <si>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</si>
  <si>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</si>
  <si>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</si>
  <si>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</si>
  <si>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</si>
  <si>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</si>
  <si>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</si>
  <si>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</si>
  <si>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</si>
  <si>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</si>
  <si>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</si>
  <si>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</si>
  <si>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</si>
  <si>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</si>
  <si>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</si>
  <si>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</si>
  <si>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</si>
  <si>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</si>
  <si>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</si>
  <si>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</si>
  <si>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</si>
  <si>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</si>
  <si>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</si>
  <si>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</si>
  <si>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</si>
  <si>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</si>
  <si>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</si>
  <si>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</si>
  <si>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</si>
  <si>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</si>
  <si>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</si>
  <si>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</si>
  <si>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</si>
  <si>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</si>
  <si>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</si>
  <si>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</si>
  <si>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</si>
  <si>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</si>
  <si>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</si>
  <si>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</si>
  <si>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</si>
  <si>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</si>
  <si>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</si>
  <si>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</si>
  <si>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</si>
  <si>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</si>
  <si>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</si>
  <si>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</si>
  <si>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</si>
  <si>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</si>
  <si>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</si>
  <si>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</si>
  <si>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</si>
  <si>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</si>
  <si>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</si>
  <si>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</si>
  <si>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</si>
  <si>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</si>
  <si>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</si>
  <si>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</si>
  <si>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</si>
  <si>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</si>
  <si>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</si>
  <si>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</si>
  <si>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</si>
  <si>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</si>
  <si>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</si>
  <si>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</si>
  <si>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</si>
  <si>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</si>
  <si>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</si>
  <si>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</si>
  <si>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</si>
  <si>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</si>
  <si>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</si>
  <si>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</si>
  <si>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</si>
  <si>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</si>
  <si>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</si>
  <si>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</si>
  <si>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</si>
  <si>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</si>
  <si>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</si>
  <si>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</si>
  <si>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</si>
  <si>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</si>
  <si>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</si>
  <si>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</si>
  <si>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</si>
  <si>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</si>
  <si>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</si>
  <si>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</si>
  <si>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</si>
  <si>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</si>
  <si>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</si>
  <si>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</si>
  <si>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</si>
  <si>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</si>
  <si>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</si>
  <si>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</si>
  <si>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</si>
  <si>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</si>
  <si>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</si>
  <si>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</si>
  <si>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</si>
  <si>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</si>
  <si>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</si>
  <si>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</si>
  <si>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</si>
  <si>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</si>
  <si>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</si>
  <si>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</si>
  <si>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</si>
  <si>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</si>
  <si>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</si>
  <si>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</si>
  <si>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</si>
  <si>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</si>
  <si>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</si>
  <si>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</si>
  <si>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</si>
  <si>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</si>
  <si>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</si>
  <si>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</si>
  <si>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</si>
  <si>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</si>
  <si>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</si>
  <si>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</si>
  <si>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</si>
  <si>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</si>
  <si>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</si>
  <si>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</si>
  <si>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</si>
  <si>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</si>
  <si>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</si>
  <si>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</si>
  <si>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</si>
  <si>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</si>
  <si>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</si>
  <si>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</si>
  <si>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</si>
  <si>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</si>
  <si>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</si>
  <si>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</si>
  <si>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</si>
  <si>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</si>
  <si>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</si>
  <si>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</si>
  <si>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</si>
  <si>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</si>
  <si>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</si>
  <si>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</si>
  <si>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</si>
  <si>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</si>
  <si>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</si>
  <si>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</si>
  <si>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</si>
  <si>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</si>
  <si>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204:145</t>
  </si>
  <si>
    <t>204:149</t>
  </si>
  <si>
    <t>204:143</t>
  </si>
  <si>
    <t>204:447</t>
  </si>
  <si>
    <t>204:453</t>
  </si>
  <si>
    <t>204:455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</si>
  <si>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</si>
  <si>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</si>
  <si>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</si>
  <si>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</si>
  <si>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</si>
  <si>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</si>
  <si>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</si>
  <si>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</si>
  <si>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</si>
  <si>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</si>
  <si>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</si>
  <si>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</si>
  <si>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</si>
  <si>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</si>
  <si>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</si>
  <si>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</si>
  <si>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</si>
  <si>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</si>
  <si>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</si>
  <si>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</si>
  <si>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</si>
  <si>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</si>
  <si>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DE.1.0.8.0</t>
  </si>
  <si>
    <t>rtdc.l.rtdc.4040:itc</t>
  </si>
  <si>
    <t>204:458</t>
  </si>
  <si>
    <t>partly-cloudy-night</t>
  </si>
  <si>
    <t>Partly Cloudy</t>
  </si>
  <si>
    <t>204:158</t>
  </si>
  <si>
    <t>rtdc.l.rtdc.4003:itc</t>
  </si>
  <si>
    <t>clear-night</t>
  </si>
  <si>
    <t>Clear</t>
  </si>
  <si>
    <t>rtdc.l.rtdc.4039:itc</t>
  </si>
  <si>
    <t>rtdc.l.rtdc.4032:itc</t>
  </si>
  <si>
    <t>Y</t>
  </si>
  <si>
    <t>rtdc.l.rtdc.4004:itc</t>
  </si>
  <si>
    <t>204:233298</t>
  </si>
  <si>
    <t>204:232982</t>
  </si>
  <si>
    <t>204:233312</t>
  </si>
  <si>
    <t>Human Factors</t>
  </si>
  <si>
    <t>rtdc.l.rtdc.4041:itc</t>
  </si>
  <si>
    <t>rtdc.l.rtdc.4042:itc</t>
  </si>
  <si>
    <t>STAMBAUGH</t>
  </si>
  <si>
    <t>204:469</t>
  </si>
  <si>
    <t>204:233306</t>
  </si>
  <si>
    <t>204:232991</t>
  </si>
  <si>
    <t>rtdc.l.rtdc.4031:itc</t>
  </si>
  <si>
    <t>rtdc.l.rtdc.4025:itc</t>
  </si>
  <si>
    <t>rtdc.l.rtdc.4012:itc</t>
  </si>
  <si>
    <t>204:160</t>
  </si>
  <si>
    <t>204:150</t>
  </si>
  <si>
    <t>204:139</t>
  </si>
  <si>
    <t>204:233002</t>
  </si>
  <si>
    <t>204:467</t>
  </si>
  <si>
    <t>204:232990</t>
  </si>
  <si>
    <t>rtdc.l.rtdc.4001:itc</t>
  </si>
  <si>
    <t>rtdc.l.rtdc.4002:itc</t>
  </si>
  <si>
    <t>BADERTSCHER</t>
  </si>
  <si>
    <t>MAGEE</t>
  </si>
  <si>
    <t>YANAI</t>
  </si>
  <si>
    <t>204:232978</t>
  </si>
  <si>
    <t>204:233319</t>
  </si>
  <si>
    <t>204:232992</t>
  </si>
  <si>
    <t>204:233293</t>
  </si>
  <si>
    <t>rtdc.l.rtdc.4016:itc</t>
  </si>
  <si>
    <t>Track device (7)</t>
  </si>
  <si>
    <t>rtdc.l.rtdc.4015:itc</t>
  </si>
  <si>
    <t>rtdc.l.rtdc.4043:itc</t>
  </si>
  <si>
    <t>204:233299</t>
  </si>
  <si>
    <t>204:233302</t>
  </si>
  <si>
    <t>204:438</t>
  </si>
  <si>
    <t>204:232981</t>
  </si>
  <si>
    <t>204:232973</t>
  </si>
  <si>
    <t>204:446</t>
  </si>
  <si>
    <t>:.+((SYSTEM_STATE.+slice.+state.+changed )|(ment ac)|(system.+state.+changed )|(\[timeout)|(PRM\|1\|D)|(kpr)|(kdp)|(\|lc)|(penalty))</t>
  </si>
  <si>
    <t>rtdc.l.rtdc.4026:itc</t>
  </si>
  <si>
    <t>rtdc.l.rtdc.4010:itc</t>
  </si>
  <si>
    <t>rtdc.l.rtdc.4022:itc</t>
  </si>
  <si>
    <t>SWITCH UNKNOWN</t>
  </si>
  <si>
    <t>rtdc.l.rtdc.4021:itc</t>
  </si>
  <si>
    <t>MOSES</t>
  </si>
  <si>
    <t>HOLCOMB</t>
  </si>
  <si>
    <t>204:473</t>
  </si>
  <si>
    <t>204:233303</t>
  </si>
  <si>
    <t>204:233304</t>
  </si>
  <si>
    <t>204:233310</t>
  </si>
  <si>
    <t>204:232993</t>
  </si>
  <si>
    <t>204:442</t>
  </si>
  <si>
    <t>204:471</t>
  </si>
  <si>
    <t>204:480</t>
  </si>
  <si>
    <t>204:232996</t>
  </si>
  <si>
    <t>204:134</t>
  </si>
  <si>
    <t>300:58937</t>
  </si>
  <si>
    <t>rtdc.l.rtdc.4054:itc</t>
  </si>
  <si>
    <t>rtdc.l.rtdc.4053:itc</t>
  </si>
  <si>
    <t>rtdc.l.rtdc.4038:itc</t>
  </si>
  <si>
    <t>845-10</t>
  </si>
  <si>
    <t>232-10</t>
  </si>
  <si>
    <t>236-10</t>
  </si>
  <si>
    <t>239-10</t>
  </si>
  <si>
    <t>rtdc.l.rtdc.4037:itc</t>
  </si>
  <si>
    <t>SHOOK</t>
  </si>
  <si>
    <t>229-10</t>
  </si>
  <si>
    <t>226-10</t>
  </si>
  <si>
    <t>231-10</t>
  </si>
  <si>
    <t>228-10</t>
  </si>
  <si>
    <t>844-10</t>
  </si>
  <si>
    <t>230-10</t>
  </si>
  <si>
    <t>233-10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</si>
  <si>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</si>
  <si>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</si>
  <si>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</si>
  <si>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</si>
  <si>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</si>
  <si>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</si>
  <si>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</si>
  <si>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</si>
  <si>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</si>
  <si>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</si>
  <si>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</si>
  <si>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</si>
  <si>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</si>
  <si>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</si>
  <si>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</si>
  <si>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204:138</t>
  </si>
  <si>
    <t>204:466</t>
  </si>
  <si>
    <t>204:233300</t>
  </si>
  <si>
    <t>204:232980</t>
  </si>
  <si>
    <t>204:232968</t>
  </si>
  <si>
    <t>204:449</t>
  </si>
  <si>
    <t>204:233008</t>
  </si>
  <si>
    <t>204:232976</t>
  </si>
  <si>
    <t>204:141</t>
  </si>
  <si>
    <t>300:58613</t>
  </si>
  <si>
    <t>Replaced by 157</t>
  </si>
  <si>
    <t>Canceled</t>
  </si>
  <si>
    <t>Replaced by 60</t>
  </si>
  <si>
    <t>DAVIS</t>
  </si>
  <si>
    <t>STRICKLAND</t>
  </si>
  <si>
    <t>CLARK</t>
  </si>
  <si>
    <t>SWANSON</t>
  </si>
  <si>
    <t>SAFIEF</t>
  </si>
  <si>
    <t>CHANDLER</t>
  </si>
  <si>
    <t>235-11</t>
  </si>
  <si>
    <t>232-11</t>
  </si>
  <si>
    <t>908-11</t>
  </si>
  <si>
    <t>237-11</t>
  </si>
  <si>
    <t>234-11</t>
  </si>
  <si>
    <t>239-11</t>
  </si>
  <si>
    <t>236-11</t>
  </si>
  <si>
    <t>238-11</t>
  </si>
  <si>
    <t>241-11</t>
  </si>
  <si>
    <t>243-11</t>
  </si>
  <si>
    <t>240-11</t>
  </si>
  <si>
    <t>242-11</t>
  </si>
  <si>
    <t>245-11</t>
  </si>
  <si>
    <t>309-11</t>
  </si>
  <si>
    <t>244-11</t>
  </si>
  <si>
    <t>311-11</t>
  </si>
  <si>
    <t>partly-cloudy-day</t>
  </si>
  <si>
    <t>204:444</t>
  </si>
  <si>
    <t>204:233286</t>
  </si>
  <si>
    <t>204:232987</t>
  </si>
  <si>
    <t>204:163</t>
  </si>
  <si>
    <t>204:233315</t>
  </si>
  <si>
    <t>204:232983</t>
  </si>
  <si>
    <t>204:233019</t>
  </si>
  <si>
    <t>204:129</t>
  </si>
  <si>
    <t>300:23302</t>
  </si>
  <si>
    <t>300:23312</t>
  </si>
  <si>
    <t>204:1048</t>
  </si>
  <si>
    <t>rtdc.l.rtdc.4014:itc</t>
  </si>
  <si>
    <t>rtdc.l.rtdc.4013:itc</t>
  </si>
  <si>
    <t>DE LA ROSA</t>
  </si>
  <si>
    <t>ACKERMAN</t>
  </si>
  <si>
    <t>KILLION</t>
  </si>
  <si>
    <t>STEWART</t>
  </si>
  <si>
    <t>BARTLETT</t>
  </si>
  <si>
    <t>BRUDER</t>
  </si>
  <si>
    <t>OUN</t>
  </si>
  <si>
    <t>NEWELL</t>
  </si>
  <si>
    <t>238-12</t>
  </si>
  <si>
    <t>241-12</t>
  </si>
  <si>
    <t>243-12</t>
  </si>
  <si>
    <t>240-12</t>
  </si>
  <si>
    <t>245-12</t>
  </si>
  <si>
    <t>242-12</t>
  </si>
  <si>
    <t>309-12</t>
  </si>
  <si>
    <t>244-12</t>
  </si>
  <si>
    <t>51-13</t>
  </si>
  <si>
    <t>204:713</t>
  </si>
  <si>
    <t>204:233301</t>
  </si>
  <si>
    <t>204:232989</t>
  </si>
  <si>
    <t>204:785</t>
  </si>
  <si>
    <t>204:233282</t>
  </si>
  <si>
    <t>204:232957</t>
  </si>
  <si>
    <t>204:233316</t>
  </si>
  <si>
    <t>204:232986</t>
  </si>
  <si>
    <t>204:172</t>
  </si>
  <si>
    <t>204:232967</t>
  </si>
  <si>
    <t>204:232972</t>
  </si>
  <si>
    <t>204:232969</t>
  </si>
  <si>
    <t>204:232975</t>
  </si>
  <si>
    <t>204:233355</t>
  </si>
  <si>
    <t>204:233027</t>
  </si>
  <si>
    <t>204:475</t>
  </si>
  <si>
    <t>204:233311</t>
  </si>
  <si>
    <t>204:233378</t>
  </si>
  <si>
    <t>204:663</t>
  </si>
  <si>
    <t>300:58935</t>
  </si>
  <si>
    <t>204:978</t>
  </si>
  <si>
    <t>300:58950</t>
  </si>
  <si>
    <t>300:58638</t>
  </si>
  <si>
    <t>300:58926</t>
  </si>
  <si>
    <t>204:696</t>
  </si>
  <si>
    <t>300:58634</t>
  </si>
  <si>
    <t>204:755</t>
  </si>
  <si>
    <t>300:58969</t>
  </si>
  <si>
    <t>204:1060</t>
  </si>
  <si>
    <t>204:1032</t>
  </si>
  <si>
    <t>300:58976</t>
  </si>
  <si>
    <t>204:764</t>
  </si>
  <si>
    <t>300:58997</t>
  </si>
  <si>
    <t>204:748</t>
  </si>
  <si>
    <t>204:232971</t>
  </si>
  <si>
    <t>204:233021</t>
  </si>
  <si>
    <t>204:121</t>
  </si>
  <si>
    <t>204:169</t>
  </si>
  <si>
    <t>204:495</t>
  </si>
  <si>
    <t>204:233266</t>
  </si>
  <si>
    <t>204:233364</t>
  </si>
  <si>
    <t>246-12</t>
  </si>
  <si>
    <t>300:23301</t>
  </si>
  <si>
    <t>313-12</t>
  </si>
  <si>
    <t>300:23304</t>
  </si>
  <si>
    <t>315-12</t>
  </si>
  <si>
    <t>306-13</t>
  </si>
  <si>
    <t>rtdc.l.rtdc.4008:itc</t>
  </si>
  <si>
    <t>102-13</t>
  </si>
  <si>
    <t>106-13</t>
  </si>
  <si>
    <t>112-13</t>
  </si>
  <si>
    <t>110-13</t>
  </si>
  <si>
    <t>121-13</t>
  </si>
  <si>
    <t>118-13</t>
  </si>
  <si>
    <t>1804-13</t>
  </si>
  <si>
    <t>140-13</t>
  </si>
  <si>
    <t>151-13</t>
  </si>
  <si>
    <t>153-13</t>
  </si>
  <si>
    <t>154-13</t>
  </si>
  <si>
    <t>152-13</t>
  </si>
  <si>
    <t>161-13</t>
  </si>
  <si>
    <t>156-13</t>
  </si>
  <si>
    <t>175-13</t>
  </si>
  <si>
    <t>1816-13</t>
  </si>
  <si>
    <t>1820-13</t>
  </si>
  <si>
    <t>196-13</t>
  </si>
  <si>
    <t>74-13</t>
  </si>
  <si>
    <t>202-13</t>
  </si>
  <si>
    <t>217-13</t>
  </si>
  <si>
    <t>1825-13</t>
  </si>
  <si>
    <t>208-13</t>
  </si>
  <si>
    <t>212-13</t>
  </si>
  <si>
    <t>1827-13</t>
  </si>
  <si>
    <t>1828-13</t>
  </si>
  <si>
    <t>1831-13</t>
  </si>
  <si>
    <t>302-13</t>
  </si>
  <si>
    <t>101-13</t>
  </si>
  <si>
    <t>304-13</t>
  </si>
  <si>
    <t>103-13</t>
  </si>
  <si>
    <t>308-13</t>
  </si>
  <si>
    <t>105-13</t>
  </si>
  <si>
    <t>310-13</t>
  </si>
  <si>
    <t>HAITHCOX</t>
  </si>
  <si>
    <t>107-13</t>
  </si>
  <si>
    <t>104-13</t>
  </si>
  <si>
    <t>109-13</t>
  </si>
  <si>
    <t>111-13</t>
  </si>
  <si>
    <t>rtdc.l.rtdc.4007:itc</t>
  </si>
  <si>
    <t>113-13</t>
  </si>
  <si>
    <t>1901-13</t>
  </si>
  <si>
    <t>STARKS</t>
  </si>
  <si>
    <t>108-13</t>
  </si>
  <si>
    <t>115-13</t>
  </si>
  <si>
    <t>1800-13</t>
  </si>
  <si>
    <t>117-13</t>
  </si>
  <si>
    <t>119-13</t>
  </si>
  <si>
    <t>1801-13</t>
  </si>
  <si>
    <t>114-13</t>
  </si>
  <si>
    <t>116-13</t>
  </si>
  <si>
    <t>123-13</t>
  </si>
  <si>
    <t>1802-13</t>
  </si>
  <si>
    <t>125-13</t>
  </si>
  <si>
    <t>127-13</t>
  </si>
  <si>
    <t>1803-13</t>
  </si>
  <si>
    <t>120-13</t>
  </si>
  <si>
    <t>122-13</t>
  </si>
  <si>
    <t>129-13</t>
  </si>
  <si>
    <t>131-13</t>
  </si>
  <si>
    <t>124-13</t>
  </si>
  <si>
    <t>133-13</t>
  </si>
  <si>
    <t>126-13</t>
  </si>
  <si>
    <t>128-13</t>
  </si>
  <si>
    <t>135-13</t>
  </si>
  <si>
    <t>130-13</t>
  </si>
  <si>
    <t>1805-13</t>
  </si>
  <si>
    <t>137-13</t>
  </si>
  <si>
    <t>132-13</t>
  </si>
  <si>
    <t>139-13</t>
  </si>
  <si>
    <t>134-13</t>
  </si>
  <si>
    <t>141-13</t>
  </si>
  <si>
    <t>1806-13</t>
  </si>
  <si>
    <t>143-13</t>
  </si>
  <si>
    <t>136-13</t>
  </si>
  <si>
    <t>138-13</t>
  </si>
  <si>
    <t>145-13</t>
  </si>
  <si>
    <t>1807-13</t>
  </si>
  <si>
    <t>147-13</t>
  </si>
  <si>
    <t>142-13</t>
  </si>
  <si>
    <t>1808-13</t>
  </si>
  <si>
    <t>149-13</t>
  </si>
  <si>
    <t>144-13</t>
  </si>
  <si>
    <t>146-13</t>
  </si>
  <si>
    <t>148-13</t>
  </si>
  <si>
    <t>1809-13</t>
  </si>
  <si>
    <t>155-13</t>
  </si>
  <si>
    <t>150-13</t>
  </si>
  <si>
    <t>157-13</t>
  </si>
  <si>
    <t>1810-13</t>
  </si>
  <si>
    <t>159-13</t>
  </si>
  <si>
    <t>1811-13</t>
  </si>
  <si>
    <t>163-13</t>
  </si>
  <si>
    <t>158-13</t>
  </si>
  <si>
    <t>1812-13</t>
  </si>
  <si>
    <t>165-13</t>
  </si>
  <si>
    <t>160-13</t>
  </si>
  <si>
    <t>162-13</t>
  </si>
  <si>
    <t>167-13</t>
  </si>
  <si>
    <t>YOUNG</t>
  </si>
  <si>
    <t>169-13</t>
  </si>
  <si>
    <t>164-13</t>
  </si>
  <si>
    <t>1813-13</t>
  </si>
  <si>
    <t>171-13</t>
  </si>
  <si>
    <t>166-13</t>
  </si>
  <si>
    <t>1814-13</t>
  </si>
  <si>
    <t>173-13</t>
  </si>
  <si>
    <t>ARVIDSON</t>
  </si>
  <si>
    <t>168-13</t>
  </si>
  <si>
    <t>177-13</t>
  </si>
  <si>
    <t>170-13</t>
  </si>
  <si>
    <t>1815-13</t>
  </si>
  <si>
    <t>172-13</t>
  </si>
  <si>
    <t>179-13</t>
  </si>
  <si>
    <t>174-13</t>
  </si>
  <si>
    <t>176-13</t>
  </si>
  <si>
    <t>181-13</t>
  </si>
  <si>
    <t>183-13</t>
  </si>
  <si>
    <t>178-13</t>
  </si>
  <si>
    <t>185-13</t>
  </si>
  <si>
    <t>1817-13</t>
  </si>
  <si>
    <t>ADANE</t>
  </si>
  <si>
    <t>180-13</t>
  </si>
  <si>
    <t>187-13</t>
  </si>
  <si>
    <t>182-13</t>
  </si>
  <si>
    <t>189-13</t>
  </si>
  <si>
    <t>1818-13</t>
  </si>
  <si>
    <t>184-13</t>
  </si>
  <si>
    <t>191-13</t>
  </si>
  <si>
    <t>186-13</t>
  </si>
  <si>
    <t>193-13</t>
  </si>
  <si>
    <t>1819-13</t>
  </si>
  <si>
    <t>188-13</t>
  </si>
  <si>
    <t>190-13</t>
  </si>
  <si>
    <t>195-13</t>
  </si>
  <si>
    <t>197-13</t>
  </si>
  <si>
    <t>192-13</t>
  </si>
  <si>
    <t>199-13</t>
  </si>
  <si>
    <t>201-13</t>
  </si>
  <si>
    <t>194-13</t>
  </si>
  <si>
    <t>1821-13</t>
  </si>
  <si>
    <t>203-13</t>
  </si>
  <si>
    <t>198-13</t>
  </si>
  <si>
    <t>205-13</t>
  </si>
  <si>
    <t>1822-13</t>
  </si>
  <si>
    <t>200-13</t>
  </si>
  <si>
    <t>207-13</t>
  </si>
  <si>
    <t>CRAYTON</t>
  </si>
  <si>
    <t>53-13</t>
  </si>
  <si>
    <t>SMITH</t>
  </si>
  <si>
    <t>209-13</t>
  </si>
  <si>
    <t>LEVERE</t>
  </si>
  <si>
    <t>204-13</t>
  </si>
  <si>
    <t>1823-13</t>
  </si>
  <si>
    <t>211-13</t>
  </si>
  <si>
    <t>206-13</t>
  </si>
  <si>
    <t>213-13</t>
  </si>
  <si>
    <t>1824-13</t>
  </si>
  <si>
    <t>215-13</t>
  </si>
  <si>
    <t>rtdc.l.rtdc.4017:itc</t>
  </si>
  <si>
    <t>72-13</t>
  </si>
  <si>
    <t>WHITED</t>
  </si>
  <si>
    <t>75-13</t>
  </si>
  <si>
    <t>210-13</t>
  </si>
  <si>
    <t>219-13</t>
  </si>
  <si>
    <t>214-13</t>
  </si>
  <si>
    <t>303-13</t>
  </si>
  <si>
    <t>1826-13</t>
  </si>
  <si>
    <t>216-13</t>
  </si>
  <si>
    <t>221-13</t>
  </si>
  <si>
    <t>ROMERO</t>
  </si>
  <si>
    <t>218-13</t>
  </si>
  <si>
    <t>220-13</t>
  </si>
  <si>
    <t>223-13</t>
  </si>
  <si>
    <t>305-13</t>
  </si>
  <si>
    <t>307-13</t>
  </si>
  <si>
    <t>222-13</t>
  </si>
  <si>
    <t>225-13</t>
  </si>
  <si>
    <t>LOPES</t>
  </si>
  <si>
    <t>1829-13</t>
  </si>
  <si>
    <t>224-13</t>
  </si>
  <si>
    <t>227-13</t>
  </si>
  <si>
    <t>1830-13</t>
  </si>
  <si>
    <t>226-13</t>
  </si>
  <si>
    <t>229-13</t>
  </si>
  <si>
    <t>231-13</t>
  </si>
  <si>
    <t>228-13</t>
  </si>
  <si>
    <t>1832-13</t>
  </si>
  <si>
    <t>233-13</t>
  </si>
  <si>
    <t>230-13</t>
  </si>
  <si>
    <t>1833-13</t>
  </si>
  <si>
    <t>232-13</t>
  </si>
  <si>
    <t>235-13</t>
  </si>
  <si>
    <t>1902-13</t>
  </si>
  <si>
    <t>234-13</t>
  </si>
  <si>
    <t>237-13</t>
  </si>
  <si>
    <t>239-13</t>
  </si>
  <si>
    <t>236-13</t>
  </si>
  <si>
    <t>241-13</t>
  </si>
  <si>
    <t>238-13</t>
  </si>
  <si>
    <t>240-13</t>
  </si>
  <si>
    <t>243-13</t>
  </si>
  <si>
    <t>309-13</t>
  </si>
  <si>
    <t>242-13</t>
  </si>
  <si>
    <t>311-13</t>
  </si>
  <si>
    <t>244-13</t>
  </si>
  <si>
    <t>313-13</t>
  </si>
  <si>
    <t>Mostly Cloudy</t>
  </si>
  <si>
    <t>204:779</t>
  </si>
  <si>
    <t>204:233284</t>
  </si>
  <si>
    <t>204:232644</t>
  </si>
  <si>
    <t>204:708</t>
  </si>
  <si>
    <t>204:233406</t>
  </si>
  <si>
    <t>204:232732</t>
  </si>
  <si>
    <t>204:792</t>
  </si>
  <si>
    <t>204:232671</t>
  </si>
  <si>
    <t>204:154426</t>
  </si>
  <si>
    <t>204:132673</t>
  </si>
  <si>
    <t>204:154440</t>
  </si>
  <si>
    <t>204:233307</t>
  </si>
  <si>
    <t>204:132422</t>
  </si>
  <si>
    <t>204:154411</t>
  </si>
  <si>
    <t>204:761</t>
  </si>
  <si>
    <t>204:129717</t>
  </si>
  <si>
    <t>204:154430</t>
  </si>
  <si>
    <t>204:130699</t>
  </si>
  <si>
    <t>204:757</t>
  </si>
  <si>
    <t>204:128263</t>
  </si>
  <si>
    <t>204:131714</t>
  </si>
  <si>
    <t>204:232961</t>
  </si>
  <si>
    <t>204:154421</t>
  </si>
  <si>
    <t>204:750</t>
  </si>
  <si>
    <t>204:131455</t>
  </si>
  <si>
    <t>204:233000</t>
  </si>
  <si>
    <t>204:1162</t>
  </si>
  <si>
    <t>204:232998</t>
  </si>
  <si>
    <t>204:232979</t>
  </si>
  <si>
    <t>204:233305</t>
  </si>
  <si>
    <t>204:231303</t>
  </si>
  <si>
    <t>204:233017</t>
  </si>
  <si>
    <t>204:477</t>
  </si>
  <si>
    <t>204:232965</t>
  </si>
  <si>
    <t>204:233336</t>
  </si>
  <si>
    <t>204:232994</t>
  </si>
  <si>
    <t>204:233289</t>
  </si>
  <si>
    <t>204:416</t>
  </si>
  <si>
    <t>204:233025</t>
  </si>
  <si>
    <t>204:232963</t>
  </si>
  <si>
    <t>204:1171</t>
  </si>
  <si>
    <t>204:233338</t>
  </si>
  <si>
    <t>204:176</t>
  </si>
  <si>
    <t>204:486</t>
  </si>
  <si>
    <t>204:233342</t>
  </si>
  <si>
    <t>204:233353</t>
  </si>
  <si>
    <t>204:233055</t>
  </si>
  <si>
    <t>204:233329</t>
  </si>
  <si>
    <t>204:92</t>
  </si>
  <si>
    <t>204:233318</t>
  </si>
  <si>
    <t>204:435</t>
  </si>
  <si>
    <t>204:233264</t>
  </si>
  <si>
    <t>204:232959</t>
  </si>
  <si>
    <t>204:167</t>
  </si>
  <si>
    <t>300:58928</t>
  </si>
  <si>
    <t>300:58615</t>
  </si>
  <si>
    <t>300:58931</t>
  </si>
  <si>
    <t>204:1067</t>
  </si>
  <si>
    <t>300:58922</t>
  </si>
  <si>
    <t>300:58617</t>
  </si>
  <si>
    <t>204:780</t>
  </si>
  <si>
    <t>204:1070</t>
  </si>
  <si>
    <t>300:58456</t>
  </si>
  <si>
    <t>204:1049</t>
  </si>
  <si>
    <t>300:58624</t>
  </si>
  <si>
    <t>204:1041</t>
  </si>
  <si>
    <t>300:58632</t>
  </si>
  <si>
    <t>204:768</t>
  </si>
  <si>
    <t>300:58929</t>
  </si>
  <si>
    <t>300:58609</t>
  </si>
  <si>
    <t>204:1055</t>
  </si>
  <si>
    <t>300:58956</t>
  </si>
  <si>
    <t>300:58647</t>
  </si>
  <si>
    <t>300:58653</t>
  </si>
  <si>
    <t>204:677</t>
  </si>
  <si>
    <t>204:958</t>
  </si>
  <si>
    <t>300:58975</t>
  </si>
  <si>
    <t>300:58664</t>
  </si>
  <si>
    <t>204:1007</t>
  </si>
  <si>
    <t>300:58678</t>
  </si>
  <si>
    <t>204:946</t>
  </si>
  <si>
    <t>300:58608</t>
  </si>
  <si>
    <t>204:747</t>
  </si>
  <si>
    <t>204:1044</t>
  </si>
  <si>
    <t>300:58965</t>
  </si>
  <si>
    <t>300:58642</t>
  </si>
  <si>
    <t>204:671</t>
  </si>
  <si>
    <t>204:965</t>
  </si>
  <si>
    <t>300:58984</t>
  </si>
  <si>
    <t>204:233322</t>
  </si>
  <si>
    <t>300:58676</t>
  </si>
  <si>
    <t>204:649</t>
  </si>
  <si>
    <t>204:939</t>
  </si>
  <si>
    <t>204:631</t>
  </si>
  <si>
    <t>204:937</t>
  </si>
  <si>
    <t>204:233349</t>
  </si>
  <si>
    <t>204:233038</t>
  </si>
  <si>
    <t>204:233060</t>
  </si>
  <si>
    <t>204:300</t>
  </si>
  <si>
    <t>300:29769</t>
  </si>
  <si>
    <t>300:58668</t>
  </si>
  <si>
    <t>300:21473</t>
  </si>
  <si>
    <t>204:223</t>
  </si>
  <si>
    <t>204:233341</t>
  </si>
  <si>
    <t>204:233015</t>
  </si>
  <si>
    <t>204:619</t>
  </si>
  <si>
    <t>204:233011</t>
  </si>
  <si>
    <t>204:233270</t>
  </si>
  <si>
    <t>204:140</t>
  </si>
  <si>
    <t>204:549</t>
  </si>
  <si>
    <t>204:478</t>
  </si>
  <si>
    <t>204:119</t>
  </si>
  <si>
    <t>204:233323</t>
  </si>
  <si>
    <t>204:233013</t>
  </si>
  <si>
    <t>204:233257</t>
  </si>
  <si>
    <t>204:232970</t>
  </si>
  <si>
    <t>204:406</t>
  </si>
  <si>
    <t>204:233308</t>
  </si>
  <si>
    <t>300:23129</t>
  </si>
  <si>
    <t>300:23314</t>
  </si>
  <si>
    <t>300:22333</t>
  </si>
  <si>
    <t>204:76</t>
  </si>
  <si>
    <t>300:23306</t>
  </si>
  <si>
    <t>300:23343</t>
  </si>
  <si>
    <t>300:23313</t>
  </si>
  <si>
    <t>300:22837</t>
  </si>
  <si>
    <t>300:23548</t>
  </si>
  <si>
    <t>315-13</t>
  </si>
  <si>
    <t>204:1490</t>
  </si>
  <si>
    <t>300:21950</t>
  </si>
  <si>
    <t>300:23517</t>
  </si>
  <si>
    <t>204:928</t>
  </si>
  <si>
    <t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t>
  </si>
  <si>
    <t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t>
  </si>
  <si>
    <t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t>
  </si>
  <si>
    <t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t>
  </si>
  <si>
    <t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t>
  </si>
  <si>
    <t>aws s3 cp s3://rtdc.mdm.uploadarchive.raw/RTDC4002/ "%USERPROFILE%\AppData\Local\Temp\OnboardLogs"\RTDC4002\2016-11-13 --exclude "*" --recursive --include "*20161113*" &amp; "%USERPROFILE%\Documents\GitHub\mrs-test-scripts\Headless Mode &amp; Sideloading\WalkAndUnGZ.bat" "%USERPROFILE%\AppData\Local\Temp\OnboardLogs"\RTDC4002\2016-11-13 &amp; aws s3 cp s3://rtdc.mdm.uploadarchive.raw/RTDC4002/ "%USERPROFILE%\AppData\Local\Temp\OnboardLogs"\RTDC4002\2016-11-14 --exclude "*" --recursive --include "*20161114*" &amp; "%USERPROFILE%\Documents\GitHub\mrs-test-scripts\Headless Mode &amp; Sideloading\WalkAndUnGZ.bat" "%USERPROFILE%\AppData\Local\Temp\OnboardLogs"\RTDC4002\2016-11-14</t>
  </si>
  <si>
    <t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t>
  </si>
  <si>
    <t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t>
  </si>
  <si>
    <t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t>
  </si>
  <si>
    <t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t>
  </si>
  <si>
    <t>EC1332RH 127-1T 1N stuck at STOP &amp; PROCEED</t>
  </si>
  <si>
    <t>From approx 04:46 - 06:37 (and likely til later), EC1332RH 127-1T 1N was showing STOP &amp; PROCEED. This didn't seem normal, was there a relation to a XING being disabled or something else out of place?</t>
  </si>
  <si>
    <t>Early arrival</t>
  </si>
  <si>
    <t>40th 4S STOP</t>
  </si>
  <si>
    <t>Overspeed</t>
  </si>
  <si>
    <t>http://stevetu21.github.io/eaglep3/load_kml.html?kml=http://rtdc.gmaps-snips.s3.amazonaws.com/9d3797f9-19b6-4709-9a64-484c0213b2f1.kml</t>
  </si>
  <si>
    <t>Wi-MAX data drop</t>
  </si>
  <si>
    <t>http://stevetu21.github.io/eaglep3/load_kml.html?kml=http://rtdc.gmaps-snips.s3.amazonaws.com/7d234e66-bd23-4b5e-993f-6fae7e41f780.kml</t>
  </si>
  <si>
    <t>Went active too close to switch</t>
  </si>
  <si>
    <t>Slice 2 commanded braking, but other 2 slices did not</t>
  </si>
  <si>
    <t>See title</t>
  </si>
  <si>
    <t>CLI Grep2 (for slice disagreement)</t>
  </si>
  <si>
    <t>Banner without braking</t>
  </si>
  <si>
    <t>Slice 1 commanded braking, other 2 did not</t>
  </si>
  <si>
    <t>Slice 2 commanded braking, other 2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</si>
</sst>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7d234e66-bd23-4b5e-993f-6fae7e41f780.kml" TargetMode="External"/><Relationship Id="rId1" Type="http://schemas.openxmlformats.org/officeDocument/2006/relationships/hyperlink" Target="http://stevetu21.github.io/eaglep3/load_kml.html?kml=http://rtdc.gmaps-snips.s3.amazonaws.com/9d3797f9-19b6-4709-9a64-484c0213b2f1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42687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42687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COUNTIFS($N$13:$N$9392,"&gt;0",$AG$13:$AG$9392,I1)</f>
        <v>138</v>
      </c>
      <c r="K5" s="44"/>
      <c r="L5" s="44"/>
      <c r="M5" s="45">
        <f>AVERAGEIFS($N$13:$N$9392,$AG$13:$AG$9392,I1)</f>
        <v>37.813164250616431</v>
      </c>
      <c r="N5" s="43">
        <f t="array" ref="N5">MIN(IF($AG$13:$AG$9392=I1,IF(ISNUMBER($N$13:$N$9392),IF($N$13:$N$9392&gt;0,$N$13:$N$9392))))</f>
        <v>34.516666667768732</v>
      </c>
      <c r="O5" s="3">
        <f t="array" ref="O5">MAX(IF($AG$13:$AG$9392=I1,IF(ISNUMBER($N$13:$N$9392),IF($N$13:$N$9392&gt;0,$N$13:$N$9392))))</f>
        <v>48.483333340846002</v>
      </c>
      <c r="P5" s="2"/>
      <c r="R5" s="80" t="s">
        <v>17</v>
      </c>
      <c r="S5" s="55">
        <f>COUNTIFS($N$13:$N$9392,"&gt;0",$AG$13:$AG$9392,R1)</f>
        <v>34</v>
      </c>
      <c r="T5" s="44"/>
      <c r="U5" s="169"/>
      <c r="V5" s="45">
        <f>AVERAGEIFS($N$13:$N$9392,$AG$13:$AG$9392,R1)</f>
        <v>15.170588235007873</v>
      </c>
      <c r="W5" s="43">
        <f t="array" ref="W5">MIN(IF($AG$13:$AG$9392=R1,IF(ISNUMBER($N$13:$N$9392),IF($N$13:$N$9392&gt;0,$N$13:$N$9392))))</f>
        <v>12.983333340380341</v>
      </c>
      <c r="X5" s="173">
        <f t="array" ref="X5">MAX(IF($AG$13:$AG$9392=R1,IF(ISNUMBER($N$13:$N$9392),IF($N$13:$N$9392&gt;0,$N$13:$N$9392))))</f>
        <v>24.250000000465661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COUNT($O$13:$O$164)</f>
        <v>0</v>
      </c>
      <c r="K6" s="44"/>
      <c r="L6" s="44"/>
      <c r="M6" s="45">
        <f>IFERROR(AVERAGE($O$13:$O$164),0)</f>
        <v>0</v>
      </c>
      <c r="N6" s="43">
        <f>MIN($O$13:$O$164)</f>
        <v>0</v>
      </c>
      <c r="O6" s="3">
        <f>MAX($O$13:$O$164)</f>
        <v>0</v>
      </c>
      <c r="P6" s="2"/>
      <c r="R6" s="81" t="s">
        <v>43</v>
      </c>
      <c r="S6" s="55">
        <f>COUNT($O$13:$O$164)</f>
        <v>0</v>
      </c>
      <c r="T6" s="44"/>
      <c r="U6" s="169"/>
      <c r="V6" s="45">
        <f>IFERROR(AVERAGE($O$13:$O$164),0)</f>
        <v>0</v>
      </c>
      <c r="W6" s="43">
        <f>MIN($O$13:$O$164)</f>
        <v>0</v>
      </c>
      <c r="X6" s="173">
        <f>MAX($O$13:$O$164)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COUNTIFS($P$13:$P$9392,"&gt;0",$AG$13:$AG$9392,I1)</f>
        <v>6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COUNTIFS($P$13:$P$9392,"&gt;0",$AG$13:$AG$9392,R1)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138</v>
      </c>
      <c r="K8" s="44"/>
      <c r="L8" s="44"/>
      <c r="M8" s="45">
        <f>M5</f>
        <v>37.813164250616431</v>
      </c>
      <c r="N8" s="43">
        <f>N5</f>
        <v>34.516666667768732</v>
      </c>
      <c r="O8" s="3">
        <f>O5</f>
        <v>48.483333340846002</v>
      </c>
      <c r="P8" s="2"/>
      <c r="R8" s="80" t="s">
        <v>16</v>
      </c>
      <c r="S8" s="55">
        <f>S5</f>
        <v>34</v>
      </c>
      <c r="T8" s="44"/>
      <c r="U8" s="169"/>
      <c r="V8" s="45">
        <f>V5</f>
        <v>15.170588235007873</v>
      </c>
      <c r="W8" s="43">
        <f>W5</f>
        <v>12.983333340380341</v>
      </c>
      <c r="X8" s="173">
        <f>X5</f>
        <v>24.250000000465661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0.95833333333333337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- 2016-11-13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AVERAGE(S13:S110)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468</v>
      </c>
      <c r="B13" s="7">
        <v>4031</v>
      </c>
      <c r="C13" s="22" t="s">
        <v>225</v>
      </c>
      <c r="D13" s="22" t="s">
        <v>648</v>
      </c>
      <c r="E13" s="13">
        <v>42687.129421296297</v>
      </c>
      <c r="F13" s="13">
        <v>42687.135613425926</v>
      </c>
      <c r="G13" s="7">
        <v>1</v>
      </c>
      <c r="H13" s="22" t="s">
        <v>649</v>
      </c>
      <c r="I13" s="13">
        <v>42687.16033564815</v>
      </c>
      <c r="J13" s="7">
        <v>0</v>
      </c>
      <c r="K13" s="109" t="str">
        <f t="shared" ref="K13:K76" si="0">IF(ISEVEN(B13),(B13-1)&amp;"/"&amp;B13,B13&amp;"/"&amp;(B13+1))</f>
        <v>4031/4032</v>
      </c>
      <c r="L13" s="22" t="str">
        <f>VLOOKUP(A13,'Trips&amp;Operators'!$C$1:$E$10000,3,FALSE)</f>
        <v>KILLION</v>
      </c>
      <c r="M13" s="6">
        <f t="shared" ref="M13:M76" si="1">I13-F13</f>
        <v>2.4722222224227153E-2</v>
      </c>
      <c r="N13" s="7">
        <f t="shared" ref="N13:N76" si="2">24*60*SUM($M13:$M13)</f>
        <v>35.6000000028871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https://search-rtdc-monitor-bjffxe2xuh6vdkpspy63sjmuny.us-east-1.es.amazonaws.com/_plugin/kibana/#/discover/Steve-Slow-Train-Analysis-(2080s-and-2083s)?_g=(refreshInterval:(display:Off,section:0,value:0),time:(from:'2016-11-13 02:06:22-700',mode:absolute,to:'2016-11-13 04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7.7899999999999997E-2</v>
      </c>
      <c r="Z13" s="67">
        <f t="shared" ref="Z13:Z76" si="9">RIGHT(H13,LEN(H13)-4)/10000</f>
        <v>23.328399999999998</v>
      </c>
      <c r="AA13" s="67">
        <f t="shared" ref="AA13:AA76" si="10">ABS(Z13-Y13)</f>
        <v>23.250499999999999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0101-13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/stypes="app*4031*20161113*" /stext=" 10:.+((SYSTEM_STATE.+slice.+state.+changed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4031 --swversion DE.1.0.8.0 --startMP 204:779 --initTime 2016-11-13T03:06:22 --startdatetime 2016-11-13T03:15:17 --delay 1 --endMP 204:233284 --enddatetime 2016-11-13T03:50:53 --enforcementcount 0 &gt;&gt;C:\Users\stu\Documents\GitHub\eaglep3-reporting\EC\2016-11-13-refined-times.txt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{"issue":{"subject":"","project_id":79,"tracker_id":40,"status_id":1,"priority_id":2,"assigned_to_id":23,"start_date":"2016-11-13","description":"","custom_fields":[{"id":1,"name":"Subdivision","value":"EC"},{"id":4,"name":"Milepost","value":"23.3284"},{"id":17,"name":"Train ID","value":"101-13"},{"id":16,"name":"Locomotive ID","value":"4031"},{"id":130,"name":"Impact","value":""},{"id":150,"name":"Time of Event (Mountain Time)","value":"03:50:53"},{"id":151,"name":"Denver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440</v>
      </c>
      <c r="B14" s="7">
        <v>4008</v>
      </c>
      <c r="C14" s="22" t="s">
        <v>225</v>
      </c>
      <c r="D14" s="22" t="s">
        <v>650</v>
      </c>
      <c r="E14" s="13">
        <v>42687.173136574071</v>
      </c>
      <c r="F14" s="13">
        <v>42687.174560185187</v>
      </c>
      <c r="G14" s="7">
        <v>1</v>
      </c>
      <c r="H14" s="22" t="s">
        <v>334</v>
      </c>
      <c r="I14" s="13">
        <v>42687.20103009259</v>
      </c>
      <c r="J14" s="7">
        <v>0</v>
      </c>
      <c r="K14" s="109" t="str">
        <f t="shared" si="0"/>
        <v>4007/4008</v>
      </c>
      <c r="L14" s="22" t="str">
        <f>VLOOKUP(A14,'Trips&amp;Operators'!$C$1:$E$10000,3,FALSE)</f>
        <v>KILLION</v>
      </c>
      <c r="M14" s="6">
        <f t="shared" si="1"/>
        <v>2.6469907403225079E-2</v>
      </c>
      <c r="N14" s="7">
        <f t="shared" si="2"/>
        <v>38.116666660644114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03:09:19-700',mode:absolute,to:'2016-11-13 05:49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23.264399999999998</v>
      </c>
      <c r="Z14" s="67">
        <f t="shared" si="9"/>
        <v>1.41E-2</v>
      </c>
      <c r="AA14" s="67">
        <f t="shared" si="10"/>
        <v>23.250299999999999</v>
      </c>
      <c r="AB14" s="64" t="str">
        <f>VLOOKUP(A14,Enforcements!$C$7:$K$20,8,0)</f>
        <v>Form based authority (4)</v>
      </c>
      <c r="AC14" s="60" t="str">
        <f>VLOOKUP(A14,Enforcements!$C$7:$E$20,3,0)</f>
        <v>TRACK WARRANT AUTHORITY</v>
      </c>
      <c r="AD14" s="61" t="str">
        <f t="shared" si="11"/>
        <v>0102-13</v>
      </c>
      <c r="AE14" s="91" t="str">
        <f t="shared" si="12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14" s="88" t="str">
        <f t="shared" si="13"/>
        <v>"C:\Program Files (x86)\AstroGrep\AstroGrep.exe" /spath="%USERPROFILE%\AppData\Local\Temp\OnboardLogs" /stypes="app*4008*20161113*"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4008 --swversion DE.1.0.8.0 --startMP 204:232644 --initTime 2016-11-13T04:09:19 --startdatetime 2016-11-13T04:11:22 --delay 1 --endMP 204:141 --enddatetime 2016-11-13T04:49:29 --enforcementcount 0 &gt;&gt;C:\Users\stu\Documents\GitHub\eaglep3-reporting\EC\2016-11-13-refined-times.txt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{"issue":{"subject":"","project_id":79,"tracker_id":40,"status_id":1,"priority_id":2,"assigned_to_id":23,"start_date":"2016-11-13","description":"","custom_fields":[{"id":1,"name":"Subdivision","value":"EC"},{"id":4,"name":"Milepost","value":"0.0141"},{"id":17,"name":"Train ID","value":"102-13"},{"id":16,"name":"Locomotive ID","value":"4008"},{"id":130,"name":"Impact","value":""},{"id":150,"name":"Time of Event (Mountain Time)","value":"04:49:29"},{"id":151,"name":"Denver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470</v>
      </c>
      <c r="B15" s="7">
        <v>4022</v>
      </c>
      <c r="C15" s="22" t="s">
        <v>225</v>
      </c>
      <c r="D15" s="22" t="s">
        <v>651</v>
      </c>
      <c r="E15" s="13">
        <v>42687.151875000003</v>
      </c>
      <c r="F15" s="13">
        <v>42687.156458333331</v>
      </c>
      <c r="G15" s="7">
        <v>1</v>
      </c>
      <c r="H15" s="22" t="s">
        <v>652</v>
      </c>
      <c r="I15" s="13">
        <v>42687.181284722225</v>
      </c>
      <c r="J15" s="7">
        <v>0</v>
      </c>
      <c r="K15" s="109" t="str">
        <f t="shared" si="0"/>
        <v>4021/4022</v>
      </c>
      <c r="L15" s="22" t="str">
        <f>VLOOKUP(A15,'Trips&amp;Operators'!$C$1:$E$10000,3,FALSE)</f>
        <v>ACKERMAN</v>
      </c>
      <c r="M15" s="6">
        <f t="shared" si="1"/>
        <v>2.4826388893416151E-2</v>
      </c>
      <c r="N15" s="7">
        <f t="shared" si="2"/>
        <v>35.750000006519258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02:38:42-700',mode:absolute,to:'2016-11-13 05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7.0800000000000002E-2</v>
      </c>
      <c r="Z15" s="67">
        <f t="shared" si="9"/>
        <v>23.340599999999998</v>
      </c>
      <c r="AA15" s="67">
        <f t="shared" si="10"/>
        <v>23.2698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0103-13</v>
      </c>
      <c r="AE15" s="91" t="str">
        <f t="shared" si="12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15" s="88" t="str">
        <f t="shared" si="13"/>
        <v>"C:\Program Files (x86)\AstroGrep\AstroGrep.exe" /spath="%USERPROFILE%\AppData\Local\Temp\OnboardLogs" /stypes="app*4022*20161113*"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103-13 --locoid 4022 --swversion DE.1.0.8.0 --startMP 204:708 --initTime 2016-11-13T03:38:42 --startdatetime 2016-11-13T03:45:18 --delay 1 --endMP 204:233406 --enddatetime 2016-11-13T04:21:03 --enforcementcount 0 &gt;&gt;C:\Users\stu\Documents\GitHub\eaglep3-reporting\EC\2016-11-13-refined-times.txt</v>
      </c>
      <c r="AI15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{"issue":{"subject":"","project_id":79,"tracker_id":40,"status_id":1,"priority_id":2,"assigned_to_id":23,"start_date":"2016-11-13","description":"","custom_fields":[{"id":1,"name":"Subdivision","value":"EC"},{"id":4,"name":"Milepost","value":"23.3406"},{"id":17,"name":"Train ID","value":"103-13"},{"id":16,"name":"Locomotive ID","value":"4022"},{"id":130,"name":"Impact","value":""},{"id":150,"name":"Time of Event (Mountain Time)","value":"04:21:03"},{"id":151,"name":"Denver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476</v>
      </c>
      <c r="B16" s="7">
        <v>4001</v>
      </c>
      <c r="C16" s="22" t="s">
        <v>225</v>
      </c>
      <c r="D16" s="22" t="s">
        <v>653</v>
      </c>
      <c r="E16" s="13">
        <v>42687.188483796293</v>
      </c>
      <c r="F16" s="13">
        <v>42687.195393518516</v>
      </c>
      <c r="G16" s="7">
        <v>1</v>
      </c>
      <c r="H16" s="22" t="s">
        <v>365</v>
      </c>
      <c r="I16" s="13">
        <v>42687.225636574076</v>
      </c>
      <c r="J16" s="7">
        <v>0</v>
      </c>
      <c r="K16" s="109" t="str">
        <f t="shared" si="0"/>
        <v>4001/4002</v>
      </c>
      <c r="L16" s="22" t="str">
        <f>VLOOKUP(A16,'Trips&amp;Operators'!$C$1:$E$10000,3,FALSE)</f>
        <v>ACKERMAN</v>
      </c>
      <c r="M16" s="6">
        <f t="shared" si="1"/>
        <v>3.0243055560276844E-2</v>
      </c>
      <c r="N16" s="7">
        <f t="shared" si="2"/>
        <v>43.550000006798655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03:31:25-700',mode:absolute,to:'2016-11-13 06:24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23.273199999999999</v>
      </c>
      <c r="Z16" s="67">
        <f t="shared" si="9"/>
        <v>1.6299999999999999E-2</v>
      </c>
      <c r="AA16" s="67">
        <f t="shared" si="10"/>
        <v>23.256899999999998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0104-13</v>
      </c>
      <c r="AE16" s="91" t="str">
        <f t="shared" si="12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16" s="88" t="str">
        <f t="shared" si="13"/>
        <v>"C:\Program Files (x86)\AstroGrep\AstroGrep.exe" /spath="%USERPROFILE%\AppData\Local\Temp\OnboardLogs" /stypes="app*4001*20161113*"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104-13 --locoid 4001 --swversion DE.1.0.8.0 --startMP 204:232732 --initTime 2016-11-13T04:31:25 --startdatetime 2016-11-13T04:41:22 --delay 1 --endMP 204:163 --enddatetime 2016-11-13T05:24:55 --enforcementcount 0 &gt;&gt;C:\Users\stu\Documents\GitHub\eaglep3-reporting\EC\2016-11-13-refined-times.txt</v>
      </c>
      <c r="AI16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{"issue":{"subject":"","project_id":79,"tracker_id":40,"status_id":1,"priority_id":2,"assigned_to_id":23,"start_date":"2016-11-13","description":"","custom_fields":[{"id":1,"name":"Subdivision","value":"EC"},{"id":4,"name":"Milepost","value":"0.0163"},{"id":17,"name":"Train ID","value":"104-13"},{"id":16,"name":"Locomotive ID","value":"4001"},{"id":130,"name":"Impact","value":""},{"id":150,"name":"Time of Event (Mountain Time)","value":"05:24:55"},{"id":151,"name":"Denver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472</v>
      </c>
      <c r="B17" s="7">
        <v>4014</v>
      </c>
      <c r="C17" s="22" t="s">
        <v>225</v>
      </c>
      <c r="D17" s="22" t="s">
        <v>654</v>
      </c>
      <c r="E17" s="13">
        <v>42687.173321759263</v>
      </c>
      <c r="F17" s="13">
        <v>42687.177395833336</v>
      </c>
      <c r="G17" s="7">
        <v>1</v>
      </c>
      <c r="H17" s="22" t="s">
        <v>393</v>
      </c>
      <c r="I17" s="13">
        <v>42687.203692129631</v>
      </c>
      <c r="J17" s="7">
        <v>0</v>
      </c>
      <c r="K17" s="109" t="str">
        <f t="shared" si="0"/>
        <v>4013/4014</v>
      </c>
      <c r="L17" s="22" t="str">
        <f>VLOOKUP(A17,'Trips&amp;Operators'!$C$1:$E$10000,3,FALSE)</f>
        <v>OUN</v>
      </c>
      <c r="M17" s="6">
        <f t="shared" si="1"/>
        <v>2.6296296295186039E-2</v>
      </c>
      <c r="N17" s="7">
        <f t="shared" si="2"/>
        <v>37.866666665067896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03:09:35-700',mode:absolute,to:'2016-11-13 05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7.9200000000000007E-2</v>
      </c>
      <c r="Z17" s="67">
        <f t="shared" si="9"/>
        <v>23.330100000000002</v>
      </c>
      <c r="AA17" s="67">
        <f t="shared" si="10"/>
        <v>23.250900000000001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0105-13</v>
      </c>
      <c r="AE17" s="91" t="str">
        <f t="shared" si="12"/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AF17" s="88" t="str">
        <f t="shared" si="13"/>
        <v>"C:\Program Files (x86)\AstroGrep\AstroGrep.exe" /spath="%USERPROFILE%\AppData\Local\Temp\OnboardLogs" /stypes="app*4014*20161113*"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105-13 --locoid 4014 --swversion DE.1.0.8.0 --startMP 204:792 --initTime 2016-11-13T04:09:35 --startdatetime 2016-11-13T04:15:27 --delay 1 --endMP 204:233301 --enddatetime 2016-11-13T04:53:19 --enforcementcount 0 &gt;&gt;C:\Users\stu\Documents\GitHub\eaglep3-reporting\EC\2016-11-13-refined-times.txt</v>
      </c>
      <c r="AI17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{"issue":{"subject":"","project_id":79,"tracker_id":40,"status_id":1,"priority_id":2,"assigned_to_id":23,"start_date":"2016-11-13","description":"","custom_fields":[{"id":1,"name":"Subdivision","value":"EC"},{"id":4,"name":"Milepost","value":"23.3301"},{"id":17,"name":"Train ID","value":"105-13"},{"id":16,"name":"Locomotive ID","value":"4014"},{"id":130,"name":"Impact","value":""},{"id":150,"name":"Time of Event (Mountain Time)","value":"04:53:19"},{"id":151,"name":"Denver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441</v>
      </c>
      <c r="B18" s="7">
        <v>4015</v>
      </c>
      <c r="C18" s="22" t="s">
        <v>225</v>
      </c>
      <c r="D18" s="22" t="s">
        <v>655</v>
      </c>
      <c r="E18" s="13">
        <v>42687.210879629631</v>
      </c>
      <c r="F18" s="13">
        <v>42687.216261574074</v>
      </c>
      <c r="G18" s="7">
        <v>1</v>
      </c>
      <c r="H18" s="22" t="s">
        <v>369</v>
      </c>
      <c r="I18" s="13">
        <v>42687.243819444448</v>
      </c>
      <c r="J18" s="7">
        <v>0</v>
      </c>
      <c r="K18" s="109" t="str">
        <f t="shared" si="0"/>
        <v>4015/4016</v>
      </c>
      <c r="L18" s="22" t="str">
        <f>VLOOKUP(A18,'Trips&amp;Operators'!$C$1:$E$10000,3,FALSE)</f>
        <v>OUN</v>
      </c>
      <c r="M18" s="6">
        <f t="shared" si="1"/>
        <v>2.7557870373129845E-2</v>
      </c>
      <c r="N18" s="7">
        <f t="shared" si="2"/>
        <v>39.683333337306976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04:03:40-700',mode:absolute,to:'2016-11-13 06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23.267099999999999</v>
      </c>
      <c r="Z18" s="67">
        <f t="shared" si="9"/>
        <v>1.29E-2</v>
      </c>
      <c r="AA18" s="67">
        <f t="shared" si="10"/>
        <v>23.254200000000001</v>
      </c>
      <c r="AB18" s="64" t="str">
        <f>VLOOKUP(A18,Enforcements!$C$7:$K$20,8,0)</f>
        <v>Form based authority (4)</v>
      </c>
      <c r="AC18" s="60" t="str">
        <f>VLOOKUP(A18,Enforcements!$C$7:$E$20,3,0)</f>
        <v>TRACK WARRANT AUTHORITY</v>
      </c>
      <c r="AD18" s="61" t="str">
        <f t="shared" si="11"/>
        <v>0106-13</v>
      </c>
      <c r="AE18" s="91" t="str">
        <f t="shared" si="12"/>
        <v>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 &amp; 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</v>
      </c>
      <c r="AF18" s="88" t="str">
        <f t="shared" si="13"/>
        <v>"C:\Program Files (x86)\AstroGrep\AstroGrep.exe" /spath="%USERPROFILE%\AppData\Local\Temp\OnboardLogs" /stypes="app*4015*20161113*"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106-13 --locoid 4015 --swversion DE.1.0.8.0 --startMP 204:232671 --initTime 2016-11-13T05:03:40 --startdatetime 2016-11-13T05:11:25 --delay 1 --endMP 204:129 --enddatetime 2016-11-13T05:51:06 --enforcementcount 0 &gt;&gt;C:\Users\stu\Documents\GitHub\eaglep3-reporting\EC\2016-11-13-refined-times.txt</v>
      </c>
      <c r="AI18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{"issue":{"subject":"","project_id":79,"tracker_id":40,"status_id":1,"priority_id":2,"assigned_to_id":23,"start_date":"2016-11-13","description":"","custom_fields":[{"id":1,"name":"Subdivision","value":"EC"},{"id":4,"name":"Milepost","value":"0.0129"},{"id":17,"name":"Train ID","value":"106-13"},{"id":16,"name":"Locomotive ID","value":"4015"},{"id":130,"name":"Impact","value":""},{"id":150,"name":"Time of Event (Mountain Time)","value":"05:51:06"},{"id":151,"name":"Denver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475</v>
      </c>
      <c r="B19" s="7">
        <v>4044</v>
      </c>
      <c r="C19" s="22" t="s">
        <v>225</v>
      </c>
      <c r="D19" s="22" t="s">
        <v>656</v>
      </c>
      <c r="E19" s="13">
        <v>42687.214444444442</v>
      </c>
      <c r="F19" s="13">
        <v>42687.215127314812</v>
      </c>
      <c r="G19" s="7">
        <v>0</v>
      </c>
      <c r="H19" s="22" t="s">
        <v>328</v>
      </c>
      <c r="I19" s="13">
        <v>42687.222349537034</v>
      </c>
      <c r="J19" s="7">
        <v>0</v>
      </c>
      <c r="K19" s="109" t="str">
        <f t="shared" si="0"/>
        <v>4043/4044</v>
      </c>
      <c r="L19" s="22" t="str">
        <f>VLOOKUP(A19,'Trips&amp;Operators'!$C$1:$E$10000,3,FALSE)</f>
        <v>DAVIS</v>
      </c>
      <c r="M19" s="6">
        <f t="shared" si="1"/>
        <v>7.2222222224809229E-3</v>
      </c>
      <c r="N19" s="7"/>
      <c r="O19" s="7"/>
      <c r="P19" s="7">
        <f>24*60*SUM($M19:$M20)</f>
        <v>48.349999997299165</v>
      </c>
      <c r="Q19" s="23"/>
      <c r="R19" s="23" t="s">
        <v>790</v>
      </c>
      <c r="S19" s="35">
        <f>SUM(U19:U20)/IF(AG19="EC",12,1)</f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04:08:48-700',mode:absolute,to:'2016-11-13 06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" s="52" t="str">
        <f t="shared" si="6"/>
        <v>Y</v>
      </c>
      <c r="X19" s="177">
        <f t="shared" si="7"/>
        <v>1</v>
      </c>
      <c r="Y19" s="67">
        <f t="shared" si="8"/>
        <v>15.442600000000001</v>
      </c>
      <c r="Z19" s="67">
        <f t="shared" si="9"/>
        <v>23.33</v>
      </c>
      <c r="AA19" s="67">
        <f t="shared" si="10"/>
        <v>7.8873999999999977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0107-13</v>
      </c>
      <c r="AE19" s="91" t="str">
        <f t="shared" si="12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19" s="88" t="str">
        <f t="shared" si="13"/>
        <v>"C:\Program Files (x86)\AstroGrep\AstroGrep.exe" /spath="%USERPROFILE%\AppData\Local\Temp\OnboardLogs" /stypes="app*4044*20161113*"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107-13 --locoid 4044 --swversion DE.1.0.8.0 --startMP 204:154426 --initTime 2016-11-13T05:08:48 --startdatetime 2016-11-13T05:09:47 --delay 0 --endMP 204:233300 --enddatetime 2016-11-13T05:20:11 --enforcementcount 0 &gt;&gt;C:\Users\stu\Documents\GitHub\eaglep3-reporting\EC\2016-11-13-refined-times.txt</v>
      </c>
      <c r="AI19" s="119" t="str">
        <f t="shared" si="18"/>
        <v>echo {"issue":{"subject":"EC1332RH 127-1T 1N stuck at STOP &amp; PROCEED","project_id":79,"tracker_id":40,"status_id":1,"priority_id":2,"assigned_to_id":23,"start_date":"2016-11-13","description":"From approx 04:46 - 06:37 (and likely til later), EC1332RH 127-1T 1N was showing STOP &amp; PROCEED. This didn't seem normal, was there a relation to a XING being disabled or something else out of place?","custom_fields":[{"id":1,"name":"Subdivision","value":"EC"},{"id":4,"name":"Milepost","value":"23.33"},{"id":17,"name":"Train ID","value":"107-13"},{"id":16,"name":"Locomotive ID","value":"4044"},{"id":130,"name":"Impact","value":"Unexpected Cut-Out or Disengaged"},{"id":150,"name":"Time of Event (Mountain Time)","value":"05:20:11"},{"id":151,"name":"Denver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9" s="53" t="s">
        <v>791</v>
      </c>
      <c r="AK19" s="53" t="s">
        <v>131</v>
      </c>
      <c r="AL19" s="53" t="s">
        <v>130</v>
      </c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475</v>
      </c>
      <c r="B20" s="7">
        <v>4044</v>
      </c>
      <c r="C20" s="22" t="s">
        <v>225</v>
      </c>
      <c r="D20" s="22" t="s">
        <v>205</v>
      </c>
      <c r="E20" s="13">
        <v>42687.182581018518</v>
      </c>
      <c r="F20" s="13">
        <v>42687.183576388888</v>
      </c>
      <c r="G20" s="7">
        <v>1</v>
      </c>
      <c r="H20" s="22" t="s">
        <v>657</v>
      </c>
      <c r="I20" s="13">
        <v>42687.209930555553</v>
      </c>
      <c r="J20" s="7">
        <v>0</v>
      </c>
      <c r="K20" s="109" t="str">
        <f t="shared" si="0"/>
        <v>4043/4044</v>
      </c>
      <c r="L20" s="22" t="str">
        <f>VLOOKUP(A20,'Trips&amp;Operators'!$C$1:$E$10000,3,FALSE)</f>
        <v>DAVIS</v>
      </c>
      <c r="M20" s="6">
        <f t="shared" si="1"/>
        <v>2.6354166664532386E-2</v>
      </c>
      <c r="N20" s="7"/>
      <c r="O20" s="7"/>
      <c r="P20" s="7"/>
      <c r="Q20" s="23"/>
      <c r="R20" s="23"/>
      <c r="S20" s="35"/>
      <c r="T20" s="50" t="str">
        <f t="shared" si="4"/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03:22:55-700',mode:absolute,to:'2016-11-13 06:02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" s="52" t="str">
        <f t="shared" si="6"/>
        <v>Y</v>
      </c>
      <c r="X20" s="177">
        <f t="shared" si="7"/>
        <v>0</v>
      </c>
      <c r="Y20" s="67">
        <f t="shared" si="8"/>
        <v>4.5100000000000001E-2</v>
      </c>
      <c r="Z20" s="67">
        <f t="shared" si="9"/>
        <v>13.267300000000001</v>
      </c>
      <c r="AA20" s="67">
        <f t="shared" si="10"/>
        <v>13.222200000000001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0107-13</v>
      </c>
      <c r="AE20" s="91" t="str">
        <f t="shared" si="12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20" s="88" t="str">
        <f t="shared" si="13"/>
        <v>"C:\Program Files (x86)\AstroGrep\AstroGrep.exe" /spath="%USERPROFILE%\AppData\Local\Temp\OnboardLogs" /stypes="app*4044*20161113*"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107-13 --locoid 4044 --swversion DE.1.0.8.0 --startMP 204:451 --initTime 2016-11-13T04:22:55 --startdatetime 2016-11-13T04:24:21 --delay 1 --endMP 204:132673 --enddatetime 2016-11-13T05:02:18 --enforcementcount 0 &gt;&gt;C:\Users\stu\Documents\GitHub\eaglep3-reporting\EC\2016-11-13-refined-times.txt</v>
      </c>
      <c r="AI20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{"issue":{"subject":"","project_id":79,"tracker_id":40,"status_id":1,"priority_id":2,"assigned_to_id":23,"start_date":"2016-11-13","description":"","custom_fields":[{"id":1,"name":"Subdivision","value":"EC"},{"id":4,"name":"Milepost","value":"13.2673"},{"id":17,"name":"Train ID","value":"107-13"},{"id":16,"name":"Locomotive ID","value":"4044"},{"id":130,"name":"Impact","value":""},{"id":150,"name":"Time of Event (Mountain Time)","value":"05:02:18"},{"id":151,"name":"Denver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483</v>
      </c>
      <c r="B21" s="7">
        <v>4043</v>
      </c>
      <c r="C21" s="22" t="s">
        <v>225</v>
      </c>
      <c r="D21" s="22" t="s">
        <v>273</v>
      </c>
      <c r="E21" s="13">
        <v>42687.22384259259</v>
      </c>
      <c r="F21" s="13">
        <v>42687.226550925923</v>
      </c>
      <c r="G21" s="7">
        <v>1</v>
      </c>
      <c r="H21" s="22" t="s">
        <v>176</v>
      </c>
      <c r="I21" s="13">
        <v>42687.259675925925</v>
      </c>
      <c r="J21" s="7">
        <v>0</v>
      </c>
      <c r="K21" s="109" t="str">
        <f t="shared" si="0"/>
        <v>4043/4044</v>
      </c>
      <c r="L21" s="22" t="str">
        <f>VLOOKUP(A21,'Trips&amp;Operators'!$C$1:$E$10000,3,FALSE)</f>
        <v>DAVIS</v>
      </c>
      <c r="M21" s="6">
        <f t="shared" si="1"/>
        <v>3.312500000174623E-2</v>
      </c>
      <c r="N21" s="7">
        <f t="shared" si="2"/>
        <v>47.700000002514571</v>
      </c>
      <c r="O21" s="7"/>
      <c r="P21" s="7"/>
      <c r="Q21" s="23"/>
      <c r="R21" s="23"/>
      <c r="S21" s="35">
        <f t="shared" si="3"/>
        <v>1</v>
      </c>
      <c r="T21" s="50" t="str">
        <f t="shared" si="4"/>
        <v>Southbound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04:22:20-700',mode:absolute,to:'2016-11-13 07:13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23.298100000000002</v>
      </c>
      <c r="Z21" s="67">
        <f t="shared" si="9"/>
        <v>1.52E-2</v>
      </c>
      <c r="AA21" s="67">
        <f t="shared" si="10"/>
        <v>23.282900000000001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0108-13</v>
      </c>
      <c r="AE21" s="91" t="str">
        <f t="shared" si="12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21" s="88" t="str">
        <f t="shared" si="13"/>
        <v>"C:\Program Files (x86)\AstroGrep\AstroGrep.exe" /spath="%USERPROFILE%\AppData\Local\Temp\OnboardLogs" /stypes="app*4043*20161113*" /stext=" 13:.+((SYSTEM_STATE.+slice.+state.+changed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108-13 --locoid 4043 --swversion DE.1.0.8.0 --startMP 204:232981 --initTime 2016-11-13T05:22:20 --startdatetime 2016-11-13T05:26:14 --delay 1 --endMP 204:152 --enddatetime 2016-11-13T06:13:56 --enforcementcount 0 &gt;&gt;C:\Users\stu\Documents\GitHub\eaglep3-reporting\EC\2016-11-13-refined-times.txt</v>
      </c>
      <c r="AI21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{"issue":{"subject":"","project_id":79,"tracker_id":40,"status_id":1,"priority_id":2,"assigned_to_id":23,"start_date":"2016-11-13","description":"","custom_fields":[{"id":1,"name":"Subdivision","value":"EC"},{"id":4,"name":"Milepost","value":"0.0152"},{"id":17,"name":"Train ID","value":"108-13"},{"id":16,"name":"Locomotive ID","value":"4043"},{"id":130,"name":"Impact","value":""},{"id":150,"name":"Time of Event (Mountain Time)","value":"06:13:56"},{"id":151,"name":"Denver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477</v>
      </c>
      <c r="B22" s="7">
        <v>4029</v>
      </c>
      <c r="C22" s="22" t="s">
        <v>225</v>
      </c>
      <c r="D22" s="22" t="s">
        <v>658</v>
      </c>
      <c r="E22" s="13">
        <v>42687.228009259263</v>
      </c>
      <c r="F22" s="13">
        <v>42687.228888888887</v>
      </c>
      <c r="G22" s="7">
        <v>1</v>
      </c>
      <c r="H22" s="22" t="s">
        <v>659</v>
      </c>
      <c r="I22" s="13">
        <v>42687.236377314817</v>
      </c>
      <c r="J22" s="7">
        <v>0</v>
      </c>
      <c r="K22" s="109" t="str">
        <f t="shared" si="0"/>
        <v>4029/4030</v>
      </c>
      <c r="L22" s="22" t="str">
        <f>VLOOKUP(A22,'Trips&amp;Operators'!$C$1:$E$10000,3,FALSE)</f>
        <v>HAITHCOX</v>
      </c>
      <c r="M22" s="6">
        <f t="shared" si="1"/>
        <v>7.4884259302052669E-3</v>
      </c>
      <c r="N22" s="7"/>
      <c r="O22" s="7"/>
      <c r="P22" s="7">
        <f>24*60*SUM($M22:$M23)</f>
        <v>55.200000006007031</v>
      </c>
      <c r="Q22" s="23"/>
      <c r="R22" s="23" t="s">
        <v>790</v>
      </c>
      <c r="S22" s="35">
        <f>SUM(U22:U23)/IF(AG22="EC",12,1)</f>
        <v>1</v>
      </c>
      <c r="T22" s="50" t="str">
        <f t="shared" si="4"/>
        <v>NorthBound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04:28:20-700',mode:absolute,to:'2016-11-13 06:40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" s="52" t="str">
        <f t="shared" si="6"/>
        <v>Y</v>
      </c>
      <c r="X22" s="177">
        <f t="shared" si="7"/>
        <v>1</v>
      </c>
      <c r="Y22" s="67">
        <f t="shared" si="8"/>
        <v>15.444000000000001</v>
      </c>
      <c r="Z22" s="67">
        <f t="shared" si="9"/>
        <v>23.3307</v>
      </c>
      <c r="AA22" s="67">
        <f t="shared" si="10"/>
        <v>7.8866999999999994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0109-13</v>
      </c>
      <c r="AE22" s="91" t="str">
        <f t="shared" si="12"/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AF22" s="88" t="str">
        <f t="shared" si="13"/>
        <v>"C:\Program Files (x86)\AstroGrep\AstroGrep.exe" /spath="%USERPROFILE%\AppData\Local\Temp\OnboardLogs" /stypes="app*4029*20161113*"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109-13 --locoid 4029 --swversion DE.1.0.8.0 --startMP 204:154440 --initTime 2016-11-13T05:28:20 --startdatetime 2016-11-13T05:29:36 --delay 1 --endMP 204:233307 --enddatetime 2016-11-13T05:40:23 --enforcementcount 0 &gt;&gt;C:\Users\stu\Documents\GitHub\eaglep3-reporting\EC\2016-11-13-refined-times.txt</v>
      </c>
      <c r="AI22" s="119" t="str">
        <f t="shared" si="18"/>
        <v>echo {"issue":{"subject":"EC1332RH 127-1T 1N stuck at STOP &amp; PROCEED","project_id":79,"tracker_id":40,"status_id":1,"priority_id":2,"assigned_to_id":23,"start_date":"2016-11-13","description":"","custom_fields":[{"id":1,"name":"Subdivision","value":"EC"},{"id":4,"name":"Milepost","value":"23.3307"},{"id":17,"name":"Train ID","value":"109-13"},{"id":16,"name":"Locomotive ID","value":"4029"},{"id":130,"name":"Impact","value":""},{"id":150,"name":"Time of Event (Mountain Time)","value":"05:40:23"},{"id":151,"name":"Denver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477</v>
      </c>
      <c r="B23" s="7">
        <v>4029</v>
      </c>
      <c r="C23" s="22" t="s">
        <v>225</v>
      </c>
      <c r="D23" s="22" t="s">
        <v>201</v>
      </c>
      <c r="E23" s="13">
        <v>42687.191782407404</v>
      </c>
      <c r="F23" s="13">
        <v>42687.192546296297</v>
      </c>
      <c r="G23" s="7">
        <v>1</v>
      </c>
      <c r="H23" s="22" t="s">
        <v>660</v>
      </c>
      <c r="I23" s="13">
        <v>42687.223391203705</v>
      </c>
      <c r="J23" s="7">
        <v>0</v>
      </c>
      <c r="K23" s="109" t="str">
        <f t="shared" si="0"/>
        <v>4029/4030</v>
      </c>
      <c r="L23" s="22" t="str">
        <f>VLOOKUP(A23,'Trips&amp;Operators'!$C$1:$E$10000,3,FALSE)</f>
        <v>HAITHCOX</v>
      </c>
      <c r="M23" s="6">
        <f t="shared" si="1"/>
        <v>3.0844907407299615E-2</v>
      </c>
      <c r="N23" s="7"/>
      <c r="O23" s="7"/>
      <c r="P23" s="7"/>
      <c r="Q23" s="23"/>
      <c r="R23" s="23"/>
      <c r="S23" s="35"/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03:36:10-700',mode:absolute,to:'2016-11-13 06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" s="52" t="str">
        <f t="shared" si="6"/>
        <v>Y</v>
      </c>
      <c r="X23" s="177">
        <f t="shared" si="7"/>
        <v>0</v>
      </c>
      <c r="Y23" s="67">
        <f t="shared" si="8"/>
        <v>4.53E-2</v>
      </c>
      <c r="Z23" s="67">
        <f t="shared" si="9"/>
        <v>13.2422</v>
      </c>
      <c r="AA23" s="67">
        <f t="shared" si="10"/>
        <v>13.196900000000001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0109-13</v>
      </c>
      <c r="AE23" s="91" t="str">
        <f t="shared" si="12"/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AF23" s="88" t="str">
        <f t="shared" si="13"/>
        <v>"C:\Program Files (x86)\AstroGrep\AstroGrep.exe" /spath="%USERPROFILE%\AppData\Local\Temp\OnboardLogs" /stypes="app*4029*20161113*"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109-13 --locoid 4029 --swversion DE.1.0.8.0 --startMP 204:453 --initTime 2016-11-13T04:36:10 --startdatetime 2016-11-13T04:37:16 --delay 1 --endMP 204:132422 --enddatetime 2016-11-13T05:21:41 --enforcementcount 0 &gt;&gt;C:\Users\stu\Documents\GitHub\eaglep3-reporting\EC\2016-11-13-refined-times.txt</v>
      </c>
      <c r="AI23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{"issue":{"subject":"","project_id":79,"tracker_id":40,"status_id":1,"priority_id":2,"assigned_to_id":23,"start_date":"2016-11-13","description":"","custom_fields":[{"id":1,"name":"Subdivision","value":"EC"},{"id":4,"name":"Milepost","value":"13.2422"},{"id":17,"name":"Train ID","value":"109-13"},{"id":16,"name":"Locomotive ID","value":"4029"},{"id":130,"name":"Impact","value":""},{"id":150,"name":"Time of Event (Mountain Time)","value":"05:21:41"},{"id":151,"name":"Denver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443</v>
      </c>
      <c r="B24" s="7">
        <v>4030</v>
      </c>
      <c r="C24" s="22" t="s">
        <v>225</v>
      </c>
      <c r="D24" s="22" t="s">
        <v>264</v>
      </c>
      <c r="E24" s="13">
        <v>42687.237662037034</v>
      </c>
      <c r="F24" s="13">
        <v>42687.239189814813</v>
      </c>
      <c r="G24" s="7">
        <v>1</v>
      </c>
      <c r="H24" s="22" t="s">
        <v>197</v>
      </c>
      <c r="I24" s="13">
        <v>42687.271724537037</v>
      </c>
      <c r="J24" s="7">
        <v>0</v>
      </c>
      <c r="K24" s="109" t="str">
        <f t="shared" si="0"/>
        <v>4029/4030</v>
      </c>
      <c r="L24" s="22" t="str">
        <f>VLOOKUP(A24,'Trips&amp;Operators'!$C$1:$E$10000,3,FALSE)</f>
        <v>HAITHCOX</v>
      </c>
      <c r="M24" s="6">
        <f t="shared" si="1"/>
        <v>3.2534722224227153E-2</v>
      </c>
      <c r="N24" s="7">
        <f t="shared" si="2"/>
        <v>46.8500000028871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04:42:14-700',mode:absolute,to:'2016-11-13 07:31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23.299199999999999</v>
      </c>
      <c r="Z24" s="67">
        <f t="shared" si="9"/>
        <v>1.4500000000000001E-2</v>
      </c>
      <c r="AA24" s="67">
        <f t="shared" si="10"/>
        <v>23.284699999999997</v>
      </c>
      <c r="AB24" s="64" t="str">
        <f>VLOOKUP(A24,Enforcements!$C$7:$K$20,8,0)</f>
        <v>Form based authority (4)</v>
      </c>
      <c r="AC24" s="60" t="str">
        <f>VLOOKUP(A24,Enforcements!$C$7:$E$20,3,0)</f>
        <v>TRACK WARRANT AUTHORITY</v>
      </c>
      <c r="AD24" s="61" t="str">
        <f t="shared" si="11"/>
        <v>0110-13</v>
      </c>
      <c r="AE24" s="91" t="str">
        <f t="shared" si="12"/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AF24" s="88" t="str">
        <f t="shared" si="13"/>
        <v>"C:\Program Files (x86)\AstroGrep\AstroGrep.exe" /spath="%USERPROFILE%\AppData\Local\Temp\OnboardLogs" /stypes="app*4030*20161113*"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110-13 --locoid 4030 --swversion DE.1.0.8.0 --startMP 204:232992 --initTime 2016-11-13T05:42:14 --startdatetime 2016-11-13T05:44:26 --delay 1 --endMP 204:145 --enddatetime 2016-11-13T06:31:17 --enforcementcount 0 &gt;&gt;C:\Users\stu\Documents\GitHub\eaglep3-reporting\EC\2016-11-13-refined-times.txt</v>
      </c>
      <c r="AI24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ID","value":"110-13"},{"id":16,"name":"Locomotive ID","value":"4030"},{"id":130,"name":"Impact","value":""},{"id":150,"name":"Time of Event (Mountain Time)","value":"06:31:17"},{"id":151,"name":"Denver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478</v>
      </c>
      <c r="B25" s="7">
        <v>4031</v>
      </c>
      <c r="C25" s="22" t="s">
        <v>225</v>
      </c>
      <c r="D25" s="22" t="s">
        <v>661</v>
      </c>
      <c r="E25" s="13">
        <v>42687.236805555556</v>
      </c>
      <c r="F25" s="13">
        <v>42687.237557870372</v>
      </c>
      <c r="G25" s="7">
        <v>1</v>
      </c>
      <c r="H25" s="22" t="s">
        <v>203</v>
      </c>
      <c r="I25" s="13">
        <v>42687.245150462964</v>
      </c>
      <c r="J25" s="7">
        <v>0</v>
      </c>
      <c r="K25" s="109" t="str">
        <f t="shared" si="0"/>
        <v>4031/4032</v>
      </c>
      <c r="L25" s="22" t="str">
        <f>VLOOKUP(A25,'Trips&amp;Operators'!$C$1:$E$10000,3,FALSE)</f>
        <v>STRICKLAND</v>
      </c>
      <c r="M25" s="6">
        <f t="shared" si="1"/>
        <v>7.5925925921183079E-3</v>
      </c>
      <c r="N25" s="7"/>
      <c r="O25" s="7"/>
      <c r="P25" s="7">
        <f>24*60*SUM($M25:$M26)</f>
        <v>48.883333329576999</v>
      </c>
      <c r="Q25" s="23"/>
      <c r="R25" s="23" t="s">
        <v>790</v>
      </c>
      <c r="S25" s="35">
        <f>SUM(U25:U26)/IF(AG25="EC",12,1)</f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04:41:00-700',mode:absolute,to:'2016-11-13 06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5" s="52" t="str">
        <f t="shared" si="6"/>
        <v>Y</v>
      </c>
      <c r="X25" s="177">
        <f t="shared" si="7"/>
        <v>1</v>
      </c>
      <c r="Y25" s="67">
        <f t="shared" si="8"/>
        <v>15.4411</v>
      </c>
      <c r="Z25" s="67">
        <f t="shared" si="9"/>
        <v>23.329499999999999</v>
      </c>
      <c r="AA25" s="67">
        <f t="shared" si="10"/>
        <v>7.888399999999999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0111-13</v>
      </c>
      <c r="AE25" s="91" t="str">
        <f t="shared" si="12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25" s="88" t="str">
        <f t="shared" si="13"/>
        <v>"C:\Program Files (x86)\AstroGrep\AstroGrep.exe" /spath="%USERPROFILE%\AppData\Local\Temp\OnboardLogs" /stypes="app*4031*20161113*"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111-13 --locoid 4031 --swversion DE.1.0.8.0 --startMP 204:154411 --initTime 2016-11-13T05:41:00 --startdatetime 2016-11-13T05:42:05 --delay 1 --endMP 204:233295 --enddatetime 2016-11-13T05:53:01 --enforcementcount 0 &gt;&gt;C:\Users\stu\Documents\GitHub\eaglep3-reporting\EC\2016-11-13-refined-times.txt</v>
      </c>
      <c r="AI25" s="119" t="str">
        <f t="shared" si="18"/>
        <v>echo {"issue":{"subject":"EC1332RH 127-1T 1N stuck at STOP &amp; PROCEED","project_id":79,"tracker_id":40,"status_id":1,"priority_id":2,"assigned_to_id":23,"start_date":"2016-11-13","description":"","custom_fields":[{"id":1,"name":"Subdivision","value":"EC"},{"id":4,"name":"Milepost","value":"23.3295"},{"id":17,"name":"Train ID","value":"111-13"},{"id":16,"name":"Locomotive ID","value":"4031"},{"id":130,"name":"Impact","value":""},{"id":150,"name":"Time of Event (Mountain Time)","value":"05:53:01"},{"id":151,"name":"Denver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478</v>
      </c>
      <c r="B26" s="7">
        <v>4031</v>
      </c>
      <c r="C26" s="22" t="s">
        <v>225</v>
      </c>
      <c r="D26" s="22" t="s">
        <v>662</v>
      </c>
      <c r="E26" s="13">
        <v>42687.202800925923</v>
      </c>
      <c r="F26" s="13">
        <v>42687.204618055555</v>
      </c>
      <c r="G26" s="7">
        <v>2</v>
      </c>
      <c r="H26" s="22" t="s">
        <v>663</v>
      </c>
      <c r="I26" s="13">
        <v>42687.23097222222</v>
      </c>
      <c r="J26" s="7">
        <v>0</v>
      </c>
      <c r="K26" s="109" t="str">
        <f t="shared" si="0"/>
        <v>4031/4032</v>
      </c>
      <c r="L26" s="22" t="str">
        <f>VLOOKUP(A26,'Trips&amp;Operators'!$C$1:$E$10000,3,FALSE)</f>
        <v>STRICKLAND</v>
      </c>
      <c r="M26" s="6">
        <f t="shared" si="1"/>
        <v>2.6354166664532386E-2</v>
      </c>
      <c r="N26" s="7"/>
      <c r="O26" s="7"/>
      <c r="P26" s="7"/>
      <c r="Q26" s="23"/>
      <c r="R26" s="23"/>
      <c r="S26" s="35"/>
      <c r="T26" s="50" t="str">
        <f t="shared" si="4"/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03:52:02-700',mode:absolute,to:'2016-11-13 06:32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6" s="52" t="str">
        <f t="shared" si="6"/>
        <v>Y</v>
      </c>
      <c r="X26" s="177">
        <f t="shared" si="7"/>
        <v>0</v>
      </c>
      <c r="Y26" s="67">
        <f t="shared" si="8"/>
        <v>7.6100000000000001E-2</v>
      </c>
      <c r="Z26" s="67">
        <f t="shared" si="9"/>
        <v>12.9717</v>
      </c>
      <c r="AA26" s="67">
        <f t="shared" si="10"/>
        <v>12.8956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0111-13</v>
      </c>
      <c r="AE26" s="91" t="str">
        <f t="shared" si="12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26" s="88" t="str">
        <f t="shared" si="13"/>
        <v>"C:\Program Files (x86)\AstroGrep\AstroGrep.exe" /spath="%USERPROFILE%\AppData\Local\Temp\OnboardLogs" /stypes="app*4031*20161113*"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111-13 --locoid 4031 --swversion DE.1.0.8.0 --startMP 204:761 --initTime 2016-11-13T04:52:02 --startdatetime 2016-11-13T04:54:39 --delay 2 --endMP 204:129717 --enddatetime 2016-11-13T05:32:36 --enforcementcount 0 &gt;&gt;C:\Users\stu\Documents\GitHub\eaglep3-reporting\EC\2016-11-13-refined-times.txt</v>
      </c>
      <c r="AI26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{"issue":{"subject":"","project_id":79,"tracker_id":40,"status_id":1,"priority_id":2,"assigned_to_id":23,"start_date":"2016-11-13","description":"","custom_fields":[{"id":1,"name":"Subdivision","value":"EC"},{"id":4,"name":"Milepost","value":"12.9717"},{"id":17,"name":"Train ID","value":"111-13"},{"id":16,"name":"Locomotive ID","value":"4031"},{"id":130,"name":"Impact","value":""},{"id":150,"name":"Time of Event (Mountain Time)","value":"05:32:36"},{"id":151,"name":"Denver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442</v>
      </c>
      <c r="B27" s="7">
        <v>4032</v>
      </c>
      <c r="C27" s="22" t="s">
        <v>225</v>
      </c>
      <c r="D27" s="22" t="s">
        <v>214</v>
      </c>
      <c r="E27" s="13">
        <v>42687.246307870373</v>
      </c>
      <c r="F27" s="13">
        <v>42687.248495370368</v>
      </c>
      <c r="G27" s="7">
        <v>2</v>
      </c>
      <c r="H27" s="22" t="s">
        <v>197</v>
      </c>
      <c r="I27" s="13">
        <v>42687.282164351855</v>
      </c>
      <c r="J27" s="7">
        <v>0</v>
      </c>
      <c r="K27" s="109" t="str">
        <f t="shared" si="0"/>
        <v>4031/4032</v>
      </c>
      <c r="L27" s="22" t="str">
        <f>VLOOKUP(A27,'Trips&amp;Operators'!$C$1:$E$10000,3,FALSE)</f>
        <v>STRICKLAND</v>
      </c>
      <c r="M27" s="6">
        <f t="shared" si="1"/>
        <v>3.3668981486698613E-2</v>
      </c>
      <c r="N27" s="7">
        <f t="shared" si="2"/>
        <v>48.483333340846002</v>
      </c>
      <c r="O27" s="7"/>
      <c r="P27" s="7"/>
      <c r="Q27" s="23"/>
      <c r="R27" s="23"/>
      <c r="S27" s="35">
        <f t="shared" si="3"/>
        <v>1</v>
      </c>
      <c r="T27" s="50" t="str">
        <f t="shared" si="4"/>
        <v>Southbound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04:54:41-700',mode:absolute,to:'2016-11-13 07:46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23.297699999999999</v>
      </c>
      <c r="Z27" s="67">
        <f t="shared" si="9"/>
        <v>1.4500000000000001E-2</v>
      </c>
      <c r="AA27" s="67">
        <f t="shared" si="10"/>
        <v>23.283199999999997</v>
      </c>
      <c r="AB27" s="64" t="str">
        <f>VLOOKUP(A27,Enforcements!$C$7:$K$20,8,0)</f>
        <v>Speed (6)</v>
      </c>
      <c r="AC27" s="60" t="str">
        <f>VLOOKUP(A27,Enforcements!$C$7:$E$20,3,0)</f>
        <v>PERMANENT SPEED RESTRICTION</v>
      </c>
      <c r="AD27" s="61" t="str">
        <f t="shared" si="11"/>
        <v>0112-13</v>
      </c>
      <c r="AE27" s="91" t="str">
        <f t="shared" si="12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27" s="88" t="str">
        <f t="shared" si="13"/>
        <v>"C:\Program Files (x86)\AstroGrep\AstroGrep.exe" /spath="%USERPROFILE%\AppData\Local\Temp\OnboardLogs" /stypes="app*4032*20161113*"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112-13 --locoid 4032 --swversion DE.1.0.8.0 --startMP 204:232977 --initTime 2016-11-13T05:54:41 --startdatetime 2016-11-13T05:57:50 --delay 2 --endMP 204:145 --enddatetime 2016-11-13T06:46:19 --enforcementcount 0 &gt;&gt;C:\Users\stu\Documents\GitHub\eaglep3-reporting\EC\2016-11-13-refined-times.txt</v>
      </c>
      <c r="AI27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ID","value":"112-13"},{"id":16,"name":"Locomotive ID","value":"4032"},{"id":130,"name":"Impact","value":""},{"id":150,"name":"Time of Event (Mountain Time)","value":"06:46:19"},{"id":151,"name":"Denver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480</v>
      </c>
      <c r="B28" s="7">
        <v>4007</v>
      </c>
      <c r="C28" s="22" t="s">
        <v>225</v>
      </c>
      <c r="D28" s="22" t="s">
        <v>664</v>
      </c>
      <c r="E28" s="13">
        <v>42687.242986111109</v>
      </c>
      <c r="F28" s="13">
        <v>42687.243692129632</v>
      </c>
      <c r="G28" s="7">
        <v>1</v>
      </c>
      <c r="H28" s="22" t="s">
        <v>659</v>
      </c>
      <c r="I28" s="13">
        <v>42687.251099537039</v>
      </c>
      <c r="J28" s="7">
        <v>0</v>
      </c>
      <c r="K28" s="109" t="str">
        <f t="shared" si="0"/>
        <v>4007/4008</v>
      </c>
      <c r="L28" s="22" t="str">
        <f>VLOOKUP(A28,'Trips&amp;Operators'!$C$1:$E$10000,3,FALSE)</f>
        <v>KILLION</v>
      </c>
      <c r="M28" s="6">
        <f t="shared" si="1"/>
        <v>7.4074074072996154E-3</v>
      </c>
      <c r="N28" s="7"/>
      <c r="O28" s="7"/>
      <c r="P28" s="7">
        <f>24*60*SUM($M28:$M29)</f>
        <v>57.966666669817641</v>
      </c>
      <c r="Q28" s="23"/>
      <c r="R28" s="23" t="s">
        <v>790</v>
      </c>
      <c r="S28" s="35">
        <f>SUM(U28:U29)/IF(AG28="EC",12,1)</f>
        <v>1</v>
      </c>
      <c r="T28" s="50" t="str">
        <f t="shared" si="4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04:49:54-700',mode:absolute,to:'2016-11-13 07:01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8" s="52" t="str">
        <f t="shared" si="6"/>
        <v>Y</v>
      </c>
      <c r="X28" s="177">
        <f t="shared" si="7"/>
        <v>1</v>
      </c>
      <c r="Y28" s="67">
        <f t="shared" si="8"/>
        <v>15.443</v>
      </c>
      <c r="Z28" s="67">
        <f t="shared" si="9"/>
        <v>23.3307</v>
      </c>
      <c r="AA28" s="67">
        <f t="shared" si="10"/>
        <v>7.8877000000000006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0113-13</v>
      </c>
      <c r="AE28" s="91" t="str">
        <f t="shared" si="12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28" s="88" t="str">
        <f t="shared" si="13"/>
        <v>"C:\Program Files (x86)\AstroGrep\AstroGrep.exe" /spath="%USERPROFILE%\AppData\Local\Temp\OnboardLogs" /stypes="app*4007*20161113*"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113-13 --locoid 4007 --swversion DE.1.0.8.0 --startMP 204:154430 --initTime 2016-11-13T05:49:54 --startdatetime 2016-11-13T05:50:55 --delay 1 --endMP 204:233307 --enddatetime 2016-11-13T06:01:35 --enforcementcount 0 &gt;&gt;C:\Users\stu\Documents\GitHub\eaglep3-reporting\EC\2016-11-13-refined-times.txt</v>
      </c>
      <c r="AI28" s="119" t="str">
        <f t="shared" si="18"/>
        <v>echo {"issue":{"subject":"EC1332RH 127-1T 1N stuck at STOP &amp; PROCEED","project_id":79,"tracker_id":40,"status_id":1,"priority_id":2,"assigned_to_id":23,"start_date":"2016-11-13","description":"","custom_fields":[{"id":1,"name":"Subdivision","value":"EC"},{"id":4,"name":"Milepost","value":"23.3307"},{"id":17,"name":"Train ID","value":"113-13"},{"id":16,"name":"Locomotive ID","value":"4007"},{"id":130,"name":"Impact","value":""},{"id":150,"name":"Time of Event (Mountain Time)","value":"06:01:35"},{"id":151,"name":"Denver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480</v>
      </c>
      <c r="B29" s="7">
        <v>4007</v>
      </c>
      <c r="C29" s="22" t="s">
        <v>225</v>
      </c>
      <c r="D29" s="22" t="s">
        <v>224</v>
      </c>
      <c r="E29" s="13">
        <v>42687.203993055555</v>
      </c>
      <c r="F29" s="13">
        <v>42687.205243055556</v>
      </c>
      <c r="G29" s="7">
        <v>1</v>
      </c>
      <c r="H29" s="22" t="s">
        <v>665</v>
      </c>
      <c r="I29" s="13">
        <v>42687.23809027778</v>
      </c>
      <c r="J29" s="7">
        <v>0</v>
      </c>
      <c r="K29" s="109" t="str">
        <f t="shared" si="0"/>
        <v>4007/4008</v>
      </c>
      <c r="L29" s="22" t="str">
        <f>VLOOKUP(A29,'Trips&amp;Operators'!$C$1:$E$10000,3,FALSE)</f>
        <v>KILLION</v>
      </c>
      <c r="M29" s="6">
        <f t="shared" si="1"/>
        <v>3.2847222224518191E-2</v>
      </c>
      <c r="N29" s="7"/>
      <c r="O29" s="7"/>
      <c r="P29" s="7"/>
      <c r="Q29" s="23"/>
      <c r="R29" s="23"/>
      <c r="S29" s="35"/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03:53:45-700',mode:absolute,to:'2016-11-13 06:42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9" s="52" t="str">
        <f t="shared" si="6"/>
        <v>Y</v>
      </c>
      <c r="X29" s="177">
        <f t="shared" si="7"/>
        <v>0</v>
      </c>
      <c r="Y29" s="67">
        <f t="shared" si="8"/>
        <v>4.6399999999999997E-2</v>
      </c>
      <c r="Z29" s="67">
        <f t="shared" si="9"/>
        <v>13.069900000000001</v>
      </c>
      <c r="AA29" s="67">
        <f t="shared" si="10"/>
        <v>13.0235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0113-13</v>
      </c>
      <c r="AE29" s="91" t="str">
        <f t="shared" si="12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29" s="88" t="str">
        <f t="shared" si="13"/>
        <v>"C:\Program Files (x86)\AstroGrep\AstroGrep.exe" /spath="%USERPROFILE%\AppData\Local\Temp\OnboardLogs" /stypes="app*4007*20161113*"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113-13 --locoid 4007 --swversion DE.1.0.8.0 --startMP 204:464 --initTime 2016-11-13T04:53:45 --startdatetime 2016-11-13T04:55:33 --delay 1 --endMP 204:130699 --enddatetime 2016-11-13T05:42:51 --enforcementcount 0 &gt;&gt;C:\Users\stu\Documents\GitHub\eaglep3-reporting\EC\2016-11-13-refined-times.txt</v>
      </c>
      <c r="AI29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{"issue":{"subject":"","project_id":79,"tracker_id":40,"status_id":1,"priority_id":2,"assigned_to_id":23,"start_date":"2016-11-13","description":"","custom_fields":[{"id":1,"name":"Subdivision","value":"EC"},{"id":4,"name":"Milepost","value":"13.0699"},{"id":17,"name":"Train ID","value":"113-13"},{"id":16,"name":"Locomotive ID","value":"4007"},{"id":130,"name":"Impact","value":""},{"id":150,"name":"Time of Event (Mountain Time)","value":"05:42:51"},{"id":151,"name":"Denver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489</v>
      </c>
      <c r="B30" s="7">
        <v>4008</v>
      </c>
      <c r="C30" s="22" t="s">
        <v>225</v>
      </c>
      <c r="D30" s="22" t="s">
        <v>399</v>
      </c>
      <c r="E30" s="13">
        <v>42687.255289351851</v>
      </c>
      <c r="F30" s="13">
        <v>42687.257824074077</v>
      </c>
      <c r="G30" s="7">
        <v>1</v>
      </c>
      <c r="H30" s="22" t="s">
        <v>197</v>
      </c>
      <c r="I30" s="13">
        <v>42687.286099537036</v>
      </c>
      <c r="J30" s="7">
        <v>0</v>
      </c>
      <c r="K30" s="109" t="str">
        <f t="shared" si="0"/>
        <v>4007/4008</v>
      </c>
      <c r="L30" s="22" t="str">
        <f>VLOOKUP(A30,'Trips&amp;Operators'!$C$1:$E$10000,3,FALSE)</f>
        <v>KILLION</v>
      </c>
      <c r="M30" s="6">
        <f t="shared" si="1"/>
        <v>2.827546295884531E-2</v>
      </c>
      <c r="N30" s="7">
        <f t="shared" si="2"/>
        <v>40.716666660737246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05:07:37-700',mode:absolute,to:'2016-11-13 07:51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23.2986</v>
      </c>
      <c r="Z30" s="67">
        <f t="shared" si="9"/>
        <v>1.4500000000000001E-2</v>
      </c>
      <c r="AA30" s="67">
        <f t="shared" si="10"/>
        <v>23.284099999999999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0114-13</v>
      </c>
      <c r="AE30" s="91" t="str">
        <f t="shared" si="12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30" s="88" t="str">
        <f t="shared" si="13"/>
        <v>"C:\Program Files (x86)\AstroGrep\AstroGrep.exe" /spath="%USERPROFILE%\AppData\Local\Temp\OnboardLogs" /stypes="app*4008*20161113*"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114-13 --locoid 4008 --swversion DE.1.0.8.0 --startMP 204:232986 --initTime 2016-11-13T06:07:37 --startdatetime 2016-11-13T06:11:16 --delay 1 --endMP 204:145 --enddatetime 2016-11-13T06:51:59 --enforcementcount 0 &gt;&gt;C:\Users\stu\Documents\GitHub\eaglep3-reporting\EC\2016-11-13-refined-times.txt</v>
      </c>
      <c r="AI30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ID","value":"114-13"},{"id":16,"name":"Locomotive ID","value":"4008"},{"id":130,"name":"Impact","value":""},{"id":150,"name":"Time of Event (Mountain Time)","value":"06:51:59"},{"id":151,"name":"Denver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484</v>
      </c>
      <c r="B31" s="7">
        <v>4022</v>
      </c>
      <c r="C31" s="22" t="s">
        <v>225</v>
      </c>
      <c r="D31" s="22" t="s">
        <v>656</v>
      </c>
      <c r="E31" s="13">
        <v>42687.258020833331</v>
      </c>
      <c r="F31" s="13">
        <v>42687.258784722224</v>
      </c>
      <c r="G31" s="7">
        <v>1</v>
      </c>
      <c r="H31" s="22" t="s">
        <v>188</v>
      </c>
      <c r="I31" s="13">
        <v>42687.265532407408</v>
      </c>
      <c r="J31" s="7">
        <v>0</v>
      </c>
      <c r="K31" s="109" t="str">
        <f t="shared" si="0"/>
        <v>4021/4022</v>
      </c>
      <c r="L31" s="22" t="str">
        <f>VLOOKUP(A31,'Trips&amp;Operators'!$C$1:$E$10000,3,FALSE)</f>
        <v>SWANSON</v>
      </c>
      <c r="M31" s="6">
        <f t="shared" si="1"/>
        <v>6.7476851836545393E-3</v>
      </c>
      <c r="N31" s="7"/>
      <c r="O31" s="7"/>
      <c r="P31" s="7">
        <f>24*60*SUM($M31:$M32)</f>
        <v>40.39999999338761</v>
      </c>
      <c r="Q31" s="23"/>
      <c r="R31" s="23" t="s">
        <v>790</v>
      </c>
      <c r="S31" s="35">
        <f>SUM(U31:U32)/IF(AG31="EC",12,1)</f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05:11:33-700',mode:absolute,to:'2016-11-13 07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1" s="52" t="str">
        <f t="shared" si="6"/>
        <v>Y</v>
      </c>
      <c r="X31" s="177">
        <f t="shared" si="7"/>
        <v>1</v>
      </c>
      <c r="Y31" s="67">
        <f t="shared" si="8"/>
        <v>15.442600000000001</v>
      </c>
      <c r="Z31" s="67">
        <f t="shared" si="9"/>
        <v>23.329699999999999</v>
      </c>
      <c r="AA31" s="67">
        <f t="shared" si="10"/>
        <v>7.8870999999999984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0115-13</v>
      </c>
      <c r="AE31" s="91" t="str">
        <f t="shared" si="12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31" s="88" t="str">
        <f t="shared" si="13"/>
        <v>"C:\Program Files (x86)\AstroGrep\AstroGrep.exe" /spath="%USERPROFILE%\AppData\Local\Temp\OnboardLogs" /stypes="app*4022*20161113*"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115-13 --locoid 4022 --swversion DE.1.0.8.0 --startMP 204:154426 --initTime 2016-11-13T06:11:33 --startdatetime 2016-11-13T06:12:39 --delay 1 --endMP 204:233297 --enddatetime 2016-11-13T06:22:22 --enforcementcount 0 &gt;&gt;C:\Users\stu\Documents\GitHub\eaglep3-reporting\EC\2016-11-13-refined-times.txt</v>
      </c>
      <c r="AI31" s="119" t="str">
        <f t="shared" si="18"/>
        <v>echo {"issue":{"subject":"EC1332RH 127-1T 1N stuck at STOP &amp; PROCEED","project_id":79,"tracker_id":40,"status_id":1,"priority_id":2,"assigned_to_id":23,"start_date":"2016-11-13","description":"","custom_fields":[{"id":1,"name":"Subdivision","value":"EC"},{"id":4,"name":"Milepost","value":"23.3297"},{"id":17,"name":"Train ID","value":"115-13"},{"id":16,"name":"Locomotive ID","value":"4022"},{"id":130,"name":"Impact","value":""},{"id":150,"name":"Time of Event (Mountain Time)","value":"06:22:22"},{"id":151,"name":"Denver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484</v>
      </c>
      <c r="B32" s="7">
        <v>4022</v>
      </c>
      <c r="C32" s="22" t="s">
        <v>225</v>
      </c>
      <c r="D32" s="22" t="s">
        <v>666</v>
      </c>
      <c r="E32" s="13">
        <v>42687.228761574072</v>
      </c>
      <c r="F32" s="13">
        <v>42687.229814814818</v>
      </c>
      <c r="G32" s="7">
        <v>1</v>
      </c>
      <c r="H32" s="22" t="s">
        <v>667</v>
      </c>
      <c r="I32" s="13">
        <v>42687.251122685186</v>
      </c>
      <c r="J32" s="7">
        <v>0</v>
      </c>
      <c r="K32" s="109" t="str">
        <f t="shared" si="0"/>
        <v>4021/4022</v>
      </c>
      <c r="L32" s="22" t="str">
        <f>VLOOKUP(A32,'Trips&amp;Operators'!$C$1:$E$10000,3,FALSE)</f>
        <v>SWANSON</v>
      </c>
      <c r="M32" s="6">
        <f t="shared" si="1"/>
        <v>2.1307870367309079E-2</v>
      </c>
      <c r="N32" s="7"/>
      <c r="O32" s="7"/>
      <c r="P32" s="7"/>
      <c r="Q32" s="23"/>
      <c r="R32" s="23"/>
      <c r="S32" s="35"/>
      <c r="T32" s="50" t="str">
        <f t="shared" si="4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04:29:25-700',mode:absolute,to:'2016-11-13 07:01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2" s="52" t="str">
        <f t="shared" si="6"/>
        <v>Y</v>
      </c>
      <c r="X32" s="177">
        <f t="shared" si="7"/>
        <v>0</v>
      </c>
      <c r="Y32" s="67">
        <f t="shared" si="8"/>
        <v>7.5700000000000003E-2</v>
      </c>
      <c r="Z32" s="67">
        <f t="shared" si="9"/>
        <v>12.8263</v>
      </c>
      <c r="AA32" s="67">
        <f t="shared" si="10"/>
        <v>12.7506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0115-13</v>
      </c>
      <c r="AE32" s="91" t="str">
        <f t="shared" si="12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32" s="88" t="str">
        <f t="shared" si="13"/>
        <v>"C:\Program Files (x86)\AstroGrep\AstroGrep.exe" /spath="%USERPROFILE%\AppData\Local\Temp\OnboardLogs" /stypes="app*4022*20161113*"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115-13 --locoid 4022 --swversion DE.1.0.8.0 --startMP 204:757 --initTime 2016-11-13T05:29:25 --startdatetime 2016-11-13T05:30:56 --delay 1 --endMP 204:128263 --enddatetime 2016-11-13T06:01:37 --enforcementcount 0 &gt;&gt;C:\Users\stu\Documents\GitHub\eaglep3-reporting\EC\2016-11-13-refined-times.txt</v>
      </c>
      <c r="AI32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{"issue":{"subject":"","project_id":79,"tracker_id":40,"status_id":1,"priority_id":2,"assigned_to_id":23,"start_date":"2016-11-13","description":"","custom_fields":[{"id":1,"name":"Subdivision","value":"EC"},{"id":4,"name":"Milepost","value":"12.8263"},{"id":17,"name":"Train ID","value":"115-13"},{"id":16,"name":"Locomotive ID","value":"4022"},{"id":130,"name":"Impact","value":""},{"id":150,"name":"Time of Event (Mountain Time)","value":"06:01:37"},{"id":151,"name":"Denver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490</v>
      </c>
      <c r="B33" s="7">
        <v>4021</v>
      </c>
      <c r="C33" s="22" t="s">
        <v>225</v>
      </c>
      <c r="D33" s="22" t="s">
        <v>329</v>
      </c>
      <c r="E33" s="13">
        <v>42687.267048611109</v>
      </c>
      <c r="F33" s="13">
        <v>42687.268831018519</v>
      </c>
      <c r="G33" s="7">
        <v>1</v>
      </c>
      <c r="H33" s="22" t="s">
        <v>176</v>
      </c>
      <c r="I33" s="13">
        <v>42687.29965277778</v>
      </c>
      <c r="J33" s="7">
        <v>0</v>
      </c>
      <c r="K33" s="109" t="str">
        <f t="shared" si="0"/>
        <v>4021/4022</v>
      </c>
      <c r="L33" s="22" t="str">
        <f>VLOOKUP(A33,'Trips&amp;Operators'!$C$1:$E$10000,3,FALSE)</f>
        <v>SWANSON</v>
      </c>
      <c r="M33" s="6">
        <f t="shared" si="1"/>
        <v>3.0821759261016268E-2</v>
      </c>
      <c r="N33" s="7">
        <f t="shared" si="2"/>
        <v>44.383333335863426</v>
      </c>
      <c r="O33" s="7"/>
      <c r="P33" s="7"/>
      <c r="Q33" s="23"/>
      <c r="R33" s="23"/>
      <c r="S33" s="35">
        <f t="shared" si="3"/>
        <v>1</v>
      </c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05:24:33-700',mode:absolute,to:'2016-11-13 08:11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23.297999999999998</v>
      </c>
      <c r="Z33" s="67">
        <f t="shared" si="9"/>
        <v>1.52E-2</v>
      </c>
      <c r="AA33" s="67">
        <f t="shared" si="10"/>
        <v>23.282799999999998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0116-13</v>
      </c>
      <c r="AE33" s="91" t="str">
        <f t="shared" si="12"/>
        <v>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 &amp; 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</v>
      </c>
      <c r="AF33" s="88" t="str">
        <f t="shared" si="13"/>
        <v>"C:\Program Files (x86)\AstroGrep\AstroGrep.exe" /spath="%USERPROFILE%\AppData\Local\Temp\OnboardLogs" /stypes="app*4021*20161113*" /stext=" 14:.+((SYSTEM_STATE.+slice.+state.+changed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116-13 --locoid 4021 --swversion DE.1.0.8.0 --startMP 204:232980 --initTime 2016-11-13T06:24:33 --startdatetime 2016-11-13T06:27:07 --delay 1 --endMP 204:152 --enddatetime 2016-11-13T07:11:30 --enforcementcount 0 &gt;&gt;C:\Users\stu\Documents\GitHub\eaglep3-reporting\EC\2016-11-13-refined-times.txt</v>
      </c>
      <c r="AI33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{"issue":{"subject":"","project_id":79,"tracker_id":40,"status_id":1,"priority_id":2,"assigned_to_id":23,"start_date":"2016-11-13","description":"","custom_fields":[{"id":1,"name":"Subdivision","value":"EC"},{"id":4,"name":"Milepost","value":"0.0152"},{"id":17,"name":"Train ID","value":"116-13"},{"id":16,"name":"Locomotive ID","value":"4021"},{"id":130,"name":"Impact","value":""},{"id":150,"name":"Time of Event (Mountain Time)","value":"07:11:30"},{"id":151,"name":"Denver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486</v>
      </c>
      <c r="B34" s="7">
        <v>4002</v>
      </c>
      <c r="C34" s="22" t="s">
        <v>225</v>
      </c>
      <c r="D34" s="22" t="s">
        <v>222</v>
      </c>
      <c r="E34" s="13">
        <v>42687.234918981485</v>
      </c>
      <c r="F34" s="13">
        <v>42687.239849537036</v>
      </c>
      <c r="G34" s="7">
        <v>1</v>
      </c>
      <c r="H34" s="22" t="s">
        <v>668</v>
      </c>
      <c r="I34" s="13">
        <v>42687.263842592591</v>
      </c>
      <c r="J34" s="7">
        <v>0</v>
      </c>
      <c r="K34" s="109" t="str">
        <f t="shared" si="0"/>
        <v>4001/4002</v>
      </c>
      <c r="L34" s="22" t="str">
        <f>VLOOKUP(A34,'Trips&amp;Operators'!$C$1:$E$10000,3,FALSE)</f>
        <v>ACKERMAN</v>
      </c>
      <c r="M34" s="6">
        <f t="shared" si="1"/>
        <v>2.3993055554456078E-2</v>
      </c>
      <c r="N34" s="7">
        <f t="shared" si="2"/>
        <v>34.549999998416752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04:38:17-700',mode:absolute,to:'2016-11-13 07:19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4" s="52" t="str">
        <f t="shared" si="6"/>
        <v>Y</v>
      </c>
      <c r="X34" s="177">
        <f t="shared" si="7"/>
        <v>1</v>
      </c>
      <c r="Y34" s="67">
        <f t="shared" si="8"/>
        <v>4.5699999999999998E-2</v>
      </c>
      <c r="Z34" s="67">
        <f t="shared" si="9"/>
        <v>13.1714</v>
      </c>
      <c r="AA34" s="67">
        <f t="shared" si="10"/>
        <v>13.1257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0117-13</v>
      </c>
      <c r="AE34" s="91" t="str">
        <f t="shared" si="12"/>
        <v>aws s3 cp s3://rtdc.mdm.uploadarchive.raw/RTDC4002/ "%USERPROFILE%\AppData\Local\Temp\OnboardLogs"\RTDC4002\2016-11-13 --exclude "*" --recursive --include "*20161113*" &amp; "%USERPROFILE%\Documents\GitHub\mrs-test-scripts\Headless Mode &amp; Sideloading\WalkAndUnGZ.bat" "%USERPROFILE%\AppData\Local\Temp\OnboardLogs"\RTDC4002\2016-11-13 &amp; aws s3 cp s3://rtdc.mdm.uploadarchive.raw/RTDC4002/ "%USERPROFILE%\AppData\Local\Temp\OnboardLogs"\RTDC4002\2016-11-14 --exclude "*" --recursive --include "*20161114*" &amp; "%USERPROFILE%\Documents\GitHub\mrs-test-scripts\Headless Mode &amp; Sideloading\WalkAndUnGZ.bat" "%USERPROFILE%\AppData\Local\Temp\OnboardLogs"\RTDC4002\2016-11-14</v>
      </c>
      <c r="AF34" s="88" t="str">
        <f t="shared" si="13"/>
        <v>"C:\Program Files (x86)\AstroGrep\AstroGrep.exe" /spath="%USERPROFILE%\AppData\Local\Temp\OnboardLogs" /stypes="app*4002*20161113*"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117-13 --locoid 4002 --swversion DE.1.0.8.0 --startMP 204:457 --initTime 2016-11-13T05:38:17 --startdatetime 2016-11-13T05:45:23 --delay 1 --endMP 204:131714 --enddatetime 2016-11-13T06:19:56 --enforcementcount 0 &gt;&gt;C:\Users\stu\Documents\GitHub\eaglep3-reporting\EC\2016-11-13-refined-times.txt</v>
      </c>
      <c r="AI34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{"issue":{"subject":"","project_id":79,"tracker_id":40,"status_id":1,"priority_id":2,"assigned_to_id":23,"start_date":"2016-11-13","description":"","custom_fields":[{"id":1,"name":"Subdivision","value":"EC"},{"id":4,"name":"Milepost","value":"13.1714"},{"id":17,"name":"Train ID","value":"117-13"},{"id":16,"name":"Locomotive ID","value":"4002"},{"id":130,"name":"Impact","value":""},{"id":150,"name":"Time of Event (Mountain Time)","value":"06:19:56"},{"id":151,"name":"Denver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445</v>
      </c>
      <c r="B35" s="7">
        <v>4001</v>
      </c>
      <c r="C35" s="22" t="s">
        <v>225</v>
      </c>
      <c r="D35" s="22" t="s">
        <v>669</v>
      </c>
      <c r="E35" s="13">
        <v>42687.276736111111</v>
      </c>
      <c r="F35" s="13">
        <v>42687.278657407405</v>
      </c>
      <c r="G35" s="7">
        <v>1</v>
      </c>
      <c r="H35" s="22" t="s">
        <v>176</v>
      </c>
      <c r="I35" s="13">
        <v>42687.305659722224</v>
      </c>
      <c r="J35" s="7">
        <v>0</v>
      </c>
      <c r="K35" s="109" t="str">
        <f t="shared" si="0"/>
        <v>4001/4002</v>
      </c>
      <c r="L35" s="22" t="str">
        <f>VLOOKUP(A35,'Trips&amp;Operators'!$C$1:$E$10000,3,FALSE)</f>
        <v>ACKERMAN</v>
      </c>
      <c r="M35" s="6">
        <f t="shared" si="1"/>
        <v>2.7002314818673767E-2</v>
      </c>
      <c r="N35" s="7">
        <f t="shared" si="2"/>
        <v>38.883333338890225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05:38:30-700',mode:absolute,to:'2016-11-13 08:20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23.296099999999999</v>
      </c>
      <c r="Z35" s="67">
        <f t="shared" si="9"/>
        <v>1.52E-2</v>
      </c>
      <c r="AA35" s="67">
        <f t="shared" si="10"/>
        <v>23.280899999999999</v>
      </c>
      <c r="AB35" s="64" t="str">
        <f>VLOOKUP(A35,Enforcements!$C$7:$K$20,8,0)</f>
        <v>Form based authority (4)</v>
      </c>
      <c r="AC35" s="60" t="str">
        <f>VLOOKUP(A35,Enforcements!$C$7:$E$20,3,0)</f>
        <v>TRACK WARRANT AUTHORITY</v>
      </c>
      <c r="AD35" s="61" t="str">
        <f t="shared" si="11"/>
        <v>0118-13</v>
      </c>
      <c r="AE35" s="91" t="str">
        <f t="shared" si="12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35" s="88" t="str">
        <f t="shared" si="13"/>
        <v>"C:\Program Files (x86)\AstroGrep\AstroGrep.exe" /spath="%USERPROFILE%\AppData\Local\Temp\OnboardLogs" /stypes="app*4001*20161113*"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118-13 --locoid 4001 --swversion DE.1.0.8.0 --startMP 204:232961 --initTime 2016-11-13T06:38:30 --startdatetime 2016-11-13T06:41:16 --delay 1 --endMP 204:152 --enddatetime 2016-11-13T07:20:09 --enforcementcount 0 &gt;&gt;C:\Users\stu\Documents\GitHub\eaglep3-reporting\EC\2016-11-13-refined-times.txt</v>
      </c>
      <c r="AI35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{"issue":{"subject":"","project_id":79,"tracker_id":40,"status_id":1,"priority_id":2,"assigned_to_id":23,"start_date":"2016-11-13","description":"","custom_fields":[{"id":1,"name":"Subdivision","value":"EC"},{"id":4,"name":"Milepost","value":"0.0152"},{"id":17,"name":"Train ID","value":"118-13"},{"id":16,"name":"Locomotive ID","value":"4001"},{"id":130,"name":"Impact","value":""},{"id":150,"name":"Time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487</v>
      </c>
      <c r="B36" s="7">
        <v>4014</v>
      </c>
      <c r="C36" s="22" t="s">
        <v>225</v>
      </c>
      <c r="D36" s="22" t="s">
        <v>670</v>
      </c>
      <c r="E36" s="13">
        <v>42687.282337962963</v>
      </c>
      <c r="F36" s="13">
        <v>42687.283217592594</v>
      </c>
      <c r="G36" s="7">
        <v>1</v>
      </c>
      <c r="H36" s="22" t="s">
        <v>398</v>
      </c>
      <c r="I36" s="13">
        <v>42687.292673611111</v>
      </c>
      <c r="J36" s="7">
        <v>0</v>
      </c>
      <c r="K36" s="109" t="str">
        <f t="shared" si="0"/>
        <v>4013/4014</v>
      </c>
      <c r="L36" s="22" t="str">
        <f>VLOOKUP(A36,'Trips&amp;Operators'!$C$1:$E$10000,3,FALSE)</f>
        <v>OUN</v>
      </c>
      <c r="M36" s="6">
        <f t="shared" si="1"/>
        <v>9.4560185170848854E-3</v>
      </c>
      <c r="N36" s="7"/>
      <c r="O36" s="7"/>
      <c r="P36" s="7">
        <f>24*60*SUM($M36:$M37)</f>
        <v>54.750000005587935</v>
      </c>
      <c r="Q36" s="23"/>
      <c r="R36" s="23" t="s">
        <v>790</v>
      </c>
      <c r="S36" s="35">
        <f>SUM(U36:U37)/IF(AG36="EC",12,1)</f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05:46:34-700',mode:absolute,to:'2016-11-13 08:01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6" s="52" t="str">
        <f t="shared" si="6"/>
        <v>Y</v>
      </c>
      <c r="X36" s="177">
        <f t="shared" si="7"/>
        <v>1</v>
      </c>
      <c r="Y36" s="67">
        <f t="shared" si="8"/>
        <v>15.4421</v>
      </c>
      <c r="Z36" s="67">
        <f t="shared" si="9"/>
        <v>23.331600000000002</v>
      </c>
      <c r="AA36" s="67">
        <f t="shared" si="10"/>
        <v>7.8895000000000017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0119-13</v>
      </c>
      <c r="AE36" s="91" t="str">
        <f t="shared" si="12"/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AF36" s="88" t="str">
        <f t="shared" si="13"/>
        <v>"C:\Program Files (x86)\AstroGrep\AstroGrep.exe" /spath="%USERPROFILE%\AppData\Local\Temp\OnboardLogs" /stypes="app*4014*20161113*"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119-13 --locoid 4014 --swversion DE.1.0.8.0 --startMP 204:154421 --initTime 2016-11-13T06:46:34 --startdatetime 2016-11-13T06:47:50 --delay 1 --endMP 204:233316 --enddatetime 2016-11-13T07:01:27 --enforcementcount 0 &gt;&gt;C:\Users\stu\Documents\GitHub\eaglep3-reporting\EC\2016-11-13-refined-times.txt</v>
      </c>
      <c r="AI36" s="119" t="str">
        <f t="shared" si="18"/>
        <v>echo {"issue":{"subject":"EC1332RH 127-1T 1N stuck at STOP &amp; PROCEED","project_id":79,"tracker_id":40,"status_id":1,"priority_id":2,"assigned_to_id":23,"start_date":"2016-11-13","description":"","custom_fields":[{"id":1,"name":"Subdivision","value":"EC"},{"id":4,"name":"Milepost","value":"23.3316"},{"id":17,"name":"Train ID","value":"119-13"},{"id":16,"name":"Locomotive ID","value":"4014"},{"id":130,"name":"Impact","value":""},{"id":150,"name":"Time of Event (Mountain Time)","value":"07:01:27"},{"id":151,"name":"Denver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487</v>
      </c>
      <c r="B37" s="7">
        <v>4014</v>
      </c>
      <c r="C37" s="22" t="s">
        <v>225</v>
      </c>
      <c r="D37" s="22" t="s">
        <v>671</v>
      </c>
      <c r="E37" s="13">
        <v>42687.24726851852</v>
      </c>
      <c r="F37" s="13">
        <v>42687.248217592591</v>
      </c>
      <c r="G37" s="7">
        <v>1</v>
      </c>
      <c r="H37" s="22" t="s">
        <v>672</v>
      </c>
      <c r="I37" s="13">
        <v>42687.276782407411</v>
      </c>
      <c r="J37" s="7">
        <v>0</v>
      </c>
      <c r="K37" s="109" t="str">
        <f t="shared" si="0"/>
        <v>4013/4014</v>
      </c>
      <c r="L37" s="22" t="str">
        <f>VLOOKUP(A37,'Trips&amp;Operators'!$C$1:$E$10000,3,FALSE)</f>
        <v>OUN</v>
      </c>
      <c r="M37" s="6">
        <f t="shared" si="1"/>
        <v>2.8564814820128959E-2</v>
      </c>
      <c r="N37" s="7"/>
      <c r="O37" s="7"/>
      <c r="P37" s="7"/>
      <c r="Q37" s="23"/>
      <c r="R37" s="23"/>
      <c r="S37" s="35"/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04:56:04-700',mode:absolute,to:'2016-11-13 07:38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7" s="52" t="str">
        <f t="shared" si="6"/>
        <v>Y</v>
      </c>
      <c r="X37" s="177">
        <f t="shared" si="7"/>
        <v>0</v>
      </c>
      <c r="Y37" s="67">
        <f t="shared" si="8"/>
        <v>7.4999999999999997E-2</v>
      </c>
      <c r="Z37" s="67">
        <f t="shared" si="9"/>
        <v>13.1455</v>
      </c>
      <c r="AA37" s="67">
        <f t="shared" si="10"/>
        <v>13.070500000000001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0119-13</v>
      </c>
      <c r="AE37" s="91" t="str">
        <f t="shared" si="12"/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AF37" s="88" t="str">
        <f t="shared" si="13"/>
        <v>"C:\Program Files (x86)\AstroGrep\AstroGrep.exe" /spath="%USERPROFILE%\AppData\Local\Temp\OnboardLogs" /stypes="app*4014*20161113*"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119-13 --locoid 4014 --swversion DE.1.0.8.0 --startMP 204:750 --initTime 2016-11-13T05:56:04 --startdatetime 2016-11-13T05:57:26 --delay 1 --endMP 204:131455 --enddatetime 2016-11-13T06:38:34 --enforcementcount 0 &gt;&gt;C:\Users\stu\Documents\GitHub\eaglep3-reporting\EC\2016-11-13-refined-times.txt</v>
      </c>
      <c r="AI37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{"issue":{"subject":"","project_id":79,"tracker_id":40,"status_id":1,"priority_id":2,"assigned_to_id":23,"start_date":"2016-11-13","description":"","custom_fields":[{"id":1,"name":"Subdivision","value":"EC"},{"id":4,"name":"Milepost","value":"13.1455"},{"id":17,"name":"Train ID","value":"119-13"},{"id":16,"name":"Locomotive ID","value":"4014"},{"id":130,"name":"Impact","value":""},{"id":150,"name":"Time of Event (Mountain Time)","value":"06:38:34"},{"id":151,"name":"Denver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496</v>
      </c>
      <c r="B38" s="7">
        <v>4013</v>
      </c>
      <c r="C38" s="22" t="s">
        <v>225</v>
      </c>
      <c r="D38" s="22" t="s">
        <v>673</v>
      </c>
      <c r="E38" s="13">
        <v>42687.294085648151</v>
      </c>
      <c r="F38" s="13">
        <v>42687.295451388891</v>
      </c>
      <c r="G38" s="7">
        <v>1</v>
      </c>
      <c r="H38" s="22" t="s">
        <v>674</v>
      </c>
      <c r="I38" s="13">
        <v>42687.321932870371</v>
      </c>
      <c r="J38" s="7">
        <v>0</v>
      </c>
      <c r="K38" s="109" t="str">
        <f t="shared" si="0"/>
        <v>4013/4014</v>
      </c>
      <c r="L38" s="22" t="str">
        <f>VLOOKUP(A38,'Trips&amp;Operators'!$C$1:$E$10000,3,FALSE)</f>
        <v>OUN</v>
      </c>
      <c r="M38" s="6">
        <f t="shared" si="1"/>
        <v>2.6481481480004732E-2</v>
      </c>
      <c r="N38" s="7">
        <f t="shared" si="2"/>
        <v>38.133333331206813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06:03:29-700',mode:absolute,to:'2016-11-13 08:43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23.3</v>
      </c>
      <c r="Z38" s="67">
        <f t="shared" si="9"/>
        <v>0.1162</v>
      </c>
      <c r="AA38" s="67">
        <f t="shared" si="10"/>
        <v>23.183800000000002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0120-13</v>
      </c>
      <c r="AE38" s="91" t="str">
        <f t="shared" si="12"/>
        <v>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 &amp; aws s3 cp s3://rtdc.mdm.uploadarchive.raw/RTDC4013/ "%USERPROFILE%\AppData\Local\Temp\OnboardLogs"\RTDC4013\2016-11-14 --exclude "*" --recursive --include "*20161114*" &amp; "%USERPROFILE%\Documents\GitHub\mrs-test-scripts\Headless Mode &amp; Sideloading\WalkAndUnGZ.bat" "%USERPROFILE%\AppData\Local\Temp\OnboardLogs"\RTDC4013\2016-11-14</v>
      </c>
      <c r="AF38" s="88" t="str">
        <f t="shared" si="13"/>
        <v>"C:\Program Files (x86)\AstroGrep\AstroGrep.exe" /spath="%USERPROFILE%\AppData\Local\Temp\OnboardLogs" /stypes="app*4013*20161113*"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120-13 --locoid 4013 --swversion DE.1.0.8.0 --startMP 204:233000 --initTime 2016-11-13T07:03:29 --startdatetime 2016-11-13T07:05:27 --delay 1 --endMP 204:1162 --enddatetime 2016-11-13T07:43:35 --enforcementcount 0 &gt;&gt;C:\Users\stu\Documents\GitHub\eaglep3-reporting\EC\2016-11-13-refined-times.txt</v>
      </c>
      <c r="AI38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{"issue":{"subject":"","project_id":79,"tracker_id":40,"status_id":1,"priority_id":2,"assigned_to_id":23,"start_date":"2016-11-13","description":"","custom_fields":[{"id":1,"name":"Subdivision","value":"EC"},{"id":4,"name":"Milepost","value":"0.1162"},{"id":17,"name":"Train ID","value":"120-13"},{"id":16,"name":"Locomotive ID","value":"4013"},{"id":130,"name":"Impact","value":""},{"id":150,"name":"Time of Event (Mountain Time)","value":"07:43:35"},{"id":151,"name":"Denver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444</v>
      </c>
      <c r="B39" s="7">
        <v>4044</v>
      </c>
      <c r="C39" s="22" t="s">
        <v>225</v>
      </c>
      <c r="D39" s="22" t="s">
        <v>362</v>
      </c>
      <c r="E39" s="13">
        <v>42687.260613425926</v>
      </c>
      <c r="F39" s="13">
        <v>42687.26185185185</v>
      </c>
      <c r="G39" s="7">
        <v>1</v>
      </c>
      <c r="H39" s="22" t="s">
        <v>328</v>
      </c>
      <c r="I39" s="13">
        <v>42687.295069444444</v>
      </c>
      <c r="J39" s="7">
        <v>0</v>
      </c>
      <c r="K39" s="109" t="str">
        <f t="shared" si="0"/>
        <v>4043/4044</v>
      </c>
      <c r="L39" s="22" t="str">
        <f>VLOOKUP(A39,'Trips&amp;Operators'!$C$1:$E$10000,3,FALSE)</f>
        <v>DAVIS</v>
      </c>
      <c r="M39" s="6">
        <f t="shared" si="1"/>
        <v>3.3217592594155576E-2</v>
      </c>
      <c r="N39" s="7">
        <f t="shared" si="2"/>
        <v>47.83333333558403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05:15:17-700',mode:absolute,to:'2016-11-13 08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4.4400000000000002E-2</v>
      </c>
      <c r="Z39" s="67">
        <f t="shared" si="9"/>
        <v>23.33</v>
      </c>
      <c r="AA39" s="67">
        <f t="shared" si="10"/>
        <v>23.285599999999999</v>
      </c>
      <c r="AB39" s="64" t="str">
        <f>VLOOKUP(A39,Enforcements!$C$7:$K$20,8,0)</f>
        <v>Signal based authority (5)</v>
      </c>
      <c r="AC39" s="60" t="str">
        <f>VLOOKUP(A39,Enforcements!$C$7:$E$20,3,0)</f>
        <v>SIGNAL</v>
      </c>
      <c r="AD39" s="61" t="str">
        <f t="shared" si="11"/>
        <v>0121-13</v>
      </c>
      <c r="AE39" s="91" t="str">
        <f t="shared" si="12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39" s="88" t="str">
        <f t="shared" si="13"/>
        <v>"C:\Program Files (x86)\AstroGrep\AstroGrep.exe" /spath="%USERPROFILE%\AppData\Local\Temp\OnboardLogs" /stypes="app*4044*20161113*"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121-13 --locoid 4044 --swversion DE.1.0.8.0 --startMP 204:444 --initTime 2016-11-13T06:15:17 --startdatetime 2016-11-13T06:17:04 --delay 1 --endMP 204:233300 --enddatetime 2016-11-13T07:04:54 --enforcementcount 0 &gt;&gt;C:\Users\stu\Documents\GitHub\eaglep3-reporting\EC\2016-11-13-refined-times.txt</v>
      </c>
      <c r="AI39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{"issue":{"subject":"","project_id":79,"tracker_id":40,"status_id":1,"priority_id":2,"assigned_to_id":23,"start_date":"2016-11-13","description":"","custom_fields":[{"id":1,"name":"Subdivision","value":"EC"},{"id":4,"name":"Milepost","value":"23.33"},{"id":17,"name":"Train ID","value":"121-13"},{"id":16,"name":"Locomotive ID","value":"4044"},{"id":130,"name":"Impact","value":""},{"id":150,"name":"Time of Event (Mountain Time)","value":"07:04:54"},{"id":151,"name":"Denver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497</v>
      </c>
      <c r="B40" s="7">
        <v>4043</v>
      </c>
      <c r="C40" s="22" t="s">
        <v>225</v>
      </c>
      <c r="D40" s="22" t="s">
        <v>675</v>
      </c>
      <c r="E40" s="13">
        <v>42687.296863425923</v>
      </c>
      <c r="F40" s="13">
        <v>42687.299490740741</v>
      </c>
      <c r="G40" s="7">
        <v>1</v>
      </c>
      <c r="H40" s="22" t="s">
        <v>197</v>
      </c>
      <c r="I40" s="13">
        <v>42687.32912037037</v>
      </c>
      <c r="J40" s="7">
        <v>0</v>
      </c>
      <c r="K40" s="109" t="str">
        <f t="shared" si="0"/>
        <v>4043/4044</v>
      </c>
      <c r="L40" s="22" t="str">
        <f>VLOOKUP(A40,'Trips&amp;Operators'!$C$1:$E$10000,3,FALSE)</f>
        <v>DAVIS</v>
      </c>
      <c r="M40" s="6">
        <f t="shared" si="1"/>
        <v>2.9629629629198462E-2</v>
      </c>
      <c r="N40" s="7">
        <f t="shared" si="2"/>
        <v>42.666666666045785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06:07:29-700',mode:absolute,to:'2016-11-13 08:53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23.299800000000001</v>
      </c>
      <c r="Z40" s="67">
        <f t="shared" si="9"/>
        <v>1.4500000000000001E-2</v>
      </c>
      <c r="AA40" s="67">
        <f t="shared" si="10"/>
        <v>23.285299999999999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0122-13</v>
      </c>
      <c r="AE40" s="91" t="str">
        <f t="shared" si="12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40" s="88" t="str">
        <f t="shared" si="13"/>
        <v>"C:\Program Files (x86)\AstroGrep\AstroGrep.exe" /spath="%USERPROFILE%\AppData\Local\Temp\OnboardLogs" /stypes="app*4043*20161113*"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122-13 --locoid 4043 --swversion DE.1.0.8.0 --startMP 204:232998 --initTime 2016-11-13T07:07:29 --startdatetime 2016-11-13T07:11:16 --delay 1 --endMP 204:145 --enddatetime 2016-11-13T07:53:56 --enforcementcount 0 &gt;&gt;C:\Users\stu\Documents\GitHub\eaglep3-reporting\EC\2016-11-13-refined-times.txt</v>
      </c>
      <c r="AI40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ID","value":"122-13"},{"id":16,"name":"Locomotive ID","value":"4043"},{"id":130,"name":"Impact","value":""},{"id":150,"name":"Time of Event (Mountain Time)","value":"07:53:56"},{"id":151,"name":"Denver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491</v>
      </c>
      <c r="B41" s="7">
        <v>4029</v>
      </c>
      <c r="C41" s="22" t="s">
        <v>225</v>
      </c>
      <c r="D41" s="22" t="s">
        <v>227</v>
      </c>
      <c r="E41" s="13">
        <v>42687.272650462961</v>
      </c>
      <c r="F41" s="13">
        <v>42687.27416666667</v>
      </c>
      <c r="G41" s="7">
        <v>1</v>
      </c>
      <c r="H41" s="22" t="s">
        <v>398</v>
      </c>
      <c r="I41" s="13">
        <v>42687.302094907405</v>
      </c>
      <c r="J41" s="7">
        <v>0</v>
      </c>
      <c r="K41" s="109" t="str">
        <f t="shared" si="0"/>
        <v>4029/4030</v>
      </c>
      <c r="L41" s="22" t="str">
        <f>VLOOKUP(A41,'Trips&amp;Operators'!$C$1:$E$10000,3,FALSE)</f>
        <v>HAITHCOX</v>
      </c>
      <c r="M41" s="6">
        <f t="shared" si="1"/>
        <v>2.7928240735491272E-2</v>
      </c>
      <c r="N41" s="7">
        <f t="shared" si="2"/>
        <v>40.216666659107432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05:32:37-700',mode:absolute,to:'2016-11-13 08:15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4.58E-2</v>
      </c>
      <c r="Z41" s="67">
        <f t="shared" si="9"/>
        <v>23.331600000000002</v>
      </c>
      <c r="AA41" s="67">
        <f t="shared" si="10"/>
        <v>23.285800000000002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0123-13</v>
      </c>
      <c r="AE41" s="91" t="str">
        <f t="shared" si="12"/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AF41" s="88" t="str">
        <f t="shared" si="13"/>
        <v>"C:\Program Files (x86)\AstroGrep\AstroGrep.exe" /spath="%USERPROFILE%\AppData\Local\Temp\OnboardLogs" /stypes="app*4029*20161113*"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123-13 --locoid 4029 --swversion DE.1.0.8.0 --startMP 204:458 --initTime 2016-11-13T06:32:37 --startdatetime 2016-11-13T06:34:48 --delay 1 --endMP 204:233316 --enddatetime 2016-11-13T07:15:01 --enforcementcount 0 &gt;&gt;C:\Users\stu\Documents\GitHub\eaglep3-reporting\EC\2016-11-13-refined-times.txt</v>
      </c>
      <c r="AI41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{"issue":{"subject":"","project_id":79,"tracker_id":40,"status_id":1,"priority_id":2,"assigned_to_id":23,"start_date":"2016-11-13","description":"","custom_fields":[{"id":1,"name":"Subdivision","value":"EC"},{"id":4,"name":"Milepost","value":"23.3316"},{"id":17,"name":"Train ID","value":"123-13"},{"id":16,"name":"Locomotive ID","value":"4029"},{"id":130,"name":"Impact","value":""},{"id":150,"name":"Time of Event (Mountain Time)","value":"07:15:01"},{"id":151,"name":"Denver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500</v>
      </c>
      <c r="B42" s="7">
        <v>4030</v>
      </c>
      <c r="C42" s="22" t="s">
        <v>225</v>
      </c>
      <c r="D42" s="22" t="s">
        <v>292</v>
      </c>
      <c r="E42" s="13">
        <v>42687.307256944441</v>
      </c>
      <c r="F42" s="13">
        <v>42687.310011574074</v>
      </c>
      <c r="G42" s="7">
        <v>1</v>
      </c>
      <c r="H42" s="22" t="s">
        <v>176</v>
      </c>
      <c r="I42" s="13">
        <v>42687.339201388888</v>
      </c>
      <c r="J42" s="7">
        <v>0</v>
      </c>
      <c r="K42" s="109" t="str">
        <f t="shared" si="0"/>
        <v>4029/4030</v>
      </c>
      <c r="L42" s="22" t="str">
        <f>VLOOKUP(A42,'Trips&amp;Operators'!$C$1:$E$10000,3,FALSE)</f>
        <v>HAITHCOX</v>
      </c>
      <c r="M42" s="6">
        <f t="shared" si="1"/>
        <v>2.9189814813435078E-2</v>
      </c>
      <c r="N42" s="7">
        <f t="shared" si="2"/>
        <v>42.033333331346512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06:22:27-700',mode:absolute,to:'2016-11-13 09:08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23.299600000000002</v>
      </c>
      <c r="Z42" s="67">
        <f t="shared" si="9"/>
        <v>1.52E-2</v>
      </c>
      <c r="AA42" s="67">
        <f t="shared" si="10"/>
        <v>23.284400000000002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0124-13</v>
      </c>
      <c r="AE42" s="91" t="str">
        <f t="shared" si="12"/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AF42" s="88" t="str">
        <f t="shared" si="13"/>
        <v>"C:\Program Files (x86)\AstroGrep\AstroGrep.exe" /spath="%USERPROFILE%\AppData\Local\Temp\OnboardLogs" /stypes="app*4030*20161113*"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124-13 --locoid 4030 --swversion DE.1.0.8.0 --startMP 204:232996 --initTime 2016-11-13T07:22:27 --startdatetime 2016-11-13T07:26:25 --delay 1 --endMP 204:152 --enddatetime 2016-11-13T08:08:27 --enforcementcount 0 &gt;&gt;C:\Users\stu\Documents\GitHub\eaglep3-reporting\EC\2016-11-13-refined-times.txt</v>
      </c>
      <c r="AI42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{"issue":{"subject":"","project_id":79,"tracker_id":40,"status_id":1,"priority_id":2,"assigned_to_id":23,"start_date":"2016-11-13","description":"","custom_fields":[{"id":1,"name":"Subdivision","value":"EC"},{"id":4,"name":"Milepost","value":"0.0152"},{"id":17,"name":"Train ID","value":"124-13"},{"id":16,"name":"Locomotive ID","value":"4030"},{"id":130,"name":"Impact","value":""},{"id":150,"name":"Time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493</v>
      </c>
      <c r="B43" s="7">
        <v>4031</v>
      </c>
      <c r="C43" s="22" t="s">
        <v>225</v>
      </c>
      <c r="D43" s="22" t="s">
        <v>204</v>
      </c>
      <c r="E43" s="13">
        <v>42687.283275462964</v>
      </c>
      <c r="F43" s="13">
        <v>42687.285127314812</v>
      </c>
      <c r="G43" s="7">
        <v>1</v>
      </c>
      <c r="H43" s="22" t="s">
        <v>271</v>
      </c>
      <c r="I43" s="13">
        <v>42687.313287037039</v>
      </c>
      <c r="J43" s="7">
        <v>0</v>
      </c>
      <c r="K43" s="109" t="str">
        <f t="shared" si="0"/>
        <v>4031/4032</v>
      </c>
      <c r="L43" s="22" t="str">
        <f>VLOOKUP(A43,'Trips&amp;Operators'!$C$1:$E$10000,3,FALSE)</f>
        <v>STRICKLAND</v>
      </c>
      <c r="M43" s="6">
        <f t="shared" si="1"/>
        <v>2.8159722227428574E-2</v>
      </c>
      <c r="N43" s="7">
        <f t="shared" si="2"/>
        <v>40.550000007497147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05:47:55-700',mode:absolute,to:'2016-11-13 08:31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4.5999999999999999E-2</v>
      </c>
      <c r="Z43" s="67">
        <f t="shared" si="9"/>
        <v>23.330200000000001</v>
      </c>
      <c r="AA43" s="67">
        <f t="shared" si="10"/>
        <v>23.284200000000002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0125-13</v>
      </c>
      <c r="AE43" s="91" t="str">
        <f t="shared" si="12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43" s="88" t="str">
        <f t="shared" si="13"/>
        <v>"C:\Program Files (x86)\AstroGrep\AstroGrep.exe" /spath="%USERPROFILE%\AppData\Local\Temp\OnboardLogs" /stypes="app*4031*20161113*"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125-13 --locoid 4031 --swversion DE.1.0.8.0 --startMP 204:460 --initTime 2016-11-13T06:47:55 --startdatetime 2016-11-13T06:50:35 --delay 1 --endMP 204:233302 --enddatetime 2016-11-13T07:31:08 --enforcementcount 0 &gt;&gt;C:\Users\stu\Documents\GitHub\eaglep3-reporting\EC\2016-11-13-refined-times.txt</v>
      </c>
      <c r="AI43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{"issue":{"subject":"","project_id":79,"tracker_id":40,"status_id":1,"priority_id":2,"assigned_to_id":23,"start_date":"2016-11-13","description":"","custom_fields":[{"id":1,"name":"Subdivision","value":"EC"},{"id":4,"name":"Milepost","value":"23.3302"},{"id":17,"name":"Train ID","value":"125-13"},{"id":16,"name":"Locomotive ID","value":"4031"},{"id":130,"name":"Impact","value":""},{"id":150,"name":"Time of Event (Mountain Time)","value":"07:31:08"},{"id":151,"name":"Denver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502</v>
      </c>
      <c r="B44" s="7">
        <v>4032</v>
      </c>
      <c r="C44" s="22" t="s">
        <v>225</v>
      </c>
      <c r="D44" s="22" t="s">
        <v>676</v>
      </c>
      <c r="E44" s="13">
        <v>42687.316724537035</v>
      </c>
      <c r="F44" s="13">
        <v>42687.320567129631</v>
      </c>
      <c r="G44" s="7">
        <v>1</v>
      </c>
      <c r="H44" s="22" t="s">
        <v>198</v>
      </c>
      <c r="I44" s="13">
        <v>42687.348923611113</v>
      </c>
      <c r="J44" s="7">
        <v>0</v>
      </c>
      <c r="K44" s="109" t="str">
        <f t="shared" si="0"/>
        <v>4031/4032</v>
      </c>
      <c r="L44" s="22" t="str">
        <f>VLOOKUP(A44,'Trips&amp;Operators'!$C$1:$E$10000,3,FALSE)</f>
        <v>STRICKLAND</v>
      </c>
      <c r="M44" s="6">
        <f t="shared" si="1"/>
        <v>2.8356481481750961E-2</v>
      </c>
      <c r="N44" s="7">
        <f t="shared" si="2"/>
        <v>40.833333333721384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06:36:05-700',mode:absolute,to:'2016-11-13 09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23.297899999999998</v>
      </c>
      <c r="Z44" s="67">
        <f t="shared" si="9"/>
        <v>1.49E-2</v>
      </c>
      <c r="AA44" s="67">
        <f t="shared" si="10"/>
        <v>23.282999999999998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0126-13</v>
      </c>
      <c r="AE44" s="91" t="str">
        <f t="shared" si="12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44" s="88" t="str">
        <f t="shared" si="13"/>
        <v>"C:\Program Files (x86)\AstroGrep\AstroGrep.exe" /spath="%USERPROFILE%\AppData\Local\Temp\OnboardLogs" /stypes="app*4032*20161113*"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126-13 --locoid 4032 --swversion DE.1.0.8.0 --startMP 204:232979 --initTime 2016-11-13T07:36:05 --startdatetime 2016-11-13T07:41:37 --delay 1 --endMP 204:149 --enddatetime 2016-11-13T08:22:27 --enforcementcount 0 &gt;&gt;C:\Users\stu\Documents\GitHub\eaglep3-reporting\EC\2016-11-13-refined-times.txt</v>
      </c>
      <c r="AI44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{"issue":{"subject":"","project_id":79,"tracker_id":40,"status_id":1,"priority_id":2,"assigned_to_id":23,"start_date":"2016-11-13","description":"","custom_fields":[{"id":1,"name":"Subdivision","value":"EC"},{"id":4,"name":"Milepost","value":"0.0149"},{"id":17,"name":"Train ID","value":"126-13"},{"id":16,"name":"Locomotive ID","value":"4032"},{"id":130,"name":"Impact","value":""},{"id":150,"name":"Time of Event (Mountain Time)","value":"08:22:27"},{"id":151,"name":"Denver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494</v>
      </c>
      <c r="B45" s="7">
        <v>4007</v>
      </c>
      <c r="C45" s="22" t="s">
        <v>225</v>
      </c>
      <c r="D45" s="22" t="s">
        <v>227</v>
      </c>
      <c r="E45" s="13">
        <v>42687.287453703706</v>
      </c>
      <c r="F45" s="13">
        <v>42687.291979166665</v>
      </c>
      <c r="G45" s="7">
        <v>1</v>
      </c>
      <c r="H45" s="22" t="s">
        <v>677</v>
      </c>
      <c r="I45" s="13">
        <v>42687.319641203707</v>
      </c>
      <c r="J45" s="7">
        <v>0</v>
      </c>
      <c r="K45" s="109" t="str">
        <f t="shared" si="0"/>
        <v>4007/4008</v>
      </c>
      <c r="L45" s="22" t="str">
        <f>VLOOKUP(A45,'Trips&amp;Operators'!$C$1:$E$10000,3,FALSE)</f>
        <v>KILLION</v>
      </c>
      <c r="M45" s="6">
        <f t="shared" si="1"/>
        <v>2.7662037042318843E-2</v>
      </c>
      <c r="N45" s="7">
        <f t="shared" si="2"/>
        <v>39.833333340939134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05:53:56-700',mode:absolute,to:'2016-11-13 08:40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4.58E-2</v>
      </c>
      <c r="Z45" s="67">
        <f t="shared" si="9"/>
        <v>23.330500000000001</v>
      </c>
      <c r="AA45" s="67">
        <f t="shared" si="10"/>
        <v>23.284700000000001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0127-13</v>
      </c>
      <c r="AE45" s="91" t="str">
        <f t="shared" si="12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45" s="88" t="str">
        <f t="shared" si="13"/>
        <v>"C:\Program Files (x86)\AstroGrep\AstroGrep.exe" /spath="%USERPROFILE%\AppData\Local\Temp\OnboardLogs" /stypes="app*4007*20161113*"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127-13 --locoid 4007 --swversion DE.1.0.8.0 --startMP 204:458 --initTime 2016-11-13T06:53:56 --startdatetime 2016-11-13T07:00:27 --delay 1 --endMP 204:233305 --enddatetime 2016-11-13T07:40:17 --enforcementcount 0 &gt;&gt;C:\Users\stu\Documents\GitHub\eaglep3-reporting\EC\2016-11-13-refined-times.txt</v>
      </c>
      <c r="AI45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{"issue":{"subject":"","project_id":79,"tracker_id":40,"status_id":1,"priority_id":2,"assigned_to_id":23,"start_date":"2016-11-13","description":"","custom_fields":[{"id":1,"name":"Subdivision","value":"EC"},{"id":4,"name":"Milepost","value":"23.3305"},{"id":17,"name":"Train ID","value":"127-13"},{"id":16,"name":"Locomotive ID","value":"4007"},{"id":130,"name":"Impact","value":""},{"id":150,"name":"Time of Event (Mountain Time)","value":"07:40:17"},{"id":151,"name":"Denver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503</v>
      </c>
      <c r="B46" s="7">
        <v>4008</v>
      </c>
      <c r="C46" s="22" t="s">
        <v>225</v>
      </c>
      <c r="D46" s="22" t="s">
        <v>397</v>
      </c>
      <c r="E46" s="13">
        <v>42687.325439814813</v>
      </c>
      <c r="F46" s="13">
        <v>42687.330868055556</v>
      </c>
      <c r="G46" s="7">
        <v>1</v>
      </c>
      <c r="H46" s="22" t="s">
        <v>365</v>
      </c>
      <c r="I46" s="13">
        <v>42687.356724537036</v>
      </c>
      <c r="J46" s="7">
        <v>0</v>
      </c>
      <c r="K46" s="109" t="str">
        <f t="shared" si="0"/>
        <v>4007/4008</v>
      </c>
      <c r="L46" s="22" t="str">
        <f>VLOOKUP(A46,'Trips&amp;Operators'!$C$1:$E$10000,3,FALSE)</f>
        <v>KILLION</v>
      </c>
      <c r="M46" s="6">
        <f t="shared" si="1"/>
        <v>2.5856481479422655E-2</v>
      </c>
      <c r="N46" s="7">
        <f t="shared" si="2"/>
        <v>37.233333330368623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06:48:38-700',mode:absolute,to:'2016-11-13 09:33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23.2957</v>
      </c>
      <c r="Z46" s="67">
        <f t="shared" si="9"/>
        <v>1.6299999999999999E-2</v>
      </c>
      <c r="AA46" s="67">
        <f t="shared" si="10"/>
        <v>23.279399999999999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0128-13</v>
      </c>
      <c r="AE46" s="91" t="str">
        <f t="shared" si="12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46" s="88" t="str">
        <f t="shared" si="13"/>
        <v>"C:\Program Files (x86)\AstroGrep\AstroGrep.exe" /spath="%USERPROFILE%\AppData\Local\Temp\OnboardLogs" /stypes="app*4008*20161113*"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128-13 --locoid 4008 --swversion DE.1.0.8.0 --startMP 204:232957 --initTime 2016-11-13T07:48:38 --startdatetime 2016-11-13T07:56:27 --delay 1 --endMP 204:163 --enddatetime 2016-11-13T08:33:41 --enforcementcount 0 &gt;&gt;C:\Users\stu\Documents\GitHub\eaglep3-reporting\EC\2016-11-13-refined-times.txt</v>
      </c>
      <c r="AI46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{"issue":{"subject":"","project_id":79,"tracker_id":40,"status_id":1,"priority_id":2,"assigned_to_id":23,"start_date":"2016-11-13","description":"","custom_fields":[{"id":1,"name":"Subdivision","value":"EC"},{"id":4,"name":"Milepost","value":"0.0163"},{"id":17,"name":"Train ID","value":"128-13"},{"id":16,"name":"Locomotive ID","value":"4008"},{"id":130,"name":"Impact","value":""},{"id":150,"name":"Time of Event (Mountain Time)","value":"08:33:41"},{"id":151,"name":"Denver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498</v>
      </c>
      <c r="B47" s="7">
        <v>4022</v>
      </c>
      <c r="C47" s="22" t="s">
        <v>225</v>
      </c>
      <c r="D47" s="22" t="s">
        <v>362</v>
      </c>
      <c r="E47" s="13">
        <v>42687.301226851851</v>
      </c>
      <c r="F47" s="13">
        <v>42687.302731481483</v>
      </c>
      <c r="G47" s="7">
        <v>1</v>
      </c>
      <c r="H47" s="22" t="s">
        <v>678</v>
      </c>
      <c r="I47" s="13">
        <v>42687.32880787037</v>
      </c>
      <c r="J47" s="7">
        <v>0</v>
      </c>
      <c r="K47" s="109" t="str">
        <f t="shared" si="0"/>
        <v>4021/4022</v>
      </c>
      <c r="L47" s="22" t="str">
        <f>VLOOKUP(A47,'Trips&amp;Operators'!$C$1:$E$10000,3,FALSE)</f>
        <v>SWANSON</v>
      </c>
      <c r="M47" s="6">
        <f t="shared" si="1"/>
        <v>2.6076388887304347E-2</v>
      </c>
      <c r="N47" s="7">
        <f t="shared" si="2"/>
        <v>37.54999999771826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06:13:46-700',mode:absolute,to:'2016-11-13 08:53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4.4400000000000002E-2</v>
      </c>
      <c r="Z47" s="67">
        <f t="shared" si="9"/>
        <v>23.130299999999998</v>
      </c>
      <c r="AA47" s="67">
        <f t="shared" si="10"/>
        <v>23.085899999999999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0129-13</v>
      </c>
      <c r="AE47" s="91" t="str">
        <f t="shared" si="12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47" s="88" t="str">
        <f t="shared" si="13"/>
        <v>"C:\Program Files (x86)\AstroGrep\AstroGrep.exe" /spath="%USERPROFILE%\AppData\Local\Temp\OnboardLogs" /stypes="app*4022*20161113*"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129-13 --locoid 4022 --swversion DE.1.0.8.0 --startMP 204:444 --initTime 2016-11-13T07:13:46 --startdatetime 2016-11-13T07:15:56 --delay 1 --endMP 204:231303 --enddatetime 2016-11-13T07:53:29 --enforcementcount 0 &gt;&gt;C:\Users\stu\Documents\GitHub\eaglep3-reporting\EC\2016-11-13-refined-times.txt</v>
      </c>
      <c r="AI47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{"issue":{"subject":"","project_id":79,"tracker_id":40,"status_id":1,"priority_id":2,"assigned_to_id":23,"start_date":"2016-11-13","description":"","custom_fields":[{"id":1,"name":"Subdivision","value":"EC"},{"id":4,"name":"Milepost","value":"23.1303"},{"id":17,"name":"Train ID","value":"129-13"},{"id":16,"name":"Locomotive ID","value":"4022"},{"id":130,"name":"Impact","value":""},{"id":150,"name":"Time of Event (Mountain Time)","value":"07:53:29"},{"id":151,"name":"Denver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505</v>
      </c>
      <c r="B48" s="7">
        <v>4021</v>
      </c>
      <c r="C48" s="22" t="s">
        <v>225</v>
      </c>
      <c r="D48" s="22" t="s">
        <v>679</v>
      </c>
      <c r="E48" s="13">
        <v>42687.331504629627</v>
      </c>
      <c r="F48" s="13">
        <v>42687.341296296298</v>
      </c>
      <c r="G48" s="7">
        <v>1</v>
      </c>
      <c r="H48" s="22" t="s">
        <v>252</v>
      </c>
      <c r="I48" s="13">
        <v>42687.367719907408</v>
      </c>
      <c r="J48" s="7">
        <v>0</v>
      </c>
      <c r="K48" s="109" t="str">
        <f t="shared" si="0"/>
        <v>4021/4022</v>
      </c>
      <c r="L48" s="22" t="str">
        <f>VLOOKUP(A48,'Trips&amp;Operators'!$C$1:$E$10000,3,FALSE)</f>
        <v>SWANSON</v>
      </c>
      <c r="M48" s="6">
        <f t="shared" si="1"/>
        <v>2.6423611110658385E-2</v>
      </c>
      <c r="N48" s="7">
        <f t="shared" si="2"/>
        <v>38.049999999348074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06:57:22-700',mode:absolute,to:'2016-11-13 09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23.3017</v>
      </c>
      <c r="Z48" s="67">
        <f t="shared" si="9"/>
        <v>1.4999999999999999E-2</v>
      </c>
      <c r="AA48" s="67">
        <f t="shared" si="10"/>
        <v>23.2867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0130-13</v>
      </c>
      <c r="AE48" s="91" t="str">
        <f t="shared" si="12"/>
        <v>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 &amp; 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</v>
      </c>
      <c r="AF48" s="88" t="str">
        <f t="shared" si="13"/>
        <v>"C:\Program Files (x86)\AstroGrep\AstroGrep.exe" /spath="%USERPROFILE%\AppData\Local\Temp\OnboardLogs" /stypes="app*4021*20161113*"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130-13 --locoid 4021 --swversion DE.1.0.8.0 --startMP 204:233017 --initTime 2016-11-13T07:57:22 --startdatetime 2016-11-13T08:11:28 --delay 1 --endMP 204:150 --enddatetime 2016-11-13T08:49:31 --enforcementcount 0 &gt;&gt;C:\Users\stu\Documents\GitHub\eaglep3-reporting\EC\2016-11-13-refined-times.txt</v>
      </c>
      <c r="AI48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{"issue":{"subject":"","project_id":79,"tracker_id":40,"status_id":1,"priority_id":2,"assigned_to_id":23,"start_date":"2016-11-13","description":"","custom_fields":[{"id":1,"name":"Subdivision","value":"EC"},{"id":4,"name":"Milepost","value":"0.015"},{"id":17,"name":"Train ID","value":"130-13"},{"id":16,"name":"Locomotive ID","value":"4021"},{"id":130,"name":"Impact","value":""},{"id":150,"name":"Time of Event (Mountain Time)","value":"08:49:31"},{"id":151,"name":"Denver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499</v>
      </c>
      <c r="B49" s="7">
        <v>4002</v>
      </c>
      <c r="C49" s="22" t="s">
        <v>225</v>
      </c>
      <c r="D49" s="22" t="s">
        <v>255</v>
      </c>
      <c r="E49" s="13">
        <v>42687.306932870371</v>
      </c>
      <c r="F49" s="13">
        <v>42687.312696759262</v>
      </c>
      <c r="G49" s="7">
        <v>1</v>
      </c>
      <c r="H49" s="22" t="s">
        <v>408</v>
      </c>
      <c r="I49" s="13">
        <v>42687.337268518517</v>
      </c>
      <c r="J49" s="7">
        <v>0</v>
      </c>
      <c r="K49" s="109" t="str">
        <f t="shared" si="0"/>
        <v>4001/4002</v>
      </c>
      <c r="L49" s="22" t="str">
        <f>VLOOKUP(A49,'Trips&amp;Operators'!$C$1:$E$10000,3,FALSE)</f>
        <v>ACKERMAN</v>
      </c>
      <c r="M49" s="6">
        <f t="shared" si="1"/>
        <v>2.4571759255195502E-2</v>
      </c>
      <c r="N49" s="7">
        <f t="shared" si="2"/>
        <v>35.383333327481523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06:21:59-700',mode:absolute,to:'2016-11-13 09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4.6699999999999998E-2</v>
      </c>
      <c r="Z49" s="67">
        <f t="shared" si="9"/>
        <v>23.331099999999999</v>
      </c>
      <c r="AA49" s="67">
        <f t="shared" si="10"/>
        <v>23.284399999999998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0131-13</v>
      </c>
      <c r="AE49" s="91" t="str">
        <f t="shared" si="12"/>
        <v>aws s3 cp s3://rtdc.mdm.uploadarchive.raw/RTDC4002/ "%USERPROFILE%\AppData\Local\Temp\OnboardLogs"\RTDC4002\2016-11-13 --exclude "*" --recursive --include "*20161113*" &amp; "%USERPROFILE%\Documents\GitHub\mrs-test-scripts\Headless Mode &amp; Sideloading\WalkAndUnGZ.bat" "%USERPROFILE%\AppData\Local\Temp\OnboardLogs"\RTDC4002\2016-11-13 &amp; aws s3 cp s3://rtdc.mdm.uploadarchive.raw/RTDC4002/ "%USERPROFILE%\AppData\Local\Temp\OnboardLogs"\RTDC4002\2016-11-14 --exclude "*" --recursive --include "*20161114*" &amp; "%USERPROFILE%\Documents\GitHub\mrs-test-scripts\Headless Mode &amp; Sideloading\WalkAndUnGZ.bat" "%USERPROFILE%\AppData\Local\Temp\OnboardLogs"\RTDC4002\2016-11-14</v>
      </c>
      <c r="AF49" s="88" t="str">
        <f t="shared" si="13"/>
        <v>"C:\Program Files (x86)\AstroGrep\AstroGrep.exe" /spath="%USERPROFILE%\AppData\Local\Temp\OnboardLogs" /stypes="app*4002*20161113*"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131-13 --locoid 4002 --swversion DE.1.0.8.0 --startMP 204:467 --initTime 2016-11-13T07:21:59 --startdatetime 2016-11-13T07:30:17 --delay 1 --endMP 204:233311 --enddatetime 2016-11-13T08:05:40 --enforcementcount 0 &gt;&gt;C:\Users\stu\Documents\GitHub\eaglep3-reporting\EC\2016-11-13-refined-times.txt</v>
      </c>
      <c r="AI49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{"issue":{"subject":"","project_id":79,"tracker_id":40,"status_id":1,"priority_id":2,"assigned_to_id":23,"start_date":"2016-11-13","description":"","custom_fields":[{"id":1,"name":"Subdivision","value":"EC"},{"id":4,"name":"Milepost","value":"23.3311"},{"id":17,"name":"Train ID","value":"131-13"},{"id":16,"name":"Locomotive ID","value":"4002"},{"id":130,"name":"Impact","value":""},{"id":150,"name":"Time of Event (Mountain Time)","value":"08:05:40"},{"id":151,"name":"Denver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508</v>
      </c>
      <c r="B50" s="7">
        <v>4001</v>
      </c>
      <c r="C50" s="22" t="s">
        <v>225</v>
      </c>
      <c r="D50" s="22" t="s">
        <v>262</v>
      </c>
      <c r="E50" s="13">
        <v>42687.345393518517</v>
      </c>
      <c r="F50" s="13">
        <v>42687.351631944446</v>
      </c>
      <c r="G50" s="7">
        <v>1</v>
      </c>
      <c r="H50" s="22" t="s">
        <v>198</v>
      </c>
      <c r="I50" s="13">
        <v>42687.377500000002</v>
      </c>
      <c r="J50" s="7">
        <v>0</v>
      </c>
      <c r="K50" s="109" t="str">
        <f t="shared" si="0"/>
        <v>4001/4002</v>
      </c>
      <c r="L50" s="22" t="str">
        <f>VLOOKUP(A50,'Trips&amp;Operators'!$C$1:$E$10000,3,FALSE)</f>
        <v>ACKERMAN</v>
      </c>
      <c r="M50" s="6">
        <f t="shared" si="1"/>
        <v>2.5868055556202307E-2</v>
      </c>
      <c r="N50" s="7">
        <f t="shared" si="2"/>
        <v>37.250000000931323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07:17:22-700',mode:absolute,to:'2016-11-13 10:03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23.297799999999999</v>
      </c>
      <c r="Z50" s="67">
        <f t="shared" si="9"/>
        <v>1.49E-2</v>
      </c>
      <c r="AA50" s="67">
        <f t="shared" si="10"/>
        <v>23.282899999999998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0132-13</v>
      </c>
      <c r="AE50" s="91" t="str">
        <f t="shared" si="12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50" s="88" t="str">
        <f t="shared" si="13"/>
        <v>"C:\Program Files (x86)\AstroGrep\AstroGrep.exe" /spath="%USERPROFILE%\AppData\Local\Temp\OnboardLogs" /stypes="app*4001*20161113*"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132-13 --locoid 4001 --swversion DE.1.0.8.0 --startMP 204:232978 --initTime 2016-11-13T08:17:22 --startdatetime 2016-11-13T08:26:21 --delay 1 --endMP 204:149 --enddatetime 2016-11-13T09:03:36 --enforcementcount 0 &gt;&gt;C:\Users\stu\Documents\GitHub\eaglep3-reporting\EC\2016-11-13-refined-times.txt</v>
      </c>
      <c r="AI50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{"issue":{"subject":"","project_id":79,"tracker_id":40,"status_id":1,"priority_id":2,"assigned_to_id":23,"start_date":"2016-11-13","description":"","custom_fields":[{"id":1,"name":"Subdivision","value":"EC"},{"id":4,"name":"Milepost","value":"0.0149"},{"id":17,"name":"Train ID","value":"132-13"},{"id":16,"name":"Locomotive ID","value":"4001"},{"id":130,"name":"Impact","value":""},{"id":150,"name":"Time of Event (Mountain Time)","value":"09:03:36"},{"id":151,"name":"Denver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501</v>
      </c>
      <c r="B51" s="7">
        <v>4016</v>
      </c>
      <c r="C51" s="22" t="s">
        <v>225</v>
      </c>
      <c r="D51" s="22" t="s">
        <v>680</v>
      </c>
      <c r="E51" s="13">
        <v>42687.313356481478</v>
      </c>
      <c r="F51" s="13">
        <v>42687.323136574072</v>
      </c>
      <c r="G51" s="7">
        <v>2</v>
      </c>
      <c r="H51" s="22" t="s">
        <v>286</v>
      </c>
      <c r="I51" s="13">
        <v>42687.34710648148</v>
      </c>
      <c r="J51" s="7">
        <v>0</v>
      </c>
      <c r="K51" s="109" t="str">
        <f t="shared" si="0"/>
        <v>4015/4016</v>
      </c>
      <c r="L51" s="22" t="str">
        <f>VLOOKUP(A51,'Trips&amp;Operators'!$C$1:$E$10000,3,FALSE)</f>
        <v>DE LA ROSA</v>
      </c>
      <c r="M51" s="6">
        <f t="shared" si="1"/>
        <v>2.396990740817273E-2</v>
      </c>
      <c r="N51" s="7">
        <f t="shared" si="2"/>
        <v>34.516666667768732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06:31:14-700',mode:absolute,to:'2016-11-13 09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4.7699999999999999E-2</v>
      </c>
      <c r="Z51" s="67">
        <f t="shared" si="9"/>
        <v>23.330400000000001</v>
      </c>
      <c r="AA51" s="67">
        <f t="shared" si="10"/>
        <v>23.282700000000002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0133-13</v>
      </c>
      <c r="AE51" s="91" t="str">
        <f t="shared" si="12"/>
        <v>aws s3 cp s3://rtdc.mdm.uploadarchive.raw/RTDC4016/ "%USERPROFILE%\AppData\Local\Temp\OnboardLogs"\RTDC4016\2016-11-13 --exclude "*" --recursive --include "*20161113*" &amp; "%USERPROFILE%\Documents\GitHub\mrs-test-scripts\Headless Mode &amp; Sideloading\WalkAndUnGZ.bat" "%USERPROFILE%\AppData\Local\Temp\OnboardLogs"\RTDC4016\2016-11-13 &amp; 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</v>
      </c>
      <c r="AF51" s="88" t="str">
        <f t="shared" si="13"/>
        <v>"C:\Program Files (x86)\AstroGrep\AstroGrep.exe" /spath="%USERPROFILE%\AppData\Local\Temp\OnboardLogs" /stypes="app*4016*20161113*"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133-13 --locoid 4016 --swversion DE.1.0.8.0 --startMP 204:477 --initTime 2016-11-13T07:31:14 --startdatetime 2016-11-13T07:45:19 --delay 2 --endMP 204:233304 --enddatetime 2016-11-13T08:19:50 --enforcementcount 0 &gt;&gt;C:\Users\stu\Documents\GitHub\eaglep3-reporting\EC\2016-11-13-refined-times.txt</v>
      </c>
      <c r="AI51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{"issue":{"subject":"","project_id":79,"tracker_id":40,"status_id":1,"priority_id":2,"assigned_to_id":23,"start_date":"2016-11-13","description":"","custom_fields":[{"id":1,"name":"Subdivision","value":"EC"},{"id":4,"name":"Milepost","value":"23.3304"},{"id":17,"name":"Train ID","value":"133-13"},{"id":16,"name":"Locomotive ID","value":"4016"},{"id":130,"name":"Impact","value":""},{"id":150,"name":"Time of Event (Mountain Time)","value":"08:19:50"},{"id":151,"name":"Denver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510</v>
      </c>
      <c r="B52" s="7">
        <v>4015</v>
      </c>
      <c r="C52" s="22" t="s">
        <v>225</v>
      </c>
      <c r="D52" s="22" t="s">
        <v>367</v>
      </c>
      <c r="E52" s="13">
        <v>42687.358055555553</v>
      </c>
      <c r="F52" s="13">
        <v>42687.362025462964</v>
      </c>
      <c r="G52" s="7">
        <v>1</v>
      </c>
      <c r="H52" s="22" t="s">
        <v>198</v>
      </c>
      <c r="I52" s="13">
        <v>42687.387812499997</v>
      </c>
      <c r="J52" s="7">
        <v>0</v>
      </c>
      <c r="K52" s="109" t="str">
        <f t="shared" si="0"/>
        <v>4015/4016</v>
      </c>
      <c r="L52" s="22" t="str">
        <f>VLOOKUP(A52,'Trips&amp;Operators'!$C$1:$E$10000,3,FALSE)</f>
        <v>DE LA ROSA</v>
      </c>
      <c r="M52" s="6">
        <f t="shared" si="1"/>
        <v>2.5787037033296656E-2</v>
      </c>
      <c r="N52" s="7">
        <f t="shared" si="2"/>
        <v>37.133333327947184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07:35:36-700',mode:absolute,to:'2016-11-13 10:18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23.298300000000001</v>
      </c>
      <c r="Z52" s="67">
        <f t="shared" si="9"/>
        <v>1.49E-2</v>
      </c>
      <c r="AA52" s="67">
        <f t="shared" si="10"/>
        <v>23.2834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0134-13</v>
      </c>
      <c r="AE52" s="91" t="str">
        <f t="shared" si="12"/>
        <v>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 &amp; 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</v>
      </c>
      <c r="AF52" s="88" t="str">
        <f t="shared" si="13"/>
        <v>"C:\Program Files (x86)\AstroGrep\AstroGrep.exe" /spath="%USERPROFILE%\AppData\Local\Temp\OnboardLogs" /stypes="app*4015*20161113*"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134-13 --locoid 4015 --swversion DE.1.0.8.0 --startMP 204:232983 --initTime 2016-11-13T08:35:36 --startdatetime 2016-11-13T08:41:19 --delay 1 --endMP 204:149 --enddatetime 2016-11-13T09:18:27 --enforcementcount 0 &gt;&gt;C:\Users\stu\Documents\GitHub\eaglep3-reporting\EC\2016-11-13-refined-times.txt</v>
      </c>
      <c r="AI52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{"issue":{"subject":"","project_id":79,"tracker_id":40,"status_id":1,"priority_id":2,"assigned_to_id":23,"start_date":"2016-11-13","description":"","custom_fields":[{"id":1,"name":"Subdivision","value":"EC"},{"id":4,"name":"Milepost","value":"0.0149"},{"id":17,"name":"Train ID","value":"134-13"},{"id":16,"name":"Locomotive ID","value":"4015"},{"id":130,"name":"Impact","value":""},{"id":150,"name":"Time of Event (Mountain Time)","value":"09:18:27"},{"id":151,"name":"Denver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504</v>
      </c>
      <c r="B53" s="7">
        <v>4044</v>
      </c>
      <c r="C53" s="22" t="s">
        <v>225</v>
      </c>
      <c r="D53" s="22" t="s">
        <v>200</v>
      </c>
      <c r="E53" s="13">
        <v>42687.330347222225</v>
      </c>
      <c r="F53" s="13">
        <v>42687.333495370367</v>
      </c>
      <c r="G53" s="7">
        <v>1</v>
      </c>
      <c r="H53" s="22" t="s">
        <v>393</v>
      </c>
      <c r="I53" s="13">
        <v>42687.358587962961</v>
      </c>
      <c r="J53" s="7">
        <v>0</v>
      </c>
      <c r="K53" s="109" t="str">
        <f t="shared" si="0"/>
        <v>4043/4044</v>
      </c>
      <c r="L53" s="22" t="str">
        <f>VLOOKUP(A53,'Trips&amp;Operators'!$C$1:$E$10000,3,FALSE)</f>
        <v>DAVIS</v>
      </c>
      <c r="M53" s="6">
        <f t="shared" si="1"/>
        <v>2.5092592593864538E-2</v>
      </c>
      <c r="N53" s="7">
        <f t="shared" si="2"/>
        <v>36.133333335164934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06:55:42-700',mode:absolute,to:'2016-11-13 09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4.4699999999999997E-2</v>
      </c>
      <c r="Z53" s="67">
        <f t="shared" si="9"/>
        <v>23.330100000000002</v>
      </c>
      <c r="AA53" s="67">
        <f t="shared" si="10"/>
        <v>23.285400000000003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0135-13</v>
      </c>
      <c r="AE53" s="91" t="str">
        <f t="shared" si="12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53" s="88" t="str">
        <f t="shared" si="13"/>
        <v>"C:\Program Files (x86)\AstroGrep\AstroGrep.exe" /spath="%USERPROFILE%\AppData\Local\Temp\OnboardLogs" /stypes="app*4044*20161113*"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135-13 --locoid 4044 --swversion DE.1.0.8.0 --startMP 204:447 --initTime 2016-11-13T07:55:42 --startdatetime 2016-11-13T08:00:14 --delay 1 --endMP 204:233301 --enddatetime 2016-11-13T08:36:22 --enforcementcount 0 &gt;&gt;C:\Users\stu\Documents\GitHub\eaglep3-reporting\EC\2016-11-13-refined-times.txt</v>
      </c>
      <c r="AI53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{"issue":{"subject":"","project_id":79,"tracker_id":40,"status_id":1,"priority_id":2,"assigned_to_id":23,"start_date":"2016-11-13","description":"","custom_fields":[{"id":1,"name":"Subdivision","value":"EC"},{"id":4,"name":"Milepost","value":"23.3301"},{"id":17,"name":"Train ID","value":"135-13"},{"id":16,"name":"Locomotive ID","value":"4044"},{"id":130,"name":"Impact","value":""},{"id":150,"name":"Time of Event (Mountain Time)","value":"08:36:22"},{"id":151,"name":"Denver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514</v>
      </c>
      <c r="B54" s="7">
        <v>4043</v>
      </c>
      <c r="C54" s="22" t="s">
        <v>225</v>
      </c>
      <c r="D54" s="22" t="s">
        <v>681</v>
      </c>
      <c r="E54" s="13">
        <v>42687.369004629632</v>
      </c>
      <c r="F54" s="13">
        <v>42687.372499999998</v>
      </c>
      <c r="G54" s="7">
        <v>1</v>
      </c>
      <c r="H54" s="22" t="s">
        <v>428</v>
      </c>
      <c r="I54" s="13">
        <v>42687.400543981479</v>
      </c>
      <c r="J54" s="7">
        <v>0</v>
      </c>
      <c r="K54" s="109" t="str">
        <f t="shared" si="0"/>
        <v>4043/4044</v>
      </c>
      <c r="L54" s="22" t="str">
        <f>VLOOKUP(A54,'Trips&amp;Operators'!$C$1:$E$10000,3,FALSE)</f>
        <v>DAVIS</v>
      </c>
      <c r="M54" s="6">
        <f t="shared" si="1"/>
        <v>2.8043981481459923E-2</v>
      </c>
      <c r="N54" s="7">
        <f t="shared" si="2"/>
        <v>40.383333333302289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07:51:22-700',mode:absolute,to:'2016-11-13 10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23.296500000000002</v>
      </c>
      <c r="Z54" s="67">
        <f t="shared" si="9"/>
        <v>1.21E-2</v>
      </c>
      <c r="AA54" s="67">
        <f t="shared" si="10"/>
        <v>23.284400000000002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0136-13</v>
      </c>
      <c r="AE54" s="91" t="str">
        <f t="shared" si="12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54" s="88" t="str">
        <f t="shared" si="13"/>
        <v>"C:\Program Files (x86)\AstroGrep\AstroGrep.exe" /spath="%USERPROFILE%\AppData\Local\Temp\OnboardLogs" /stypes="app*4043*20161113*"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136-13 --locoid 4043 --swversion DE.1.0.8.0 --startMP 204:232965 --initTime 2016-11-13T08:51:22 --startdatetime 2016-11-13T08:56:24 --delay 1 --endMP 204:121 --enddatetime 2016-11-13T09:36:47 --enforcementcount 0 &gt;&gt;C:\Users\stu\Documents\GitHub\eaglep3-reporting\EC\2016-11-13-refined-times.txt</v>
      </c>
      <c r="AI54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{"issue":{"subject":"","project_id":79,"tracker_id":40,"status_id":1,"priority_id":2,"assigned_to_id":23,"start_date":"2016-11-13","description":"","custom_fields":[{"id":1,"name":"Subdivision","value":"EC"},{"id":4,"name":"Milepost","value":"0.0121"},{"id":17,"name":"Train ID","value":"136-13"},{"id":16,"name":"Locomotive ID","value":"4043"},{"id":130,"name":"Impact","value":""},{"id":150,"name":"Time of Event (Mountain Time)","value":"09:36:47"},{"id":151,"name":"Denver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507</v>
      </c>
      <c r="B55" s="7">
        <v>4029</v>
      </c>
      <c r="C55" s="22" t="s">
        <v>225</v>
      </c>
      <c r="D55" s="22" t="s">
        <v>290</v>
      </c>
      <c r="E55" s="13">
        <v>42687.340891203705</v>
      </c>
      <c r="F55" s="13">
        <v>42687.343981481485</v>
      </c>
      <c r="G55" s="7">
        <v>1</v>
      </c>
      <c r="H55" s="22" t="s">
        <v>188</v>
      </c>
      <c r="I55" s="13">
        <v>42687.368842592594</v>
      </c>
      <c r="J55" s="7">
        <v>0</v>
      </c>
      <c r="K55" s="109" t="str">
        <f t="shared" si="0"/>
        <v>4029/4030</v>
      </c>
      <c r="L55" s="22" t="str">
        <f>VLOOKUP(A55,'Trips&amp;Operators'!$C$1:$E$10000,3,FALSE)</f>
        <v>HAITHCOX</v>
      </c>
      <c r="M55" s="6">
        <f t="shared" si="1"/>
        <v>2.4861111109203193E-2</v>
      </c>
      <c r="N55" s="7">
        <f t="shared" si="2"/>
        <v>35.799999997252598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07:10:53-700',mode:absolute,to:'2016-11-13 09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4.7100000000000003E-2</v>
      </c>
      <c r="Z55" s="67">
        <f t="shared" si="9"/>
        <v>23.329699999999999</v>
      </c>
      <c r="AA55" s="67">
        <f t="shared" si="10"/>
        <v>23.282599999999999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0137-13</v>
      </c>
      <c r="AE55" s="91" t="str">
        <f t="shared" si="12"/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AF55" s="88" t="str">
        <f t="shared" si="13"/>
        <v>"C:\Program Files (x86)\AstroGrep\AstroGrep.exe" /spath="%USERPROFILE%\AppData\Local\Temp\OnboardLogs" /stypes="app*4029*20161113*"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137-13 --locoid 4029 --swversion DE.1.0.8.0 --startMP 204:471 --initTime 2016-11-13T08:10:53 --startdatetime 2016-11-13T08:15:20 --delay 1 --endMP 204:233297 --enddatetime 2016-11-13T08:51:08 --enforcementcount 0 &gt;&gt;C:\Users\stu\Documents\GitHub\eaglep3-reporting\EC\2016-11-13-refined-times.txt</v>
      </c>
      <c r="AI55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{"issue":{"subject":"","project_id":79,"tracker_id":40,"status_id":1,"priority_id":2,"assigned_to_id":23,"start_date":"2016-11-13","description":"","custom_fields":[{"id":1,"name":"Subdivision","value":"EC"},{"id":4,"name":"Milepost","value":"23.3297"},{"id":17,"name":"Train ID","value":"137-13"},{"id":16,"name":"Locomotive ID","value":"4029"},{"id":130,"name":"Impact","value":""},{"id":150,"name":"Time of Event (Mountain Time)","value":"08:51:08"},{"id":151,"name":"Denver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515</v>
      </c>
      <c r="B56" s="7">
        <v>4030</v>
      </c>
      <c r="C56" s="22" t="s">
        <v>225</v>
      </c>
      <c r="D56" s="22" t="s">
        <v>367</v>
      </c>
      <c r="E56" s="13">
        <v>42687.378680555557</v>
      </c>
      <c r="F56" s="13">
        <v>42687.382986111108</v>
      </c>
      <c r="G56" s="7">
        <v>1</v>
      </c>
      <c r="H56" s="22" t="s">
        <v>199</v>
      </c>
      <c r="I56" s="13">
        <v>42687.409317129626</v>
      </c>
      <c r="J56" s="7">
        <v>0</v>
      </c>
      <c r="K56" s="109" t="str">
        <f t="shared" si="0"/>
        <v>4029/4030</v>
      </c>
      <c r="L56" s="22" t="str">
        <f>VLOOKUP(A56,'Trips&amp;Operators'!$C$1:$E$10000,3,FALSE)</f>
        <v>HAITHCOX</v>
      </c>
      <c r="M56" s="6">
        <f t="shared" si="1"/>
        <v>2.6331018518249039E-2</v>
      </c>
      <c r="N56" s="7">
        <f t="shared" si="2"/>
        <v>37.916666666278616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08:05:18-700',mode:absolute,to:'2016-11-13 10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23.298300000000001</v>
      </c>
      <c r="Z56" s="67">
        <f t="shared" si="9"/>
        <v>1.43E-2</v>
      </c>
      <c r="AA56" s="67">
        <f t="shared" si="10"/>
        <v>23.284000000000002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0138-13</v>
      </c>
      <c r="AE56" s="91" t="str">
        <f t="shared" si="12"/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AF56" s="88" t="str">
        <f t="shared" si="13"/>
        <v>"C:\Program Files (x86)\AstroGrep\AstroGrep.exe" /spath="%USERPROFILE%\AppData\Local\Temp\OnboardLogs" /stypes="app*4030*20161113*"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138-13 --locoid 4030 --swversion DE.1.0.8.0 --startMP 204:232983 --initTime 2016-11-13T09:05:18 --startdatetime 2016-11-13T09:11:30 --delay 1 --endMP 204:143 --enddatetime 2016-11-13T09:49:25 --enforcementcount 0 &gt;&gt;C:\Users\stu\Documents\GitHub\eaglep3-reporting\EC\2016-11-13-refined-times.txt</v>
      </c>
      <c r="AI56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{"issue":{"subject":"","project_id":79,"tracker_id":40,"status_id":1,"priority_id":2,"assigned_to_id":23,"start_date":"2016-11-13","description":"","custom_fields":[{"id":1,"name":"Subdivision","value":"EC"},{"id":4,"name":"Milepost","value":"0.0143"},{"id":17,"name":"Train ID","value":"138-13"},{"id":16,"name":"Locomotive ID","value":"4030"},{"id":130,"name":"Impact","value":""},{"id":150,"name":"Time of Event (Mountain Time)","value":"09:49:25"},{"id":151,"name":"Denver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509</v>
      </c>
      <c r="B57" s="7">
        <v>4031</v>
      </c>
      <c r="C57" s="22" t="s">
        <v>225</v>
      </c>
      <c r="D57" s="22" t="s">
        <v>245</v>
      </c>
      <c r="E57" s="13">
        <v>42687.350659722222</v>
      </c>
      <c r="F57" s="13">
        <v>42687.354930555557</v>
      </c>
      <c r="G57" s="7">
        <v>1</v>
      </c>
      <c r="H57" s="22" t="s">
        <v>363</v>
      </c>
      <c r="I57" s="13">
        <v>42687.38008101852</v>
      </c>
      <c r="J57" s="7">
        <v>0</v>
      </c>
      <c r="K57" s="109" t="str">
        <f t="shared" si="0"/>
        <v>4031/4032</v>
      </c>
      <c r="L57" s="22" t="str">
        <f>VLOOKUP(A57,'Trips&amp;Operators'!$C$1:$E$10000,3,FALSE)</f>
        <v>STRICKLAND</v>
      </c>
      <c r="M57" s="6">
        <f t="shared" si="1"/>
        <v>2.5150462963210884E-2</v>
      </c>
      <c r="N57" s="7">
        <f t="shared" si="2"/>
        <v>36.216666667023674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07:24:57-700',mode:absolute,to:'2016-11-13 10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4.6899999999999997E-2</v>
      </c>
      <c r="Z57" s="67">
        <f t="shared" si="9"/>
        <v>23.328600000000002</v>
      </c>
      <c r="AA57" s="67">
        <f t="shared" si="10"/>
        <v>23.281700000000001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0139-13</v>
      </c>
      <c r="AE57" s="91" t="str">
        <f t="shared" si="12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57" s="88" t="str">
        <f t="shared" si="13"/>
        <v>"C:\Program Files (x86)\AstroGrep\AstroGrep.exe" /spath="%USERPROFILE%\AppData\Local\Temp\OnboardLogs" /stypes="app*4031*20161113*"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139-13 --locoid 4031 --swversion DE.1.0.8.0 --startMP 204:469 --initTime 2016-11-13T08:24:57 --startdatetime 2016-11-13T08:31:06 --delay 1 --endMP 204:233286 --enddatetime 2016-11-13T09:07:19 --enforcementcount 0 &gt;&gt;C:\Users\stu\Documents\GitHub\eaglep3-reporting\EC\2016-11-13-refined-times.txt</v>
      </c>
      <c r="AI57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{"issue":{"subject":"","project_id":79,"tracker_id":40,"status_id":1,"priority_id":2,"assigned_to_id":23,"start_date":"2016-11-13","description":"","custom_fields":[{"id":1,"name":"Subdivision","value":"EC"},{"id":4,"name":"Milepost","value":"23.3286"},{"id":17,"name":"Train ID","value":"139-13"},{"id":16,"name":"Locomotive ID","value":"4031"},{"id":130,"name":"Impact","value":""},{"id":150,"name":"Time of Event (Mountain Time)","value":"09:07:19"},{"id":151,"name":"Denver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447</v>
      </c>
      <c r="B58" s="7">
        <v>4032</v>
      </c>
      <c r="C58" s="22" t="s">
        <v>225</v>
      </c>
      <c r="D58" s="22" t="s">
        <v>426</v>
      </c>
      <c r="E58" s="13">
        <v>42687.389178240737</v>
      </c>
      <c r="F58" s="13">
        <v>42687.393252314818</v>
      </c>
      <c r="G58" s="7">
        <v>1</v>
      </c>
      <c r="H58" s="22" t="s">
        <v>216</v>
      </c>
      <c r="I58" s="13">
        <v>42687.421273148146</v>
      </c>
      <c r="J58" s="7">
        <v>0</v>
      </c>
      <c r="K58" s="109" t="str">
        <f t="shared" si="0"/>
        <v>4031/4032</v>
      </c>
      <c r="L58" s="22" t="str">
        <f>VLOOKUP(A58,'Trips&amp;Operators'!$C$1:$E$10000,3,FALSE)</f>
        <v>STRICKLAND</v>
      </c>
      <c r="M58" s="6">
        <f t="shared" si="1"/>
        <v>2.8020833327900618E-2</v>
      </c>
      <c r="N58" s="7">
        <f t="shared" si="2"/>
        <v>40.34999999217689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08:20:25-700',mode:absolute,to:'2016-11-13 11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23.2971</v>
      </c>
      <c r="Z58" s="67">
        <f t="shared" si="9"/>
        <v>1.5599999999999999E-2</v>
      </c>
      <c r="AA58" s="67">
        <f t="shared" si="10"/>
        <v>23.281500000000001</v>
      </c>
      <c r="AB58" s="64" t="str">
        <f>VLOOKUP(A58,Enforcements!$C$7:$K$20,8,0)</f>
        <v>Speed (6)</v>
      </c>
      <c r="AC58" s="60" t="str">
        <f>VLOOKUP(A58,Enforcements!$C$7:$E$20,3,0)</f>
        <v>PERMANENT SPEED RESTRICTION</v>
      </c>
      <c r="AD58" s="61" t="str">
        <f t="shared" si="11"/>
        <v>0140-13</v>
      </c>
      <c r="AE58" s="91" t="str">
        <f t="shared" si="12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58" s="88" t="str">
        <f t="shared" si="13"/>
        <v>"C:\Program Files (x86)\AstroGrep\AstroGrep.exe" /spath="%USERPROFILE%\AppData\Local\Temp\OnboardLogs" /stypes="app*4032*20161113*"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140-13 --locoid 4032 --swversion DE.1.0.8.0 --startMP 204:232971 --initTime 2016-11-13T09:20:25 --startdatetime 2016-11-13T09:26:17 --delay 1 --endMP 204:156 --enddatetime 2016-11-13T10:06:38 --enforcementcount 0 &gt;&gt;C:\Users\stu\Documents\GitHub\eaglep3-reporting\EC\2016-11-13-refined-times.txt</v>
      </c>
      <c r="AI58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{"issue":{"subject":"","project_id":79,"tracker_id":40,"status_id":1,"priority_id":2,"assigned_to_id":23,"start_date":"2016-11-13","description":"","custom_fields":[{"id":1,"name":"Subdivision","value":"EC"},{"id":4,"name":"Milepost","value":"0.0156"},{"id":17,"name":"Train ID","value":"140-13"},{"id":16,"name":"Locomotive ID","value":"4032"},{"id":130,"name":"Impact","value":""},{"id":150,"name":"Time of Event (Mountain Time)","value":"10:06:38"},{"id":151,"name":"Denver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511</v>
      </c>
      <c r="B59" s="7">
        <v>4007</v>
      </c>
      <c r="C59" s="22" t="s">
        <v>225</v>
      </c>
      <c r="D59" s="22" t="s">
        <v>255</v>
      </c>
      <c r="E59" s="13">
        <v>42687.358622685184</v>
      </c>
      <c r="F59" s="13">
        <v>42687.365173611113</v>
      </c>
      <c r="G59" s="7">
        <v>1</v>
      </c>
      <c r="H59" s="22" t="s">
        <v>271</v>
      </c>
      <c r="I59" s="13">
        <v>42687.389618055553</v>
      </c>
      <c r="J59" s="7">
        <v>0</v>
      </c>
      <c r="K59" s="109" t="str">
        <f t="shared" si="0"/>
        <v>4007/4008</v>
      </c>
      <c r="L59" s="22" t="str">
        <f>VLOOKUP(A59,'Trips&amp;Operators'!$C$1:$E$10000,3,FALSE)</f>
        <v>KILLION</v>
      </c>
      <c r="M59" s="6">
        <f t="shared" si="1"/>
        <v>2.4444444439723156E-2</v>
      </c>
      <c r="N59" s="7">
        <f t="shared" si="2"/>
        <v>35.199999993201345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07:36:25-700',mode:absolute,to:'2016-11-13 10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4.6699999999999998E-2</v>
      </c>
      <c r="Z59" s="67">
        <f t="shared" si="9"/>
        <v>23.330200000000001</v>
      </c>
      <c r="AA59" s="67">
        <f t="shared" si="10"/>
        <v>23.2835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0141-13</v>
      </c>
      <c r="AE59" s="91" t="str">
        <f t="shared" si="12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59" s="88" t="str">
        <f t="shared" si="13"/>
        <v>"C:\Program Files (x86)\AstroGrep\AstroGrep.exe" /spath="%USERPROFILE%\AppData\Local\Temp\OnboardLogs" /stypes="app*4007*20161113*"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141-13 --locoid 4007 --swversion DE.1.0.8.0 --startMP 204:467 --initTime 2016-11-13T08:36:25 --startdatetime 2016-11-13T08:45:51 --delay 1 --endMP 204:233302 --enddatetime 2016-11-13T09:21:03 --enforcementcount 0 &gt;&gt;C:\Users\stu\Documents\GitHub\eaglep3-reporting\EC\2016-11-13-refined-times.txt</v>
      </c>
      <c r="AI59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{"issue":{"subject":"","project_id":79,"tracker_id":40,"status_id":1,"priority_id":2,"assigned_to_id":23,"start_date":"2016-11-13","description":"","custom_fields":[{"id":1,"name":"Subdivision","value":"EC"},{"id":4,"name":"Milepost","value":"23.3302"},{"id":17,"name":"Train ID","value":"141-13"},{"id":16,"name":"Locomotive ID","value":"4007"},{"id":130,"name":"Impact","value":""},{"id":150,"name":"Time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29" customFormat="1" x14ac:dyDescent="0.25">
      <c r="A60" s="37" t="s">
        <v>519</v>
      </c>
      <c r="B60" s="7">
        <v>4008</v>
      </c>
      <c r="C60" s="22" t="s">
        <v>225</v>
      </c>
      <c r="D60" s="22" t="s">
        <v>364</v>
      </c>
      <c r="E60" s="13">
        <v>42687.394733796296</v>
      </c>
      <c r="F60" s="13">
        <v>42687.403645833336</v>
      </c>
      <c r="G60" s="7">
        <v>1</v>
      </c>
      <c r="H60" s="22" t="s">
        <v>216</v>
      </c>
      <c r="I60" s="13">
        <v>42687.429606481484</v>
      </c>
      <c r="J60" s="7">
        <v>0</v>
      </c>
      <c r="K60" s="109" t="str">
        <f t="shared" si="0"/>
        <v>4007/4008</v>
      </c>
      <c r="L60" s="22" t="str">
        <f>VLOOKUP(A60,'Trips&amp;Operators'!$C$1:$E$10000,3,FALSE)</f>
        <v>KILLION</v>
      </c>
      <c r="M60" s="6">
        <f t="shared" si="1"/>
        <v>2.5960648148611654E-2</v>
      </c>
      <c r="N60" s="7">
        <f t="shared" si="2"/>
        <v>37.383333334000781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08:28:25-700',mode:absolute,to:'2016-11-13 11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23.2987</v>
      </c>
      <c r="Z60" s="67">
        <f t="shared" si="9"/>
        <v>1.5599999999999999E-2</v>
      </c>
      <c r="AA60" s="67">
        <f t="shared" si="10"/>
        <v>23.283100000000001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0142-13</v>
      </c>
      <c r="AE60" s="91" t="str">
        <f t="shared" si="12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60" s="88" t="str">
        <f t="shared" si="13"/>
        <v>"C:\Program Files (x86)\AstroGrep\AstroGrep.exe" /spath="%USERPROFILE%\AppData\Local\Temp\OnboardLogs" /stypes="app*4008*20161113*" /stext=" 17:.+((SYSTEM_STATE.+slice.+state.+changed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142-13 --locoid 4008 --swversion DE.1.0.8.0 --startMP 204:232987 --initTime 2016-11-13T09:28:25 --startdatetime 2016-11-13T09:41:15 --delay 1 --endMP 204:156 --enddatetime 2016-11-13T10:18:38 --enforcementcount 0 &gt;&gt;C:\Users\stu\Documents\GitHub\eaglep3-reporting\EC\2016-11-13-refined-times.txt</v>
      </c>
      <c r="AI60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{"issue":{"subject":"","project_id":79,"tracker_id":40,"status_id":1,"priority_id":2,"assigned_to_id":23,"start_date":"2016-11-13","description":"","custom_fields":[{"id":1,"name":"Subdivision","value":"EC"},{"id":4,"name":"Milepost","value":"0.0156"},{"id":17,"name":"Train ID","value":"142-13"},{"id":16,"name":"Locomotive ID","value":"4008"},{"id":130,"name":"Impact","value":""},{"id":150,"name":"Time of Event (Mountain Time)","value":"10:18:38"},{"id":151,"name":"Denver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513</v>
      </c>
      <c r="B61" s="7">
        <v>4022</v>
      </c>
      <c r="C61" s="22" t="s">
        <v>225</v>
      </c>
      <c r="D61" s="22" t="s">
        <v>275</v>
      </c>
      <c r="E61" s="13">
        <v>42687.369351851848</v>
      </c>
      <c r="F61" s="13">
        <v>42687.375428240739</v>
      </c>
      <c r="G61" s="7">
        <v>1</v>
      </c>
      <c r="H61" s="22" t="s">
        <v>682</v>
      </c>
      <c r="I61" s="13">
        <v>42687.400590277779</v>
      </c>
      <c r="J61" s="7">
        <v>0</v>
      </c>
      <c r="K61" s="109" t="str">
        <f t="shared" si="0"/>
        <v>4021/4022</v>
      </c>
      <c r="L61" s="22" t="str">
        <f>VLOOKUP(A61,'Trips&amp;Operators'!$C$1:$E$10000,3,FALSE)</f>
        <v>SWANSON</v>
      </c>
      <c r="M61" s="6">
        <f t="shared" si="1"/>
        <v>2.5162037039990537E-2</v>
      </c>
      <c r="N61" s="7">
        <f t="shared" si="2"/>
        <v>36.233333337586373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07:51:52-700',mode:absolute,to:'2016-11-13 10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4.4600000000000001E-2</v>
      </c>
      <c r="Z61" s="67">
        <f t="shared" si="9"/>
        <v>23.333600000000001</v>
      </c>
      <c r="AA61" s="67">
        <f t="shared" si="10"/>
        <v>23.289000000000001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0143-13</v>
      </c>
      <c r="AE61" s="91" t="str">
        <f t="shared" si="12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61" s="88" t="str">
        <f t="shared" si="13"/>
        <v>"C:\Program Files (x86)\AstroGrep\AstroGrep.exe" /spath="%USERPROFILE%\AppData\Local\Temp\OnboardLogs" /stypes="app*4022*20161113*" /stext=" 16:.+((SYSTEM_STATE.+slice.+state.+changed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143-13 --locoid 4022 --swversion DE.1.0.8.0 --startMP 204:446 --initTime 2016-11-13T08:51:52 --startdatetime 2016-11-13T09:00:37 --delay 1 --endMP 204:233336 --enddatetime 2016-11-13T09:36:51 --enforcementcount 0 &gt;&gt;C:\Users\stu\Documents\GitHub\eaglep3-reporting\EC\2016-11-13-refined-times.txt</v>
      </c>
      <c r="AI61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{"issue":{"subject":"","project_id":79,"tracker_id":40,"status_id":1,"priority_id":2,"assigned_to_id":23,"start_date":"2016-11-13","description":"","custom_fields":[{"id":1,"name":"Subdivision","value":"EC"},{"id":4,"name":"Milepost","value":"23.3336"},{"id":17,"name":"Train ID","value":"143-13"},{"id":16,"name":"Locomotive ID","value":"4022"},{"id":130,"name":"Impact","value":""},{"id":150,"name":"Time of Event (Mountain Time)","value":"09:36:51"},{"id":151,"name":"Denver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522</v>
      </c>
      <c r="B62" s="7">
        <v>4021</v>
      </c>
      <c r="C62" s="22" t="s">
        <v>225</v>
      </c>
      <c r="D62" s="22" t="s">
        <v>683</v>
      </c>
      <c r="E62" s="13">
        <v>42687.410636574074</v>
      </c>
      <c r="F62" s="13">
        <v>42687.4141087963</v>
      </c>
      <c r="G62" s="7">
        <v>1</v>
      </c>
      <c r="H62" s="22" t="s">
        <v>198</v>
      </c>
      <c r="I62" s="13">
        <v>42687.440844907411</v>
      </c>
      <c r="J62" s="7">
        <v>0</v>
      </c>
      <c r="K62" s="109" t="str">
        <f t="shared" si="0"/>
        <v>4021/4022</v>
      </c>
      <c r="L62" s="22" t="str">
        <f>VLOOKUP(A62,'Trips&amp;Operators'!$C$1:$E$10000,3,FALSE)</f>
        <v>SWANSON</v>
      </c>
      <c r="M62" s="6">
        <f t="shared" si="1"/>
        <v>2.6736111110949423E-2</v>
      </c>
      <c r="N62" s="7">
        <f t="shared" si="2"/>
        <v>38.499999999767169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08:51:19-700',mode:absolute,to:'2016-11-13 11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23.299399999999999</v>
      </c>
      <c r="Z62" s="67">
        <f t="shared" si="9"/>
        <v>1.49E-2</v>
      </c>
      <c r="AA62" s="67">
        <f t="shared" si="10"/>
        <v>23.284499999999998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0144-13</v>
      </c>
      <c r="AE62" s="91" t="str">
        <f t="shared" si="12"/>
        <v>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 &amp; 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</v>
      </c>
      <c r="AF62" s="88" t="str">
        <f t="shared" si="13"/>
        <v>"C:\Program Files (x86)\AstroGrep\AstroGrep.exe" /spath="%USERPROFILE%\AppData\Local\Temp\OnboardLogs" /stypes="app*4021*20161113*" /stext=" 17:.+((SYSTEM_STATE.+slice.+state.+changed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144-13 --locoid 4021 --swversion DE.1.0.8.0 --startMP 204:232994 --initTime 2016-11-13T09:51:19 --startdatetime 2016-11-13T09:56:19 --delay 1 --endMP 204:149 --enddatetime 2016-11-13T10:34:49 --enforcementcount 0 &gt;&gt;C:\Users\stu\Documents\GitHub\eaglep3-reporting\EC\2016-11-13-refined-times.txt</v>
      </c>
      <c r="AI62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{"issue":{"subject":"","project_id":79,"tracker_id":40,"status_id":1,"priority_id":2,"assigned_to_id":23,"start_date":"2016-11-13","description":"","custom_fields":[{"id":1,"name":"Subdivision","value":"EC"},{"id":4,"name":"Milepost","value":"0.0149"},{"id":17,"name":"Train ID","value":"144-13"},{"id":16,"name":"Locomotive ID","value":"4021"},{"id":130,"name":"Impact","value":""},{"id":150,"name":"Time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516</v>
      </c>
      <c r="B63" s="7">
        <v>4002</v>
      </c>
      <c r="C63" s="22" t="s">
        <v>225</v>
      </c>
      <c r="D63" s="22" t="s">
        <v>224</v>
      </c>
      <c r="E63" s="13">
        <v>42687.379583333335</v>
      </c>
      <c r="F63" s="13">
        <v>42687.38559027778</v>
      </c>
      <c r="G63" s="7">
        <v>1</v>
      </c>
      <c r="H63" s="22" t="s">
        <v>287</v>
      </c>
      <c r="I63" s="13">
        <v>42687.40997685185</v>
      </c>
      <c r="J63" s="7">
        <v>0</v>
      </c>
      <c r="K63" s="109" t="str">
        <f t="shared" si="0"/>
        <v>4001/4002</v>
      </c>
      <c r="L63" s="22" t="str">
        <f>VLOOKUP(A63,'Trips&amp;Operators'!$C$1:$E$10000,3,FALSE)</f>
        <v>ACKERMAN</v>
      </c>
      <c r="M63" s="6">
        <f t="shared" si="1"/>
        <v>2.438657407037681E-2</v>
      </c>
      <c r="N63" s="7">
        <f t="shared" si="2"/>
        <v>35.116666661342606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08:06:36-700',mode:absolute,to:'2016-11-13 10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4.6399999999999997E-2</v>
      </c>
      <c r="Z63" s="67">
        <f t="shared" si="9"/>
        <v>23.331</v>
      </c>
      <c r="AA63" s="67">
        <f t="shared" si="10"/>
        <v>23.284600000000001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0145-13</v>
      </c>
      <c r="AE63" s="91" t="str">
        <f t="shared" si="12"/>
        <v>aws s3 cp s3://rtdc.mdm.uploadarchive.raw/RTDC4002/ "%USERPROFILE%\AppData\Local\Temp\OnboardLogs"\RTDC4002\2016-11-13 --exclude "*" --recursive --include "*20161113*" &amp; "%USERPROFILE%\Documents\GitHub\mrs-test-scripts\Headless Mode &amp; Sideloading\WalkAndUnGZ.bat" "%USERPROFILE%\AppData\Local\Temp\OnboardLogs"\RTDC4002\2016-11-13 &amp; aws s3 cp s3://rtdc.mdm.uploadarchive.raw/RTDC4002/ "%USERPROFILE%\AppData\Local\Temp\OnboardLogs"\RTDC4002\2016-11-14 --exclude "*" --recursive --include "*20161114*" &amp; "%USERPROFILE%\Documents\GitHub\mrs-test-scripts\Headless Mode &amp; Sideloading\WalkAndUnGZ.bat" "%USERPROFILE%\AppData\Local\Temp\OnboardLogs"\RTDC4002\2016-11-14</v>
      </c>
      <c r="AF63" s="88" t="str">
        <f t="shared" si="13"/>
        <v>"C:\Program Files (x86)\AstroGrep\AstroGrep.exe" /spath="%USERPROFILE%\AppData\Local\Temp\OnboardLogs" /stypes="app*4002*20161113*" /stext=" 16:.+((SYSTEM_STATE.+slice.+state.+changed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145-13 --locoid 4002 --swversion DE.1.0.8.0 --startMP 204:464 --initTime 2016-11-13T09:06:36 --startdatetime 2016-11-13T09:15:15 --delay 1 --endMP 204:233310 --enddatetime 2016-11-13T09:50:22 --enforcementcount 0 &gt;&gt;C:\Users\stu\Documents\GitHub\eaglep3-reporting\EC\2016-11-13-refined-times.txt</v>
      </c>
      <c r="AI63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{"issue":{"subject":"","project_id":79,"tracker_id":40,"status_id":1,"priority_id":2,"assigned_to_id":23,"start_date":"2016-11-13","description":"","custom_fields":[{"id":1,"name":"Subdivision","value":"EC"},{"id":4,"name":"Milepost","value":"23.331"},{"id":17,"name":"Train ID","value":"145-13"},{"id":16,"name":"Locomotive ID","value":"4002"},{"id":130,"name":"Impact","value":""},{"id":150,"name":"Time of Event (Mountain Time)","value":"09:50:22"},{"id":151,"name":"Denver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523</v>
      </c>
      <c r="B64" s="7">
        <v>4001</v>
      </c>
      <c r="C64" s="22" t="s">
        <v>225</v>
      </c>
      <c r="D64" s="22" t="s">
        <v>394</v>
      </c>
      <c r="E64" s="13">
        <v>42687.418344907404</v>
      </c>
      <c r="F64" s="13">
        <v>42687.42465277778</v>
      </c>
      <c r="G64" s="7">
        <v>1</v>
      </c>
      <c r="H64" s="22" t="s">
        <v>293</v>
      </c>
      <c r="I64" s="13">
        <v>42687.450543981482</v>
      </c>
      <c r="J64" s="7">
        <v>0</v>
      </c>
      <c r="K64" s="109" t="str">
        <f t="shared" si="0"/>
        <v>4001/4002</v>
      </c>
      <c r="L64" s="22" t="str">
        <f>VLOOKUP(A64,'Trips&amp;Operators'!$C$1:$E$10000,3,FALSE)</f>
        <v>ACKERMAN</v>
      </c>
      <c r="M64" s="6">
        <f t="shared" si="1"/>
        <v>2.5891203702485655E-2</v>
      </c>
      <c r="N64" s="7">
        <f t="shared" si="2"/>
        <v>37.283333331579342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09:02:25-700',mode:absolute,to:'2016-11-13 11:48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23.2989</v>
      </c>
      <c r="Z64" s="67">
        <f t="shared" si="9"/>
        <v>1.34E-2</v>
      </c>
      <c r="AA64" s="67">
        <f t="shared" si="10"/>
        <v>23.285499999999999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0146-13</v>
      </c>
      <c r="AE64" s="91" t="str">
        <f t="shared" si="12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64" s="88" t="str">
        <f t="shared" si="13"/>
        <v>"C:\Program Files (x86)\AstroGrep\AstroGrep.exe" /spath="%USERPROFILE%\AppData\Local\Temp\OnboardLogs" /stypes="app*4001*20161113*" /stext=" 17:.+((SYSTEM_STATE.+slice.+state.+changed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146-13 --locoid 4001 --swversion DE.1.0.8.0 --startMP 204:232989 --initTime 2016-11-13T10:02:25 --startdatetime 2016-11-13T10:11:30 --delay 1 --endMP 204:134 --enddatetime 2016-11-13T10:48:47 --enforcementcount 0 &gt;&gt;C:\Users\stu\Documents\GitHub\eaglep3-reporting\EC\2016-11-13-refined-times.txt</v>
      </c>
      <c r="AI64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{"issue":{"subject":"","project_id":79,"tracker_id":40,"status_id":1,"priority_id":2,"assigned_to_id":23,"start_date":"2016-11-13","description":"","custom_fields":[{"id":1,"name":"Subdivision","value":"EC"},{"id":4,"name":"Milepost","value":"0.0134"},{"id":17,"name":"Train ID","value":"146-13"},{"id":16,"name":"Locomotive ID","value":"4001"},{"id":130,"name":"Impact","value":""},{"id":150,"name":"Time of Event (Mountain Time)","value":"10:48:47"},{"id":151,"name":"Denver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518</v>
      </c>
      <c r="B65" s="7">
        <v>4016</v>
      </c>
      <c r="C65" s="22" t="s">
        <v>225</v>
      </c>
      <c r="D65" s="22" t="s">
        <v>202</v>
      </c>
      <c r="E65" s="13">
        <v>42687.3903125</v>
      </c>
      <c r="F65" s="13">
        <v>42687.396192129629</v>
      </c>
      <c r="G65" s="7">
        <v>1</v>
      </c>
      <c r="H65" s="22" t="s">
        <v>203</v>
      </c>
      <c r="I65" s="13">
        <v>42687.421319444446</v>
      </c>
      <c r="J65" s="7">
        <v>0</v>
      </c>
      <c r="K65" s="109" t="str">
        <f t="shared" si="0"/>
        <v>4015/4016</v>
      </c>
      <c r="L65" s="22" t="str">
        <f>VLOOKUP(A65,'Trips&amp;Operators'!$C$1:$E$10000,3,FALSE)</f>
        <v>OUN</v>
      </c>
      <c r="M65" s="6">
        <f t="shared" si="1"/>
        <v>2.5127314816927537E-2</v>
      </c>
      <c r="N65" s="7">
        <f t="shared" si="2"/>
        <v>36.183333336375654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08:22:03-700',mode:absolute,to:'2016-11-13 11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4.5499999999999999E-2</v>
      </c>
      <c r="Z65" s="67">
        <f t="shared" si="9"/>
        <v>23.329499999999999</v>
      </c>
      <c r="AA65" s="67">
        <f t="shared" si="10"/>
        <v>23.283999999999999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0147-13</v>
      </c>
      <c r="AE65" s="91" t="str">
        <f t="shared" si="12"/>
        <v>aws s3 cp s3://rtdc.mdm.uploadarchive.raw/RTDC4016/ "%USERPROFILE%\AppData\Local\Temp\OnboardLogs"\RTDC4016\2016-11-13 --exclude "*" --recursive --include "*20161113*" &amp; "%USERPROFILE%\Documents\GitHub\mrs-test-scripts\Headless Mode &amp; Sideloading\WalkAndUnGZ.bat" "%USERPROFILE%\AppData\Local\Temp\OnboardLogs"\RTDC4016\2016-11-13 &amp; 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</v>
      </c>
      <c r="AF65" s="88" t="str">
        <f t="shared" si="13"/>
        <v>"C:\Program Files (x86)\AstroGrep\AstroGrep.exe" /spath="%USERPROFILE%\AppData\Local\Temp\OnboardLogs" /stypes="app*4016*20161113*"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147-13 --locoid 4016 --swversion DE.1.0.8.0 --startMP 204:455 --initTime 2016-11-13T09:22:03 --startdatetime 2016-11-13T09:30:31 --delay 1 --endMP 204:233295 --enddatetime 2016-11-13T10:06:42 --enforcementcount 0 &gt;&gt;C:\Users\stu\Documents\GitHub\eaglep3-reporting\EC\2016-11-13-refined-times.txt</v>
      </c>
      <c r="AI65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{"issue":{"subject":"","project_id":79,"tracker_id":40,"status_id":1,"priority_id":2,"assigned_to_id":23,"start_date":"2016-11-13","description":"","custom_fields":[{"id":1,"name":"Subdivision","value":"EC"},{"id":4,"name":"Milepost","value":"23.3295"},{"id":17,"name":"Train ID","value":"147-13"},{"id":16,"name":"Locomotive ID","value":"4016"},{"id":130,"name":"Impact","value":""},{"id":150,"name":"Time of Event (Mountain Time)","value":"10:06:42"},{"id":151,"name":"Denver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524</v>
      </c>
      <c r="B66" s="7">
        <v>4015</v>
      </c>
      <c r="C66" s="22" t="s">
        <v>225</v>
      </c>
      <c r="D66" s="22" t="s">
        <v>262</v>
      </c>
      <c r="E66" s="13">
        <v>42687.429155092592</v>
      </c>
      <c r="F66" s="13">
        <v>42687.434930555559</v>
      </c>
      <c r="G66" s="7">
        <v>1</v>
      </c>
      <c r="H66" s="22" t="s">
        <v>326</v>
      </c>
      <c r="I66" s="13">
        <v>42687.462650462963</v>
      </c>
      <c r="J66" s="7">
        <v>0</v>
      </c>
      <c r="K66" s="109" t="str">
        <f t="shared" si="0"/>
        <v>4015/4016</v>
      </c>
      <c r="L66" s="22" t="str">
        <f>VLOOKUP(A66,'Trips&amp;Operators'!$C$1:$E$10000,3,FALSE)</f>
        <v>OUN</v>
      </c>
      <c r="M66" s="6">
        <f t="shared" si="1"/>
        <v>2.7719907404389232E-2</v>
      </c>
      <c r="N66" s="7">
        <f t="shared" si="2"/>
        <v>39.916666662320495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09:17:59-700',mode:absolute,to:'2016-11-13 12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23.297799999999999</v>
      </c>
      <c r="Z66" s="67">
        <f t="shared" si="9"/>
        <v>1.38E-2</v>
      </c>
      <c r="AA66" s="67">
        <f t="shared" si="10"/>
        <v>23.283999999999999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0148-13</v>
      </c>
      <c r="AE66" s="91" t="str">
        <f t="shared" si="12"/>
        <v>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 &amp; 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</v>
      </c>
      <c r="AF66" s="88" t="str">
        <f t="shared" si="13"/>
        <v>"C:\Program Files (x86)\AstroGrep\AstroGrep.exe" /spath="%USERPROFILE%\AppData\Local\Temp\OnboardLogs" /stypes="app*4015*20161113*"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148-13 --locoid 4015 --swversion DE.1.0.8.0 --startMP 204:232978 --initTime 2016-11-13T10:17:59 --startdatetime 2016-11-13T10:26:18 --delay 1 --endMP 204:138 --enddatetime 2016-11-13T11:06:13 --enforcementcount 0 &gt;&gt;C:\Users\stu\Documents\GitHub\eaglep3-reporting\EC\2016-11-13-refined-times.txt</v>
      </c>
      <c r="AI66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{"issue":{"subject":"","project_id":79,"tracker_id":40,"status_id":1,"priority_id":2,"assigned_to_id":23,"start_date":"2016-11-13","description":"","custom_fields":[{"id":1,"name":"Subdivision","value":"EC"},{"id":4,"name":"Milepost","value":"0.0138"},{"id":17,"name":"Train ID","value":"148-13"},{"id":16,"name":"Locomotive ID","value":"4015"},{"id":130,"name":"Impact","value":""},{"id":150,"name":"Time of Event (Mountain Time)","value":"11:06:13"},{"id":151,"name":"Denver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521</v>
      </c>
      <c r="B67" s="7">
        <v>4044</v>
      </c>
      <c r="C67" s="22" t="s">
        <v>225</v>
      </c>
      <c r="D67" s="22" t="s">
        <v>362</v>
      </c>
      <c r="E67" s="13">
        <v>42687.402858796297</v>
      </c>
      <c r="F67" s="13">
        <v>42687.406388888892</v>
      </c>
      <c r="G67" s="7">
        <v>1</v>
      </c>
      <c r="H67" s="22" t="s">
        <v>263</v>
      </c>
      <c r="I67" s="13">
        <v>42687.431666666664</v>
      </c>
      <c r="J67" s="7">
        <v>0</v>
      </c>
      <c r="K67" s="109" t="str">
        <f t="shared" si="0"/>
        <v>4043/4044</v>
      </c>
      <c r="L67" s="22" t="str">
        <f>VLOOKUP(A67,'Trips&amp;Operators'!$C$1:$E$10000,3,FALSE)</f>
        <v>DAVIS</v>
      </c>
      <c r="M67" s="6">
        <f t="shared" si="1"/>
        <v>2.5277777771407273E-2</v>
      </c>
      <c r="N67" s="7">
        <f t="shared" si="2"/>
        <v>36.399999990826473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08:40:07-700',mode:absolute,to:'2016-11-13 11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4.4400000000000002E-2</v>
      </c>
      <c r="Z67" s="67">
        <f t="shared" si="9"/>
        <v>23.331900000000001</v>
      </c>
      <c r="AA67" s="67">
        <f t="shared" si="10"/>
        <v>23.287500000000001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0149-13</v>
      </c>
      <c r="AE67" s="91" t="str">
        <f t="shared" si="12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67" s="88" t="str">
        <f t="shared" si="13"/>
        <v>"C:\Program Files (x86)\AstroGrep\AstroGrep.exe" /spath="%USERPROFILE%\AppData\Local\Temp\OnboardLogs" /stypes="app*4044*20161113*"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149-13 --locoid 4044 --swversion DE.1.0.8.0 --startMP 204:444 --initTime 2016-11-13T09:40:07 --startdatetime 2016-11-13T09:45:12 --delay 1 --endMP 204:233319 --enddatetime 2016-11-13T10:21:36 --enforcementcount 0 &gt;&gt;C:\Users\stu\Documents\GitHub\eaglep3-reporting\EC\2016-11-13-refined-times.txt</v>
      </c>
      <c r="AI67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{"issue":{"subject":"","project_id":79,"tracker_id":40,"status_id":1,"priority_id":2,"assigned_to_id":23,"start_date":"2016-11-13","description":"","custom_fields":[{"id":1,"name":"Subdivision","value":"EC"},{"id":4,"name":"Milepost","value":"23.3319"},{"id":17,"name":"Train ID","value":"149-13"},{"id":16,"name":"Locomotive ID","value":"4044"},{"id":130,"name":"Impact","value":""},{"id":150,"name":"Time of Event (Mountain Time)","value":"10:21:36"},{"id":151,"name":"Denver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527</v>
      </c>
      <c r="B68" s="7">
        <v>4043</v>
      </c>
      <c r="C68" s="22" t="s">
        <v>225</v>
      </c>
      <c r="D68" s="22" t="s">
        <v>254</v>
      </c>
      <c r="E68" s="13">
        <v>42687.44159722222</v>
      </c>
      <c r="F68" s="13">
        <v>42687.445347222223</v>
      </c>
      <c r="G68" s="7">
        <v>0</v>
      </c>
      <c r="H68" s="22" t="s">
        <v>334</v>
      </c>
      <c r="I68" s="13">
        <v>42687.471990740742</v>
      </c>
      <c r="J68" s="7">
        <v>0</v>
      </c>
      <c r="K68" s="109" t="str">
        <f t="shared" si="0"/>
        <v>4043/4044</v>
      </c>
      <c r="L68" s="22" t="str">
        <f>VLOOKUP(A68,'Trips&amp;Operators'!$C$1:$E$10000,3,FALSE)</f>
        <v>DAVIS</v>
      </c>
      <c r="M68" s="6">
        <f t="shared" si="1"/>
        <v>2.6643518518540077E-2</v>
      </c>
      <c r="N68" s="7">
        <f t="shared" si="2"/>
        <v>38.366666666697711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09:35:54-700',mode:absolute,to:'2016-11-13 12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23.3002</v>
      </c>
      <c r="Z68" s="67">
        <f t="shared" si="9"/>
        <v>1.41E-2</v>
      </c>
      <c r="AA68" s="67">
        <f t="shared" si="10"/>
        <v>23.286100000000001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0150-13</v>
      </c>
      <c r="AE68" s="91" t="str">
        <f t="shared" si="12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68" s="88" t="str">
        <f t="shared" si="13"/>
        <v>"C:\Program Files (x86)\AstroGrep\AstroGrep.exe" /spath="%USERPROFILE%\AppData\Local\Temp\OnboardLogs" /stypes="app*4043*20161113*" /stext=" 18:.+((SYSTEM_STATE.+slice.+state.+changed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150-13 --locoid 4043 --swversion DE.1.0.8.0 --startMP 204:233002 --initTime 2016-11-13T10:35:54 --startdatetime 2016-11-13T10:41:18 --delay 0 --endMP 204:141 --enddatetime 2016-11-13T11:19:40 --enforcementcount 0 &gt;&gt;C:\Users\stu\Documents\GitHub\eaglep3-reporting\EC\2016-11-13-refined-times.txt</v>
      </c>
      <c r="AI68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{"issue":{"subject":"","project_id":79,"tracker_id":40,"status_id":1,"priority_id":2,"assigned_to_id":23,"start_date":"2016-11-13","description":"","custom_fields":[{"id":1,"name":"Subdivision","value":"EC"},{"id":4,"name":"Milepost","value":"0.0141"},{"id":17,"name":"Train ID","value":"150-13"},{"id":16,"name":"Locomotive ID","value":"4043"},{"id":130,"name":"Impact","value":""},{"id":150,"name":"Time of Event (Mountain Time)","value":"11:19:40"},{"id":151,"name":"Denver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448</v>
      </c>
      <c r="B69" s="7">
        <v>4029</v>
      </c>
      <c r="C69" s="22" t="s">
        <v>225</v>
      </c>
      <c r="D69" s="22" t="s">
        <v>331</v>
      </c>
      <c r="E69" s="13">
        <v>42687.410775462966</v>
      </c>
      <c r="F69" s="13">
        <v>42687.416967592595</v>
      </c>
      <c r="G69" s="7">
        <v>1</v>
      </c>
      <c r="H69" s="22" t="s">
        <v>393</v>
      </c>
      <c r="I69" s="13">
        <v>42687.443402777775</v>
      </c>
      <c r="J69" s="7">
        <v>0</v>
      </c>
      <c r="K69" s="109" t="str">
        <f t="shared" si="0"/>
        <v>4029/4030</v>
      </c>
      <c r="L69" s="22" t="str">
        <f>VLOOKUP(A69,'Trips&amp;Operators'!$C$1:$E$10000,3,FALSE)</f>
        <v>HAITHCOX</v>
      </c>
      <c r="M69" s="6">
        <f t="shared" si="1"/>
        <v>2.643518518016208E-2</v>
      </c>
      <c r="N69" s="7">
        <f t="shared" si="2"/>
        <v>38.066666659433395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08:51:31-700',mode:absolute,to:'2016-11-13 11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4.4900000000000002E-2</v>
      </c>
      <c r="Z69" s="67">
        <f t="shared" si="9"/>
        <v>23.330100000000002</v>
      </c>
      <c r="AA69" s="67">
        <f t="shared" si="10"/>
        <v>23.285200000000003</v>
      </c>
      <c r="AB69" s="64" t="str">
        <f>VLOOKUP(A69,Enforcements!$C$7:$K$20,8,0)</f>
        <v>Signal based authority (5)</v>
      </c>
      <c r="AC69" s="60" t="str">
        <f>VLOOKUP(A69,Enforcements!$C$7:$E$20,3,0)</f>
        <v>SIGNAL</v>
      </c>
      <c r="AD69" s="61" t="str">
        <f t="shared" si="11"/>
        <v>0151-13</v>
      </c>
      <c r="AE69" s="91" t="str">
        <f t="shared" si="12"/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AF69" s="88" t="str">
        <f t="shared" si="13"/>
        <v>"C:\Program Files (x86)\AstroGrep\AstroGrep.exe" /spath="%USERPROFILE%\AppData\Local\Temp\OnboardLogs" /stypes="app*4029*20161113*" /stext=" 17:.+((SYSTEM_STATE.+slice.+state.+changed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151-13 --locoid 4029 --swversion DE.1.0.8.0 --startMP 204:449 --initTime 2016-11-13T09:51:31 --startdatetime 2016-11-13T10:00:26 --delay 1 --endMP 204:233301 --enddatetime 2016-11-13T10:38:30 --enforcementcount 0 &gt;&gt;C:\Users\stu\Documents\GitHub\eaglep3-reporting\EC\2016-11-13-refined-times.txt</v>
      </c>
      <c r="AI69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{"issue":{"subject":"","project_id":79,"tracker_id":40,"status_id":1,"priority_id":2,"assigned_to_id":23,"start_date":"2016-11-13","description":"","custom_fields":[{"id":1,"name":"Subdivision","value":"EC"},{"id":4,"name":"Milepost","value":"23.3301"},{"id":17,"name":"Train ID","value":"151-13"},{"id":16,"name":"Locomotive ID","value":"4029"},{"id":130,"name":"Impact","value":""},{"id":150,"name":"Time of Event (Mountain Time)","value":"10:38:30"},{"id":151,"name":"Denver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451</v>
      </c>
      <c r="B70" s="7">
        <v>4030</v>
      </c>
      <c r="C70" s="22" t="s">
        <v>225</v>
      </c>
      <c r="D70" s="22" t="s">
        <v>329</v>
      </c>
      <c r="E70" s="13">
        <v>42687.451805555553</v>
      </c>
      <c r="F70" s="13">
        <v>42687.455729166664</v>
      </c>
      <c r="G70" s="7">
        <v>1</v>
      </c>
      <c r="H70" s="22" t="s">
        <v>334</v>
      </c>
      <c r="I70" s="13">
        <v>42687.482719907406</v>
      </c>
      <c r="J70" s="7">
        <v>0</v>
      </c>
      <c r="K70" s="109" t="str">
        <f t="shared" si="0"/>
        <v>4029/4030</v>
      </c>
      <c r="L70" s="22" t="str">
        <f>VLOOKUP(A70,'Trips&amp;Operators'!$C$1:$E$10000,3,FALSE)</f>
        <v>HAITHCOX</v>
      </c>
      <c r="M70" s="6">
        <f t="shared" si="1"/>
        <v>2.6990740741894115E-2</v>
      </c>
      <c r="N70" s="7">
        <f t="shared" si="2"/>
        <v>38.866666668327525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09:50:36-700',mode:absolute,to:'2016-11-13 12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23.297999999999998</v>
      </c>
      <c r="Z70" s="67">
        <f t="shared" si="9"/>
        <v>1.41E-2</v>
      </c>
      <c r="AA70" s="67">
        <f t="shared" si="10"/>
        <v>23.283899999999999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0152-13</v>
      </c>
      <c r="AE70" s="91" t="str">
        <f t="shared" si="12"/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AF70" s="88" t="str">
        <f t="shared" si="13"/>
        <v>"C:\Program Files (x86)\AstroGrep\AstroGrep.exe" /spath="%USERPROFILE%\AppData\Local\Temp\OnboardLogs" /stypes="app*4030*20161113*" /stext=" 18:.+((SYSTEM_STATE.+slice.+state.+changed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152-13 --locoid 4030 --swversion DE.1.0.8.0 --startMP 204:232980 --initTime 2016-11-13T10:50:36 --startdatetime 2016-11-13T10:56:15 --delay 1 --endMP 204:141 --enddatetime 2016-11-13T11:35:07 --enforcementcount 0 &gt;&gt;C:\Users\stu\Documents\GitHub\eaglep3-reporting\EC\2016-11-13-refined-times.txt</v>
      </c>
      <c r="AI70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{"issue":{"subject":"","project_id":79,"tracker_id":40,"status_id":1,"priority_id":2,"assigned_to_id":23,"start_date":"2016-11-13","description":"","custom_fields":[{"id":1,"name":"Subdivision","value":"EC"},{"id":4,"name":"Milepost","value":"0.0141"},{"id":17,"name":"Train ID","value":"152-13"},{"id":16,"name":"Locomotive ID","value":"4030"},{"id":130,"name":"Impact","value":""},{"id":150,"name":"Time of Event (Mountain Time)","value":"11:35:07"},{"id":151,"name":"Denver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449</v>
      </c>
      <c r="B71" s="7">
        <v>4031</v>
      </c>
      <c r="C71" s="22" t="s">
        <v>225</v>
      </c>
      <c r="D71" s="22" t="s">
        <v>430</v>
      </c>
      <c r="E71" s="13">
        <v>42687.422650462962</v>
      </c>
      <c r="F71" s="13">
        <v>42687.427303240744</v>
      </c>
      <c r="G71" s="7">
        <v>1</v>
      </c>
      <c r="H71" s="22" t="s">
        <v>431</v>
      </c>
      <c r="I71" s="13">
        <v>42687.451932870368</v>
      </c>
      <c r="J71" s="7">
        <v>0</v>
      </c>
      <c r="K71" s="109" t="str">
        <f t="shared" si="0"/>
        <v>4031/4032</v>
      </c>
      <c r="L71" s="22" t="str">
        <f>VLOOKUP(A71,'Trips&amp;Operators'!$C$1:$E$10000,3,FALSE)</f>
        <v>STRICKLAND</v>
      </c>
      <c r="M71" s="6">
        <f t="shared" si="1"/>
        <v>2.4629629624541849E-2</v>
      </c>
      <c r="N71" s="7">
        <f t="shared" si="2"/>
        <v>35.466666659340262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09:08:37-700',mode:absolute,to:'2016-11-13 11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4.9500000000000002E-2</v>
      </c>
      <c r="Z71" s="67">
        <f t="shared" si="9"/>
        <v>23.326599999999999</v>
      </c>
      <c r="AA71" s="67">
        <f t="shared" si="10"/>
        <v>23.277100000000001</v>
      </c>
      <c r="AB71" s="64" t="str">
        <f>VLOOKUP(A71,Enforcements!$C$7:$K$20,8,0)</f>
        <v>Form based authority (4)</v>
      </c>
      <c r="AC71" s="60" t="str">
        <f>VLOOKUP(A71,Enforcements!$C$7:$E$20,3,0)</f>
        <v>TRACK WARRANT AUTHORITY</v>
      </c>
      <c r="AD71" s="61" t="str">
        <f t="shared" si="11"/>
        <v>0153-13</v>
      </c>
      <c r="AE71" s="91" t="str">
        <f t="shared" si="12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71" s="88" t="str">
        <f t="shared" si="13"/>
        <v>"C:\Program Files (x86)\AstroGrep\AstroGrep.exe" /spath="%USERPROFILE%\AppData\Local\Temp\OnboardLogs" /stypes="app*4031*20161113*"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153-13 --locoid 4031 --swversion DE.1.0.8.0 --startMP 204:495 --initTime 2016-11-13T10:08:37 --startdatetime 2016-11-13T10:15:19 --delay 1 --endMP 204:233266 --enddatetime 2016-11-13T10:50:47 --enforcementcount 0 &gt;&gt;C:\Users\stu\Documents\GitHub\eaglep3-reporting\EC\2016-11-13-refined-times.txt</v>
      </c>
      <c r="AI71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{"issue":{"subject":"","project_id":79,"tracker_id":40,"status_id":1,"priority_id":2,"assigned_to_id":23,"start_date":"2016-11-13","description":"","custom_fields":[{"id":1,"name":"Subdivision","value":"EC"},{"id":4,"name":"Milepost","value":"23.3266"},{"id":17,"name":"Train ID","value":"153-13"},{"id":16,"name":"Locomotive ID","value":"4031"},{"id":130,"name":"Impact","value":""},{"id":150,"name":"Time of Event (Mountain Time)","value":"10:50:47"},{"id":151,"name":"Denver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450</v>
      </c>
      <c r="B72" s="7">
        <v>4032</v>
      </c>
      <c r="C72" s="22" t="s">
        <v>225</v>
      </c>
      <c r="D72" s="22" t="s">
        <v>397</v>
      </c>
      <c r="E72" s="13">
        <v>42687.461944444447</v>
      </c>
      <c r="F72" s="13">
        <v>42687.466192129628</v>
      </c>
      <c r="G72" s="7">
        <v>1</v>
      </c>
      <c r="H72" s="22" t="s">
        <v>325</v>
      </c>
      <c r="I72" s="13">
        <v>42687.493668981479</v>
      </c>
      <c r="J72" s="7">
        <v>0</v>
      </c>
      <c r="K72" s="109" t="str">
        <f t="shared" si="0"/>
        <v>4031/4032</v>
      </c>
      <c r="L72" s="22" t="str">
        <f>VLOOKUP(A72,'Trips&amp;Operators'!$C$1:$E$10000,3,FALSE)</f>
        <v>STRICKLAND</v>
      </c>
      <c r="M72" s="6">
        <f t="shared" si="1"/>
        <v>2.7476851850224193E-2</v>
      </c>
      <c r="N72" s="7">
        <f t="shared" si="2"/>
        <v>39.566666664322838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10:05:12-700',mode:absolute,to:'2016-11-13 12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23.2957</v>
      </c>
      <c r="Z72" s="67">
        <f t="shared" si="9"/>
        <v>1.54E-2</v>
      </c>
      <c r="AA72" s="67">
        <f t="shared" si="10"/>
        <v>23.2803</v>
      </c>
      <c r="AB72" s="64" t="str">
        <f>VLOOKUP(A72,Enforcements!$C$7:$K$20,8,0)</f>
        <v>Speed (6)</v>
      </c>
      <c r="AC72" s="60" t="str">
        <f>VLOOKUP(A72,Enforcements!$C$7:$E$20,3,0)</f>
        <v>PERMANENT SPEED RESTRICTION</v>
      </c>
      <c r="AD72" s="61" t="str">
        <f t="shared" si="11"/>
        <v>0154-13</v>
      </c>
      <c r="AE72" s="91" t="str">
        <f t="shared" si="12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72" s="88" t="str">
        <f t="shared" si="13"/>
        <v>"C:\Program Files (x86)\AstroGrep\AstroGrep.exe" /spath="%USERPROFILE%\AppData\Local\Temp\OnboardLogs" /stypes="app*4032*20161113*" /stext=" 18:.+((SYSTEM_STATE.+slice.+state.+changed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154-13 --locoid 4032 --swversion DE.1.0.8.0 --startMP 204:232957 --initTime 2016-11-13T11:05:12 --startdatetime 2016-11-13T11:11:19 --delay 1 --endMP 204:154 --enddatetime 2016-11-13T11:50:53 --enforcementcount 0 &gt;&gt;C:\Users\stu\Documents\GitHub\eaglep3-reporting\EC\2016-11-13-refined-times.txt</v>
      </c>
      <c r="AI72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{"issue":{"subject":"","project_id":79,"tracker_id":40,"status_id":1,"priority_id":2,"assigned_to_id":23,"start_date":"2016-11-13","description":"","custom_fields":[{"id":1,"name":"Subdivision","value":"EC"},{"id":4,"name":"Milepost","value":"0.0154"},{"id":17,"name":"Train ID","value":"154-13"},{"id":16,"name":"Locomotive ID","value":"4032"},{"id":130,"name":"Impact","value":""},{"id":150,"name":"Time of Event (Mountain Time)","value":"11:50:53"},{"id":151,"name":"Denver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526</v>
      </c>
      <c r="B73" s="7">
        <v>4007</v>
      </c>
      <c r="C73" s="22" t="s">
        <v>225</v>
      </c>
      <c r="D73" s="22" t="s">
        <v>222</v>
      </c>
      <c r="E73" s="13">
        <v>42687.431921296295</v>
      </c>
      <c r="F73" s="13">
        <v>42687.437731481485</v>
      </c>
      <c r="G73" s="7">
        <v>1</v>
      </c>
      <c r="H73" s="22" t="s">
        <v>684</v>
      </c>
      <c r="I73" s="13">
        <v>42687.462847222225</v>
      </c>
      <c r="J73" s="7">
        <v>0</v>
      </c>
      <c r="K73" s="109" t="str">
        <f t="shared" si="0"/>
        <v>4007/4008</v>
      </c>
      <c r="L73" s="22" t="str">
        <f>VLOOKUP(A73,'Trips&amp;Operators'!$C$1:$E$10000,3,FALSE)</f>
        <v>CLARK</v>
      </c>
      <c r="M73" s="6">
        <f t="shared" si="1"/>
        <v>2.5115740740147885E-2</v>
      </c>
      <c r="N73" s="7">
        <f t="shared" si="2"/>
        <v>36.166666665812954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09:21:58-700',mode:absolute,to:'2016-11-13 12:06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4.5699999999999998E-2</v>
      </c>
      <c r="Z73" s="67">
        <f t="shared" si="9"/>
        <v>23.328900000000001</v>
      </c>
      <c r="AA73" s="67">
        <f t="shared" si="10"/>
        <v>23.283200000000001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0155-13</v>
      </c>
      <c r="AE73" s="91" t="str">
        <f t="shared" si="12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73" s="88" t="str">
        <f t="shared" si="13"/>
        <v>"C:\Program Files (x86)\AstroGrep\AstroGrep.exe" /spath="%USERPROFILE%\AppData\Local\Temp\OnboardLogs" /stypes="app*4007*20161113*"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155-13 --locoid 4007 --swversion DE.1.0.8.0 --startMP 204:457 --initTime 2016-11-13T10:21:58 --startdatetime 2016-11-13T10:30:20 --delay 1 --endMP 204:233289 --enddatetime 2016-11-13T11:06:30 --enforcementcount 0 &gt;&gt;C:\Users\stu\Documents\GitHub\eaglep3-reporting\EC\2016-11-13-refined-times.txt</v>
      </c>
      <c r="AI73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{"issue":{"subject":"","project_id":79,"tracker_id":40,"status_id":1,"priority_id":2,"assigned_to_id":23,"start_date":"2016-11-13","description":"","custom_fields":[{"id":1,"name":"Subdivision","value":"EC"},{"id":4,"name":"Milepost","value":"23.3289"},{"id":17,"name":"Train ID","value":"155-13"},{"id":16,"name":"Locomotive ID","value":"4007"},{"id":130,"name":"Impact","value":""},{"id":150,"name":"Time of Event (Mountain Time)","value":"11:06:30"},{"id":151,"name":"Denver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453</v>
      </c>
      <c r="B74" s="7">
        <v>4008</v>
      </c>
      <c r="C74" s="22" t="s">
        <v>225</v>
      </c>
      <c r="D74" s="22" t="s">
        <v>214</v>
      </c>
      <c r="E74" s="13">
        <v>42687.470381944448</v>
      </c>
      <c r="F74" s="13">
        <v>42687.476539351854</v>
      </c>
      <c r="G74" s="7">
        <v>1</v>
      </c>
      <c r="H74" s="22" t="s">
        <v>325</v>
      </c>
      <c r="I74" s="13">
        <v>42687.503564814811</v>
      </c>
      <c r="J74" s="7">
        <v>0</v>
      </c>
      <c r="K74" s="109" t="str">
        <f t="shared" si="0"/>
        <v>4007/4008</v>
      </c>
      <c r="L74" s="22" t="str">
        <f>VLOOKUP(A74,'Trips&amp;Operators'!$C$1:$E$10000,3,FALSE)</f>
        <v>CLARK</v>
      </c>
      <c r="M74" s="6">
        <f t="shared" si="1"/>
        <v>2.7025462957681157E-2</v>
      </c>
      <c r="N74" s="7">
        <f t="shared" si="2"/>
        <v>38.916666659060866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10:17:21-700',mode:absolute,to:'2016-11-13 13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23.297699999999999</v>
      </c>
      <c r="Z74" s="67">
        <f t="shared" si="9"/>
        <v>1.54E-2</v>
      </c>
      <c r="AA74" s="67">
        <f t="shared" si="10"/>
        <v>23.282299999999999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0156-13</v>
      </c>
      <c r="AE74" s="91" t="str">
        <f t="shared" si="12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74" s="88" t="str">
        <f t="shared" si="13"/>
        <v>"C:\Program Files (x86)\AstroGrep\AstroGrep.exe" /spath="%USERPROFILE%\AppData\Local\Temp\OnboardLogs" /stypes="app*4008*20161113*"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156-13 --locoid 4008 --swversion DE.1.0.8.0 --startMP 204:232977 --initTime 2016-11-13T11:17:21 --startdatetime 2016-11-13T11:26:13 --delay 1 --endMP 204:154 --enddatetime 2016-11-13T12:05:08 --enforcementcount 0 &gt;&gt;C:\Users\stu\Documents\GitHub\eaglep3-reporting\EC\2016-11-13-refined-times.txt</v>
      </c>
      <c r="AI74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{"issue":{"subject":"","project_id":79,"tracker_id":40,"status_id":1,"priority_id":2,"assigned_to_id":23,"start_date":"2016-11-13","description":"","custom_fields":[{"id":1,"name":"Subdivision","value":"EC"},{"id":4,"name":"Milepost","value":"0.0154"},{"id":17,"name":"Train ID","value":"156-13"},{"id":16,"name":"Locomotive ID","value":"4008"},{"id":130,"name":"Impact","value":""},{"id":150,"name":"Time of Event (Mountain Time)","value":"12:05:08"},{"id":151,"name":"Denver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528</v>
      </c>
      <c r="B75" s="7">
        <v>4022</v>
      </c>
      <c r="C75" s="22" t="s">
        <v>225</v>
      </c>
      <c r="D75" s="22" t="s">
        <v>685</v>
      </c>
      <c r="E75" s="13">
        <v>42687.443113425928</v>
      </c>
      <c r="F75" s="13">
        <v>42687.448067129626</v>
      </c>
      <c r="G75" s="7">
        <v>1</v>
      </c>
      <c r="H75" s="22" t="s">
        <v>405</v>
      </c>
      <c r="I75" s="13">
        <v>42687.47320601852</v>
      </c>
      <c r="J75" s="7">
        <v>0</v>
      </c>
      <c r="K75" s="109" t="str">
        <f t="shared" si="0"/>
        <v>4021/4022</v>
      </c>
      <c r="L75" s="22" t="str">
        <f>VLOOKUP(A75,'Trips&amp;Operators'!$C$1:$E$10000,3,FALSE)</f>
        <v>SWANSON</v>
      </c>
      <c r="M75" s="6">
        <f t="shared" si="1"/>
        <v>2.513888889370719E-2</v>
      </c>
      <c r="N75" s="7">
        <f t="shared" si="2"/>
        <v>36.200000006938353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09:38:05-700',mode:absolute,to:'2016-11-13 12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4.1599999999999998E-2</v>
      </c>
      <c r="Z75" s="67">
        <f t="shared" si="9"/>
        <v>23.3355</v>
      </c>
      <c r="AA75" s="67">
        <f t="shared" si="10"/>
        <v>23.293900000000001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0157-13</v>
      </c>
      <c r="AE75" s="91" t="str">
        <f t="shared" si="12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75" s="88" t="str">
        <f t="shared" si="13"/>
        <v>"C:\Program Files (x86)\AstroGrep\AstroGrep.exe" /spath="%USERPROFILE%\AppData\Local\Temp\OnboardLogs" /stypes="app*4022*20161113*"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157-13 --locoid 4022 --swversion DE.1.0.8.0 --startMP 204:416 --initTime 2016-11-13T10:38:05 --startdatetime 2016-11-13T10:45:13 --delay 1 --endMP 204:233355 --enddatetime 2016-11-13T11:21:25 --enforcementcount 0 &gt;&gt;C:\Users\stu\Documents\GitHub\eaglep3-reporting\EC\2016-11-13-refined-times.txt</v>
      </c>
      <c r="AI75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{"issue":{"subject":"","project_id":79,"tracker_id":40,"status_id":1,"priority_id":2,"assigned_to_id":23,"start_date":"2016-11-13","description":"","custom_fields":[{"id":1,"name":"Subdivision","value":"EC"},{"id":4,"name":"Milepost","value":"23.3355"},{"id":17,"name":"Train ID","value":"157-13"},{"id":16,"name":"Locomotive ID","value":"4022"},{"id":130,"name":"Impact","value":""},{"id":150,"name":"Time of Event (Mountain Time)","value":"11:21:25"},{"id":151,"name":"Denver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533</v>
      </c>
      <c r="B76" s="7">
        <v>4021</v>
      </c>
      <c r="C76" s="22" t="s">
        <v>225</v>
      </c>
      <c r="D76" s="22" t="s">
        <v>686</v>
      </c>
      <c r="E76" s="13">
        <v>42687.477314814816</v>
      </c>
      <c r="F76" s="13">
        <v>42687.487245370372</v>
      </c>
      <c r="G76" s="7">
        <v>1</v>
      </c>
      <c r="H76" s="22" t="s">
        <v>334</v>
      </c>
      <c r="I76" s="13">
        <v>42687.513668981483</v>
      </c>
      <c r="J76" s="7">
        <v>0</v>
      </c>
      <c r="K76" s="109" t="str">
        <f t="shared" si="0"/>
        <v>4021/4022</v>
      </c>
      <c r="L76" s="22" t="str">
        <f>VLOOKUP(A76,'Trips&amp;Operators'!$C$1:$E$10000,3,FALSE)</f>
        <v>SWANSON</v>
      </c>
      <c r="M76" s="6">
        <f t="shared" si="1"/>
        <v>2.6423611110658385E-2</v>
      </c>
      <c r="N76" s="7">
        <f t="shared" si="2"/>
        <v>38.049999999348074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https://search-rtdc-monitor-bjffxe2xuh6vdkpspy63sjmuny.us-east-1.es.amazonaws.com/_plugin/kibana/#/discover/Steve-Slow-Train-Analysis-(2080s-and-2083s)?_g=(refreshInterval:(display:Off,section:0,value:0),time:(from:'2016-11-13 10:27:20-700',mode:absolute,to:'2016-11-13 13:19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23.302499999999998</v>
      </c>
      <c r="Z76" s="67">
        <f t="shared" si="9"/>
        <v>1.41E-2</v>
      </c>
      <c r="AA76" s="67">
        <f t="shared" si="10"/>
        <v>23.288399999999999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0158-13</v>
      </c>
      <c r="AE76" s="91" t="str">
        <f t="shared" si="12"/>
        <v>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 &amp; 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</v>
      </c>
      <c r="AF76" s="88" t="str">
        <f t="shared" si="13"/>
        <v>"C:\Program Files (x86)\AstroGrep\AstroGrep.exe" /spath="%USERPROFILE%\AppData\Local\Temp\OnboardLogs" /stypes="app*4021*20161113*" /stext=" 19:.+((SYSTEM_STATE.+slice.+state.+changed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158-13 --locoid 4021 --swversion DE.1.0.8.0 --startMP 204:233025 --initTime 2016-11-13T11:27:20 --startdatetime 2016-11-13T11:41:38 --delay 1 --endMP 204:141 --enddatetime 2016-11-13T12:19:41 --enforcementcount 0 &gt;&gt;C:\Users\stu\Documents\GitHub\eaglep3-reporting\EC\2016-11-13-refined-times.txt</v>
      </c>
      <c r="AI76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{"issue":{"subject":"","project_id":79,"tracker_id":40,"status_id":1,"priority_id":2,"assigned_to_id":23,"start_date":"2016-11-13","description":"","custom_fields":[{"id":1,"name":"Subdivision","value":"EC"},{"id":4,"name":"Milepost","value":"0.0141"},{"id":17,"name":"Train ID","value":"158-13"},{"id":16,"name":"Locomotive ID","value":"4021"},{"id":130,"name":"Impact","value":""},{"id":150,"name":"Time of Event (Mountain Time)","value":"12:19:41"},{"id":151,"name":"Denver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530</v>
      </c>
      <c r="B77" s="7">
        <v>4002</v>
      </c>
      <c r="C77" s="22" t="s">
        <v>225</v>
      </c>
      <c r="D77" s="22" t="s">
        <v>331</v>
      </c>
      <c r="E77" s="13">
        <v>42687.452997685185</v>
      </c>
      <c r="F77" s="13">
        <v>42687.458865740744</v>
      </c>
      <c r="G77" s="7">
        <v>1</v>
      </c>
      <c r="H77" s="22" t="s">
        <v>203</v>
      </c>
      <c r="I77" s="13">
        <v>42687.483576388891</v>
      </c>
      <c r="J77" s="7">
        <v>0</v>
      </c>
      <c r="K77" s="109" t="str">
        <f t="shared" ref="K77:K140" si="19">IF(ISEVEN(B77),(B77-1)&amp;"/"&amp;B77,B77&amp;"/"&amp;(B77+1))</f>
        <v>4001/4002</v>
      </c>
      <c r="L77" s="22" t="str">
        <f>VLOOKUP(A77,'Trips&amp;Operators'!$C$1:$E$10000,3,FALSE)</f>
        <v>STEWART</v>
      </c>
      <c r="M77" s="6">
        <f t="shared" ref="M77:M140" si="20">I77-F77</f>
        <v>2.47106481474475E-2</v>
      </c>
      <c r="N77" s="7">
        <f t="shared" ref="N77:N140" si="21">24*60*SUM($M77:$M77)</f>
        <v>35.583333332324401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https://search-rtdc-monitor-bjffxe2xuh6vdkpspy63sjmuny.us-east-1.es.amazonaws.com/_plugin/kibana/#/discover/Steve-Slow-Train-Analysis-(2080s-and-2083s)?_g=(refreshInterval:(display:Off,section:0,value:0),time:(from:'2016-11-13 09:52:19-700',mode:absolute,to:'2016-11-13 12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7" s="52" t="str">
        <f t="shared" ref="W77:W140" si="25">IF(AA77&lt;IF(AG77="EC",23,5.65),"Y","N")</f>
        <v>N</v>
      </c>
      <c r="X77" s="177">
        <f t="shared" ref="X77:X140" si="26">VALUE(LEFT(AD77,4))-VALUE(LEFT(AD76,4))</f>
        <v>1</v>
      </c>
      <c r="Y77" s="67">
        <f t="shared" ref="Y77:Y140" si="27">RIGHT(D77,LEN(D77)-4)/10000</f>
        <v>4.4900000000000002E-2</v>
      </c>
      <c r="Z77" s="67">
        <f t="shared" ref="Z77:Z140" si="28">RIGHT(H77,LEN(H77)-4)/10000</f>
        <v>23.329499999999999</v>
      </c>
      <c r="AA77" s="67">
        <f t="shared" ref="AA77:AA140" si="29">ABS(Z77-Y77)</f>
        <v>23.284600000000001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0">IF(LEN(A77)=6,"0"&amp;A77,A77)</f>
        <v>0159-13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"%USERPROFILE%\AppData\Local\Temp\OnboardLogs"\RTDC4002\2016-11-13 --exclude "*" --recursive --include "*20161113*" &amp; "%USERPROFILE%\Documents\GitHub\mrs-test-scripts\Headless Mode &amp; Sideloading\WalkAndUnGZ.bat" "%USERPROFILE%\AppData\Local\Temp\OnboardLogs"\RTDC4002\2016-11-13 &amp; aws s3 cp s3://rtdc.mdm.uploadarchive.raw/RTDC4002/ "%USERPROFILE%\AppData\Local\Temp\OnboardLogs"\RTDC4002\2016-11-14 --exclude "*" --recursive --include "*20161114*" &amp; "%USERPROFILE%\Documents\GitHub\mrs-test-scripts\Headless Mode &amp; Sideloading\WalkAndUnGZ.bat" "%USERPROFILE%\AppData\Local\Temp\OnboardLogs"\RTDC4002\2016-11-14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/stypes="app*4002*20161113*" /stext=" 18:.+((SYSTEM_STATE.+slice.+state.+changed )|(ment ac)|(system.+state.+changed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159-13 --locoid 4002 --swversion DE.1.0.8.0 --startMP 204:449 --initTime 2016-11-13T10:52:19 --startdatetime 2016-11-13T11:00:46 --delay 1 --endMP 204:233295 --enddatetime 2016-11-13T11:36:21 --enforcementcount 0 &gt;&gt;C:\Users\stu\Documents\GitHub\eaglep3-reporting\EC\2016-11-13-refined-times.txt</v>
      </c>
      <c r="AI77" s="119" t="str">
        <f t="shared" si="18"/>
        <v>echo {"issue":{"subject":"","project_id":79,"tracker_id":40,"status_id":1,"priority_id":2,"assigned_to_id":23,"start_date":"2016-11-13","description":"","custom_fields":[{"id":1,"name":"Subdivision","value":"EC"},{"id":4,"name":"Milepost","value":"23.3295"},{"id":17,"name":"Train ID","value":"159-13"},{"id":16,"name":"Locomotive ID","value":"4002"},{"id":130,"name":"Impact","value":""},{"id":150,"name":"Time of Event (Mountain Time)","value":"11:36:21"},{"id":151,"name":"Denver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536</v>
      </c>
      <c r="B78" s="7">
        <v>4001</v>
      </c>
      <c r="C78" s="22" t="s">
        <v>225</v>
      </c>
      <c r="D78" s="22" t="s">
        <v>687</v>
      </c>
      <c r="E78" s="13">
        <v>42687.494201388887</v>
      </c>
      <c r="F78" s="13">
        <v>42687.497743055559</v>
      </c>
      <c r="G78" s="7">
        <v>4</v>
      </c>
      <c r="H78" s="22" t="s">
        <v>176</v>
      </c>
      <c r="I78" s="13">
        <v>42687.522986111115</v>
      </c>
      <c r="J78" s="7">
        <v>0</v>
      </c>
      <c r="K78" s="109" t="str">
        <f t="shared" si="19"/>
        <v>4001/4002</v>
      </c>
      <c r="L78" s="22" t="str">
        <f>VLOOKUP(A78,'Trips&amp;Operators'!$C$1:$E$10000,3,FALSE)</f>
        <v>STEWART</v>
      </c>
      <c r="M78" s="6">
        <f t="shared" si="20"/>
        <v>2.5243055555620231E-2</v>
      </c>
      <c r="N78" s="7">
        <f t="shared" si="21"/>
        <v>36.350000000093132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10:51:39-700',mode:absolute,to:'2016-11-13 13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23.296299999999999</v>
      </c>
      <c r="Z78" s="67">
        <f t="shared" si="28"/>
        <v>1.52E-2</v>
      </c>
      <c r="AA78" s="67">
        <f t="shared" si="29"/>
        <v>23.281099999999999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0"/>
        <v>0160-13</v>
      </c>
      <c r="AE78" s="91" t="str">
        <f t="shared" si="31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78" s="88" t="str">
        <f t="shared" si="32"/>
        <v>"C:\Program Files (x86)\AstroGrep\AstroGrep.exe" /spath="%USERPROFILE%\AppData\Local\Temp\OnboardLogs" /stypes="app*4001*20161113*" /stext=" 19:.+((SYSTEM_STATE.+slice.+state.+changed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160-13 --locoid 4001 --swversion DE.1.0.8.0 --startMP 204:232963 --initTime 2016-11-13T11:51:39 --startdatetime 2016-11-13T11:56:45 --delay 4 --endMP 204:152 --enddatetime 2016-11-13T12:33:06 --enforcementcount 0 &gt;&gt;C:\Users\stu\Documents\GitHub\eaglep3-reporting\EC\2016-11-13-refined-times.txt</v>
      </c>
      <c r="AI78" s="119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{"issue":{"subject":"","project_id":79,"tracker_id":40,"status_id":1,"priority_id":2,"assigned_to_id":23,"start_date":"2016-11-13","description":"","custom_fields":[{"id":1,"name":"Subdivision","value":"EC"},{"id":4,"name":"Milepost","value":"0.0152"},{"id":17,"name":"Train ID","value":"160-13"},{"id":16,"name":"Locomotive ID","value":"4001"},{"id":130,"name":"Impact","value":""},{"id":150,"name":"Time of Event (Mountain Time)","value":"12:33:06"},{"id":151,"name":"Denver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452</v>
      </c>
      <c r="B79" s="7">
        <v>4016</v>
      </c>
      <c r="C79" s="22" t="s">
        <v>225</v>
      </c>
      <c r="D79" s="22" t="s">
        <v>219</v>
      </c>
      <c r="E79" s="13">
        <v>42687.464861111112</v>
      </c>
      <c r="F79" s="13">
        <v>42687.469236111108</v>
      </c>
      <c r="G79" s="7">
        <v>1</v>
      </c>
      <c r="H79" s="22" t="s">
        <v>286</v>
      </c>
      <c r="I79" s="13">
        <v>42687.493888888886</v>
      </c>
      <c r="J79" s="7">
        <v>0</v>
      </c>
      <c r="K79" s="109" t="str">
        <f t="shared" si="19"/>
        <v>4015/4016</v>
      </c>
      <c r="L79" s="22" t="str">
        <f>VLOOKUP(A79,'Trips&amp;Operators'!$C$1:$E$10000,3,FALSE)</f>
        <v>BARTLETT</v>
      </c>
      <c r="M79" s="6">
        <f t="shared" si="20"/>
        <v>2.4652777778101154E-2</v>
      </c>
      <c r="N79" s="7">
        <f t="shared" si="21"/>
        <v>35.500000000465661</v>
      </c>
      <c r="O79" s="7"/>
      <c r="P79" s="7"/>
      <c r="Q79" s="23"/>
      <c r="R79" s="23" t="s">
        <v>799</v>
      </c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10:09:24-700',mode:absolute,to:'2016-11-13 12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4.6199999999999998E-2</v>
      </c>
      <c r="Z79" s="67">
        <f t="shared" si="28"/>
        <v>23.330400000000001</v>
      </c>
      <c r="AA79" s="67">
        <f t="shared" si="29"/>
        <v>23.284200000000002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0"/>
        <v>0161-13</v>
      </c>
      <c r="AE79" s="91" t="str">
        <f t="shared" si="31"/>
        <v>aws s3 cp s3://rtdc.mdm.uploadarchive.raw/RTDC4016/ "%USERPROFILE%\AppData\Local\Temp\OnboardLogs"\RTDC4016\2016-11-13 --exclude "*" --recursive --include "*20161113*" &amp; "%USERPROFILE%\Documents\GitHub\mrs-test-scripts\Headless Mode &amp; Sideloading\WalkAndUnGZ.bat" "%USERPROFILE%\AppData\Local\Temp\OnboardLogs"\RTDC4016\2016-11-13 &amp; 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</v>
      </c>
      <c r="AF79" s="88" t="str">
        <f t="shared" si="32"/>
        <v>"C:\Program Files (x86)\AstroGrep\AstroGrep.exe" /spath="%USERPROFILE%\AppData\Local\Temp\OnboardLogs" /stypes="app*4016*20161113*" /stext=" 18:.+((SYSTEM_STATE.+slice.+state.+changed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161-13 --locoid 4016 --swversion DE.1.0.8.0 --startMP 204:462 --initTime 2016-11-13T11:09:24 --startdatetime 2016-11-13T11:15:42 --delay 1 --endMP 204:233304 --enddatetime 2016-11-13T11:51:12 --enforcementcount 0 &gt;&gt;C:\Users\stu\Documents\GitHub\eaglep3-reporting\EC\2016-11-13-refined-times.txt</v>
      </c>
      <c r="AI79" s="119" t="str">
        <f t="shared" si="35"/>
        <v>echo {"issue":{"subject":"Slice 2 commanded braking, but other 2 slices did not","project_id":79,"tracker_id":40,"status_id":1,"priority_id":2,"assigned_to_id":23,"start_date":"2016-11-13","description":"See title","custom_fields":[{"id":1,"name":"Subdivision","value":"EC"},{"id":4,"name":"Milepost","value":"23.3304"},{"id":17,"name":"Train ID","value":"161-13"},{"id":16,"name":"Locomotive ID","value":"4016"},{"id":130,"name":"Impact","value":"Enforcement"},{"id":150,"name":"Time of Event (Mountain Time)","value":"11:51:12"},{"id":151,"name":"Denver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9" s="53" t="s">
        <v>800</v>
      </c>
      <c r="AK79" s="53" t="s">
        <v>125</v>
      </c>
      <c r="AL79" s="53" t="s">
        <v>178</v>
      </c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537</v>
      </c>
      <c r="B80" s="7">
        <v>4015</v>
      </c>
      <c r="C80" s="22" t="s">
        <v>225</v>
      </c>
      <c r="D80" s="22" t="s">
        <v>364</v>
      </c>
      <c r="E80" s="13">
        <v>42687.497569444444</v>
      </c>
      <c r="F80" s="13">
        <v>42687.508009259262</v>
      </c>
      <c r="G80" s="7">
        <v>2</v>
      </c>
      <c r="H80" s="22" t="s">
        <v>688</v>
      </c>
      <c r="I80" s="13">
        <v>42687.534583333334</v>
      </c>
      <c r="J80" s="7">
        <v>0</v>
      </c>
      <c r="K80" s="109" t="str">
        <f t="shared" si="19"/>
        <v>4015/4016</v>
      </c>
      <c r="L80" s="22" t="str">
        <f>VLOOKUP(A80,'Trips&amp;Operators'!$C$1:$E$10000,3,FALSE)</f>
        <v>BARTLETT</v>
      </c>
      <c r="M80" s="6">
        <f t="shared" si="20"/>
        <v>2.6574074072414078E-2</v>
      </c>
      <c r="N80" s="7">
        <f t="shared" si="21"/>
        <v>38.266666664276272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10:56:30-700',mode:absolute,to:'2016-11-13 13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23.2987</v>
      </c>
      <c r="Z80" s="67">
        <f t="shared" si="28"/>
        <v>0.1171</v>
      </c>
      <c r="AA80" s="67">
        <f t="shared" si="29"/>
        <v>23.1816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0"/>
        <v>0162-13</v>
      </c>
      <c r="AE80" s="91" t="str">
        <f t="shared" si="31"/>
        <v>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 &amp; 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</v>
      </c>
      <c r="AF80" s="88" t="str">
        <f t="shared" si="32"/>
        <v>"C:\Program Files (x86)\AstroGrep\AstroGrep.exe" /spath="%USERPROFILE%\AppData\Local\Temp\OnboardLogs" /stypes="app*4015*20161113*" /stext=" 19:.+((SYSTEM_STATE.+slice.+state.+changed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162-13 --locoid 4015 --swversion DE.1.0.8.0 --startMP 204:232987 --initTime 2016-11-13T11:56:30 --startdatetime 2016-11-13T12:11:32 --delay 2 --endMP 204:1171 --enddatetime 2016-11-13T12:49:48 --enforcementcount 0 &gt;&gt;C:\Users\stu\Documents\GitHub\eaglep3-reporting\EC\2016-11-13-refined-times.txt</v>
      </c>
      <c r="AI80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{"issue":{"subject":"","project_id":79,"tracker_id":40,"status_id":1,"priority_id":2,"assigned_to_id":23,"start_date":"2016-11-13","description":"","custom_fields":[{"id":1,"name":"Subdivision","value":"EC"},{"id":4,"name":"Milepost","value":"0.1171"},{"id":17,"name":"Train ID","value":"162-13"},{"id":16,"name":"Locomotive ID","value":"4015"},{"id":130,"name":"Impact","value":""},{"id":150,"name":"Time of Event (Mountain Time)","value":"12:49:48"},{"id":151,"name":"Denver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532</v>
      </c>
      <c r="B81" s="7">
        <v>4044</v>
      </c>
      <c r="C81" s="22" t="s">
        <v>225</v>
      </c>
      <c r="D81" s="22" t="s">
        <v>362</v>
      </c>
      <c r="E81" s="13">
        <v>42687.475300925929</v>
      </c>
      <c r="F81" s="13">
        <v>42687.47934027778</v>
      </c>
      <c r="G81" s="7">
        <v>1</v>
      </c>
      <c r="H81" s="22" t="s">
        <v>285</v>
      </c>
      <c r="I81" s="13">
        <v>42687.503449074073</v>
      </c>
      <c r="J81" s="7">
        <v>0</v>
      </c>
      <c r="K81" s="109" t="str">
        <f t="shared" si="19"/>
        <v>4043/4044</v>
      </c>
      <c r="L81" s="22" t="str">
        <f>VLOOKUP(A81,'Trips&amp;Operators'!$C$1:$E$10000,3,FALSE)</f>
        <v>BRUDER</v>
      </c>
      <c r="M81" s="6">
        <f t="shared" si="20"/>
        <v>2.4108796293148771E-2</v>
      </c>
      <c r="N81" s="7">
        <f t="shared" si="21"/>
        <v>34.71666666213423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10:24:26-700',mode:absolute,to:'2016-11-13 13:04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4.4400000000000002E-2</v>
      </c>
      <c r="Z81" s="67">
        <f t="shared" si="28"/>
        <v>23.330300000000001</v>
      </c>
      <c r="AA81" s="67">
        <f t="shared" si="29"/>
        <v>23.285900000000002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0"/>
        <v>0163-13</v>
      </c>
      <c r="AE81" s="91" t="str">
        <f t="shared" si="31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81" s="88" t="str">
        <f t="shared" si="32"/>
        <v>"C:\Program Files (x86)\AstroGrep\AstroGrep.exe" /spath="%USERPROFILE%\AppData\Local\Temp\OnboardLogs" /stypes="app*4044*20161113*" /stext=" 19:.+((SYSTEM_STATE.+slice.+state.+changed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163-13 --locoid 4044 --swversion DE.1.0.8.0 --startMP 204:444 --initTime 2016-11-13T11:24:26 --startdatetime 2016-11-13T11:30:15 --delay 1 --endMP 204:233303 --enddatetime 2016-11-13T12:04:58 --enforcementcount 0 &gt;&gt;C:\Users\stu\Documents\GitHub\eaglep3-reporting\EC\2016-11-13-refined-times.txt</v>
      </c>
      <c r="AI81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{"issue":{"subject":"","project_id":79,"tracker_id":40,"status_id":1,"priority_id":2,"assigned_to_id":23,"start_date":"2016-11-13","description":"","custom_fields":[{"id":1,"name":"Subdivision","value":"EC"},{"id":4,"name":"Milepost","value":"23.3303"},{"id":17,"name":"Train ID","value":"163-13"},{"id":16,"name":"Locomotive ID","value":"4044"},{"id":130,"name":"Impact","value":""},{"id":150,"name":"Time of Event (Mountain Time)","value":"12:04:58"},{"id":151,"name":"Denver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541</v>
      </c>
      <c r="B82" s="7">
        <v>4043</v>
      </c>
      <c r="C82" s="22" t="s">
        <v>225</v>
      </c>
      <c r="D82" s="22" t="s">
        <v>256</v>
      </c>
      <c r="E82" s="13">
        <v>42687.512141203704</v>
      </c>
      <c r="F82" s="13">
        <v>42687.518252314818</v>
      </c>
      <c r="G82" s="7">
        <v>3</v>
      </c>
      <c r="H82" s="22" t="s">
        <v>175</v>
      </c>
      <c r="I82" s="13">
        <v>42687.543692129628</v>
      </c>
      <c r="J82" s="7">
        <v>0</v>
      </c>
      <c r="K82" s="109" t="str">
        <f t="shared" si="19"/>
        <v>4043/4044</v>
      </c>
      <c r="L82" s="22" t="str">
        <f>VLOOKUP(A82,'Trips&amp;Operators'!$C$1:$E$10000,3,FALSE)</f>
        <v>BRUDER</v>
      </c>
      <c r="M82" s="6">
        <f t="shared" si="20"/>
        <v>2.5439814809942618E-2</v>
      </c>
      <c r="N82" s="7">
        <f t="shared" si="21"/>
        <v>36.63333332631737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11:17:29-700',mode:absolute,to:'2016-11-13 14:02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23.298999999999999</v>
      </c>
      <c r="Z82" s="67">
        <f t="shared" si="28"/>
        <v>1.47E-2</v>
      </c>
      <c r="AA82" s="67">
        <f t="shared" si="29"/>
        <v>23.284299999999998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0"/>
        <v>0164-13</v>
      </c>
      <c r="AE82" s="91" t="str">
        <f t="shared" si="31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82" s="88" t="str">
        <f t="shared" si="32"/>
        <v>"C:\Program Files (x86)\AstroGrep\AstroGrep.exe" /spath="%USERPROFILE%\AppData\Local\Temp\OnboardLogs" /stypes="app*4043*20161113*" /stext=" 20:.+((SYSTEM_STATE.+slice.+state.+changed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164-13 --locoid 4043 --swversion DE.1.0.8.0 --startMP 204:232990 --initTime 2016-11-13T12:17:29 --startdatetime 2016-11-13T12:26:17 --delay 3 --endMP 204:147 --enddatetime 2016-11-13T13:02:55 --enforcementcount 0 &gt;&gt;C:\Users\stu\Documents\GitHub\eaglep3-reporting\EC\2016-11-13-refined-times.txt</v>
      </c>
      <c r="AI82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{"issue":{"subject":"","project_id":79,"tracker_id":40,"status_id":1,"priority_id":2,"assigned_to_id":23,"start_date":"2016-11-13","description":"","custom_fields":[{"id":1,"name":"Subdivision","value":"EC"},{"id":4,"name":"Milepost","value":"0.0147"},{"id":17,"name":"Train ID","value":"164-13"},{"id":16,"name":"Locomotive ID","value":"4043"},{"id":130,"name":"Impact","value":""},{"id":150,"name":"Time of Event (Mountain Time)","value":"13:02:55"},{"id":151,"name":"Denver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535</v>
      </c>
      <c r="B83" s="7">
        <v>4029</v>
      </c>
      <c r="C83" s="22" t="s">
        <v>225</v>
      </c>
      <c r="D83" s="22" t="s">
        <v>227</v>
      </c>
      <c r="E83" s="13">
        <v>42687.486006944448</v>
      </c>
      <c r="F83" s="13">
        <v>42687.489942129629</v>
      </c>
      <c r="G83" s="7">
        <v>1</v>
      </c>
      <c r="H83" s="22" t="s">
        <v>689</v>
      </c>
      <c r="I83" s="13">
        <v>42687.514363425929</v>
      </c>
      <c r="J83" s="7">
        <v>0</v>
      </c>
      <c r="K83" s="109" t="str">
        <f t="shared" si="19"/>
        <v>4029/4030</v>
      </c>
      <c r="L83" s="22" t="str">
        <f>VLOOKUP(A83,'Trips&amp;Operators'!$C$1:$E$10000,3,FALSE)</f>
        <v>MOSES</v>
      </c>
      <c r="M83" s="6">
        <f t="shared" si="20"/>
        <v>2.4421296300715767E-2</v>
      </c>
      <c r="N83" s="7">
        <f t="shared" si="21"/>
        <v>35.166666673030704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10:39:51-700',mode:absolute,to:'2016-11-13 13:20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4.58E-2</v>
      </c>
      <c r="Z83" s="67">
        <f t="shared" si="28"/>
        <v>23.3338</v>
      </c>
      <c r="AA83" s="67">
        <f t="shared" si="29"/>
        <v>23.288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0"/>
        <v>0165-13</v>
      </c>
      <c r="AE83" s="91" t="str">
        <f t="shared" si="31"/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AF83" s="88" t="str">
        <f t="shared" si="32"/>
        <v>"C:\Program Files (x86)\AstroGrep\AstroGrep.exe" /spath="%USERPROFILE%\AppData\Local\Temp\OnboardLogs" /stypes="app*4029*20161113*" /stext=" 19:.+((SYSTEM_STATE.+slice.+state.+changed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165-13 --locoid 4029 --swversion DE.1.0.8.0 --startMP 204:458 --initTime 2016-11-13T11:39:51 --startdatetime 2016-11-13T11:45:31 --delay 1 --endMP 204:233338 --enddatetime 2016-11-13T12:20:41 --enforcementcount 0 &gt;&gt;C:\Users\stu\Documents\GitHub\eaglep3-reporting\EC\2016-11-13-refined-times.txt</v>
      </c>
      <c r="AI83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{"issue":{"subject":"","project_id":79,"tracker_id":40,"status_id":1,"priority_id":2,"assigned_to_id":23,"start_date":"2016-11-13","description":"","custom_fields":[{"id":1,"name":"Subdivision","value":"EC"},{"id":4,"name":"Milepost","value":"23.3338"},{"id":17,"name":"Train ID","value":"165-13"},{"id":16,"name":"Locomotive ID","value":"4029"},{"id":130,"name":"Impact","value":""},{"id":150,"name":"Time of Event (Mountain Time)","value":"12:20:41"},{"id":151,"name":"Denver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544</v>
      </c>
      <c r="B84" s="7">
        <v>4030</v>
      </c>
      <c r="C84" s="22" t="s">
        <v>225</v>
      </c>
      <c r="D84" s="22" t="s">
        <v>368</v>
      </c>
      <c r="E84" s="13">
        <v>42687.524548611109</v>
      </c>
      <c r="F84" s="13">
        <v>42687.528877314813</v>
      </c>
      <c r="G84" s="7">
        <v>1</v>
      </c>
      <c r="H84" s="22" t="s">
        <v>197</v>
      </c>
      <c r="I84" s="13">
        <v>42687.555046296293</v>
      </c>
      <c r="J84" s="7">
        <v>0</v>
      </c>
      <c r="K84" s="109" t="str">
        <f t="shared" si="19"/>
        <v>4029/4030</v>
      </c>
      <c r="L84" s="22" t="str">
        <f>VLOOKUP(A84,'Trips&amp;Operators'!$C$1:$E$10000,3,FALSE)</f>
        <v>MOSES</v>
      </c>
      <c r="M84" s="6">
        <f t="shared" si="20"/>
        <v>2.6168981479713693E-2</v>
      </c>
      <c r="N84" s="7">
        <f t="shared" si="21"/>
        <v>37.683333330787718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11:35:21-700',mode:absolute,to:'2016-11-13 14:19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23.3019</v>
      </c>
      <c r="Z84" s="67">
        <f t="shared" si="28"/>
        <v>1.4500000000000001E-2</v>
      </c>
      <c r="AA84" s="67">
        <f t="shared" si="29"/>
        <v>23.287399999999998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0"/>
        <v>0166-13</v>
      </c>
      <c r="AE84" s="91" t="str">
        <f t="shared" si="31"/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AF84" s="88" t="str">
        <f t="shared" si="32"/>
        <v>"C:\Program Files (x86)\AstroGrep\AstroGrep.exe" /spath="%USERPROFILE%\AppData\Local\Temp\OnboardLogs" /stypes="app*4030*20161113*" /stext=" 20:.+((SYSTEM_STATE.+slice.+state.+changed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166-13 --locoid 4030 --swversion DE.1.0.8.0 --startMP 204:233019 --initTime 2016-11-13T12:35:21 --startdatetime 2016-11-13T12:41:35 --delay 1 --endMP 204:145 --enddatetime 2016-11-13T13:19:16 --enforcementcount 0 &gt;&gt;C:\Users\stu\Documents\GitHub\eaglep3-reporting\EC\2016-11-13-refined-times.txt</v>
      </c>
      <c r="AI84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ID","value":"166-13"},{"id":16,"name":"Locomotive ID","value":"4030"},{"id":130,"name":"Impact","value":""},{"id":150,"name":"Time of Event (Mountain Time)","value":"13:19:16"},{"id":151,"name":"Denver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538</v>
      </c>
      <c r="B85" s="7">
        <v>4031</v>
      </c>
      <c r="C85" s="22" t="s">
        <v>225</v>
      </c>
      <c r="D85" s="22" t="s">
        <v>284</v>
      </c>
      <c r="E85" s="13">
        <v>42687.497870370367</v>
      </c>
      <c r="F85" s="13">
        <v>42687.500381944446</v>
      </c>
      <c r="G85" s="7">
        <v>1</v>
      </c>
      <c r="H85" s="22" t="s">
        <v>659</v>
      </c>
      <c r="I85" s="13">
        <v>42687.526458333334</v>
      </c>
      <c r="J85" s="7">
        <v>0</v>
      </c>
      <c r="K85" s="109" t="str">
        <f t="shared" si="19"/>
        <v>4031/4032</v>
      </c>
      <c r="L85" s="22" t="str">
        <f>VLOOKUP(A85,'Trips&amp;Operators'!$C$1:$E$10000,3,FALSE)</f>
        <v>YOUNG</v>
      </c>
      <c r="M85" s="6">
        <f t="shared" si="20"/>
        <v>2.6076388887304347E-2</v>
      </c>
      <c r="N85" s="7">
        <f t="shared" si="21"/>
        <v>37.54999999771826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10:56:56-700',mode:absolute,to:'2016-11-13 13:38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4.7300000000000002E-2</v>
      </c>
      <c r="Z85" s="67">
        <f t="shared" si="28"/>
        <v>23.3307</v>
      </c>
      <c r="AA85" s="67">
        <f t="shared" si="29"/>
        <v>23.2834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0"/>
        <v>0167-13</v>
      </c>
      <c r="AE85" s="91" t="str">
        <f t="shared" si="31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85" s="88" t="str">
        <f t="shared" si="32"/>
        <v>"C:\Program Files (x86)\AstroGrep\AstroGrep.exe" /spath="%USERPROFILE%\AppData\Local\Temp\OnboardLogs" /stypes="app*4031*20161113*" /stext=" 19:.+((SYSTEM_STATE.+slice.+state.+changed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167-13 --locoid 4031 --swversion DE.1.0.8.0 --startMP 204:473 --initTime 2016-11-13T11:56:56 --startdatetime 2016-11-13T12:00:33 --delay 1 --endMP 204:233307 --enddatetime 2016-11-13T12:38:06 --enforcementcount 0 &gt;&gt;C:\Users\stu\Documents\GitHub\eaglep3-reporting\EC\2016-11-13-refined-times.txt</v>
      </c>
      <c r="AI85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{"issue":{"subject":"","project_id":79,"tracker_id":40,"status_id":1,"priority_id":2,"assigned_to_id":23,"start_date":"2016-11-13","description":"","custom_fields":[{"id":1,"name":"Subdivision","value":"EC"},{"id":4,"name":"Milepost","value":"23.3307"},{"id":17,"name":"Train ID","value":"167-13"},{"id":16,"name":"Locomotive ID","value":"4031"},{"id":130,"name":"Impact","value":""},{"id":150,"name":"Time of Event (Mountain Time)","value":"12:38:06"},{"id":151,"name":"Denver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548</v>
      </c>
      <c r="B86" s="7">
        <v>4032</v>
      </c>
      <c r="C86" s="22" t="s">
        <v>225</v>
      </c>
      <c r="D86" s="22" t="s">
        <v>292</v>
      </c>
      <c r="E86" s="13">
        <v>42687.530277777776</v>
      </c>
      <c r="F86" s="13">
        <v>42687.539050925923</v>
      </c>
      <c r="G86" s="7">
        <v>1</v>
      </c>
      <c r="H86" s="22" t="s">
        <v>690</v>
      </c>
      <c r="I86" s="13">
        <v>42687.566446759258</v>
      </c>
      <c r="J86" s="7">
        <v>0</v>
      </c>
      <c r="K86" s="109" t="str">
        <f t="shared" si="19"/>
        <v>4031/4032</v>
      </c>
      <c r="L86" s="22" t="str">
        <f>VLOOKUP(A86,'Trips&amp;Operators'!$C$1:$E$10000,3,FALSE)</f>
        <v>YOUNG</v>
      </c>
      <c r="M86" s="6">
        <f t="shared" si="20"/>
        <v>2.7395833334594499E-2</v>
      </c>
      <c r="N86" s="7">
        <f t="shared" si="21"/>
        <v>39.450000001816079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11:43:36-700',mode:absolute,to:'2016-11-13 14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23.299600000000002</v>
      </c>
      <c r="Z86" s="67">
        <f t="shared" si="28"/>
        <v>1.7600000000000001E-2</v>
      </c>
      <c r="AA86" s="67">
        <f t="shared" si="29"/>
        <v>23.282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0"/>
        <v>0168-13</v>
      </c>
      <c r="AE86" s="91" t="str">
        <f t="shared" si="31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86" s="88" t="str">
        <f t="shared" si="32"/>
        <v>"C:\Program Files (x86)\AstroGrep\AstroGrep.exe" /spath="%USERPROFILE%\AppData\Local\Temp\OnboardLogs" /stypes="app*4032*20161113*" /stext=" 20:.+((SYSTEM_STATE.+slice.+state.+changed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168-13 --locoid 4032 --swversion DE.1.0.8.0 --startMP 204:232996 --initTime 2016-11-13T12:43:36 --startdatetime 2016-11-13T12:56:14 --delay 1 --endMP 204:176 --enddatetime 2016-11-13T13:35:41 --enforcementcount 0 &gt;&gt;C:\Users\stu\Documents\GitHub\eaglep3-reporting\EC\2016-11-13-refined-times.txt</v>
      </c>
      <c r="AI86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{"issue":{"subject":"","project_id":79,"tracker_id":40,"status_id":1,"priority_id":2,"assigned_to_id":23,"start_date":"2016-11-13","description":"","custom_fields":[{"id":1,"name":"Subdivision","value":"EC"},{"id":4,"name":"Milepost","value":"0.0176"},{"id":17,"name":"Train ID","value":"168-13"},{"id":16,"name":"Locomotive ID","value":"4032"},{"id":130,"name":"Impact","value":""},{"id":150,"name":"Time of Event (Mountain Time)","value":"13:35:41"},{"id":151,"name":"Denver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540</v>
      </c>
      <c r="B87" s="7">
        <v>4007</v>
      </c>
      <c r="C87" s="22" t="s">
        <v>225</v>
      </c>
      <c r="D87" s="22" t="s">
        <v>691</v>
      </c>
      <c r="E87" s="13">
        <v>42687.506712962961</v>
      </c>
      <c r="F87" s="13">
        <v>42687.51059027778</v>
      </c>
      <c r="G87" s="7">
        <v>1</v>
      </c>
      <c r="H87" s="22" t="s">
        <v>692</v>
      </c>
      <c r="I87" s="13">
        <v>42687.535856481481</v>
      </c>
      <c r="J87" s="7">
        <v>0</v>
      </c>
      <c r="K87" s="109" t="str">
        <f t="shared" si="19"/>
        <v>4007/4008</v>
      </c>
      <c r="L87" s="22" t="str">
        <f>VLOOKUP(A87,'Trips&amp;Operators'!$C$1:$E$10000,3,FALSE)</f>
        <v>CLARK</v>
      </c>
      <c r="M87" s="6">
        <f t="shared" si="20"/>
        <v>2.5266203701903578E-2</v>
      </c>
      <c r="N87" s="7">
        <f t="shared" si="21"/>
        <v>36.383333330741152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11:09:40-700',mode:absolute,to:'2016-11-13 13:51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4.8599999999999997E-2</v>
      </c>
      <c r="Z87" s="67">
        <f t="shared" si="28"/>
        <v>23.334199999999999</v>
      </c>
      <c r="AA87" s="67">
        <f t="shared" si="29"/>
        <v>23.285599999999999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0"/>
        <v>0169-13</v>
      </c>
      <c r="AE87" s="91" t="str">
        <f t="shared" si="31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87" s="88" t="str">
        <f t="shared" si="32"/>
        <v>"C:\Program Files (x86)\AstroGrep\AstroGrep.exe" /spath="%USERPROFILE%\AppData\Local\Temp\OnboardLogs" /stypes="app*4007*20161113*" /stext=" 19:.+((SYSTEM_STATE.+slice.+state.+changed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169-13 --locoid 4007 --swversion DE.1.0.8.0 --startMP 204:486 --initTime 2016-11-13T12:09:40 --startdatetime 2016-11-13T12:15:15 --delay 1 --endMP 204:233342 --enddatetime 2016-11-13T12:51:38 --enforcementcount 0 &gt;&gt;C:\Users\stu\Documents\GitHub\eaglep3-reporting\EC\2016-11-13-refined-times.txt</v>
      </c>
      <c r="AI87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{"issue":{"subject":"","project_id":79,"tracker_id":40,"status_id":1,"priority_id":2,"assigned_to_id":23,"start_date":"2016-11-13","description":"","custom_fields":[{"id":1,"name":"Subdivision","value":"EC"},{"id":4,"name":"Milepost","value":"23.3342"},{"id":17,"name":"Train ID","value":"169-13"},{"id":16,"name":"Locomotive ID","value":"4007"},{"id":130,"name":"Impact","value":""},{"id":150,"name":"Time of Event (Mountain Time)","value":"12:51:38"},{"id":151,"name":"Denver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550</v>
      </c>
      <c r="B88" s="7">
        <v>4008</v>
      </c>
      <c r="C88" s="22" t="s">
        <v>225</v>
      </c>
      <c r="D88" s="22" t="s">
        <v>406</v>
      </c>
      <c r="E88" s="13">
        <v>42687.545694444445</v>
      </c>
      <c r="F88" s="13">
        <v>42687.549479166664</v>
      </c>
      <c r="G88" s="7">
        <v>1</v>
      </c>
      <c r="H88" s="22" t="s">
        <v>428</v>
      </c>
      <c r="I88" s="13">
        <v>42687.576724537037</v>
      </c>
      <c r="J88" s="7">
        <v>0</v>
      </c>
      <c r="K88" s="109" t="str">
        <f t="shared" si="19"/>
        <v>4007/4008</v>
      </c>
      <c r="L88" s="22" t="str">
        <f>VLOOKUP(A88,'Trips&amp;Operators'!$C$1:$E$10000,3,FALSE)</f>
        <v>CLARK</v>
      </c>
      <c r="M88" s="6">
        <f t="shared" si="20"/>
        <v>2.7245370372838806E-2</v>
      </c>
      <c r="N88" s="7">
        <f t="shared" si="21"/>
        <v>39.233333336887881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12:05:48-700',mode:absolute,to:'2016-11-13 14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23.302700000000002</v>
      </c>
      <c r="Z88" s="67">
        <f t="shared" si="28"/>
        <v>1.21E-2</v>
      </c>
      <c r="AA88" s="67">
        <f t="shared" si="29"/>
        <v>23.290600000000001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0"/>
        <v>0170-13</v>
      </c>
      <c r="AE88" s="91" t="str">
        <f t="shared" si="31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88" s="88" t="str">
        <f t="shared" si="32"/>
        <v>"C:\Program Files (x86)\AstroGrep\AstroGrep.exe" /spath="%USERPROFILE%\AppData\Local\Temp\OnboardLogs" /stypes="app*4008*20161113*" /stext=" 20:.+((SYSTEM_STATE.+slice.+state.+changed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170-13 --locoid 4008 --swversion DE.1.0.8.0 --startMP 204:233027 --initTime 2016-11-13T13:05:48 --startdatetime 2016-11-13T13:11:15 --delay 1 --endMP 204:121 --enddatetime 2016-11-13T13:50:29 --enforcementcount 0 &gt;&gt;C:\Users\stu\Documents\GitHub\eaglep3-reporting\EC\2016-11-13-refined-times.txt</v>
      </c>
      <c r="AI88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{"issue":{"subject":"","project_id":79,"tracker_id":40,"status_id":1,"priority_id":2,"assigned_to_id":23,"start_date":"2016-11-13","description":"","custom_fields":[{"id":1,"name":"Subdivision","value":"EC"},{"id":4,"name":"Milepost","value":"0.0121"},{"id":17,"name":"Train ID","value":"170-13"},{"id":16,"name":"Locomotive ID","value":"4008"},{"id":130,"name":"Impact","value":""},{"id":150,"name":"Time of Event (Mountain Time)","value":"13:50:29"},{"id":151,"name":"Denver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543</v>
      </c>
      <c r="B89" s="7">
        <v>4022</v>
      </c>
      <c r="C89" s="22" t="s">
        <v>225</v>
      </c>
      <c r="D89" s="22" t="s">
        <v>275</v>
      </c>
      <c r="E89" s="13">
        <v>42687.516446759262</v>
      </c>
      <c r="F89" s="13">
        <v>42687.521041666667</v>
      </c>
      <c r="G89" s="7">
        <v>1</v>
      </c>
      <c r="H89" s="22" t="s">
        <v>693</v>
      </c>
      <c r="I89" s="13">
        <v>42687.545856481483</v>
      </c>
      <c r="J89" s="7">
        <v>0</v>
      </c>
      <c r="K89" s="109" t="str">
        <f t="shared" si="19"/>
        <v>4021/4022</v>
      </c>
      <c r="L89" s="22" t="str">
        <f>VLOOKUP(A89,'Trips&amp;Operators'!$C$1:$E$10000,3,FALSE)</f>
        <v>SHOOK</v>
      </c>
      <c r="M89" s="6">
        <f t="shared" si="20"/>
        <v>2.4814814816636499E-2</v>
      </c>
      <c r="N89" s="7">
        <f t="shared" si="21"/>
        <v>35.733333335956559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11:23:41-700',mode:absolute,to:'2016-11-13 14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4.4600000000000001E-2</v>
      </c>
      <c r="Z89" s="67">
        <f t="shared" si="28"/>
        <v>23.3353</v>
      </c>
      <c r="AA89" s="67">
        <f t="shared" si="29"/>
        <v>23.290700000000001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0"/>
        <v>0171-13</v>
      </c>
      <c r="AE89" s="91" t="str">
        <f t="shared" si="31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89" s="88" t="str">
        <f t="shared" si="32"/>
        <v>"C:\Program Files (x86)\AstroGrep\AstroGrep.exe" /spath="%USERPROFILE%\AppData\Local\Temp\OnboardLogs" /stypes="app*4022*20161113*" /stext=" 20:.+((SYSTEM_STATE.+slice.+state.+changed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171-13 --locoid 4022 --swversion DE.1.0.8.0 --startMP 204:446 --initTime 2016-11-13T12:23:41 --startdatetime 2016-11-13T12:30:18 --delay 1 --endMP 204:233353 --enddatetime 2016-11-13T13:06:02 --enforcementcount 0 &gt;&gt;C:\Users\stu\Documents\GitHub\eaglep3-reporting\EC\2016-11-13-refined-times.txt</v>
      </c>
      <c r="AI89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{"issue":{"subject":"","project_id":79,"tracker_id":40,"status_id":1,"priority_id":2,"assigned_to_id":23,"start_date":"2016-11-13","description":"","custom_fields":[{"id":1,"name":"Subdivision","value":"EC"},{"id":4,"name":"Milepost","value":"23.3353"},{"id":17,"name":"Train ID","value":"171-13"},{"id":16,"name":"Locomotive ID","value":"4022"},{"id":130,"name":"Impact","value":""},{"id":150,"name":"Time of Event (Mountain Time)","value":"13:06:02"},{"id":151,"name":"Denver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552</v>
      </c>
      <c r="B90" s="7">
        <v>4021</v>
      </c>
      <c r="C90" s="22" t="s">
        <v>225</v>
      </c>
      <c r="D90" s="22" t="s">
        <v>694</v>
      </c>
      <c r="E90" s="13">
        <v>42687.554247685184</v>
      </c>
      <c r="F90" s="13">
        <v>42687.559965277775</v>
      </c>
      <c r="G90" s="7">
        <v>1</v>
      </c>
      <c r="H90" s="22" t="s">
        <v>216</v>
      </c>
      <c r="I90" s="13">
        <v>42687.585740740738</v>
      </c>
      <c r="J90" s="7">
        <v>0</v>
      </c>
      <c r="K90" s="109" t="str">
        <f t="shared" si="19"/>
        <v>4021/4022</v>
      </c>
      <c r="L90" s="22" t="str">
        <f>VLOOKUP(A90,'Trips&amp;Operators'!$C$1:$E$10000,3,FALSE)</f>
        <v>SHOOK</v>
      </c>
      <c r="M90" s="6">
        <f t="shared" si="20"/>
        <v>2.5775462963792961E-2</v>
      </c>
      <c r="N90" s="7">
        <f t="shared" si="21"/>
        <v>37.116666667861864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12:18:07-700',mode:absolute,to:'2016-11-13 15:03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23.305499999999999</v>
      </c>
      <c r="Z90" s="67">
        <f t="shared" si="28"/>
        <v>1.5599999999999999E-2</v>
      </c>
      <c r="AA90" s="67">
        <f t="shared" si="29"/>
        <v>23.289899999999999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0"/>
        <v>0172-13</v>
      </c>
      <c r="AE90" s="91" t="str">
        <f t="shared" si="31"/>
        <v>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 &amp; 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</v>
      </c>
      <c r="AF90" s="88" t="str">
        <f t="shared" si="32"/>
        <v>"C:\Program Files (x86)\AstroGrep\AstroGrep.exe" /spath="%USERPROFILE%\AppData\Local\Temp\OnboardLogs" /stypes="app*4021*20161113*" /stext=" 21:.+((SYSTEM_STATE.+slice.+state.+changed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172-13 --locoid 4021 --swversion DE.1.0.8.0 --startMP 204:233055 --initTime 2016-11-13T13:18:07 --startdatetime 2016-11-13T13:26:21 --delay 1 --endMP 204:156 --enddatetime 2016-11-13T14:03:28 --enforcementcount 0 &gt;&gt;C:\Users\stu\Documents\GitHub\eaglep3-reporting\EC\2016-11-13-refined-times.txt</v>
      </c>
      <c r="AI90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{"issue":{"subject":"","project_id":79,"tracker_id":40,"status_id":1,"priority_id":2,"assigned_to_id":23,"start_date":"2016-11-13","description":"","custom_fields":[{"id":1,"name":"Subdivision","value":"EC"},{"id":4,"name":"Milepost","value":"0.0156"},{"id":17,"name":"Train ID","value":"172-13"},{"id":16,"name":"Locomotive ID","value":"4021"},{"id":130,"name":"Impact","value":""},{"id":150,"name":"Time of Event (Mountain Time)","value":"14:03:28"},{"id":151,"name":"Denver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546</v>
      </c>
      <c r="B91" s="7">
        <v>4002</v>
      </c>
      <c r="C91" s="22" t="s">
        <v>225</v>
      </c>
      <c r="D91" s="22" t="s">
        <v>289</v>
      </c>
      <c r="E91" s="13">
        <v>42687.527199074073</v>
      </c>
      <c r="F91" s="13">
        <v>42687.531597222223</v>
      </c>
      <c r="G91" s="7">
        <v>1</v>
      </c>
      <c r="H91" s="22" t="s">
        <v>695</v>
      </c>
      <c r="I91" s="13">
        <v>42687.557395833333</v>
      </c>
      <c r="J91" s="7">
        <v>0</v>
      </c>
      <c r="K91" s="109" t="str">
        <f t="shared" si="19"/>
        <v>4001/4002</v>
      </c>
      <c r="L91" s="22" t="str">
        <f>VLOOKUP(A91,'Trips&amp;Operators'!$C$1:$E$10000,3,FALSE)</f>
        <v>ARVIDSON</v>
      </c>
      <c r="M91" s="6">
        <f t="shared" si="20"/>
        <v>2.5798611110076308E-2</v>
      </c>
      <c r="N91" s="7">
        <f t="shared" si="21"/>
        <v>37.149999998509884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11:39:10-700',mode:absolute,to:'2016-11-13 14:22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4.4200000000000003E-2</v>
      </c>
      <c r="Z91" s="67">
        <f t="shared" si="28"/>
        <v>23.332899999999999</v>
      </c>
      <c r="AA91" s="67">
        <f t="shared" si="29"/>
        <v>23.288699999999999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0"/>
        <v>0173-13</v>
      </c>
      <c r="AE91" s="91" t="str">
        <f t="shared" si="31"/>
        <v>aws s3 cp s3://rtdc.mdm.uploadarchive.raw/RTDC4002/ "%USERPROFILE%\AppData\Local\Temp\OnboardLogs"\RTDC4002\2016-11-13 --exclude "*" --recursive --include "*20161113*" &amp; "%USERPROFILE%\Documents\GitHub\mrs-test-scripts\Headless Mode &amp; Sideloading\WalkAndUnGZ.bat" "%USERPROFILE%\AppData\Local\Temp\OnboardLogs"\RTDC4002\2016-11-13 &amp; aws s3 cp s3://rtdc.mdm.uploadarchive.raw/RTDC4002/ "%USERPROFILE%\AppData\Local\Temp\OnboardLogs"\RTDC4002\2016-11-14 --exclude "*" --recursive --include "*20161114*" &amp; "%USERPROFILE%\Documents\GitHub\mrs-test-scripts\Headless Mode &amp; Sideloading\WalkAndUnGZ.bat" "%USERPROFILE%\AppData\Local\Temp\OnboardLogs"\RTDC4002\2016-11-14</v>
      </c>
      <c r="AF91" s="88" t="str">
        <f t="shared" si="32"/>
        <v>"C:\Program Files (x86)\AstroGrep\AstroGrep.exe" /spath="%USERPROFILE%\AppData\Local\Temp\OnboardLogs" /stypes="app*4002*20161113*" /stext=" 20:.+((SYSTEM_STATE.+slice.+state.+changed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173-13 --locoid 4002 --swversion DE.1.0.8.0 --startMP 204:442 --initTime 2016-11-13T12:39:10 --startdatetime 2016-11-13T12:45:30 --delay 1 --endMP 204:233329 --enddatetime 2016-11-13T13:22:39 --enforcementcount 0 &gt;&gt;C:\Users\stu\Documents\GitHub\eaglep3-reporting\EC\2016-11-13-refined-times.txt</v>
      </c>
      <c r="AI91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{"issue":{"subject":"","project_id":79,"tracker_id":40,"status_id":1,"priority_id":2,"assigned_to_id":23,"start_date":"2016-11-13","description":"","custom_fields":[{"id":1,"name":"Subdivision","value":"EC"},{"id":4,"name":"Milepost","value":"23.3329"},{"id":17,"name":"Train ID","value":"173-13"},{"id":16,"name":"Locomotive ID","value":"4002"},{"id":130,"name":"Impact","value":""},{"id":150,"name":"Time of Event (Mountain Time)","value":"13:22:39"},{"id":151,"name":"Denver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554</v>
      </c>
      <c r="B92" s="7">
        <v>4001</v>
      </c>
      <c r="C92" s="22" t="s">
        <v>225</v>
      </c>
      <c r="D92" s="22" t="s">
        <v>368</v>
      </c>
      <c r="E92" s="13">
        <v>42687.566053240742</v>
      </c>
      <c r="F92" s="13">
        <v>42687.570439814815</v>
      </c>
      <c r="G92" s="7">
        <v>2</v>
      </c>
      <c r="H92" s="22" t="s">
        <v>696</v>
      </c>
      <c r="I92" s="13">
        <v>42687.597233796296</v>
      </c>
      <c r="J92" s="7">
        <v>0</v>
      </c>
      <c r="K92" s="109" t="str">
        <f t="shared" si="19"/>
        <v>4001/4002</v>
      </c>
      <c r="L92" s="22" t="str">
        <f>VLOOKUP(A92,'Trips&amp;Operators'!$C$1:$E$10000,3,FALSE)</f>
        <v>ARVIDSON</v>
      </c>
      <c r="M92" s="6">
        <f t="shared" si="20"/>
        <v>2.679398148029577E-2</v>
      </c>
      <c r="N92" s="7">
        <f t="shared" si="21"/>
        <v>38.583333331625909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12:35:07-700',mode:absolute,to:'2016-11-13 15:20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23.3019</v>
      </c>
      <c r="Z92" s="67">
        <f t="shared" si="28"/>
        <v>9.1999999999999998E-3</v>
      </c>
      <c r="AA92" s="67">
        <f t="shared" si="29"/>
        <v>23.2927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0"/>
        <v>0174-13</v>
      </c>
      <c r="AE92" s="91" t="str">
        <f t="shared" si="31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92" s="88" t="str">
        <f t="shared" si="32"/>
        <v>"C:\Program Files (x86)\AstroGrep\AstroGrep.exe" /spath="%USERPROFILE%\AppData\Local\Temp\OnboardLogs" /stypes="app*4001*20161113*" /stext=" 21:.+((SYSTEM_STATE.+slice.+state.+changed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174-13 --locoid 4001 --swversion DE.1.0.8.0 --startMP 204:233019 --initTime 2016-11-13T13:35:07 --startdatetime 2016-11-13T13:41:26 --delay 2 --endMP 204:92 --enddatetime 2016-11-13T14:20:01 --enforcementcount 0 &gt;&gt;C:\Users\stu\Documents\GitHub\eaglep3-reporting\EC\2016-11-13-refined-times.txt</v>
      </c>
      <c r="AI92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{"issue":{"subject":"","project_id":79,"tracker_id":40,"status_id":1,"priority_id":2,"assigned_to_id":23,"start_date":"2016-11-13","description":"","custom_fields":[{"id":1,"name":"Subdivision","value":"EC"},{"id":4,"name":"Milepost","value":"0.0092"},{"id":17,"name":"Train ID","value":"174-13"},{"id":16,"name":"Locomotive ID","value":"4001"},{"id":130,"name":"Impact","value":""},{"id":150,"name":"Time of Event (Mountain Time)","value":"14:20:01"},{"id":151,"name":"Denver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454</v>
      </c>
      <c r="B93" s="7">
        <v>4014</v>
      </c>
      <c r="C93" s="22" t="s">
        <v>225</v>
      </c>
      <c r="D93" s="22" t="s">
        <v>331</v>
      </c>
      <c r="E93" s="13">
        <v>42687.540034722224</v>
      </c>
      <c r="F93" s="13">
        <v>42687.541851851849</v>
      </c>
      <c r="G93" s="7">
        <v>1</v>
      </c>
      <c r="H93" s="22" t="s">
        <v>697</v>
      </c>
      <c r="I93" s="13">
        <v>42687.566805555558</v>
      </c>
      <c r="J93" s="7">
        <v>0</v>
      </c>
      <c r="K93" s="109" t="str">
        <f t="shared" si="19"/>
        <v>4013/4014</v>
      </c>
      <c r="L93" s="22" t="str">
        <f>VLOOKUP(A93,'Trips&amp;Operators'!$C$1:$E$10000,3,FALSE)</f>
        <v>BARTLETT</v>
      </c>
      <c r="M93" s="6">
        <f t="shared" si="20"/>
        <v>2.4953703708888497E-2</v>
      </c>
      <c r="N93" s="7">
        <f t="shared" si="21"/>
        <v>35.933333340799436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11:57:39-700',mode:absolute,to:'2016-11-13 14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4.4900000000000002E-2</v>
      </c>
      <c r="Z93" s="67">
        <f t="shared" si="28"/>
        <v>23.331800000000001</v>
      </c>
      <c r="AA93" s="67">
        <f t="shared" si="29"/>
        <v>23.286900000000003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0"/>
        <v>0175-13</v>
      </c>
      <c r="AE93" s="91" t="str">
        <f t="shared" si="31"/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AF93" s="88" t="str">
        <f t="shared" si="32"/>
        <v>"C:\Program Files (x86)\AstroGrep\AstroGrep.exe" /spath="%USERPROFILE%\AppData\Local\Temp\OnboardLogs" /stypes="app*4014*20161113*" /stext=" 20:.+((SYSTEM_STATE.+slice.+state.+changed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175-13 --locoid 4014 --swversion DE.1.0.8.0 --startMP 204:449 --initTime 2016-11-13T12:57:39 --startdatetime 2016-11-13T13:00:16 --delay 1 --endMP 204:233318 --enddatetime 2016-11-13T13:36:12 --enforcementcount 0 &gt;&gt;C:\Users\stu\Documents\GitHub\eaglep3-reporting\EC\2016-11-13-refined-times.txt</v>
      </c>
      <c r="AI93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{"issue":{"subject":"","project_id":79,"tracker_id":40,"status_id":1,"priority_id":2,"assigned_to_id":23,"start_date":"2016-11-13","description":"","custom_fields":[{"id":1,"name":"Subdivision","value":"EC"},{"id":4,"name":"Milepost","value":"23.3318"},{"id":17,"name":"Train ID","value":"175-13"},{"id":16,"name":"Locomotive ID","value":"4014"},{"id":130,"name":"Impact","value":""},{"id":150,"name":"Time of Event (Mountain Time)","value":"13:36:12"},{"id":151,"name":"Denver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555</v>
      </c>
      <c r="B94" s="7">
        <v>4013</v>
      </c>
      <c r="C94" s="22" t="s">
        <v>225</v>
      </c>
      <c r="D94" s="22" t="s">
        <v>675</v>
      </c>
      <c r="E94" s="13">
        <v>42687.569849537038</v>
      </c>
      <c r="F94" s="13">
        <v>42687.580868055556</v>
      </c>
      <c r="G94" s="7">
        <v>1</v>
      </c>
      <c r="H94" s="22" t="s">
        <v>252</v>
      </c>
      <c r="I94" s="13">
        <v>42687.606817129628</v>
      </c>
      <c r="J94" s="7">
        <v>0</v>
      </c>
      <c r="K94" s="109" t="str">
        <f t="shared" si="19"/>
        <v>4013/4014</v>
      </c>
      <c r="L94" s="22" t="str">
        <f>VLOOKUP(A94,'Trips&amp;Operators'!$C$1:$E$10000,3,FALSE)</f>
        <v>BARTLETT</v>
      </c>
      <c r="M94" s="6">
        <f t="shared" si="20"/>
        <v>2.5949074071832001E-2</v>
      </c>
      <c r="N94" s="7">
        <f t="shared" si="21"/>
        <v>37.366666663438082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12:40:35-700',mode:absolute,to:'2016-11-13 15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23.299800000000001</v>
      </c>
      <c r="Z94" s="67">
        <f t="shared" si="28"/>
        <v>1.4999999999999999E-2</v>
      </c>
      <c r="AA94" s="67">
        <f t="shared" si="29"/>
        <v>23.284800000000001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0"/>
        <v>0176-13</v>
      </c>
      <c r="AE94" s="91" t="str">
        <f t="shared" si="31"/>
        <v>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 &amp; aws s3 cp s3://rtdc.mdm.uploadarchive.raw/RTDC4013/ "%USERPROFILE%\AppData\Local\Temp\OnboardLogs"\RTDC4013\2016-11-14 --exclude "*" --recursive --include "*20161114*" &amp; "%USERPROFILE%\Documents\GitHub\mrs-test-scripts\Headless Mode &amp; Sideloading\WalkAndUnGZ.bat" "%USERPROFILE%\AppData\Local\Temp\OnboardLogs"\RTDC4013\2016-11-14</v>
      </c>
      <c r="AF94" s="88" t="str">
        <f t="shared" si="32"/>
        <v>"C:\Program Files (x86)\AstroGrep\AstroGrep.exe" /spath="%USERPROFILE%\AppData\Local\Temp\OnboardLogs" /stypes="app*4013*20161113*" /stext=" 21:.+((SYSTEM_STATE.+slice.+state.+changed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176-13 --locoid 4013 --swversion DE.1.0.8.0 --startMP 204:232998 --initTime 2016-11-13T13:40:35 --startdatetime 2016-11-13T13:56:27 --delay 1 --endMP 204:150 --enddatetime 2016-11-13T14:33:49 --enforcementcount 0 &gt;&gt;C:\Users\stu\Documents\GitHub\eaglep3-reporting\EC\2016-11-13-refined-times.txt</v>
      </c>
      <c r="AI94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{"issue":{"subject":"","project_id":79,"tracker_id":40,"status_id":1,"priority_id":2,"assigned_to_id":23,"start_date":"2016-11-13","description":"","custom_fields":[{"id":1,"name":"Subdivision","value":"EC"},{"id":4,"name":"Milepost","value":"0.015"},{"id":17,"name":"Train ID","value":"176-13"},{"id":16,"name":"Locomotive ID","value":"4013"},{"id":130,"name":"Impact","value":""},{"id":150,"name":"Time of Event (Mountain Time)","value":"14:33:49"},{"id":151,"name":"Denver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549</v>
      </c>
      <c r="B95" s="7">
        <v>4044</v>
      </c>
      <c r="C95" s="22" t="s">
        <v>225</v>
      </c>
      <c r="D95" s="22" t="s">
        <v>327</v>
      </c>
      <c r="E95" s="13">
        <v>42687.545300925929</v>
      </c>
      <c r="F95" s="13">
        <v>42687.552291666667</v>
      </c>
      <c r="G95" s="7">
        <v>1</v>
      </c>
      <c r="H95" s="22" t="s">
        <v>366</v>
      </c>
      <c r="I95" s="13">
        <v>42687.576620370368</v>
      </c>
      <c r="J95" s="7">
        <v>0</v>
      </c>
      <c r="K95" s="109" t="str">
        <f t="shared" si="19"/>
        <v>4043/4044</v>
      </c>
      <c r="L95" s="22" t="str">
        <f>VLOOKUP(A95,'Trips&amp;Operators'!$C$1:$E$10000,3,FALSE)</f>
        <v>BRUDER</v>
      </c>
      <c r="M95" s="6">
        <f t="shared" si="20"/>
        <v>2.4328703701030463E-2</v>
      </c>
      <c r="N95" s="7">
        <f t="shared" si="21"/>
        <v>35.033333329483867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12:05:14-700',mode:absolute,to:'2016-11-13 14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4.6600000000000003E-2</v>
      </c>
      <c r="Z95" s="67">
        <f t="shared" si="28"/>
        <v>23.331499999999998</v>
      </c>
      <c r="AA95" s="67">
        <f t="shared" si="29"/>
        <v>23.284899999999997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0"/>
        <v>0177-13</v>
      </c>
      <c r="AE95" s="91" t="str">
        <f t="shared" si="31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95" s="88" t="str">
        <f t="shared" si="32"/>
        <v>"C:\Program Files (x86)\AstroGrep\AstroGrep.exe" /spath="%USERPROFILE%\AppData\Local\Temp\OnboardLogs" /stypes="app*4044*20161113*" /stext=" 20:.+((SYSTEM_STATE.+slice.+state.+changed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177-13 --locoid 4044 --swversion DE.1.0.8.0 --startMP 204:466 --initTime 2016-11-13T13:05:14 --startdatetime 2016-11-13T13:15:18 --delay 1 --endMP 204:233315 --enddatetime 2016-11-13T13:50:20 --enforcementcount 0 &gt;&gt;C:\Users\stu\Documents\GitHub\eaglep3-reporting\EC\2016-11-13-refined-times.txt</v>
      </c>
      <c r="AI95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{"issue":{"subject":"","project_id":79,"tracker_id":40,"status_id":1,"priority_id":2,"assigned_to_id":23,"start_date":"2016-11-13","description":"","custom_fields":[{"id":1,"name":"Subdivision","value":"EC"},{"id":4,"name":"Milepost","value":"23.3315"},{"id":17,"name":"Train ID","value":"177-13"},{"id":16,"name":"Locomotive ID","value":"4044"},{"id":130,"name":"Impact","value":""},{"id":150,"name":"Time of Event (Mountain Time)","value":"13:50:20"},{"id":151,"name":"Denver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558</v>
      </c>
      <c r="B96" s="7">
        <v>4043</v>
      </c>
      <c r="C96" s="22" t="s">
        <v>225</v>
      </c>
      <c r="D96" s="22" t="s">
        <v>292</v>
      </c>
      <c r="E96" s="13">
        <v>42687.584745370368</v>
      </c>
      <c r="F96" s="13">
        <v>42687.591180555559</v>
      </c>
      <c r="G96" s="7">
        <v>2</v>
      </c>
      <c r="H96" s="22" t="s">
        <v>197</v>
      </c>
      <c r="I96" s="13">
        <v>42687.616516203707</v>
      </c>
      <c r="J96" s="7">
        <v>0</v>
      </c>
      <c r="K96" s="109" t="str">
        <f t="shared" si="19"/>
        <v>4043/4044</v>
      </c>
      <c r="L96" s="22" t="str">
        <f>VLOOKUP(A96,'Trips&amp;Operators'!$C$1:$E$10000,3,FALSE)</f>
        <v>BRUDER</v>
      </c>
      <c r="M96" s="6">
        <f t="shared" si="20"/>
        <v>2.5335648148029577E-2</v>
      </c>
      <c r="N96" s="7">
        <f t="shared" si="21"/>
        <v>36.483333333162591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13:02:02-700',mode:absolute,to:'2016-11-13 15:47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23.299600000000002</v>
      </c>
      <c r="Z96" s="67">
        <f t="shared" si="28"/>
        <v>1.4500000000000001E-2</v>
      </c>
      <c r="AA96" s="67">
        <f t="shared" si="29"/>
        <v>23.2851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0"/>
        <v>0178-13</v>
      </c>
      <c r="AE96" s="91" t="str">
        <f t="shared" si="31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96" s="88" t="str">
        <f t="shared" si="32"/>
        <v>"C:\Program Files (x86)\AstroGrep\AstroGrep.exe" /spath="%USERPROFILE%\AppData\Local\Temp\OnboardLogs" /stypes="app*4043*20161113*" /stext=" 21:.+((SYSTEM_STATE.+slice.+state.+changed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178-13 --locoid 4043 --swversion DE.1.0.8.0 --startMP 204:232996 --initTime 2016-11-13T14:02:02 --startdatetime 2016-11-13T14:11:18 --delay 2 --endMP 204:145 --enddatetime 2016-11-13T14:47:47 --enforcementcount 0 &gt;&gt;C:\Users\stu\Documents\GitHub\eaglep3-reporting\EC\2016-11-13-refined-times.txt</v>
      </c>
      <c r="AI96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ID","value":"178-13"},{"id":16,"name":"Locomotive ID","value":"4043"},{"id":130,"name":"Impact","value":""},{"id":150,"name":"Time of Event (Mountain Time)","value":"14:47:47"},{"id":151,"name":"Denver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553</v>
      </c>
      <c r="B97" s="7">
        <v>4029</v>
      </c>
      <c r="C97" s="22" t="s">
        <v>225</v>
      </c>
      <c r="D97" s="22" t="s">
        <v>698</v>
      </c>
      <c r="E97" s="13">
        <v>42687.560439814813</v>
      </c>
      <c r="F97" s="13">
        <v>42687.5627662037</v>
      </c>
      <c r="G97" s="7">
        <v>1</v>
      </c>
      <c r="H97" s="22" t="s">
        <v>699</v>
      </c>
      <c r="I97" s="13">
        <v>42687.587407407409</v>
      </c>
      <c r="J97" s="7">
        <v>0</v>
      </c>
      <c r="K97" s="109" t="str">
        <f t="shared" si="19"/>
        <v>4029/4030</v>
      </c>
      <c r="L97" s="22" t="str">
        <f>VLOOKUP(A97,'Trips&amp;Operators'!$C$1:$E$10000,3,FALSE)</f>
        <v>MOSES</v>
      </c>
      <c r="M97" s="6">
        <f t="shared" si="20"/>
        <v>2.4641203708597459E-2</v>
      </c>
      <c r="N97" s="7">
        <f t="shared" si="21"/>
        <v>35.483333340380341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12:27:02-700',mode:absolute,to:'2016-11-13 15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4.3499999999999997E-2</v>
      </c>
      <c r="Z97" s="67">
        <f t="shared" si="28"/>
        <v>23.3264</v>
      </c>
      <c r="AA97" s="67">
        <f t="shared" si="29"/>
        <v>23.282899999999998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0"/>
        <v>0179-13</v>
      </c>
      <c r="AE97" s="91" t="str">
        <f t="shared" si="31"/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AF97" s="88" t="str">
        <f t="shared" si="32"/>
        <v>"C:\Program Files (x86)\AstroGrep\AstroGrep.exe" /spath="%USERPROFILE%\AppData\Local\Temp\OnboardLogs" /stypes="app*4029*20161113*" /stext=" 21:.+((SYSTEM_STATE.+slice.+state.+changed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179-13 --locoid 4029 --swversion DE.1.0.8.0 --startMP 204:435 --initTime 2016-11-13T13:27:02 --startdatetime 2016-11-13T13:30:23 --delay 1 --endMP 204:233264 --enddatetime 2016-11-13T14:05:52 --enforcementcount 0 &gt;&gt;C:\Users\stu\Documents\GitHub\eaglep3-reporting\EC\2016-11-13-refined-times.txt</v>
      </c>
      <c r="AI97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{"issue":{"subject":"","project_id":79,"tracker_id":40,"status_id":1,"priority_id":2,"assigned_to_id":23,"start_date":"2016-11-13","description":"","custom_fields":[{"id":1,"name":"Subdivision","value":"EC"},{"id":4,"name":"Milepost","value":"23.3264"},{"id":17,"name":"Train ID","value":"179-13"},{"id":16,"name":"Locomotive ID","value":"4029"},{"id":130,"name":"Impact","value":""},{"id":150,"name":"Time of Event (Mountain Time)","value":"14:05:52"},{"id":151,"name":"Denver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562</v>
      </c>
      <c r="B98" s="7">
        <v>4030</v>
      </c>
      <c r="C98" s="22" t="s">
        <v>225</v>
      </c>
      <c r="D98" s="22" t="s">
        <v>700</v>
      </c>
      <c r="E98" s="13">
        <v>42687.598587962966</v>
      </c>
      <c r="F98" s="13">
        <v>42687.601539351854</v>
      </c>
      <c r="G98" s="7">
        <v>1</v>
      </c>
      <c r="H98" s="22" t="s">
        <v>701</v>
      </c>
      <c r="I98" s="13">
        <v>42687.627800925926</v>
      </c>
      <c r="J98" s="7">
        <v>0</v>
      </c>
      <c r="K98" s="109" t="str">
        <f t="shared" si="19"/>
        <v>4029/4030</v>
      </c>
      <c r="L98" s="22" t="str">
        <f>VLOOKUP(A98,'Trips&amp;Operators'!$C$1:$E$10000,3,FALSE)</f>
        <v>MOSES</v>
      </c>
      <c r="M98" s="6">
        <f t="shared" si="20"/>
        <v>2.626157407212304E-2</v>
      </c>
      <c r="N98" s="7">
        <f t="shared" si="21"/>
        <v>37.816666663857177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13:21:58-700',mode:absolute,to:'2016-11-13 16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23.2959</v>
      </c>
      <c r="Z98" s="67">
        <f t="shared" si="28"/>
        <v>1.67E-2</v>
      </c>
      <c r="AA98" s="67">
        <f t="shared" si="29"/>
        <v>23.279199999999999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0"/>
        <v>0180-13</v>
      </c>
      <c r="AE98" s="91" t="str">
        <f t="shared" si="31"/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AF98" s="88" t="str">
        <f t="shared" si="32"/>
        <v>"C:\Program Files (x86)\AstroGrep\AstroGrep.exe" /spath="%USERPROFILE%\AppData\Local\Temp\OnboardLogs" /stypes="app*4030*20161113*" /stext=" 22:.+((SYSTEM_STATE.+slice.+state.+changed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180-13 --locoid 4030 --swversion DE.1.0.8.0 --startMP 204:232959 --initTime 2016-11-13T14:21:58 --startdatetime 2016-11-13T14:26:13 --delay 1 --endMP 204:167 --enddatetime 2016-11-13T15:04:02 --enforcementcount 0 &gt;&gt;C:\Users\stu\Documents\GitHub\eaglep3-reporting\EC\2016-11-13-refined-times.txt</v>
      </c>
      <c r="AI98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{"issue":{"subject":"","project_id":79,"tracker_id":40,"status_id":1,"priority_id":2,"assigned_to_id":23,"start_date":"2016-11-13","description":"","custom_fields":[{"id":1,"name":"Subdivision","value":"EC"},{"id":4,"name":"Milepost","value":"0.0167"},{"id":17,"name":"Train ID","value":"180-13"},{"id":16,"name":"Locomotive ID","value":"4030"},{"id":130,"name":"Impact","value":""},{"id":150,"name":"Time of Event (Mountain Time)","value":"15:04:02"},{"id":151,"name":"Denver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556</v>
      </c>
      <c r="B99" s="7">
        <v>4031</v>
      </c>
      <c r="C99" s="22" t="s">
        <v>225</v>
      </c>
      <c r="D99" s="22" t="s">
        <v>245</v>
      </c>
      <c r="E99" s="13">
        <v>42687.570300925923</v>
      </c>
      <c r="F99" s="13">
        <v>42687.573171296295</v>
      </c>
      <c r="G99" s="7">
        <v>1</v>
      </c>
      <c r="H99" s="22" t="s">
        <v>287</v>
      </c>
      <c r="I99" s="13">
        <v>42687.599247685182</v>
      </c>
      <c r="J99" s="7">
        <v>0</v>
      </c>
      <c r="K99" s="109" t="str">
        <f t="shared" si="19"/>
        <v>4031/4032</v>
      </c>
      <c r="L99" s="22" t="str">
        <f>VLOOKUP(A99,'Trips&amp;Operators'!$C$1:$E$10000,3,FALSE)</f>
        <v>YOUNG</v>
      </c>
      <c r="M99" s="6">
        <f t="shared" si="20"/>
        <v>2.6076388887304347E-2</v>
      </c>
      <c r="N99" s="7">
        <f t="shared" si="21"/>
        <v>37.54999999771826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12:41:14-700',mode:absolute,to:'2016-11-13 15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4.6899999999999997E-2</v>
      </c>
      <c r="Z99" s="67">
        <f t="shared" si="28"/>
        <v>23.331</v>
      </c>
      <c r="AA99" s="67">
        <f t="shared" si="29"/>
        <v>23.284099999999999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0"/>
        <v>0181-13</v>
      </c>
      <c r="AE99" s="91" t="str">
        <f t="shared" si="31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99" s="88" t="str">
        <f t="shared" si="32"/>
        <v>"C:\Program Files (x86)\AstroGrep\AstroGrep.exe" /spath="%USERPROFILE%\AppData\Local\Temp\OnboardLogs" /stypes="app*4031*20161113*" /stext=" 21:.+((SYSTEM_STATE.+slice.+state.+changed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181-13 --locoid 4031 --swversion DE.1.0.8.0 --startMP 204:469 --initTime 2016-11-13T13:41:14 --startdatetime 2016-11-13T13:45:22 --delay 1 --endMP 204:233310 --enddatetime 2016-11-13T14:22:55 --enforcementcount 0 &gt;&gt;C:\Users\stu\Documents\GitHub\eaglep3-reporting\EC\2016-11-13-refined-times.txt</v>
      </c>
      <c r="AI99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{"issue":{"subject":"","project_id":79,"tracker_id":40,"status_id":1,"priority_id":2,"assigned_to_id":23,"start_date":"2016-11-13","description":"","custom_fields":[{"id":1,"name":"Subdivision","value":"EC"},{"id":4,"name":"Milepost","value":"23.331"},{"id":17,"name":"Train ID","value":"181-13"},{"id":16,"name":"Locomotive ID","value":"4031"},{"id":130,"name":"Impact","value":""},{"id":150,"name":"Time of Event (Mountain Time)","value":"14:22:55"},{"id":151,"name":"Denver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564</v>
      </c>
      <c r="B100" s="7">
        <v>4032</v>
      </c>
      <c r="C100" s="22" t="s">
        <v>225</v>
      </c>
      <c r="D100" s="22" t="s">
        <v>247</v>
      </c>
      <c r="E100" s="13">
        <v>42687.60738425926</v>
      </c>
      <c r="F100" s="13">
        <v>42687.61204861111</v>
      </c>
      <c r="G100" s="7">
        <v>1</v>
      </c>
      <c r="H100" s="22" t="s">
        <v>197</v>
      </c>
      <c r="I100" s="13">
        <v>42687.640335648146</v>
      </c>
      <c r="J100" s="7">
        <v>0</v>
      </c>
      <c r="K100" s="109" t="str">
        <f t="shared" si="19"/>
        <v>4031/4032</v>
      </c>
      <c r="L100" s="22" t="str">
        <f>VLOOKUP(A100,'Trips&amp;Operators'!$C$1:$E$10000,3,FALSE)</f>
        <v>YOUNG</v>
      </c>
      <c r="M100" s="6">
        <f t="shared" si="20"/>
        <v>2.8287037035624962E-2</v>
      </c>
      <c r="N100" s="7">
        <f t="shared" si="21"/>
        <v>40.733333331299946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13:34:38-700',mode:absolute,to:'2016-11-13 16:22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23.299099999999999</v>
      </c>
      <c r="Z100" s="67">
        <f t="shared" si="28"/>
        <v>1.4500000000000001E-2</v>
      </c>
      <c r="AA100" s="67">
        <f t="shared" si="29"/>
        <v>23.284599999999998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0"/>
        <v>0182-13</v>
      </c>
      <c r="AE100" s="91" t="str">
        <f t="shared" si="31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100" s="88" t="str">
        <f t="shared" si="32"/>
        <v>"C:\Program Files (x86)\AstroGrep\AstroGrep.exe" /spath="%USERPROFILE%\AppData\Local\Temp\OnboardLogs" /stypes="app*4032*20161113*" /stext=" 22:.+((SYSTEM_STATE.+slice.+state.+changed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182-13 --locoid 4032 --swversion DE.1.0.8.0 --startMP 204:232991 --initTime 2016-11-13T14:34:38 --startdatetime 2016-11-13T14:41:21 --delay 1 --endMP 204:145 --enddatetime 2016-11-13T15:22:05 --enforcementcount 0 &gt;&gt;C:\Users\stu\Documents\GitHub\eaglep3-reporting\EC\2016-11-13-refined-times.txt</v>
      </c>
      <c r="AI100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ID","value":"182-13"},{"id":16,"name":"Locomotive ID","value":"4032"},{"id":130,"name":"Impact","value":""},{"id":150,"name":"Time of Event (Mountain Time)","value":"15:22:05"},{"id":151,"name":"Denver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557</v>
      </c>
      <c r="B101" s="7">
        <v>4007</v>
      </c>
      <c r="C101" s="22" t="s">
        <v>225</v>
      </c>
      <c r="D101" s="22" t="s">
        <v>698</v>
      </c>
      <c r="E101" s="13">
        <v>42687.580717592595</v>
      </c>
      <c r="F101" s="13">
        <v>42687.583495370367</v>
      </c>
      <c r="G101" s="7">
        <v>0</v>
      </c>
      <c r="H101" s="22" t="s">
        <v>737</v>
      </c>
      <c r="I101" s="13">
        <v>42687.608680555553</v>
      </c>
      <c r="J101" s="7">
        <v>0</v>
      </c>
      <c r="K101" s="109" t="str">
        <f t="shared" si="19"/>
        <v>4007/4008</v>
      </c>
      <c r="L101" s="22" t="str">
        <f>VLOOKUP(A101,'Trips&amp;Operators'!$C$1:$E$10000,3,FALSE)</f>
        <v>CLARK</v>
      </c>
      <c r="M101" s="6">
        <f t="shared" si="20"/>
        <v>2.5185185186273884E-2</v>
      </c>
      <c r="N101" s="7">
        <f t="shared" si="21"/>
        <v>36.266666668234393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12:56:14-700',mode:absolute,to:'2016-11-13 15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4.3499999999999997E-2</v>
      </c>
      <c r="Z101" s="67">
        <f t="shared" si="28"/>
        <v>23.3322</v>
      </c>
      <c r="AA101" s="67">
        <f t="shared" si="29"/>
        <v>23.288699999999999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0"/>
        <v>0183-13</v>
      </c>
      <c r="AE101" s="91" t="str">
        <f t="shared" si="31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101" s="88" t="str">
        <f t="shared" si="32"/>
        <v>"C:\Program Files (x86)\AstroGrep\AstroGrep.exe" /spath="%USERPROFILE%\AppData\Local\Temp\OnboardLogs" /stypes="app*4007*20161113*" /stext=" 21:.+((SYSTEM_STATE.+slice.+state.+changed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183-13 --locoid 4007 --swversion DE.1.0.8.0 --startMP 204:435 --initTime 2016-11-13T13:56:14 --startdatetime 2016-11-13T14:00:14 --delay 0 --endMP 204:233322 --enddatetime 2016-11-13T14:36:30 --enforcementcount 0 &gt;&gt;C:\Users\stu\Documents\GitHub\eaglep3-reporting\EC\2016-11-13-refined-times.txt</v>
      </c>
      <c r="AI101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{"issue":{"subject":"","project_id":79,"tracker_id":40,"status_id":1,"priority_id":2,"assigned_to_id":23,"start_date":"2016-11-13","description":"","custom_fields":[{"id":1,"name":"Subdivision","value":"EC"},{"id":4,"name":"Milepost","value":"23.3322"},{"id":17,"name":"Train ID","value":"183-13"},{"id":16,"name":"Locomotive ID","value":"4007"},{"id":130,"name":"Impact","value":""},{"id":150,"name":"Time of Event (Mountain Time)","value":"14:36:30"},{"id":151,"name":"Denver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567</v>
      </c>
      <c r="B102" s="7">
        <v>4008</v>
      </c>
      <c r="C102" s="22" t="s">
        <v>225</v>
      </c>
      <c r="D102" s="22" t="s">
        <v>675</v>
      </c>
      <c r="E102" s="13">
        <v>42687.618506944447</v>
      </c>
      <c r="F102" s="13">
        <v>42687.622453703705</v>
      </c>
      <c r="G102" s="7">
        <v>1</v>
      </c>
      <c r="H102" s="22" t="s">
        <v>334</v>
      </c>
      <c r="I102" s="13">
        <v>42687.650104166663</v>
      </c>
      <c r="J102" s="7">
        <v>0</v>
      </c>
      <c r="K102" s="109" t="str">
        <f t="shared" si="19"/>
        <v>4007/4008</v>
      </c>
      <c r="L102" s="22" t="str">
        <f>VLOOKUP(A102,'Trips&amp;Operators'!$C$1:$E$10000,3,FALSE)</f>
        <v>CLARK</v>
      </c>
      <c r="M102" s="6">
        <f t="shared" si="20"/>
        <v>2.7650462958263233E-2</v>
      </c>
      <c r="N102" s="7">
        <f t="shared" si="21"/>
        <v>39.816666659899056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13:50:39-700',mode:absolute,to:'2016-11-13 16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23.299800000000001</v>
      </c>
      <c r="Z102" s="67">
        <f t="shared" si="28"/>
        <v>1.41E-2</v>
      </c>
      <c r="AA102" s="67">
        <f t="shared" si="29"/>
        <v>23.285700000000002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0"/>
        <v>0184-13</v>
      </c>
      <c r="AE102" s="91" t="str">
        <f t="shared" si="31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102" s="88" t="str">
        <f t="shared" si="32"/>
        <v>"C:\Program Files (x86)\AstroGrep\AstroGrep.exe" /spath="%USERPROFILE%\AppData\Local\Temp\OnboardLogs" /stypes="app*4008*20161113*" /stext=" 22:.+((SYSTEM_STATE.+slice.+state.+changed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184-13 --locoid 4008 --swversion DE.1.0.8.0 --startMP 204:232998 --initTime 2016-11-13T14:50:39 --startdatetime 2016-11-13T14:56:20 --delay 1 --endMP 204:141 --enddatetime 2016-11-13T15:36:09 --enforcementcount 0 &gt;&gt;C:\Users\stu\Documents\GitHub\eaglep3-reporting\EC\2016-11-13-refined-times.txt</v>
      </c>
      <c r="AI102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{"issue":{"subject":"","project_id":79,"tracker_id":40,"status_id":1,"priority_id":2,"assigned_to_id":23,"start_date":"2016-11-13","description":"","custom_fields":[{"id":1,"name":"Subdivision","value":"EC"},{"id":4,"name":"Milepost","value":"0.0141"},{"id":17,"name":"Train ID","value":"184-13"},{"id":16,"name":"Locomotive ID","value":"4008"},{"id":130,"name":"Impact","value":""},{"id":150,"name":"Time of Event (Mountain Time)","value":"15:36:09"},{"id":151,"name":"Denver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559</v>
      </c>
      <c r="B103" s="7">
        <v>4022</v>
      </c>
      <c r="C103" s="22" t="s">
        <v>225</v>
      </c>
      <c r="D103" s="22" t="s">
        <v>255</v>
      </c>
      <c r="E103" s="13">
        <v>42687.589467592596</v>
      </c>
      <c r="F103" s="13">
        <v>42687.593946759262</v>
      </c>
      <c r="G103" s="7">
        <v>1</v>
      </c>
      <c r="H103" s="22" t="s">
        <v>743</v>
      </c>
      <c r="I103" s="13">
        <v>42687.61886574074</v>
      </c>
      <c r="J103" s="7">
        <v>0</v>
      </c>
      <c r="K103" s="109" t="str">
        <f t="shared" si="19"/>
        <v>4021/4022</v>
      </c>
      <c r="L103" s="22" t="str">
        <f>VLOOKUP(A103,'Trips&amp;Operators'!$C$1:$E$10000,3,FALSE)</f>
        <v>SHOOK</v>
      </c>
      <c r="M103" s="6">
        <f t="shared" si="20"/>
        <v>2.491898147854954E-2</v>
      </c>
      <c r="N103" s="7">
        <f t="shared" si="21"/>
        <v>35.883333329111338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13:08:50-700',mode:absolute,to:'2016-11-13 15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4.6699999999999998E-2</v>
      </c>
      <c r="Z103" s="67">
        <f t="shared" si="28"/>
        <v>23.334900000000001</v>
      </c>
      <c r="AA103" s="67">
        <f t="shared" si="29"/>
        <v>23.2882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0"/>
        <v>0185-13</v>
      </c>
      <c r="AE103" s="91" t="str">
        <f t="shared" si="31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103" s="88" t="str">
        <f t="shared" si="32"/>
        <v>"C:\Program Files (x86)\AstroGrep\AstroGrep.exe" /spath="%USERPROFILE%\AppData\Local\Temp\OnboardLogs" /stypes="app*4022*20161113*" /stext=" 21:.+((SYSTEM_STATE.+slice.+state.+changed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185-13 --locoid 4022 --swversion DE.1.0.8.0 --startMP 204:467 --initTime 2016-11-13T14:08:50 --startdatetime 2016-11-13T14:15:17 --delay 1 --endMP 204:233349 --enddatetime 2016-11-13T14:51:10 --enforcementcount 0 &gt;&gt;C:\Users\stu\Documents\GitHub\eaglep3-reporting\EC\2016-11-13-refined-times.txt</v>
      </c>
      <c r="AI103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{"issue":{"subject":"","project_id":79,"tracker_id":40,"status_id":1,"priority_id":2,"assigned_to_id":23,"start_date":"2016-11-13","description":"","custom_fields":[{"id":1,"name":"Subdivision","value":"EC"},{"id":4,"name":"Milepost","value":"23.3349"},{"id":17,"name":"Train ID","value":"185-13"},{"id":16,"name":"Locomotive ID","value":"4022"},{"id":130,"name":"Impact","value":""},{"id":150,"name":"Time of Event (Mountain Time)","value":"14:51:10"},{"id":151,"name":"Denver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569</v>
      </c>
      <c r="B104" s="7">
        <v>4021</v>
      </c>
      <c r="C104" s="22" t="s">
        <v>225</v>
      </c>
      <c r="D104" s="22" t="s">
        <v>744</v>
      </c>
      <c r="E104" s="13">
        <v>42687.630057870374</v>
      </c>
      <c r="F104" s="13">
        <v>42687.632870370369</v>
      </c>
      <c r="G104" s="7">
        <v>1</v>
      </c>
      <c r="H104" s="22" t="s">
        <v>199</v>
      </c>
      <c r="I104" s="13">
        <v>42687.658645833333</v>
      </c>
      <c r="J104" s="7">
        <v>0</v>
      </c>
      <c r="K104" s="109" t="str">
        <f t="shared" si="19"/>
        <v>4021/4022</v>
      </c>
      <c r="L104" s="22" t="str">
        <f>VLOOKUP(A104,'Trips&amp;Operators'!$C$1:$E$10000,3,FALSE)</f>
        <v>SHOOK</v>
      </c>
      <c r="M104" s="6">
        <f t="shared" si="20"/>
        <v>2.5775462963792961E-2</v>
      </c>
      <c r="N104" s="7">
        <f t="shared" si="21"/>
        <v>37.116666667861864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14:07:17-700',mode:absolute,to:'2016-11-13 16:48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23.303799999999999</v>
      </c>
      <c r="Z104" s="67">
        <f t="shared" si="28"/>
        <v>1.43E-2</v>
      </c>
      <c r="AA104" s="67">
        <f t="shared" si="29"/>
        <v>23.2895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0"/>
        <v>0186-13</v>
      </c>
      <c r="AE104" s="91" t="str">
        <f t="shared" si="31"/>
        <v>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 &amp; 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</v>
      </c>
      <c r="AF104" s="88" t="str">
        <f t="shared" si="32"/>
        <v>"C:\Program Files (x86)\AstroGrep\AstroGrep.exe" /spath="%USERPROFILE%\AppData\Local\Temp\OnboardLogs" /stypes="app*4021*20161113*" /stext=" 22:.+((SYSTEM_STATE.+slice.+state.+changed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186-13 --locoid 4021 --swversion DE.1.0.8.0 --startMP 204:233038 --initTime 2016-11-13T15:07:17 --startdatetime 2016-11-13T15:11:20 --delay 1 --endMP 204:143 --enddatetime 2016-11-13T15:48:27 --enforcementcount 0 &gt;&gt;C:\Users\stu\Documents\GitHub\eaglep3-reporting\EC\2016-11-13-refined-times.txt</v>
      </c>
      <c r="AI104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{"issue":{"subject":"","project_id":79,"tracker_id":40,"status_id":1,"priority_id":2,"assigned_to_id":23,"start_date":"2016-11-13","description":"","custom_fields":[{"id":1,"name":"Subdivision","value":"EC"},{"id":4,"name":"Milepost","value":"0.0143"},{"id":17,"name":"Train ID","value":"186-13"},{"id":16,"name":"Locomotive ID","value":"4021"},{"id":130,"name":"Impact","value":""},{"id":150,"name":"Time of Event (Mountain Time)","value":"15:48:27"},{"id":151,"name":"Denver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7" t="s">
        <v>563</v>
      </c>
      <c r="B105" s="7">
        <v>4002</v>
      </c>
      <c r="C105" s="22" t="s">
        <v>225</v>
      </c>
      <c r="D105" s="22" t="s">
        <v>685</v>
      </c>
      <c r="E105" s="13">
        <v>42687.598877314813</v>
      </c>
      <c r="F105" s="13">
        <v>42687.604432870372</v>
      </c>
      <c r="G105" s="7">
        <v>1</v>
      </c>
      <c r="H105" s="22" t="s">
        <v>684</v>
      </c>
      <c r="I105" s="13">
        <v>42687.629074074073</v>
      </c>
      <c r="J105" s="7">
        <v>0</v>
      </c>
      <c r="K105" s="109" t="str">
        <f t="shared" si="19"/>
        <v>4001/4002</v>
      </c>
      <c r="L105" s="22" t="str">
        <f>VLOOKUP(A105,'Trips&amp;Operators'!$C$1:$E$10000,3,FALSE)</f>
        <v>STEWART</v>
      </c>
      <c r="M105" s="6">
        <f t="shared" si="20"/>
        <v>2.4641203701321501E-2</v>
      </c>
      <c r="N105" s="7">
        <f t="shared" si="21"/>
        <v>35.483333329902962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13:22:23-700',mode:absolute,to:'2016-11-13 16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4.1599999999999998E-2</v>
      </c>
      <c r="Z105" s="67">
        <f t="shared" si="28"/>
        <v>23.328900000000001</v>
      </c>
      <c r="AA105" s="67">
        <f t="shared" si="29"/>
        <v>23.287300000000002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0"/>
        <v>0187-13</v>
      </c>
      <c r="AE105" s="91" t="str">
        <f t="shared" si="31"/>
        <v>aws s3 cp s3://rtdc.mdm.uploadarchive.raw/RTDC4002/ "%USERPROFILE%\AppData\Local\Temp\OnboardLogs"\RTDC4002\2016-11-13 --exclude "*" --recursive --include "*20161113*" &amp; "%USERPROFILE%\Documents\GitHub\mrs-test-scripts\Headless Mode &amp; Sideloading\WalkAndUnGZ.bat" "%USERPROFILE%\AppData\Local\Temp\OnboardLogs"\RTDC4002\2016-11-13 &amp; aws s3 cp s3://rtdc.mdm.uploadarchive.raw/RTDC4002/ "%USERPROFILE%\AppData\Local\Temp\OnboardLogs"\RTDC4002\2016-11-14 --exclude "*" --recursive --include "*20161114*" &amp; "%USERPROFILE%\Documents\GitHub\mrs-test-scripts\Headless Mode &amp; Sideloading\WalkAndUnGZ.bat" "%USERPROFILE%\AppData\Local\Temp\OnboardLogs"\RTDC4002\2016-11-14</v>
      </c>
      <c r="AF105" s="88" t="str">
        <f t="shared" si="32"/>
        <v>"C:\Program Files (x86)\AstroGrep\AstroGrep.exe" /spath="%USERPROFILE%\AppData\Local\Temp\OnboardLogs" /stypes="app*4002*20161113*" /stext=" 22:.+((SYSTEM_STATE.+slice.+state.+changed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187-13 --locoid 4002 --swversion DE.1.0.8.0 --startMP 204:416 --initTime 2016-11-13T14:22:23 --startdatetime 2016-11-13T14:30:23 --delay 1 --endMP 204:233289 --enddatetime 2016-11-13T15:05:52 --enforcementcount 0 &gt;&gt;C:\Users\stu\Documents\GitHub\eaglep3-reporting\EC\2016-11-13-refined-times.txt</v>
      </c>
      <c r="AI105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{"issue":{"subject":"","project_id":79,"tracker_id":40,"status_id":1,"priority_id":2,"assigned_to_id":23,"start_date":"2016-11-13","description":"","custom_fields":[{"id":1,"name":"Subdivision","value":"EC"},{"id":4,"name":"Milepost","value":"23.3289"},{"id":17,"name":"Train ID","value":"187-13"},{"id":16,"name":"Locomotive ID","value":"4002"},{"id":130,"name":"Impact","value":""},{"id":150,"name":"Time of Event (Mountain Time)","value":"15:05:52"},{"id":151,"name":"Denver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572</v>
      </c>
      <c r="B106" s="7">
        <v>4001</v>
      </c>
      <c r="C106" s="22" t="s">
        <v>225</v>
      </c>
      <c r="D106" s="22" t="s">
        <v>274</v>
      </c>
      <c r="E106" s="13">
        <v>42687.641099537039</v>
      </c>
      <c r="F106" s="13">
        <v>42687.643287037034</v>
      </c>
      <c r="G106" s="7">
        <v>1</v>
      </c>
      <c r="H106" s="22" t="s">
        <v>400</v>
      </c>
      <c r="I106" s="13">
        <v>42687.668738425928</v>
      </c>
      <c r="J106" s="7">
        <v>0</v>
      </c>
      <c r="K106" s="109" t="str">
        <f t="shared" si="19"/>
        <v>4001/4002</v>
      </c>
      <c r="L106" s="22" t="str">
        <f>VLOOKUP(A106,'Trips&amp;Operators'!$C$1:$E$10000,3,FALSE)</f>
        <v>STEWART</v>
      </c>
      <c r="M106" s="6">
        <f t="shared" si="20"/>
        <v>2.5451388893998228E-2</v>
      </c>
      <c r="N106" s="7">
        <f t="shared" si="21"/>
        <v>36.650000007357448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14:23:11-700',mode:absolute,to:'2016-11-13 17:02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23.2973</v>
      </c>
      <c r="Z106" s="67">
        <f t="shared" si="28"/>
        <v>1.72E-2</v>
      </c>
      <c r="AA106" s="67">
        <f t="shared" si="29"/>
        <v>23.280100000000001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0"/>
        <v>0188-13</v>
      </c>
      <c r="AE106" s="91" t="str">
        <f t="shared" si="31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106" s="88" t="str">
        <f t="shared" si="32"/>
        <v>"C:\Program Files (x86)\AstroGrep\AstroGrep.exe" /spath="%USERPROFILE%\AppData\Local\Temp\OnboardLogs" /stypes="app*4001*20161113*" /stext=" 23:.+((SYSTEM_STATE.+slice.+state.+changed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188-13 --locoid 4001 --swversion DE.1.0.8.0 --startMP 204:232973 --initTime 2016-11-13T15:23:11 --startdatetime 2016-11-13T15:26:20 --delay 1 --endMP 204:172 --enddatetime 2016-11-13T16:02:59 --enforcementcount 0 &gt;&gt;C:\Users\stu\Documents\GitHub\eaglep3-reporting\EC\2016-11-13-refined-times.txt</v>
      </c>
      <c r="AI106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{"issue":{"subject":"","project_id":79,"tracker_id":40,"status_id":1,"priority_id":2,"assigned_to_id":23,"start_date":"2016-11-13","description":"","custom_fields":[{"id":1,"name":"Subdivision","value":"EC"},{"id":4,"name":"Milepost","value":"0.0172"},{"id":17,"name":"Train ID","value":"188-13"},{"id":16,"name":"Locomotive ID","value":"4001"},{"id":130,"name":"Impact","value":""},{"id":150,"name":"Time of Event (Mountain Time)","value":"16:02:59"},{"id":151,"name":"Denver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565</v>
      </c>
      <c r="B107" s="7">
        <v>4014</v>
      </c>
      <c r="C107" s="22" t="s">
        <v>225</v>
      </c>
      <c r="D107" s="22" t="s">
        <v>219</v>
      </c>
      <c r="E107" s="13">
        <v>42687.6091087963</v>
      </c>
      <c r="F107" s="13">
        <v>42687.614918981482</v>
      </c>
      <c r="G107" s="7">
        <v>1</v>
      </c>
      <c r="H107" s="22" t="s">
        <v>409</v>
      </c>
      <c r="I107" s="13">
        <v>42687.640057870369</v>
      </c>
      <c r="J107" s="7">
        <v>0</v>
      </c>
      <c r="K107" s="109" t="str">
        <f t="shared" si="19"/>
        <v>4013/4014</v>
      </c>
      <c r="L107" s="22" t="str">
        <f>VLOOKUP(A107,'Trips&amp;Operators'!$C$1:$E$10000,3,FALSE)</f>
        <v>BARTLETT</v>
      </c>
      <c r="M107" s="6">
        <f t="shared" si="20"/>
        <v>2.5138888886431232E-2</v>
      </c>
      <c r="N107" s="7">
        <f t="shared" si="21"/>
        <v>36.199999996460974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13:37:07-700',mode:absolute,to:'2016-11-13 16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4.6199999999999998E-2</v>
      </c>
      <c r="Z107" s="67">
        <f t="shared" si="28"/>
        <v>23.337800000000001</v>
      </c>
      <c r="AA107" s="67">
        <f t="shared" si="29"/>
        <v>23.291600000000003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0"/>
        <v>0189-13</v>
      </c>
      <c r="AE107" s="91" t="str">
        <f t="shared" si="31"/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AF107" s="88" t="str">
        <f t="shared" si="32"/>
        <v>"C:\Program Files (x86)\AstroGrep\AstroGrep.exe" /spath="%USERPROFILE%\AppData\Local\Temp\OnboardLogs" /stypes="app*4014*20161113*" /stext=" 22:.+((SYSTEM_STATE.+slice.+state.+changed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189-13 --locoid 4014 --swversion DE.1.0.8.0 --startMP 204:462 --initTime 2016-11-13T14:37:07 --startdatetime 2016-11-13T14:45:29 --delay 1 --endMP 204:233378 --enddatetime 2016-11-13T15:21:41 --enforcementcount 0 &gt;&gt;C:\Users\stu\Documents\GitHub\eaglep3-reporting\EC\2016-11-13-refined-times.txt</v>
      </c>
      <c r="AI107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{"issue":{"subject":"","project_id":79,"tracker_id":40,"status_id":1,"priority_id":2,"assigned_to_id":23,"start_date":"2016-11-13","description":"","custom_fields":[{"id":1,"name":"Subdivision","value":"EC"},{"id":4,"name":"Milepost","value":"23.3378"},{"id":17,"name":"Train ID","value":"189-13"},{"id":16,"name":"Locomotive ID","value":"4014"},{"id":130,"name":"Impact","value":""},{"id":150,"name":"Time of Event (Mountain Time)","value":"15:21:41"},{"id":151,"name":"Denver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573</v>
      </c>
      <c r="B108" s="7">
        <v>4013</v>
      </c>
      <c r="C108" s="22" t="s">
        <v>225</v>
      </c>
      <c r="D108" s="22" t="s">
        <v>745</v>
      </c>
      <c r="E108" s="13">
        <v>42687.642118055555</v>
      </c>
      <c r="F108" s="13">
        <v>42687.653865740744</v>
      </c>
      <c r="G108" s="7">
        <v>1</v>
      </c>
      <c r="H108" s="22" t="s">
        <v>746</v>
      </c>
      <c r="I108" s="13">
        <v>42687.679560185185</v>
      </c>
      <c r="J108" s="7">
        <v>0</v>
      </c>
      <c r="K108" s="109" t="str">
        <f t="shared" si="19"/>
        <v>4013/4014</v>
      </c>
      <c r="L108" s="22" t="str">
        <f>VLOOKUP(A108,'Trips&amp;Operators'!$C$1:$E$10000,3,FALSE)</f>
        <v>BARTLETT</v>
      </c>
      <c r="M108" s="6">
        <f t="shared" si="20"/>
        <v>2.569444444088731E-2</v>
      </c>
      <c r="N108" s="7">
        <f t="shared" si="21"/>
        <v>36.999999994877726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14:24:39-700',mode:absolute,to:'2016-11-13 17:18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23.306000000000001</v>
      </c>
      <c r="Z108" s="67">
        <f t="shared" si="28"/>
        <v>0.03</v>
      </c>
      <c r="AA108" s="67">
        <f t="shared" si="29"/>
        <v>23.276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0"/>
        <v>0190-13</v>
      </c>
      <c r="AE108" s="91" t="str">
        <f t="shared" si="31"/>
        <v>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 &amp; aws s3 cp s3://rtdc.mdm.uploadarchive.raw/RTDC4013/ "%USERPROFILE%\AppData\Local\Temp\OnboardLogs"\RTDC4013\2016-11-14 --exclude "*" --recursive --include "*20161114*" &amp; "%USERPROFILE%\Documents\GitHub\mrs-test-scripts\Headless Mode &amp; Sideloading\WalkAndUnGZ.bat" "%USERPROFILE%\AppData\Local\Temp\OnboardLogs"\RTDC4013\2016-11-14</v>
      </c>
      <c r="AF108" s="88" t="str">
        <f t="shared" si="32"/>
        <v>"C:\Program Files (x86)\AstroGrep\AstroGrep.exe" /spath="%USERPROFILE%\AppData\Local\Temp\OnboardLogs" /stypes="app*4013*20161113*" /stext=" 23:.+((SYSTEM_STATE.+slice.+state.+changed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190-13 --locoid 4013 --swversion DE.1.0.8.0 --startMP 204:233060 --initTime 2016-11-13T15:24:39 --startdatetime 2016-11-13T15:41:34 --delay 1 --endMP 204:300 --enddatetime 2016-11-13T16:18:34 --enforcementcount 0 &gt;&gt;C:\Users\stu\Documents\GitHub\eaglep3-reporting\EC\2016-11-13-refined-times.txt</v>
      </c>
      <c r="AI108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{"issue":{"subject":"","project_id":79,"tracker_id":40,"status_id":1,"priority_id":2,"assigned_to_id":23,"start_date":"2016-11-13","description":"","custom_fields":[{"id":1,"name":"Subdivision","value":"EC"},{"id":4,"name":"Milepost","value":"0.03"},{"id":17,"name":"Train ID","value":"190-13"},{"id":16,"name":"Locomotive ID","value":"4013"},{"id":130,"name":"Impact","value":""},{"id":150,"name":"Time of Event (Mountain Time)","value":"16:18:34"},{"id":151,"name":"Denver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568</v>
      </c>
      <c r="B109" s="7">
        <v>4044</v>
      </c>
      <c r="C109" s="22" t="s">
        <v>225</v>
      </c>
      <c r="D109" s="22" t="s">
        <v>227</v>
      </c>
      <c r="E109" s="13">
        <v>42687.61886574074</v>
      </c>
      <c r="F109" s="13">
        <v>42687.625173611108</v>
      </c>
      <c r="G109" s="7">
        <v>1</v>
      </c>
      <c r="H109" s="22" t="s">
        <v>265</v>
      </c>
      <c r="I109" s="13">
        <v>42687.649351851855</v>
      </c>
      <c r="J109" s="7">
        <v>0</v>
      </c>
      <c r="K109" s="109" t="str">
        <f t="shared" si="19"/>
        <v>4043/4044</v>
      </c>
      <c r="L109" s="22" t="str">
        <f>VLOOKUP(A109,'Trips&amp;Operators'!$C$1:$E$10000,3,FALSE)</f>
        <v>BRUDER</v>
      </c>
      <c r="M109" s="6">
        <f t="shared" si="20"/>
        <v>2.4178240746550728E-2</v>
      </c>
      <c r="N109" s="7">
        <f t="shared" si="21"/>
        <v>34.816666675033048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13:51:10-700',mode:absolute,to:'2016-11-13 16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4.58E-2</v>
      </c>
      <c r="Z109" s="67">
        <f t="shared" si="28"/>
        <v>23.3293</v>
      </c>
      <c r="AA109" s="67">
        <f t="shared" si="29"/>
        <v>23.2835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0"/>
        <v>0191-13</v>
      </c>
      <c r="AE109" s="91" t="str">
        <f t="shared" si="31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109" s="88" t="str">
        <f t="shared" si="32"/>
        <v>"C:\Program Files (x86)\AstroGrep\AstroGrep.exe" /spath="%USERPROFILE%\AppData\Local\Temp\OnboardLogs" /stypes="app*4044*20161113*" /stext=" 22:.+((SYSTEM_STATE.+slice.+state.+changed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191-13 --locoid 4044 --swversion DE.1.0.8.0 --startMP 204:458 --initTime 2016-11-13T14:51:10 --startdatetime 2016-11-13T15:00:15 --delay 1 --endMP 204:233293 --enddatetime 2016-11-13T15:35:04 --enforcementcount 0 &gt;&gt;C:\Users\stu\Documents\GitHub\eaglep3-reporting\EC\2016-11-13-refined-times.txt</v>
      </c>
      <c r="AI109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{"issue":{"subject":"","project_id":79,"tracker_id":40,"status_id":1,"priority_id":2,"assigned_to_id":23,"start_date":"2016-11-13","description":"","custom_fields":[{"id":1,"name":"Subdivision","value":"EC"},{"id":4,"name":"Milepost","value":"23.3293"},{"id":17,"name":"Train ID","value":"191-13"},{"id":16,"name":"Locomotive ID","value":"4044"},{"id":130,"name":"Impact","value":""},{"id":150,"name":"Time of Event (Mountain Time)","value":"15:35:04"},{"id":151,"name":"Denver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576</v>
      </c>
      <c r="B110" s="7">
        <v>4043</v>
      </c>
      <c r="C110" s="22" t="s">
        <v>225</v>
      </c>
      <c r="D110" s="22" t="s">
        <v>262</v>
      </c>
      <c r="E110" s="13">
        <v>42687.659363425926</v>
      </c>
      <c r="F110" s="13">
        <v>42687.664131944446</v>
      </c>
      <c r="G110" s="7">
        <v>1</v>
      </c>
      <c r="H110" s="22" t="s">
        <v>230</v>
      </c>
      <c r="I110" s="13">
        <v>42687.689756944441</v>
      </c>
      <c r="J110" s="7">
        <v>0</v>
      </c>
      <c r="K110" s="109" t="str">
        <f t="shared" si="19"/>
        <v>4043/4044</v>
      </c>
      <c r="L110" s="22" t="str">
        <f>VLOOKUP(A110,'Trips&amp;Operators'!$C$1:$E$10000,3,FALSE)</f>
        <v>BRUDER</v>
      </c>
      <c r="M110" s="6">
        <f t="shared" si="20"/>
        <v>2.5624999994761311E-2</v>
      </c>
      <c r="N110" s="7">
        <f t="shared" si="21"/>
        <v>36.899999992456287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14:49:29-700',mode:absolute,to:'2016-11-13 17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23.297799999999999</v>
      </c>
      <c r="Z110" s="67">
        <f t="shared" si="28"/>
        <v>1.5800000000000002E-2</v>
      </c>
      <c r="AA110" s="67">
        <f t="shared" si="29"/>
        <v>23.282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0"/>
        <v>0192-13</v>
      </c>
      <c r="AE110" s="91" t="str">
        <f t="shared" si="31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110" s="88" t="str">
        <f t="shared" si="32"/>
        <v>"C:\Program Files (x86)\AstroGrep\AstroGrep.exe" /spath="%USERPROFILE%\AppData\Local\Temp\OnboardLogs" /stypes="app*4043*20161113*" /stext=" 23:.+((SYSTEM_STATE.+slice.+state.+changed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192-13 --locoid 4043 --swversion DE.1.0.8.0 --startMP 204:232978 --initTime 2016-11-13T15:49:29 --startdatetime 2016-11-13T15:56:21 --delay 1 --endMP 204:158 --enddatetime 2016-11-13T16:33:15 --enforcementcount 0 &gt;&gt;C:\Users\stu\Documents\GitHub\eaglep3-reporting\EC\2016-11-13-refined-times.txt</v>
      </c>
      <c r="AI110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{"issue":{"subject":"","project_id":79,"tracker_id":40,"status_id":1,"priority_id":2,"assigned_to_id":23,"start_date":"2016-11-13","description":"","custom_fields":[{"id":1,"name":"Subdivision","value":"EC"},{"id":4,"name":"Milepost","value":"0.0158"},{"id":17,"name":"Train ID","value":"192-13"},{"id":16,"name":"Locomotive ID","value":"4043"},{"id":130,"name":"Impact","value":""},{"id":150,"name":"Time of Event (Mountain Time)","value":"16:33:15"},{"id":151,"name":"Denver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570</v>
      </c>
      <c r="B111" s="7">
        <v>4029</v>
      </c>
      <c r="C111" s="22" t="s">
        <v>225</v>
      </c>
      <c r="D111" s="22" t="s">
        <v>205</v>
      </c>
      <c r="E111" s="13">
        <v>42687.631932870368</v>
      </c>
      <c r="F111" s="13">
        <v>42687.635625000003</v>
      </c>
      <c r="G111" s="7">
        <v>1</v>
      </c>
      <c r="H111" s="22" t="s">
        <v>263</v>
      </c>
      <c r="I111" s="13">
        <v>42687.660381944443</v>
      </c>
      <c r="J111" s="7">
        <v>0</v>
      </c>
      <c r="K111" s="109" t="str">
        <f t="shared" si="19"/>
        <v>4029/4030</v>
      </c>
      <c r="L111" s="22" t="str">
        <f>VLOOKUP(A111,'Trips&amp;Operators'!$C$1:$E$10000,3,FALSE)</f>
        <v>MOSES</v>
      </c>
      <c r="M111" s="6">
        <f t="shared" si="20"/>
        <v>2.4756944440014195E-2</v>
      </c>
      <c r="N111" s="7">
        <f t="shared" si="21"/>
        <v>35.64999999362044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14:09:59-700',mode:absolute,to:'2016-11-13 16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4.5100000000000001E-2</v>
      </c>
      <c r="Z111" s="67">
        <f t="shared" si="28"/>
        <v>23.331900000000001</v>
      </c>
      <c r="AA111" s="67">
        <f t="shared" si="29"/>
        <v>23.286799999999999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0"/>
        <v>0193-13</v>
      </c>
      <c r="AE111" s="91" t="str">
        <f t="shared" si="31"/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AF111" s="88" t="str">
        <f t="shared" si="32"/>
        <v>"C:\Program Files (x86)\AstroGrep\AstroGrep.exe" /spath="%USERPROFILE%\AppData\Local\Temp\OnboardLogs" /stypes="app*4029*20161113*" /stext=" 22:.+((SYSTEM_STATE.+slice.+state.+changed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193-13 --locoid 4029 --swversion DE.1.0.8.0 --startMP 204:451 --initTime 2016-11-13T15:09:59 --startdatetime 2016-11-13T15:15:18 --delay 1 --endMP 204:233319 --enddatetime 2016-11-13T15:50:57 --enforcementcount 0 &gt;&gt;C:\Users\stu\Documents\GitHub\eaglep3-reporting\EC\2016-11-13-refined-times.txt</v>
      </c>
      <c r="AI111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{"issue":{"subject":"","project_id":79,"tracker_id":40,"status_id":1,"priority_id":2,"assigned_to_id":23,"start_date":"2016-11-13","description":"","custom_fields":[{"id":1,"name":"Subdivision","value":"EC"},{"id":4,"name":"Milepost","value":"23.3319"},{"id":17,"name":"Train ID","value":"193-13"},{"id":16,"name":"Locomotive ID","value":"4029"},{"id":130,"name":"Impact","value":""},{"id":150,"name":"Time of Event (Mountain Time)","value":"15:50:57"},{"id":151,"name":"Denver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579</v>
      </c>
      <c r="B112" s="7">
        <v>4030</v>
      </c>
      <c r="C112" s="22" t="s">
        <v>225</v>
      </c>
      <c r="D112" s="22" t="s">
        <v>683</v>
      </c>
      <c r="E112" s="13">
        <v>42687.6716087963</v>
      </c>
      <c r="F112" s="13">
        <v>42687.674571759257</v>
      </c>
      <c r="G112" s="7">
        <v>1</v>
      </c>
      <c r="H112" s="22" t="s">
        <v>175</v>
      </c>
      <c r="I112" s="13">
        <v>42687.700995370367</v>
      </c>
      <c r="J112" s="7">
        <v>0</v>
      </c>
      <c r="K112" s="109" t="str">
        <f t="shared" si="19"/>
        <v>4029/4030</v>
      </c>
      <c r="L112" s="22" t="str">
        <f>VLOOKUP(A112,'Trips&amp;Operators'!$C$1:$E$10000,3,FALSE)</f>
        <v>MOSES</v>
      </c>
      <c r="M112" s="6">
        <f t="shared" si="20"/>
        <v>2.6423611110658385E-2</v>
      </c>
      <c r="N112" s="7">
        <f t="shared" si="21"/>
        <v>38.049999999348074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15:07:07-700',mode:absolute,to:'2016-11-13 17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23.299399999999999</v>
      </c>
      <c r="Z112" s="67">
        <f t="shared" si="28"/>
        <v>1.47E-2</v>
      </c>
      <c r="AA112" s="67">
        <f t="shared" si="29"/>
        <v>23.284699999999997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0"/>
        <v>0194-13</v>
      </c>
      <c r="AE112" s="91" t="str">
        <f t="shared" si="31"/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AF112" s="88" t="str">
        <f t="shared" si="32"/>
        <v>"C:\Program Files (x86)\AstroGrep\AstroGrep.exe" /spath="%USERPROFILE%\AppData\Local\Temp\OnboardLogs" /stypes="app*4030*20161113*" /stext=" 23:.+((SYSTEM_STATE.+slice.+state.+changed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194-13 --locoid 4030 --swversion DE.1.0.8.0 --startMP 204:232994 --initTime 2016-11-13T16:07:07 --startdatetime 2016-11-13T16:11:23 --delay 1 --endMP 204:147 --enddatetime 2016-11-13T16:49:26 --enforcementcount 0 &gt;&gt;C:\Users\stu\Documents\GitHub\eaglep3-reporting\EC\2016-11-13-refined-times.txt</v>
      </c>
      <c r="AI112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{"issue":{"subject":"","project_id":79,"tracker_id":40,"status_id":1,"priority_id":2,"assigned_to_id":23,"start_date":"2016-11-13","description":"","custom_fields":[{"id":1,"name":"Subdivision","value":"EC"},{"id":4,"name":"Milepost","value":"0.0147"},{"id":17,"name":"Train ID","value":"194-13"},{"id":16,"name":"Locomotive ID","value":"4030"},{"id":130,"name":"Impact","value":""},{"id":150,"name":"Time of Event (Mountain Time)","value":"16:49:26"},{"id":151,"name":"Denver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574</v>
      </c>
      <c r="B113" s="7">
        <v>4031</v>
      </c>
      <c r="C113" s="22" t="s">
        <v>225</v>
      </c>
      <c r="D113" s="22" t="s">
        <v>289</v>
      </c>
      <c r="E113" s="13">
        <v>42687.642395833333</v>
      </c>
      <c r="F113" s="13">
        <v>42687.646238425928</v>
      </c>
      <c r="G113" s="7">
        <v>5</v>
      </c>
      <c r="H113" s="22" t="s">
        <v>659</v>
      </c>
      <c r="I113" s="13">
        <v>42687.672094907408</v>
      </c>
      <c r="J113" s="7">
        <v>0</v>
      </c>
      <c r="K113" s="109" t="str">
        <f t="shared" si="19"/>
        <v>4031/4032</v>
      </c>
      <c r="L113" s="22" t="str">
        <f>VLOOKUP(A113,'Trips&amp;Operators'!$C$1:$E$10000,3,FALSE)</f>
        <v>YOUNG</v>
      </c>
      <c r="M113" s="6">
        <f t="shared" si="20"/>
        <v>2.5856481479422655E-2</v>
      </c>
      <c r="N113" s="7">
        <f t="shared" si="21"/>
        <v>37.233333330368623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14:25:03-700',mode:absolute,to:'2016-11-13 17:07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4.4200000000000003E-2</v>
      </c>
      <c r="Z113" s="67">
        <f t="shared" si="28"/>
        <v>23.3307</v>
      </c>
      <c r="AA113" s="67">
        <f t="shared" si="29"/>
        <v>23.2865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0"/>
        <v>0195-13</v>
      </c>
      <c r="AE113" s="91" t="str">
        <f t="shared" si="31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113" s="88" t="str">
        <f t="shared" si="32"/>
        <v>"C:\Program Files (x86)\AstroGrep\AstroGrep.exe" /spath="%USERPROFILE%\AppData\Local\Temp\OnboardLogs" /stypes="app*4031*20161113*" /stext=" 23:.+((SYSTEM_STATE.+slice.+state.+changed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195-13 --locoid 4031 --swversion DE.1.0.8.0 --startMP 204:442 --initTime 2016-11-13T15:25:03 --startdatetime 2016-11-13T15:30:35 --delay 5 --endMP 204:233307 --enddatetime 2016-11-13T16:07:49 --enforcementcount 0 &gt;&gt;C:\Users\stu\Documents\GitHub\eaglep3-reporting\EC\2016-11-13-refined-times.txt</v>
      </c>
      <c r="AI113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{"issue":{"subject":"","project_id":79,"tracker_id":40,"status_id":1,"priority_id":2,"assigned_to_id":23,"start_date":"2016-11-13","description":"","custom_fields":[{"id":1,"name":"Subdivision","value":"EC"},{"id":4,"name":"Milepost","value":"23.3307"},{"id":17,"name":"Train ID","value":"195-13"},{"id":16,"name":"Locomotive ID","value":"4031"},{"id":130,"name":"Impact","value":""},{"id":150,"name":"Time of Event (Mountain Time)","value":"16:07:49"},{"id":151,"name":"Denver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457</v>
      </c>
      <c r="B114" s="7">
        <v>4032</v>
      </c>
      <c r="C114" s="22" t="s">
        <v>225</v>
      </c>
      <c r="D114" s="22" t="s">
        <v>239</v>
      </c>
      <c r="E114" s="13">
        <v>42687.676828703705</v>
      </c>
      <c r="F114" s="13">
        <v>42687.684965277775</v>
      </c>
      <c r="G114" s="7">
        <v>2</v>
      </c>
      <c r="H114" s="22" t="s">
        <v>750</v>
      </c>
      <c r="I114" s="13">
        <v>42687.712465277778</v>
      </c>
      <c r="J114" s="7">
        <v>0</v>
      </c>
      <c r="K114" s="109" t="str">
        <f t="shared" si="19"/>
        <v>4031/4032</v>
      </c>
      <c r="L114" s="22" t="str">
        <f>VLOOKUP(A114,'Trips&amp;Operators'!$C$1:$E$10000,3,FALSE)</f>
        <v>YOUNG</v>
      </c>
      <c r="M114" s="6">
        <f t="shared" si="20"/>
        <v>2.7500000003783498E-2</v>
      </c>
      <c r="N114" s="7">
        <f t="shared" si="21"/>
        <v>39.600000005448237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15:14:38-700',mode:absolute,to:'2016-11-13 18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23.298200000000001</v>
      </c>
      <c r="Z114" s="67">
        <f t="shared" si="28"/>
        <v>2.23E-2</v>
      </c>
      <c r="AA114" s="67">
        <f t="shared" si="29"/>
        <v>23.2759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0"/>
        <v>0196-13</v>
      </c>
      <c r="AE114" s="91" t="str">
        <f t="shared" si="31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114" s="88" t="str">
        <f t="shared" si="32"/>
        <v>"C:\Program Files (x86)\AstroGrep\AstroGrep.exe" /spath="%USERPROFILE%\AppData\Local\Temp\OnboardLogs" /stypes="app*4032*20161114*" /stext=" 00:.+((SYSTEM_STATE.+slice.+state.+changed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196-13 --locoid 4032 --swversion DE.1.0.8.0 --startMP 204:232982 --initTime 2016-11-13T16:14:38 --startdatetime 2016-11-13T16:26:21 --delay 2 --endMP 204:223 --enddatetime 2016-11-13T17:05:57 --enforcementcount 0 &gt;&gt;C:\Users\stu\Documents\GitHub\eaglep3-reporting\EC\2016-11-13-refined-times.txt</v>
      </c>
      <c r="AI114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{"issue":{"subject":"","project_id":79,"tracker_id":40,"status_id":1,"priority_id":2,"assigned_to_id":23,"start_date":"2016-11-13","description":"","custom_fields":[{"id":1,"name":"Subdivision","value":"EC"},{"id":4,"name":"Milepost","value":"0.0223"},{"id":17,"name":"Train ID","value":"196-13"},{"id":16,"name":"Locomotive ID","value":"4032"},{"id":130,"name":"Impact","value":""},{"id":150,"name":"Time of Event (Mountain Time)","value":"17:05:57"},{"id":151,"name":"Denver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7" t="s">
        <v>575</v>
      </c>
      <c r="B115" s="7">
        <v>4007</v>
      </c>
      <c r="C115" s="22" t="s">
        <v>225</v>
      </c>
      <c r="D115" s="22" t="s">
        <v>275</v>
      </c>
      <c r="E115" s="13">
        <v>42687.653738425928</v>
      </c>
      <c r="F115" s="13">
        <v>42687.656423611108</v>
      </c>
      <c r="G115" s="7">
        <v>1</v>
      </c>
      <c r="H115" s="22" t="s">
        <v>263</v>
      </c>
      <c r="I115" s="13">
        <v>42687.681793981479</v>
      </c>
      <c r="J115" s="7">
        <v>0</v>
      </c>
      <c r="K115" s="109" t="str">
        <f t="shared" si="19"/>
        <v>4007/4008</v>
      </c>
      <c r="L115" s="22" t="str">
        <f>VLOOKUP(A115,'Trips&amp;Operators'!$C$1:$E$10000,3,FALSE)</f>
        <v>CLARK</v>
      </c>
      <c r="M115" s="6">
        <f t="shared" si="20"/>
        <v>2.5370370371092577E-2</v>
      </c>
      <c r="N115" s="7">
        <f t="shared" si="21"/>
        <v>36.53333333437331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14:41:23-700',mode:absolute,to:'2016-11-13 17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4.4600000000000001E-2</v>
      </c>
      <c r="Z115" s="67">
        <f t="shared" si="28"/>
        <v>23.331900000000001</v>
      </c>
      <c r="AA115" s="67">
        <f t="shared" si="29"/>
        <v>23.287300000000002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0"/>
        <v>0197-13</v>
      </c>
      <c r="AE115" s="91" t="str">
        <f t="shared" si="31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115" s="88" t="str">
        <f t="shared" si="32"/>
        <v>"C:\Program Files (x86)\AstroGrep\AstroGrep.exe" /spath="%USERPROFILE%\AppData\Local\Temp\OnboardLogs" /stypes="app*4007*20161113*" /stext=" 23:.+((SYSTEM_STATE.+slice.+state.+changed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197-13 --locoid 4007 --swversion DE.1.0.8.0 --startMP 204:446 --initTime 2016-11-13T15:41:23 --startdatetime 2016-11-13T15:45:15 --delay 1 --endMP 204:233319 --enddatetime 2016-11-13T16:21:47 --enforcementcount 0 &gt;&gt;C:\Users\stu\Documents\GitHub\eaglep3-reporting\EC\2016-11-13-refined-times.txt</v>
      </c>
      <c r="AI115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{"issue":{"subject":"","project_id":79,"tracker_id":40,"status_id":1,"priority_id":2,"assigned_to_id":23,"start_date":"2016-11-13","description":"","custom_fields":[{"id":1,"name":"Subdivision","value":"EC"},{"id":4,"name":"Milepost","value":"23.3319"},{"id":17,"name":"Train ID","value":"197-13"},{"id":16,"name":"Locomotive ID","value":"4007"},{"id":130,"name":"Impact","value":""},{"id":150,"name":"Time of Event (Mountain Time)","value":"16:21:47"},{"id":151,"name":"Denver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91" s="21" customFormat="1" x14ac:dyDescent="0.25">
      <c r="A116" s="37" t="s">
        <v>582</v>
      </c>
      <c r="B116" s="7">
        <v>4008</v>
      </c>
      <c r="C116" s="22" t="s">
        <v>225</v>
      </c>
      <c r="D116" s="22" t="s">
        <v>673</v>
      </c>
      <c r="E116" s="13">
        <v>42687.690486111111</v>
      </c>
      <c r="F116" s="13">
        <v>42687.695335648146</v>
      </c>
      <c r="G116" s="7">
        <v>0</v>
      </c>
      <c r="H116" s="22" t="s">
        <v>197</v>
      </c>
      <c r="I116" s="13">
        <v>42687.722754629627</v>
      </c>
      <c r="J116" s="7">
        <v>0</v>
      </c>
      <c r="K116" s="109" t="str">
        <f t="shared" si="19"/>
        <v>4007/4008</v>
      </c>
      <c r="L116" s="22" t="str">
        <f>VLOOKUP(A116,'Trips&amp;Operators'!$C$1:$E$10000,3,FALSE)</f>
        <v>CLARK</v>
      </c>
      <c r="M116" s="6">
        <f t="shared" si="20"/>
        <v>2.7418981480877846E-2</v>
      </c>
      <c r="N116" s="7">
        <f t="shared" si="21"/>
        <v>39.483333332464099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15:34:18-700',mode:absolute,to:'2016-11-13 18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23.3</v>
      </c>
      <c r="Z116" s="67">
        <f t="shared" si="28"/>
        <v>1.4500000000000001E-2</v>
      </c>
      <c r="AA116" s="67">
        <f t="shared" si="29"/>
        <v>23.285499999999999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0"/>
        <v>0198-13</v>
      </c>
      <c r="AE116" s="91" t="str">
        <f t="shared" si="31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116" s="88" t="str">
        <f t="shared" si="32"/>
        <v>"C:\Program Files (x86)\AstroGrep\AstroGrep.exe" /spath="%USERPROFILE%\AppData\Local\Temp\OnboardLogs" /stypes="app*4008*20161114*" /stext=" 00:.+((SYSTEM_STATE.+slice.+state.+changed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198-13 --locoid 4008 --swversion DE.1.0.8.0 --startMP 204:233000 --initTime 2016-11-13T16:34:18 --startdatetime 2016-11-13T16:41:17 --delay 0 --endMP 204:145 --enddatetime 2016-11-13T17:20:46 --enforcementcount 0 &gt;&gt;C:\Users\stu\Documents\GitHub\eaglep3-reporting\EC\2016-11-13-refined-times.txt</v>
      </c>
      <c r="AI116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ID","value":"198-13"},{"id":16,"name":"Locomotive ID","value":"4008"},{"id":130,"name":"Impact","value":""},{"id":150,"name":"Time of Event (Mountain Time)","value":"17:20:46"},{"id":151,"name":"Denver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577</v>
      </c>
      <c r="B117" s="7">
        <v>4022</v>
      </c>
      <c r="C117" s="22" t="s">
        <v>225</v>
      </c>
      <c r="D117" s="22" t="s">
        <v>290</v>
      </c>
      <c r="E117" s="13">
        <v>42687.660613425927</v>
      </c>
      <c r="F117" s="13">
        <v>42687.666886574072</v>
      </c>
      <c r="G117" s="7">
        <v>1</v>
      </c>
      <c r="H117" s="22" t="s">
        <v>751</v>
      </c>
      <c r="I117" s="13">
        <v>42687.691736111112</v>
      </c>
      <c r="J117" s="7">
        <v>0</v>
      </c>
      <c r="K117" s="109" t="str">
        <f t="shared" si="19"/>
        <v>4021/4022</v>
      </c>
      <c r="L117" s="22" t="str">
        <f>VLOOKUP(A117,'Trips&amp;Operators'!$C$1:$E$10000,3,FALSE)</f>
        <v>SHOOK</v>
      </c>
      <c r="M117" s="6">
        <f t="shared" si="20"/>
        <v>2.4849537039699499E-2</v>
      </c>
      <c r="N117" s="7">
        <f t="shared" si="21"/>
        <v>35.783333337167278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14:51:17-700',mode:absolute,to:'2016-11-13 17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4.7100000000000003E-2</v>
      </c>
      <c r="Z117" s="67">
        <f t="shared" si="28"/>
        <v>23.334099999999999</v>
      </c>
      <c r="AA117" s="67">
        <f t="shared" si="29"/>
        <v>23.286999999999999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0"/>
        <v>0199-13</v>
      </c>
      <c r="AE117" s="91" t="str">
        <f t="shared" si="31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117" s="88" t="str">
        <f t="shared" si="32"/>
        <v>"C:\Program Files (x86)\AstroGrep\AstroGrep.exe" /spath="%USERPROFILE%\AppData\Local\Temp\OnboardLogs" /stypes="app*4022*20161113*" /stext=" 23:.+((SYSTEM_STATE.+slice.+state.+changed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199-13 --locoid 4022 --swversion DE.1.0.8.0 --startMP 204:471 --initTime 2016-11-13T15:51:17 --startdatetime 2016-11-13T16:00:19 --delay 1 --endMP 204:233341 --enddatetime 2016-11-13T16:36:06 --enforcementcount 0 &gt;&gt;C:\Users\stu\Documents\GitHub\eaglep3-reporting\EC\2016-11-13-refined-times.txt</v>
      </c>
      <c r="AI117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{"issue":{"subject":"","project_id":79,"tracker_id":40,"status_id":1,"priority_id":2,"assigned_to_id":23,"start_date":"2016-11-13","description":"","custom_fields":[{"id":1,"name":"Subdivision","value":"EC"},{"id":4,"name":"Milepost","value":"23.3341"},{"id":17,"name":"Train ID","value":"199-13"},{"id":16,"name":"Locomotive ID","value":"4022"},{"id":130,"name":"Impact","value":""},{"id":150,"name":"Time of Event (Mountain Time)","value":"16:36:06"},{"id":151,"name":"Denver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585</v>
      </c>
      <c r="B118" s="7">
        <v>4021</v>
      </c>
      <c r="C118" s="22" t="s">
        <v>225</v>
      </c>
      <c r="D118" s="22" t="s">
        <v>752</v>
      </c>
      <c r="E118" s="13">
        <v>42687.700752314813</v>
      </c>
      <c r="F118" s="13">
        <v>42687.705752314818</v>
      </c>
      <c r="G118" s="7">
        <v>1</v>
      </c>
      <c r="H118" s="22" t="s">
        <v>176</v>
      </c>
      <c r="I118" s="13">
        <v>42687.732905092591</v>
      </c>
      <c r="J118" s="7">
        <v>0</v>
      </c>
      <c r="K118" s="109" t="str">
        <f t="shared" si="19"/>
        <v>4021/4022</v>
      </c>
      <c r="L118" s="22" t="str">
        <f>VLOOKUP(A118,'Trips&amp;Operators'!$C$1:$E$10000,3,FALSE)</f>
        <v>SHOOK</v>
      </c>
      <c r="M118" s="6">
        <f t="shared" si="20"/>
        <v>2.7152777773153502E-2</v>
      </c>
      <c r="N118" s="7">
        <f t="shared" si="21"/>
        <v>39.099999993341044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15:49:05-700',mode:absolute,to:'2016-11-13 18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23.301500000000001</v>
      </c>
      <c r="Z118" s="67">
        <f t="shared" si="28"/>
        <v>1.52E-2</v>
      </c>
      <c r="AA118" s="67">
        <f t="shared" si="29"/>
        <v>23.286300000000001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0"/>
        <v>0200-13</v>
      </c>
      <c r="AE118" s="91" t="str">
        <f t="shared" si="31"/>
        <v>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 &amp; 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</v>
      </c>
      <c r="AF118" s="88" t="str">
        <f t="shared" si="32"/>
        <v>"C:\Program Files (x86)\AstroGrep\AstroGrep.exe" /spath="%USERPROFILE%\AppData\Local\Temp\OnboardLogs" /stypes="app*4021*20161114*" /stext=" 00:.+((SYSTEM_STATE.+slice.+state.+changed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200-13 --locoid 4021 --swversion DE.1.0.8.0 --startMP 204:233015 --initTime 2016-11-13T16:49:05 --startdatetime 2016-11-13T16:56:17 --delay 1 --endMP 204:152 --enddatetime 2016-11-13T17:35:23 --enforcementcount 0 &gt;&gt;C:\Users\stu\Documents\GitHub\eaglep3-reporting\EC\2016-11-13-refined-times.txt</v>
      </c>
      <c r="AI118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{"issue":{"subject":"","project_id":79,"tracker_id":40,"status_id":1,"priority_id":2,"assigned_to_id":23,"start_date":"2016-11-13","description":"","custom_fields":[{"id":1,"name":"Subdivision","value":"EC"},{"id":4,"name":"Milepost","value":"0.0152"},{"id":17,"name":"Train ID","value":"200-13"},{"id":16,"name":"Locomotive ID","value":"4021"},{"id":130,"name":"Impact","value":""},{"id":150,"name":"Time of Event (Mountain Time)","value":"17:35:23"},{"id":151,"name":"Denver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578</v>
      </c>
      <c r="B119" s="7">
        <v>4002</v>
      </c>
      <c r="C119" s="22" t="s">
        <v>225</v>
      </c>
      <c r="D119" s="22" t="s">
        <v>200</v>
      </c>
      <c r="E119" s="13">
        <v>42687.671215277776</v>
      </c>
      <c r="F119" s="13">
        <v>42687.677361111113</v>
      </c>
      <c r="G119" s="7">
        <v>1</v>
      </c>
      <c r="H119" s="22" t="s">
        <v>328</v>
      </c>
      <c r="I119" s="13">
        <v>42687.701979166668</v>
      </c>
      <c r="J119" s="7">
        <v>0</v>
      </c>
      <c r="K119" s="109" t="str">
        <f t="shared" si="19"/>
        <v>4001/4002</v>
      </c>
      <c r="L119" s="22" t="str">
        <f>VLOOKUP(A119,'Trips&amp;Operators'!$C$1:$E$10000,3,FALSE)</f>
        <v>STEWART</v>
      </c>
      <c r="M119" s="6">
        <f t="shared" si="20"/>
        <v>2.4618055555038154E-2</v>
      </c>
      <c r="N119" s="7">
        <f t="shared" si="21"/>
        <v>35.449999999254942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15:06:33-700',mode:absolute,to:'2016-11-13 17:50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4.4699999999999997E-2</v>
      </c>
      <c r="Z119" s="67">
        <f t="shared" si="28"/>
        <v>23.33</v>
      </c>
      <c r="AA119" s="67">
        <f t="shared" si="29"/>
        <v>23.285299999999999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0"/>
        <v>0201-13</v>
      </c>
      <c r="AE119" s="91" t="str">
        <f t="shared" si="31"/>
        <v>aws s3 cp s3://rtdc.mdm.uploadarchive.raw/RTDC4002/ "%USERPROFILE%\AppData\Local\Temp\OnboardLogs"\RTDC4002\2016-11-13 --exclude "*" --recursive --include "*20161113*" &amp; "%USERPROFILE%\Documents\GitHub\mrs-test-scripts\Headless Mode &amp; Sideloading\WalkAndUnGZ.bat" "%USERPROFILE%\AppData\Local\Temp\OnboardLogs"\RTDC4002\2016-11-13 &amp; aws s3 cp s3://rtdc.mdm.uploadarchive.raw/RTDC4002/ "%USERPROFILE%\AppData\Local\Temp\OnboardLogs"\RTDC4002\2016-11-14 --exclude "*" --recursive --include "*20161114*" &amp; "%USERPROFILE%\Documents\GitHub\mrs-test-scripts\Headless Mode &amp; Sideloading\WalkAndUnGZ.bat" "%USERPROFILE%\AppData\Local\Temp\OnboardLogs"\RTDC4002\2016-11-14</v>
      </c>
      <c r="AF119" s="88" t="str">
        <f t="shared" si="32"/>
        <v>"C:\Program Files (x86)\AstroGrep\AstroGrep.exe" /spath="%USERPROFILE%\AppData\Local\Temp\OnboardLogs" /stypes="app*4002*20161113*" /stext=" 23:.+((SYSTEM_STATE.+slice.+state.+changed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201-13 --locoid 4002 --swversion DE.1.0.8.0 --startMP 204:447 --initTime 2016-11-13T16:06:33 --startdatetime 2016-11-13T16:15:24 --delay 1 --endMP 204:233300 --enddatetime 2016-11-13T16:50:51 --enforcementcount 0 &gt;&gt;C:\Users\stu\Documents\GitHub\eaglep3-reporting\EC\2016-11-13-refined-times.txt</v>
      </c>
      <c r="AI119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{"issue":{"subject":"","project_id":79,"tracker_id":40,"status_id":1,"priority_id":2,"assigned_to_id":23,"start_date":"2016-11-13","description":"","custom_fields":[{"id":1,"name":"Subdivision","value":"EC"},{"id":4,"name":"Milepost","value":"23.33"},{"id":17,"name":"Train ID","value":"201-13"},{"id":16,"name":"Locomotive ID","value":"4002"},{"id":130,"name":"Impact","value":""},{"id":150,"name":"Time of Event (Mountain Time)","value":"16:50:51"},{"id":151,"name":"Denver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459</v>
      </c>
      <c r="B120" s="7">
        <v>4001</v>
      </c>
      <c r="C120" s="22" t="s">
        <v>225</v>
      </c>
      <c r="D120" s="22" t="s">
        <v>333</v>
      </c>
      <c r="E120" s="13">
        <v>42687.713564814818</v>
      </c>
      <c r="F120" s="13">
        <v>42687.716249999998</v>
      </c>
      <c r="G120" s="7">
        <v>1</v>
      </c>
      <c r="H120" s="22" t="s">
        <v>216</v>
      </c>
      <c r="I120" s="13">
        <v>42687.7424537037</v>
      </c>
      <c r="J120" s="7">
        <v>0</v>
      </c>
      <c r="K120" s="109" t="str">
        <f t="shared" si="19"/>
        <v>4001/4002</v>
      </c>
      <c r="L120" s="22" t="str">
        <f>VLOOKUP(A120,'Trips&amp;Operators'!$C$1:$E$10000,3,FALSE)</f>
        <v>STEWART</v>
      </c>
      <c r="M120" s="6">
        <f t="shared" si="20"/>
        <v>2.6203703702776693E-2</v>
      </c>
      <c r="N120" s="7">
        <f t="shared" si="21"/>
        <v>37.733333331998438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16:07:32-700',mode:absolute,to:'2016-11-13 18:49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23.297599999999999</v>
      </c>
      <c r="Z120" s="67">
        <f t="shared" si="28"/>
        <v>1.5599999999999999E-2</v>
      </c>
      <c r="AA120" s="67">
        <f t="shared" si="29"/>
        <v>23.282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0"/>
        <v>0202-13</v>
      </c>
      <c r="AE120" s="91" t="str">
        <f t="shared" si="31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120" s="88" t="str">
        <f t="shared" si="32"/>
        <v>"C:\Program Files (x86)\AstroGrep\AstroGrep.exe" /spath="%USERPROFILE%\AppData\Local\Temp\OnboardLogs" /stypes="app*4001*20161114*" /stext=" 00:.+((SYSTEM_STATE.+slice.+state.+changed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202-13 --locoid 4001 --swversion DE.1.0.8.0 --startMP 204:232976 --initTime 2016-11-13T17:07:32 --startdatetime 2016-11-13T17:11:24 --delay 1 --endMP 204:156 --enddatetime 2016-11-13T17:49:08 --enforcementcount 0 &gt;&gt;C:\Users\stu\Documents\GitHub\eaglep3-reporting\EC\2016-11-13-refined-times.txt</v>
      </c>
      <c r="AI120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{"issue":{"subject":"","project_id":79,"tracker_id":40,"status_id":1,"priority_id":2,"assigned_to_id":23,"start_date":"2016-11-13","description":"","custom_fields":[{"id":1,"name":"Subdivision","value":"EC"},{"id":4,"name":"Milepost","value":"0.0156"},{"id":17,"name":"Train ID","value":"202-13"},{"id":16,"name":"Locomotive ID","value":"4001"},{"id":130,"name":"Impact","value":""},{"id":150,"name":"Time of Event (Mountain Time)","value":"17:49:08"},{"id":151,"name":"Denver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581</v>
      </c>
      <c r="B121" s="7">
        <v>4014</v>
      </c>
      <c r="C121" s="22" t="s">
        <v>225</v>
      </c>
      <c r="D121" s="22" t="s">
        <v>753</v>
      </c>
      <c r="E121" s="13">
        <v>42687.682557870372</v>
      </c>
      <c r="F121" s="13">
        <v>42687.687731481485</v>
      </c>
      <c r="G121" s="7">
        <v>1</v>
      </c>
      <c r="H121" s="22" t="s">
        <v>697</v>
      </c>
      <c r="I121" s="13">
        <v>42687.71298611111</v>
      </c>
      <c r="J121" s="7">
        <v>0</v>
      </c>
      <c r="K121" s="109" t="str">
        <f t="shared" si="19"/>
        <v>4013/4014</v>
      </c>
      <c r="L121" s="22" t="str">
        <f>VLOOKUP(A121,'Trips&amp;Operators'!$C$1:$E$10000,3,FALSE)</f>
        <v>BARTLETT</v>
      </c>
      <c r="M121" s="6">
        <f t="shared" si="20"/>
        <v>2.5254629625123926E-2</v>
      </c>
      <c r="N121" s="7">
        <f t="shared" si="21"/>
        <v>36.366666660178453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15:22:53-700',mode:absolute,to:'2016-11-13 18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6.1899999999999997E-2</v>
      </c>
      <c r="Z121" s="67">
        <f t="shared" si="28"/>
        <v>23.331800000000001</v>
      </c>
      <c r="AA121" s="67">
        <f t="shared" si="29"/>
        <v>23.2699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0"/>
        <v>0203-13</v>
      </c>
      <c r="AE121" s="91" t="str">
        <f t="shared" si="31"/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AF121" s="88" t="str">
        <f t="shared" si="32"/>
        <v>"C:\Program Files (x86)\AstroGrep\AstroGrep.exe" /spath="%USERPROFILE%\AppData\Local\Temp\OnboardLogs" /stypes="app*4014*20161114*" /stext=" 00:.+((SYSTEM_STATE.+slice.+state.+changed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203-13 --locoid 4014 --swversion DE.1.0.8.0 --startMP 204:619 --initTime 2016-11-13T16:22:53 --startdatetime 2016-11-13T16:30:20 --delay 1 --endMP 204:233318 --enddatetime 2016-11-13T17:06:42 --enforcementcount 0 &gt;&gt;C:\Users\stu\Documents\GitHub\eaglep3-reporting\EC\2016-11-13-refined-times.txt</v>
      </c>
      <c r="AI121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{"issue":{"subject":"","project_id":79,"tracker_id":40,"status_id":1,"priority_id":2,"assigned_to_id":23,"start_date":"2016-11-13","description":"","custom_fields":[{"id":1,"name":"Subdivision","value":"EC"},{"id":4,"name":"Milepost","value":"23.3318"},{"id":17,"name":"Train ID","value":"203-13"},{"id":16,"name":"Locomotive ID","value":"4014"},{"id":130,"name":"Impact","value":""},{"id":150,"name":"Time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592</v>
      </c>
      <c r="B122" s="7">
        <v>4013</v>
      </c>
      <c r="C122" s="22" t="s">
        <v>225</v>
      </c>
      <c r="D122" s="22" t="s">
        <v>754</v>
      </c>
      <c r="E122" s="13">
        <v>42687.715648148151</v>
      </c>
      <c r="F122" s="13">
        <v>42687.7265625</v>
      </c>
      <c r="G122" s="7">
        <v>1</v>
      </c>
      <c r="H122" s="22" t="s">
        <v>429</v>
      </c>
      <c r="I122" s="13">
        <v>42687.753078703703</v>
      </c>
      <c r="J122" s="7">
        <v>0</v>
      </c>
      <c r="K122" s="109" t="str">
        <f t="shared" si="19"/>
        <v>4013/4014</v>
      </c>
      <c r="L122" s="22" t="str">
        <f>VLOOKUP(A122,'Trips&amp;Operators'!$C$1:$E$10000,3,FALSE)</f>
        <v>BARTLETT</v>
      </c>
      <c r="M122" s="6">
        <f t="shared" si="20"/>
        <v>2.6516203703067731E-2</v>
      </c>
      <c r="N122" s="7">
        <f t="shared" si="21"/>
        <v>38.183333332417533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16:10:32-700',mode:absolute,to:'2016-11-13 19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23.301100000000002</v>
      </c>
      <c r="Z122" s="67">
        <f t="shared" si="28"/>
        <v>1.6899999999999998E-2</v>
      </c>
      <c r="AA122" s="67">
        <f t="shared" si="29"/>
        <v>23.284200000000002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0"/>
        <v>0204-13</v>
      </c>
      <c r="AE122" s="91" t="str">
        <f t="shared" si="31"/>
        <v>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 &amp; aws s3 cp s3://rtdc.mdm.uploadarchive.raw/RTDC4013/ "%USERPROFILE%\AppData\Local\Temp\OnboardLogs"\RTDC4013\2016-11-14 --exclude "*" --recursive --include "*20161114*" &amp; "%USERPROFILE%\Documents\GitHub\mrs-test-scripts\Headless Mode &amp; Sideloading\WalkAndUnGZ.bat" "%USERPROFILE%\AppData\Local\Temp\OnboardLogs"\RTDC4013\2016-11-14</v>
      </c>
      <c r="AF122" s="88" t="str">
        <f t="shared" si="32"/>
        <v>"C:\Program Files (x86)\AstroGrep\AstroGrep.exe" /spath="%USERPROFILE%\AppData\Local\Temp\OnboardLogs" /stypes="app*4013*20161114*" /stext=" 01:.+((SYSTEM_STATE.+slice.+state.+changed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204-13 --locoid 4013 --swversion DE.1.0.8.0 --startMP 204:233011 --initTime 2016-11-13T17:10:32 --startdatetime 2016-11-13T17:26:15 --delay 1 --endMP 204:169 --enddatetime 2016-11-13T18:04:26 --enforcementcount 0 &gt;&gt;C:\Users\stu\Documents\GitHub\eaglep3-reporting\EC\2016-11-13-refined-times.txt</v>
      </c>
      <c r="AI122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{"issue":{"subject":"","project_id":79,"tracker_id":40,"status_id":1,"priority_id":2,"assigned_to_id":23,"start_date":"2016-11-13","description":"","custom_fields":[{"id":1,"name":"Subdivision","value":"EC"},{"id":4,"name":"Milepost","value":"0.0169"},{"id":17,"name":"Train ID","value":"204-13"},{"id":16,"name":"Locomotive ID","value":"4013"},{"id":130,"name":"Impact","value":""},{"id":150,"name":"Time of Event (Mountain Time)","value":"18:04:26"},{"id":151,"name":"Denver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583</v>
      </c>
      <c r="B123" s="7">
        <v>4044</v>
      </c>
      <c r="C123" s="22" t="s">
        <v>225</v>
      </c>
      <c r="D123" s="22" t="s">
        <v>272</v>
      </c>
      <c r="E123" s="13">
        <v>42687.691365740742</v>
      </c>
      <c r="F123" s="13">
        <v>42687.698240740741</v>
      </c>
      <c r="G123" s="7">
        <v>1</v>
      </c>
      <c r="H123" s="22" t="s">
        <v>271</v>
      </c>
      <c r="I123" s="13">
        <v>42687.722453703704</v>
      </c>
      <c r="J123" s="7">
        <v>0</v>
      </c>
      <c r="K123" s="109" t="str">
        <f t="shared" si="19"/>
        <v>4043/4044</v>
      </c>
      <c r="L123" s="22" t="str">
        <f>VLOOKUP(A123,'Trips&amp;Operators'!$C$1:$E$10000,3,FALSE)</f>
        <v>BRUDER</v>
      </c>
      <c r="M123" s="6">
        <f t="shared" si="20"/>
        <v>2.421296296233777E-2</v>
      </c>
      <c r="N123" s="7">
        <f t="shared" si="21"/>
        <v>34.866666665766388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15:35:34-700',mode:absolute,to:'2016-11-13 18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4.3799999999999999E-2</v>
      </c>
      <c r="Z123" s="67">
        <f t="shared" si="28"/>
        <v>23.330200000000001</v>
      </c>
      <c r="AA123" s="67">
        <f t="shared" si="29"/>
        <v>23.2864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0"/>
        <v>0205-13</v>
      </c>
      <c r="AE123" s="91" t="str">
        <f t="shared" si="31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123" s="88" t="str">
        <f t="shared" si="32"/>
        <v>"C:\Program Files (x86)\AstroGrep\AstroGrep.exe" /spath="%USERPROFILE%\AppData\Local\Temp\OnboardLogs" /stypes="app*4044*20161114*" /stext=" 00:.+((SYSTEM_STATE.+slice.+state.+changed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205-13 --locoid 4044 --swversion DE.1.0.8.0 --startMP 204:438 --initTime 2016-11-13T16:35:34 --startdatetime 2016-11-13T16:45:28 --delay 1 --endMP 204:233302 --enddatetime 2016-11-13T17:20:20 --enforcementcount 0 &gt;&gt;C:\Users\stu\Documents\GitHub\eaglep3-reporting\EC\2016-11-13-refined-times.txt</v>
      </c>
      <c r="AI123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{"issue":{"subject":"","project_id":79,"tracker_id":40,"status_id":1,"priority_id":2,"assigned_to_id":23,"start_date":"2016-11-13","description":"","custom_fields":[{"id":1,"name":"Subdivision","value":"EC"},{"id":4,"name":"Milepost","value":"23.3302"},{"id":17,"name":"Train ID","value":"205-13"},{"id":16,"name":"Locomotive ID","value":"4044"},{"id":130,"name":"Impact","value":""},{"id":150,"name":"Time of Event (Mountain Time)","value":"17:20:20"},{"id":151,"name":"Denver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595</v>
      </c>
      <c r="B124" s="7">
        <v>4043</v>
      </c>
      <c r="C124" s="22" t="s">
        <v>225</v>
      </c>
      <c r="D124" s="22" t="s">
        <v>675</v>
      </c>
      <c r="E124" s="13">
        <v>42687.732071759259</v>
      </c>
      <c r="F124" s="13">
        <v>42687.737037037034</v>
      </c>
      <c r="G124" s="7">
        <v>1</v>
      </c>
      <c r="H124" s="22" t="s">
        <v>176</v>
      </c>
      <c r="I124" s="13">
        <v>42687.762673611112</v>
      </c>
      <c r="J124" s="7">
        <v>0</v>
      </c>
      <c r="K124" s="109" t="str">
        <f t="shared" si="19"/>
        <v>4043/4044</v>
      </c>
      <c r="L124" s="22" t="str">
        <f>VLOOKUP(A124,'Trips&amp;Operators'!$C$1:$E$10000,3,FALSE)</f>
        <v>BRUDER</v>
      </c>
      <c r="M124" s="6">
        <f t="shared" si="20"/>
        <v>2.5636574078816921E-2</v>
      </c>
      <c r="N124" s="7">
        <f t="shared" si="21"/>
        <v>36.916666673496366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16:34:11-700',mode:absolute,to:'2016-11-13 19:18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23.299800000000001</v>
      </c>
      <c r="Z124" s="67">
        <f t="shared" si="28"/>
        <v>1.52E-2</v>
      </c>
      <c r="AA124" s="67">
        <f t="shared" si="29"/>
        <v>23.284600000000001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0"/>
        <v>0206-13</v>
      </c>
      <c r="AE124" s="91" t="str">
        <f t="shared" si="31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124" s="88" t="str">
        <f t="shared" si="32"/>
        <v>"C:\Program Files (x86)\AstroGrep\AstroGrep.exe" /spath="%USERPROFILE%\AppData\Local\Temp\OnboardLogs" /stypes="app*4043*20161114*" /stext=" 01:.+((SYSTEM_STATE.+slice.+state.+changed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206-13 --locoid 4043 --swversion DE.1.0.8.0 --startMP 204:232998 --initTime 2016-11-13T17:34:11 --startdatetime 2016-11-13T17:41:20 --delay 1 --endMP 204:152 --enddatetime 2016-11-13T18:18:15 --enforcementcount 0 &gt;&gt;C:\Users\stu\Documents\GitHub\eaglep3-reporting\EC\2016-11-13-refined-times.txt</v>
      </c>
      <c r="AI124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{"issue":{"subject":"","project_id":79,"tracker_id":40,"status_id":1,"priority_id":2,"assigned_to_id":23,"start_date":"2016-11-13","description":"","custom_fields":[{"id":1,"name":"Subdivision","value":"EC"},{"id":4,"name":"Milepost","value":"0.0152"},{"id":17,"name":"Train ID","value":"206-13"},{"id":16,"name":"Locomotive ID","value":"4043"},{"id":130,"name":"Impact","value":""},{"id":150,"name":"Time of Event (Mountain Time)","value":"18:18:15"},{"id":151,"name":"Denver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586</v>
      </c>
      <c r="B125" s="7">
        <v>4029</v>
      </c>
      <c r="C125" s="22" t="s">
        <v>225</v>
      </c>
      <c r="D125" s="22" t="s">
        <v>204</v>
      </c>
      <c r="E125" s="13">
        <v>42687.70553240741</v>
      </c>
      <c r="F125" s="13">
        <v>42687.708657407406</v>
      </c>
      <c r="G125" s="7">
        <v>1</v>
      </c>
      <c r="H125" s="22" t="s">
        <v>755</v>
      </c>
      <c r="I125" s="13">
        <v>42687.734247685185</v>
      </c>
      <c r="J125" s="7">
        <v>0</v>
      </c>
      <c r="K125" s="109" t="str">
        <f t="shared" si="19"/>
        <v>4029/4030</v>
      </c>
      <c r="L125" s="22" t="str">
        <f>VLOOKUP(A125,'Trips&amp;Operators'!$C$1:$E$10000,3,FALSE)</f>
        <v>MOSES</v>
      </c>
      <c r="M125" s="6">
        <f t="shared" si="20"/>
        <v>2.5590277778974269E-2</v>
      </c>
      <c r="N125" s="7">
        <f t="shared" si="21"/>
        <v>36.850000001722947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15:55:58-700',mode:absolute,to:'2016-11-13 18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4.5999999999999999E-2</v>
      </c>
      <c r="Z125" s="67">
        <f t="shared" si="28"/>
        <v>23.327000000000002</v>
      </c>
      <c r="AA125" s="67">
        <f t="shared" si="29"/>
        <v>23.281000000000002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0"/>
        <v>0207-13</v>
      </c>
      <c r="AE125" s="91" t="str">
        <f t="shared" si="31"/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AF125" s="88" t="str">
        <f t="shared" si="32"/>
        <v>"C:\Program Files (x86)\AstroGrep\AstroGrep.exe" /spath="%USERPROFILE%\AppData\Local\Temp\OnboardLogs" /stypes="app*4029*20161114*" /stext=" 00:.+((SYSTEM_STATE.+slice.+state.+changed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207-13 --locoid 4029 --swversion DE.1.0.8.0 --startMP 204:460 --initTime 2016-11-13T16:55:58 --startdatetime 2016-11-13T17:00:28 --delay 1 --endMP 204:233270 --enddatetime 2016-11-13T17:37:19 --enforcementcount 0 &gt;&gt;C:\Users\stu\Documents\GitHub\eaglep3-reporting\EC\2016-11-13-refined-times.txt</v>
      </c>
      <c r="AI125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{"issue":{"subject":"","project_id":79,"tracker_id":40,"status_id":1,"priority_id":2,"assigned_to_id":23,"start_date":"2016-11-13","description":"","custom_fields":[{"id":1,"name":"Subdivision","value":"EC"},{"id":4,"name":"Milepost","value":"23.327"},{"id":17,"name":"Train ID","value":"207-13"},{"id":16,"name":"Locomotive ID","value":"4029"},{"id":130,"name":"Impact","value":""},{"id":150,"name":"Time of Event (Mountain Time)","value":"17:37:19"},{"id":151,"name":"Denver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462</v>
      </c>
      <c r="B126" s="7">
        <v>4030</v>
      </c>
      <c r="C126" s="22" t="s">
        <v>225</v>
      </c>
      <c r="D126" s="22" t="s">
        <v>397</v>
      </c>
      <c r="E126" s="13">
        <v>42687.744317129633</v>
      </c>
      <c r="F126" s="13">
        <v>42687.747476851851</v>
      </c>
      <c r="G126" s="7">
        <v>1</v>
      </c>
      <c r="H126" s="22" t="s">
        <v>756</v>
      </c>
      <c r="I126" s="13">
        <v>42687.775590277779</v>
      </c>
      <c r="J126" s="7">
        <v>0</v>
      </c>
      <c r="K126" s="109" t="str">
        <f t="shared" si="19"/>
        <v>4029/4030</v>
      </c>
      <c r="L126" s="22" t="str">
        <f>VLOOKUP(A126,'Trips&amp;Operators'!$C$1:$E$10000,3,FALSE)</f>
        <v>MOSES</v>
      </c>
      <c r="M126" s="6">
        <f t="shared" si="20"/>
        <v>2.8113425927585922E-2</v>
      </c>
      <c r="N126" s="7">
        <f t="shared" si="21"/>
        <v>40.483333335723728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16:51:49-700',mode:absolute,to:'2016-11-13 19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23.2957</v>
      </c>
      <c r="Z126" s="67">
        <f t="shared" si="28"/>
        <v>1.4E-2</v>
      </c>
      <c r="AA126" s="67">
        <f t="shared" si="29"/>
        <v>23.281700000000001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0"/>
        <v>0208-13</v>
      </c>
      <c r="AE126" s="91" t="str">
        <f t="shared" si="31"/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AF126" s="88" t="str">
        <f t="shared" si="32"/>
        <v>"C:\Program Files (x86)\AstroGrep\AstroGrep.exe" /spath="%USERPROFILE%\AppData\Local\Temp\OnboardLogs" /stypes="app*4030*20161114*" /stext=" 01:.+((SYSTEM_STATE.+slice.+state.+changed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208-13 --locoid 4030 --swversion DE.1.0.8.0 --startMP 204:232957 --initTime 2016-11-13T17:51:49 --startdatetime 2016-11-13T17:56:22 --delay 1 --endMP 204:140 --enddatetime 2016-11-13T18:36:51 --enforcementcount 0 &gt;&gt;C:\Users\stu\Documents\GitHub\eaglep3-reporting\EC\2016-11-13-refined-times.txt</v>
      </c>
      <c r="AI126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{"issue":{"subject":"","project_id":79,"tracker_id":40,"status_id":1,"priority_id":2,"assigned_to_id":23,"start_date":"2016-11-13","description":"","custom_fields":[{"id":1,"name":"Subdivision","value":"EC"},{"id":4,"name":"Milepost","value":"0.014"},{"id":17,"name":"Train ID","value":"208-13"},{"id":16,"name":"Locomotive ID","value":"4030"},{"id":130,"name":"Impact","value":""},{"id":150,"name":"Time of Event (Mountain Time)","value":"18:36:51"},{"id":151,"name":"Denver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590</v>
      </c>
      <c r="B127" s="7">
        <v>4031</v>
      </c>
      <c r="C127" s="22" t="s">
        <v>225</v>
      </c>
      <c r="D127" s="22" t="s">
        <v>757</v>
      </c>
      <c r="E127" s="13">
        <v>42687.714999999997</v>
      </c>
      <c r="F127" s="13">
        <v>42687.719027777777</v>
      </c>
      <c r="G127" s="7">
        <v>1</v>
      </c>
      <c r="H127" s="22" t="s">
        <v>188</v>
      </c>
      <c r="I127" s="13">
        <v>42687.744351851848</v>
      </c>
      <c r="J127" s="7">
        <v>0</v>
      </c>
      <c r="K127" s="109" t="str">
        <f t="shared" si="19"/>
        <v>4031/4032</v>
      </c>
      <c r="L127" s="22" t="str">
        <f>VLOOKUP(A127,'Trips&amp;Operators'!$C$1:$E$10000,3,FALSE)</f>
        <v>LEVERE</v>
      </c>
      <c r="M127" s="6">
        <f t="shared" si="20"/>
        <v>2.5324074071249925E-2</v>
      </c>
      <c r="N127" s="7">
        <f t="shared" si="21"/>
        <v>36.466666662599891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16:09:36-700',mode:absolute,to:'2016-11-13 18:51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5.4899999999999997E-2</v>
      </c>
      <c r="Z127" s="67">
        <f t="shared" si="28"/>
        <v>23.329699999999999</v>
      </c>
      <c r="AA127" s="67">
        <f t="shared" si="29"/>
        <v>23.274799999999999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0"/>
        <v>0209-13</v>
      </c>
      <c r="AE127" s="91" t="str">
        <f t="shared" si="31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127" s="88" t="str">
        <f t="shared" si="32"/>
        <v>"C:\Program Files (x86)\AstroGrep\AstroGrep.exe" /spath="%USERPROFILE%\AppData\Local\Temp\OnboardLogs" /stypes="app*4031*20161114*" /stext=" 00:.+((SYSTEM_STATE.+slice.+state.+changed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209-13 --locoid 4031 --swversion DE.1.0.8.0 --startMP 204:549 --initTime 2016-11-13T17:09:36 --startdatetime 2016-11-13T17:15:24 --delay 1 --endMP 204:233297 --enddatetime 2016-11-13T17:51:52 --enforcementcount 0 &gt;&gt;C:\Users\stu\Documents\GitHub\eaglep3-reporting\EC\2016-11-13-refined-times.txt</v>
      </c>
      <c r="AI127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{"issue":{"subject":"","project_id":79,"tracker_id":40,"status_id":1,"priority_id":2,"assigned_to_id":23,"start_date":"2016-11-13","description":"","custom_fields":[{"id":1,"name":"Subdivision","value":"EC"},{"id":4,"name":"Milepost","value":"23.3297"},{"id":17,"name":"Train ID","value":"209-13"},{"id":16,"name":"Locomotive ID","value":"4031"},{"id":130,"name":"Impact","value":""},{"id":150,"name":"Time of Event (Mountain Time)","value":"17:51:52"},{"id":151,"name":"Denver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603</v>
      </c>
      <c r="B128" s="7">
        <v>4032</v>
      </c>
      <c r="C128" s="22" t="s">
        <v>225</v>
      </c>
      <c r="D128" s="22" t="s">
        <v>220</v>
      </c>
      <c r="E128" s="13">
        <v>42687.753449074073</v>
      </c>
      <c r="F128" s="13">
        <v>42687.757916666669</v>
      </c>
      <c r="G128" s="7">
        <v>1</v>
      </c>
      <c r="H128" s="22" t="s">
        <v>199</v>
      </c>
      <c r="I128" s="13">
        <v>42687.784317129626</v>
      </c>
      <c r="J128" s="7">
        <v>0</v>
      </c>
      <c r="K128" s="109" t="str">
        <f t="shared" si="19"/>
        <v>4031/4032</v>
      </c>
      <c r="L128" s="22" t="str">
        <f>VLOOKUP(A128,'Trips&amp;Operators'!$C$1:$E$10000,3,FALSE)</f>
        <v>LEVERE</v>
      </c>
      <c r="M128" s="6">
        <f t="shared" si="20"/>
        <v>2.640046295709908E-2</v>
      </c>
      <c r="N128" s="7">
        <f t="shared" si="21"/>
        <v>38.016666658222675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17:04:58-700',mode:absolute,to:'2016-11-13 19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23.298500000000001</v>
      </c>
      <c r="Z128" s="67">
        <f t="shared" si="28"/>
        <v>1.43E-2</v>
      </c>
      <c r="AA128" s="67">
        <f t="shared" si="29"/>
        <v>23.284200000000002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0"/>
        <v>0210-13</v>
      </c>
      <c r="AE128" s="91" t="str">
        <f t="shared" si="31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128" s="88" t="str">
        <f t="shared" si="32"/>
        <v>"C:\Program Files (x86)\AstroGrep\AstroGrep.exe" /spath="%USERPROFILE%\AppData\Local\Temp\OnboardLogs" /stypes="app*4032*20161114*" /stext=" 01:.+((SYSTEM_STATE.+slice.+state.+changed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210-13 --locoid 4032 --swversion DE.1.0.8.0 --startMP 204:232985 --initTime 2016-11-13T18:04:58 --startdatetime 2016-11-13T18:11:24 --delay 1 --endMP 204:143 --enddatetime 2016-11-13T18:49:25 --enforcementcount 0 &gt;&gt;C:\Users\stu\Documents\GitHub\eaglep3-reporting\EC\2016-11-13-refined-times.txt</v>
      </c>
      <c r="AI128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{"issue":{"subject":"","project_id":79,"tracker_id":40,"status_id":1,"priority_id":2,"assigned_to_id":23,"start_date":"2016-11-13","description":"","custom_fields":[{"id":1,"name":"Subdivision","value":"EC"},{"id":4,"name":"Milepost","value":"0.0143"},{"id":17,"name":"Train ID","value":"210-13"},{"id":16,"name":"Locomotive ID","value":"4032"},{"id":130,"name":"Impact","value":""},{"id":150,"name":"Time of Event (Mountain Time)","value":"18:49:25"},{"id":151,"name":"Denver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594</v>
      </c>
      <c r="B129" s="7">
        <v>4007</v>
      </c>
      <c r="C129" s="22" t="s">
        <v>225</v>
      </c>
      <c r="D129" s="22" t="s">
        <v>758</v>
      </c>
      <c r="E129" s="13">
        <v>42687.724942129629</v>
      </c>
      <c r="F129" s="13">
        <v>42687.729490740741</v>
      </c>
      <c r="G129" s="7">
        <v>1</v>
      </c>
      <c r="H129" s="22" t="s">
        <v>285</v>
      </c>
      <c r="I129" s="13">
        <v>42687.756504629629</v>
      </c>
      <c r="J129" s="7">
        <v>0</v>
      </c>
      <c r="K129" s="109" t="str">
        <f t="shared" si="19"/>
        <v>4007/4008</v>
      </c>
      <c r="L129" s="22" t="str">
        <f>VLOOKUP(A129,'Trips&amp;Operators'!$C$1:$E$10000,3,FALSE)</f>
        <v>YOUNG</v>
      </c>
      <c r="M129" s="6">
        <f t="shared" si="20"/>
        <v>2.7013888888177462E-2</v>
      </c>
      <c r="N129" s="7">
        <f t="shared" si="21"/>
        <v>38.899999998975545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16:23:55-700',mode:absolute,to:'2016-11-13 19:09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4.7800000000000002E-2</v>
      </c>
      <c r="Z129" s="67">
        <f t="shared" si="28"/>
        <v>23.330300000000001</v>
      </c>
      <c r="AA129" s="67">
        <f t="shared" si="29"/>
        <v>23.282500000000002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0"/>
        <v>0211-13</v>
      </c>
      <c r="AE129" s="91" t="str">
        <f t="shared" si="31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129" s="88" t="str">
        <f t="shared" si="32"/>
        <v>"C:\Program Files (x86)\AstroGrep\AstroGrep.exe" /spath="%USERPROFILE%\AppData\Local\Temp\OnboardLogs" /stypes="app*4007*20161114*" /stext=" 01:.+((SYSTEM_STATE.+slice.+state.+changed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211-13 --locoid 4007 --swversion DE.1.0.8.0 --startMP 204:478 --initTime 2016-11-13T17:23:55 --startdatetime 2016-11-13T17:30:28 --delay 1 --endMP 204:233303 --enddatetime 2016-11-13T18:09:22 --enforcementcount 0 &gt;&gt;C:\Users\stu\Documents\GitHub\eaglep3-reporting\EC\2016-11-13-refined-times.txt</v>
      </c>
      <c r="AI129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{"issue":{"subject":"","project_id":79,"tracker_id":40,"status_id":1,"priority_id":2,"assigned_to_id":23,"start_date":"2016-11-13","description":"","custom_fields":[{"id":1,"name":"Subdivision","value":"EC"},{"id":4,"name":"Milepost","value":"23.3303"},{"id":17,"name":"Train ID","value":"211-13"},{"id":16,"name":"Locomotive ID","value":"4007"},{"id":130,"name":"Impact","value":""},{"id":150,"name":"Time of Event (Mountain Time)","value":"18:09:22"},{"id":151,"name":"Denver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463</v>
      </c>
      <c r="B130" s="7">
        <v>4008</v>
      </c>
      <c r="C130" s="22" t="s">
        <v>225</v>
      </c>
      <c r="D130" s="22" t="s">
        <v>329</v>
      </c>
      <c r="E130" s="13">
        <v>42687.760578703703</v>
      </c>
      <c r="F130" s="13">
        <v>42687.768263888887</v>
      </c>
      <c r="G130" s="7">
        <v>1</v>
      </c>
      <c r="H130" s="22" t="s">
        <v>223</v>
      </c>
      <c r="I130" s="13">
        <v>42687.797256944446</v>
      </c>
      <c r="J130" s="7">
        <v>0</v>
      </c>
      <c r="K130" s="109" t="str">
        <f t="shared" si="19"/>
        <v>4007/4008</v>
      </c>
      <c r="L130" s="22" t="str">
        <f>VLOOKUP(A130,'Trips&amp;Operators'!$C$1:$E$10000,3,FALSE)</f>
        <v>YOUNG</v>
      </c>
      <c r="M130" s="6">
        <f t="shared" si="20"/>
        <v>2.899305555911269E-2</v>
      </c>
      <c r="N130" s="7">
        <f t="shared" si="21"/>
        <v>41.750000005122274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17:15:14-700',mode:absolute,to:'2016-11-13 20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23.297999999999998</v>
      </c>
      <c r="Z130" s="67">
        <f t="shared" si="28"/>
        <v>1.61E-2</v>
      </c>
      <c r="AA130" s="67">
        <f t="shared" si="29"/>
        <v>23.281899999999997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0"/>
        <v>0212-13</v>
      </c>
      <c r="AE130" s="91" t="str">
        <f t="shared" si="31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130" s="88" t="str">
        <f t="shared" si="32"/>
        <v>"C:\Program Files (x86)\AstroGrep\AstroGrep.exe" /spath="%USERPROFILE%\AppData\Local\Temp\OnboardLogs" /stypes="app*4008*20161114*" /stext=" 02:.+((SYSTEM_STATE.+slice.+state.+changed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212-13 --locoid 4008 --swversion DE.1.0.8.0 --startMP 204:232980 --initTime 2016-11-13T18:15:14 --startdatetime 2016-11-13T18:26:18 --delay 1 --endMP 204:161 --enddatetime 2016-11-13T19:08:03 --enforcementcount 0 &gt;&gt;C:\Users\stu\Documents\GitHub\eaglep3-reporting\EC\2016-11-13-refined-times.txt</v>
      </c>
      <c r="AI130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{"issue":{"subject":"","project_id":79,"tracker_id":40,"status_id":1,"priority_id":2,"assigned_to_id":23,"start_date":"2016-11-13","description":"","custom_fields":[{"id":1,"name":"Subdivision","value":"EC"},{"id":4,"name":"Milepost","value":"0.0161"},{"id":17,"name":"Train ID","value":"212-13"},{"id":16,"name":"Locomotive ID","value":"4008"},{"id":130,"name":"Impact","value":""},{"id":150,"name":"Time of Event (Mountain Time)","value":"19:08:03"},{"id":151,"name":"Denver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596</v>
      </c>
      <c r="B131" s="7">
        <v>4022</v>
      </c>
      <c r="C131" s="22" t="s">
        <v>225</v>
      </c>
      <c r="D131" s="22" t="s">
        <v>227</v>
      </c>
      <c r="E131" s="13">
        <v>42687.734432870369</v>
      </c>
      <c r="F131" s="13">
        <v>42687.739745370367</v>
      </c>
      <c r="G131" s="7">
        <v>1</v>
      </c>
      <c r="H131" s="22" t="s">
        <v>286</v>
      </c>
      <c r="I131" s="13">
        <v>42687.764780092592</v>
      </c>
      <c r="J131" s="7">
        <v>0</v>
      </c>
      <c r="K131" s="109" t="str">
        <f t="shared" si="19"/>
        <v>4021/4022</v>
      </c>
      <c r="L131" s="22" t="str">
        <f>VLOOKUP(A131,'Trips&amp;Operators'!$C$1:$E$10000,3,FALSE)</f>
        <v>CRAYTON</v>
      </c>
      <c r="M131" s="6">
        <f t="shared" si="20"/>
        <v>2.5034722224518191E-2</v>
      </c>
      <c r="N131" s="7">
        <f t="shared" si="21"/>
        <v>36.050000003306195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16:37:35-700',mode:absolute,to:'2016-11-13 19:21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4.58E-2</v>
      </c>
      <c r="Z131" s="67">
        <f t="shared" si="28"/>
        <v>23.330400000000001</v>
      </c>
      <c r="AA131" s="67">
        <f t="shared" si="29"/>
        <v>23.284600000000001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0"/>
        <v>0213-13</v>
      </c>
      <c r="AE131" s="91" t="str">
        <f t="shared" si="31"/>
        <v>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 &amp; aws s3 cp s3://rtdc.mdm.uploadarchive.raw/RTDC4022/ "%USERPROFILE%\AppData\Local\Temp\OnboardLogs"\RTDC4022\2016-11-14 --exclude "*" --recursive --include "*20161114*" &amp; "%USERPROFILE%\Documents\GitHub\mrs-test-scripts\Headless Mode &amp; Sideloading\WalkAndUnGZ.bat" "%USERPROFILE%\AppData\Local\Temp\OnboardLogs"\RTDC4022\2016-11-14</v>
      </c>
      <c r="AF131" s="88" t="str">
        <f t="shared" si="32"/>
        <v>"C:\Program Files (x86)\AstroGrep\AstroGrep.exe" /spath="%USERPROFILE%\AppData\Local\Temp\OnboardLogs" /stypes="app*4022*20161114*" /stext=" 01:.+((SYSTEM_STATE.+slice.+state.+changed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213-13 --locoid 4022 --swversion DE.1.0.8.0 --startMP 204:458 --initTime 2016-11-13T17:37:35 --startdatetime 2016-11-13T17:45:14 --delay 1 --endMP 204:233304 --enddatetime 2016-11-13T18:21:17 --enforcementcount 0 &gt;&gt;C:\Users\stu\Documents\GitHub\eaglep3-reporting\EC\2016-11-13-refined-times.txt</v>
      </c>
      <c r="AI131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{"issue":{"subject":"","project_id":79,"tracker_id":40,"status_id":1,"priority_id":2,"assigned_to_id":23,"start_date":"2016-11-13","description":"","custom_fields":[{"id":1,"name":"Subdivision","value":"EC"},{"id":4,"name":"Milepost","value":"23.3304"},{"id":17,"name":"Train ID","value":"213-13"},{"id":16,"name":"Locomotive ID","value":"4022"},{"id":130,"name":"Impact","value":""},{"id":150,"name":"Time of Event (Mountain Time)","value":"18:21:17"},{"id":151,"name":"Denver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605</v>
      </c>
      <c r="B132" s="7">
        <v>4021</v>
      </c>
      <c r="C132" s="22" t="s">
        <v>225</v>
      </c>
      <c r="D132" s="22" t="s">
        <v>273</v>
      </c>
      <c r="E132" s="13">
        <v>42687.771863425929</v>
      </c>
      <c r="F132" s="13">
        <v>42687.778749999998</v>
      </c>
      <c r="G132" s="7">
        <v>1</v>
      </c>
      <c r="H132" s="22" t="s">
        <v>759</v>
      </c>
      <c r="I132" s="13">
        <v>42687.805312500001</v>
      </c>
      <c r="J132" s="7">
        <v>0</v>
      </c>
      <c r="K132" s="109" t="str">
        <f t="shared" si="19"/>
        <v>4021/4022</v>
      </c>
      <c r="L132" s="22" t="str">
        <f>VLOOKUP(A132,'Trips&amp;Operators'!$C$1:$E$10000,3,FALSE)</f>
        <v>CRAYTON</v>
      </c>
      <c r="M132" s="6">
        <f t="shared" si="20"/>
        <v>2.6562500002910383E-2</v>
      </c>
      <c r="N132" s="7">
        <f t="shared" si="21"/>
        <v>38.250000004190952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17:31:29-700',mode:absolute,to:'2016-11-13 20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23.298100000000002</v>
      </c>
      <c r="Z132" s="67">
        <f t="shared" si="28"/>
        <v>1.1900000000000001E-2</v>
      </c>
      <c r="AA132" s="67">
        <f t="shared" si="29"/>
        <v>23.286200000000001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0"/>
        <v>0214-13</v>
      </c>
      <c r="AE132" s="91" t="str">
        <f t="shared" si="31"/>
        <v>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 &amp; aws s3 cp s3://rtdc.mdm.uploadarchive.raw/RTDC4021/ "%USERPROFILE%\AppData\Local\Temp\OnboardLogs"\RTDC4021\2016-11-14 --exclude "*" --recursive --include "*20161114*" &amp; "%USERPROFILE%\Documents\GitHub\mrs-test-scripts\Headless Mode &amp; Sideloading\WalkAndUnGZ.bat" "%USERPROFILE%\AppData\Local\Temp\OnboardLogs"\RTDC4021\2016-11-14</v>
      </c>
      <c r="AF132" s="88" t="str">
        <f t="shared" si="32"/>
        <v>"C:\Program Files (x86)\AstroGrep\AstroGrep.exe" /spath="%USERPROFILE%\AppData\Local\Temp\OnboardLogs" /stypes="app*4021*20161114*" /stext=" 02:.+((SYSTEM_STATE.+slice.+state.+changed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214-13 --locoid 4021 --swversion DE.1.0.8.0 --startMP 204:232981 --initTime 2016-11-13T18:31:29 --startdatetime 2016-11-13T18:41:24 --delay 1 --endMP 204:119 --enddatetime 2016-11-13T19:19:39 --enforcementcount 0 &gt;&gt;C:\Users\stu\Documents\GitHub\eaglep3-reporting\EC\2016-11-13-refined-times.txt</v>
      </c>
      <c r="AI132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{"issue":{"subject":"","project_id":79,"tracker_id":40,"status_id":1,"priority_id":2,"assigned_to_id":23,"start_date":"2016-11-13","description":"","custom_fields":[{"id":1,"name":"Subdivision","value":"EC"},{"id":4,"name":"Milepost","value":"0.0119"},{"id":17,"name":"Train ID","value":"214-13"},{"id":16,"name":"Locomotive ID","value":"4021"},{"id":130,"name":"Impact","value":""},{"id":150,"name":"Time of Event (Mountain Time)","value":"19:19:39"},{"id":151,"name":"Denver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598</v>
      </c>
      <c r="B133" s="7">
        <v>4002</v>
      </c>
      <c r="C133" s="22" t="s">
        <v>225</v>
      </c>
      <c r="D133" s="22" t="s">
        <v>680</v>
      </c>
      <c r="E133" s="13">
        <v>42687.745127314818</v>
      </c>
      <c r="F133" s="13">
        <v>42687.750243055554</v>
      </c>
      <c r="G133" s="7">
        <v>1</v>
      </c>
      <c r="H133" s="22" t="s">
        <v>432</v>
      </c>
      <c r="I133" s="13">
        <v>42687.77579861111</v>
      </c>
      <c r="J133" s="7">
        <v>0</v>
      </c>
      <c r="K133" s="109" t="str">
        <f t="shared" si="19"/>
        <v>4001/4002</v>
      </c>
      <c r="L133" s="22" t="str">
        <f>VLOOKUP(A133,'Trips&amp;Operators'!$C$1:$E$10000,3,FALSE)</f>
        <v>SHOOK</v>
      </c>
      <c r="M133" s="6">
        <f t="shared" si="20"/>
        <v>2.5555555555911269E-2</v>
      </c>
      <c r="N133" s="7">
        <f t="shared" si="21"/>
        <v>36.800000000512227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16:52:59-700',mode:absolute,to:'2016-11-13 19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4.7699999999999999E-2</v>
      </c>
      <c r="Z133" s="67">
        <f t="shared" si="28"/>
        <v>23.336400000000001</v>
      </c>
      <c r="AA133" s="67">
        <f t="shared" si="29"/>
        <v>23.288700000000002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0"/>
        <v>0215-13</v>
      </c>
      <c r="AE133" s="91" t="str">
        <f t="shared" si="31"/>
        <v>aws s3 cp s3://rtdc.mdm.uploadarchive.raw/RTDC4002/ "%USERPROFILE%\AppData\Local\Temp\OnboardLogs"\RTDC4002\2016-11-13 --exclude "*" --recursive --include "*20161113*" &amp; "%USERPROFILE%\Documents\GitHub\mrs-test-scripts\Headless Mode &amp; Sideloading\WalkAndUnGZ.bat" "%USERPROFILE%\AppData\Local\Temp\OnboardLogs"\RTDC4002\2016-11-13 &amp; aws s3 cp s3://rtdc.mdm.uploadarchive.raw/RTDC4002/ "%USERPROFILE%\AppData\Local\Temp\OnboardLogs"\RTDC4002\2016-11-14 --exclude "*" --recursive --include "*20161114*" &amp; "%USERPROFILE%\Documents\GitHub\mrs-test-scripts\Headless Mode &amp; Sideloading\WalkAndUnGZ.bat" "%USERPROFILE%\AppData\Local\Temp\OnboardLogs"\RTDC4002\2016-11-14</v>
      </c>
      <c r="AF133" s="88" t="str">
        <f t="shared" si="32"/>
        <v>"C:\Program Files (x86)\AstroGrep\AstroGrep.exe" /spath="%USERPROFILE%\AppData\Local\Temp\OnboardLogs" /stypes="app*4002*20161114*" /stext=" 01:.+((SYSTEM_STATE.+slice.+state.+changed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215-13 --locoid 4002 --swversion DE.1.0.8.0 --startMP 204:477 --initTime 2016-11-13T17:52:59 --startdatetime 2016-11-13T18:00:21 --delay 1 --endMP 204:233364 --enddatetime 2016-11-13T18:37:09 --enforcementcount 0 &gt;&gt;C:\Users\stu\Documents\GitHub\eaglep3-reporting\EC\2016-11-13-refined-times.txt</v>
      </c>
      <c r="AI133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{"issue":{"subject":"","project_id":79,"tracker_id":40,"status_id":1,"priority_id":2,"assigned_to_id":23,"start_date":"2016-11-13","description":"","custom_fields":[{"id":1,"name":"Subdivision","value":"EC"},{"id":4,"name":"Milepost","value":"23.3364"},{"id":17,"name":"Train ID","value":"215-13"},{"id":16,"name":"Locomotive ID","value":"4002"},{"id":130,"name":"Impact","value":""},{"id":150,"name":"Time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608</v>
      </c>
      <c r="B134" s="7">
        <v>4001</v>
      </c>
      <c r="C134" s="22" t="s">
        <v>225</v>
      </c>
      <c r="D134" s="22" t="s">
        <v>427</v>
      </c>
      <c r="E134" s="13">
        <v>42687.784710648149</v>
      </c>
      <c r="F134" s="13">
        <v>42687.789120370369</v>
      </c>
      <c r="G134" s="7">
        <v>1</v>
      </c>
      <c r="H134" s="22" t="s">
        <v>326</v>
      </c>
      <c r="I134" s="13">
        <v>42687.816828703704</v>
      </c>
      <c r="J134" s="7">
        <v>0</v>
      </c>
      <c r="K134" s="109" t="str">
        <f t="shared" si="19"/>
        <v>4001/4002</v>
      </c>
      <c r="L134" s="22" t="str">
        <f>VLOOKUP(A134,'Trips&amp;Operators'!$C$1:$E$10000,3,FALSE)</f>
        <v>SHOOK</v>
      </c>
      <c r="M134" s="6">
        <f t="shared" si="20"/>
        <v>2.7708333334885538E-2</v>
      </c>
      <c r="N134" s="7">
        <f t="shared" si="21"/>
        <v>39.900000002235174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17:49:59-700',mode:absolute,to:'2016-11-13 20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23.302099999999999</v>
      </c>
      <c r="Z134" s="67">
        <f t="shared" si="28"/>
        <v>1.38E-2</v>
      </c>
      <c r="AA134" s="67">
        <f t="shared" si="29"/>
        <v>23.2883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0"/>
        <v>0216-13</v>
      </c>
      <c r="AE134" s="91" t="str">
        <f t="shared" si="31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134" s="88" t="str">
        <f t="shared" si="32"/>
        <v>"C:\Program Files (x86)\AstroGrep\AstroGrep.exe" /spath="%USERPROFILE%\AppData\Local\Temp\OnboardLogs" /stypes="app*4001*20161114*" /stext=" 02:.+((SYSTEM_STATE.+slice.+state.+changed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216-13 --locoid 4001 --swversion DE.1.0.8.0 --startMP 204:233021 --initTime 2016-11-13T18:49:59 --startdatetime 2016-11-13T18:56:20 --delay 1 --endMP 204:138 --enddatetime 2016-11-13T19:36:14 --enforcementcount 0 &gt;&gt;C:\Users\stu\Documents\GitHub\eaglep3-reporting\EC\2016-11-13-refined-times.txt</v>
      </c>
      <c r="AI134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{"issue":{"subject":"","project_id":79,"tracker_id":40,"status_id":1,"priority_id":2,"assigned_to_id":23,"start_date":"2016-11-13","description":"","custom_fields":[{"id":1,"name":"Subdivision","value":"EC"},{"id":4,"name":"Milepost","value":"0.0138"},{"id":17,"name":"Train ID","value":"216-13"},{"id":16,"name":"Locomotive ID","value":"4001"},{"id":130,"name":"Impact","value":""},{"id":150,"name":"Time of Event (Mountain Time)","value":"19:36:14"},{"id":151,"name":"Denver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460</v>
      </c>
      <c r="B135" s="7">
        <v>4014</v>
      </c>
      <c r="C135" s="22" t="s">
        <v>225</v>
      </c>
      <c r="D135" s="22" t="s">
        <v>255</v>
      </c>
      <c r="E135" s="13">
        <v>42687.755648148152</v>
      </c>
      <c r="F135" s="13">
        <v>42687.76059027778</v>
      </c>
      <c r="G135" s="7">
        <v>1</v>
      </c>
      <c r="H135" s="22" t="s">
        <v>760</v>
      </c>
      <c r="I135" s="13">
        <v>42687.784849537034</v>
      </c>
      <c r="J135" s="7">
        <v>0</v>
      </c>
      <c r="K135" s="109" t="str">
        <f t="shared" si="19"/>
        <v>4013/4014</v>
      </c>
      <c r="L135" s="22" t="str">
        <f>VLOOKUP(A135,'Trips&amp;Operators'!$C$1:$E$10000,3,FALSE)</f>
        <v>NEWELL</v>
      </c>
      <c r="M135" s="6">
        <f t="shared" si="20"/>
        <v>2.4259259254904464E-2</v>
      </c>
      <c r="N135" s="7">
        <f t="shared" si="21"/>
        <v>34.933333327062428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17:08:08-700',mode:absolute,to:'2016-11-13 19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4.6699999999999998E-2</v>
      </c>
      <c r="Z135" s="67">
        <f t="shared" si="28"/>
        <v>23.3323</v>
      </c>
      <c r="AA135" s="67">
        <f t="shared" si="29"/>
        <v>23.285599999999999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0"/>
        <v>0217-13</v>
      </c>
      <c r="AE135" s="91" t="str">
        <f t="shared" si="31"/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AF135" s="88" t="str">
        <f t="shared" si="32"/>
        <v>"C:\Program Files (x86)\AstroGrep\AstroGrep.exe" /spath="%USERPROFILE%\AppData\Local\Temp\OnboardLogs" /stypes="app*4014*20161114*" /stext=" 01:.+((SYSTEM_STATE.+slice.+state.+changed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217-13 --locoid 4014 --swversion DE.1.0.8.0 --startMP 204:467 --initTime 2016-11-13T18:08:08 --startdatetime 2016-11-13T18:15:15 --delay 1 --endMP 204:233323 --enddatetime 2016-11-13T18:50:11 --enforcementcount 0 &gt;&gt;C:\Users\stu\Documents\GitHub\eaglep3-reporting\EC\2016-11-13-refined-times.txt</v>
      </c>
      <c r="AI135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{"issue":{"subject":"","project_id":79,"tracker_id":40,"status_id":1,"priority_id":2,"assigned_to_id":23,"start_date":"2016-11-13","description":"","custom_fields":[{"id":1,"name":"Subdivision","value":"EC"},{"id":4,"name":"Milepost","value":"23.3323"},{"id":17,"name":"Train ID","value":"217-13"},{"id":16,"name":"Locomotive ID","value":"4014"},{"id":130,"name":"Impact","value":""},{"id":150,"name":"Time of Event (Mountain Time)","value":"18:50:11"},{"id":151,"name":"Denver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611</v>
      </c>
      <c r="B136" s="7">
        <v>4013</v>
      </c>
      <c r="C136" s="22" t="s">
        <v>225</v>
      </c>
      <c r="D136" s="22" t="s">
        <v>761</v>
      </c>
      <c r="E136" s="13">
        <v>42687.788935185185</v>
      </c>
      <c r="F136" s="13">
        <v>42687.799467592595</v>
      </c>
      <c r="G136" s="7">
        <v>1</v>
      </c>
      <c r="H136" s="22" t="s">
        <v>199</v>
      </c>
      <c r="I136" s="13">
        <v>42687.824976851851</v>
      </c>
      <c r="J136" s="7">
        <v>0</v>
      </c>
      <c r="K136" s="109" t="str">
        <f t="shared" si="19"/>
        <v>4013/4014</v>
      </c>
      <c r="L136" s="22" t="str">
        <f>VLOOKUP(A136,'Trips&amp;Operators'!$C$1:$E$10000,3,FALSE)</f>
        <v>NEWELL</v>
      </c>
      <c r="M136" s="6">
        <f t="shared" si="20"/>
        <v>2.5509259256068617E-2</v>
      </c>
      <c r="N136" s="7">
        <f t="shared" si="21"/>
        <v>36.733333328738809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17:56:04-700',mode:absolute,to:'2016-11-13 20:47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23.301300000000001</v>
      </c>
      <c r="Z136" s="67">
        <f t="shared" si="28"/>
        <v>1.43E-2</v>
      </c>
      <c r="AA136" s="67">
        <f t="shared" si="29"/>
        <v>23.287000000000003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0"/>
        <v>0218-13</v>
      </c>
      <c r="AE136" s="91" t="str">
        <f t="shared" si="31"/>
        <v>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 &amp; aws s3 cp s3://rtdc.mdm.uploadarchive.raw/RTDC4013/ "%USERPROFILE%\AppData\Local\Temp\OnboardLogs"\RTDC4013\2016-11-14 --exclude "*" --recursive --include "*20161114*" &amp; "%USERPROFILE%\Documents\GitHub\mrs-test-scripts\Headless Mode &amp; Sideloading\WalkAndUnGZ.bat" "%USERPROFILE%\AppData\Local\Temp\OnboardLogs"\RTDC4013\2016-11-14</v>
      </c>
      <c r="AF136" s="88" t="str">
        <f t="shared" si="32"/>
        <v>"C:\Program Files (x86)\AstroGrep\AstroGrep.exe" /spath="%USERPROFILE%\AppData\Local\Temp\OnboardLogs" /stypes="app*4013*20161114*" /stext=" 02:.+((SYSTEM_STATE.+slice.+state.+changed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218-13 --locoid 4013 --swversion DE.1.0.8.0 --startMP 204:233013 --initTime 2016-11-13T18:56:04 --startdatetime 2016-11-13T19:11:14 --delay 1 --endMP 204:143 --enddatetime 2016-11-13T19:47:58 --enforcementcount 0 &gt;&gt;C:\Users\stu\Documents\GitHub\eaglep3-reporting\EC\2016-11-13-refined-times.txt</v>
      </c>
      <c r="AI136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{"issue":{"subject":"","project_id":79,"tracker_id":40,"status_id":1,"priority_id":2,"assigned_to_id":23,"start_date":"2016-11-13","description":"","custom_fields":[{"id":1,"name":"Subdivision","value":"EC"},{"id":4,"name":"Milepost","value":"0.0143"},{"id":17,"name":"Train ID","value":"218-13"},{"id":16,"name":"Locomotive ID","value":"4013"},{"id":130,"name":"Impact","value":""},{"id":150,"name":"Time of Event (Mountain Time)","value":"19:47:58"},{"id":151,"name":"Denver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604</v>
      </c>
      <c r="B137" s="7">
        <v>4044</v>
      </c>
      <c r="C137" s="22" t="s">
        <v>225</v>
      </c>
      <c r="D137" s="22" t="s">
        <v>219</v>
      </c>
      <c r="E137" s="13">
        <v>42687.768171296295</v>
      </c>
      <c r="F137" s="13">
        <v>42687.771064814813</v>
      </c>
      <c r="G137" s="7">
        <v>1</v>
      </c>
      <c r="H137" s="22" t="s">
        <v>396</v>
      </c>
      <c r="I137" s="13">
        <v>42687.795810185184</v>
      </c>
      <c r="J137" s="7">
        <v>0</v>
      </c>
      <c r="K137" s="109" t="str">
        <f t="shared" si="19"/>
        <v>4043/4044</v>
      </c>
      <c r="L137" s="22" t="str">
        <f>VLOOKUP(A137,'Trips&amp;Operators'!$C$1:$E$10000,3,FALSE)</f>
        <v>CHANDLER</v>
      </c>
      <c r="M137" s="6">
        <f t="shared" si="20"/>
        <v>2.47453703705105E-2</v>
      </c>
      <c r="N137" s="7">
        <f t="shared" si="21"/>
        <v>35.63333333353512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17:26:10-700',mode:absolute,to:'2016-11-13 20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4.6199999999999998E-2</v>
      </c>
      <c r="Z137" s="67">
        <f t="shared" si="28"/>
        <v>23.328199999999999</v>
      </c>
      <c r="AA137" s="67">
        <f t="shared" si="29"/>
        <v>23.282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0"/>
        <v>0219-13</v>
      </c>
      <c r="AE137" s="91" t="str">
        <f t="shared" si="31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137" s="88" t="str">
        <f t="shared" si="32"/>
        <v>"C:\Program Files (x86)\AstroGrep\AstroGrep.exe" /spath="%USERPROFILE%\AppData\Local\Temp\OnboardLogs" /stypes="app*4044*20161114*" /stext=" 02:.+((SYSTEM_STATE.+slice.+state.+changed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219-13 --locoid 4044 --swversion DE.1.0.8.0 --startMP 204:462 --initTime 2016-11-13T18:26:10 --startdatetime 2016-11-13T18:30:20 --delay 1 --endMP 204:233282 --enddatetime 2016-11-13T19:05:58 --enforcementcount 0 &gt;&gt;C:\Users\stu\Documents\GitHub\eaglep3-reporting\EC\2016-11-13-refined-times.txt</v>
      </c>
      <c r="AI137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{"issue":{"subject":"","project_id":79,"tracker_id":40,"status_id":1,"priority_id":2,"assigned_to_id":23,"start_date":"2016-11-13","description":"","custom_fields":[{"id":1,"name":"Subdivision","value":"EC"},{"id":4,"name":"Milepost","value":"23.3282"},{"id":17,"name":"Train ID","value":"219-13"},{"id":16,"name":"Locomotive ID","value":"4044"},{"id":130,"name":"Impact","value":""},{"id":150,"name":"Time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612</v>
      </c>
      <c r="B138" s="7">
        <v>4043</v>
      </c>
      <c r="C138" s="22" t="s">
        <v>225</v>
      </c>
      <c r="D138" s="22" t="s">
        <v>401</v>
      </c>
      <c r="E138" s="13">
        <v>42687.807511574072</v>
      </c>
      <c r="F138" s="13">
        <v>42687.810011574074</v>
      </c>
      <c r="G138" s="7">
        <v>1</v>
      </c>
      <c r="H138" s="22" t="s">
        <v>365</v>
      </c>
      <c r="I138" s="13">
        <v>42687.836921296293</v>
      </c>
      <c r="J138" s="7">
        <v>0</v>
      </c>
      <c r="K138" s="109" t="str">
        <f t="shared" si="19"/>
        <v>4043/4044</v>
      </c>
      <c r="L138" s="22" t="str">
        <f>VLOOKUP(A138,'Trips&amp;Operators'!$C$1:$E$10000,3,FALSE)</f>
        <v>CHANDLER</v>
      </c>
      <c r="M138" s="6">
        <f t="shared" si="20"/>
        <v>2.6909722218988463E-2</v>
      </c>
      <c r="N138" s="7">
        <f t="shared" si="21"/>
        <v>38.749999995343387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18:22:49-700',mode:absolute,to:'2016-11-13 21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23.296700000000001</v>
      </c>
      <c r="Z138" s="67">
        <f t="shared" si="28"/>
        <v>1.6299999999999999E-2</v>
      </c>
      <c r="AA138" s="67">
        <f t="shared" si="29"/>
        <v>23.2804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0"/>
        <v>0220-13</v>
      </c>
      <c r="AE138" s="91" t="str">
        <f t="shared" si="31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138" s="88" t="str">
        <f t="shared" si="32"/>
        <v>"C:\Program Files (x86)\AstroGrep\AstroGrep.exe" /spath="%USERPROFILE%\AppData\Local\Temp\OnboardLogs" /stypes="app*4043*20161114*" /stext=" 03:.+((SYSTEM_STATE.+slice.+state.+changed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220-13 --locoid 4043 --swversion DE.1.0.8.0 --startMP 204:232967 --initTime 2016-11-13T19:22:49 --startdatetime 2016-11-13T19:26:25 --delay 1 --endMP 204:163 --enddatetime 2016-11-13T20:05:10 --enforcementcount 0 &gt;&gt;C:\Users\stu\Documents\GitHub\eaglep3-reporting\EC\2016-11-13-refined-times.txt</v>
      </c>
      <c r="AI138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{"issue":{"subject":"","project_id":79,"tracker_id":40,"status_id":1,"priority_id":2,"assigned_to_id":23,"start_date":"2016-11-13","description":"","custom_fields":[{"id":1,"name":"Subdivision","value":"EC"},{"id":4,"name":"Milepost","value":"0.0163"},{"id":17,"name":"Train ID","value":"220-13"},{"id":16,"name":"Locomotive ID","value":"4043"},{"id":130,"name":"Impact","value":""},{"id":150,"name":"Time of Event (Mountain Time)","value":"20:05:10"},{"id":151,"name":"Denver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609</v>
      </c>
      <c r="B139" s="7">
        <v>4031</v>
      </c>
      <c r="C139" s="22" t="s">
        <v>225</v>
      </c>
      <c r="D139" s="22" t="s">
        <v>284</v>
      </c>
      <c r="E139" s="13">
        <v>42687.787256944444</v>
      </c>
      <c r="F139" s="13">
        <v>42687.791828703703</v>
      </c>
      <c r="G139" s="7">
        <v>2</v>
      </c>
      <c r="H139" s="22" t="s">
        <v>270</v>
      </c>
      <c r="I139" s="13">
        <v>42687.81590277778</v>
      </c>
      <c r="J139" s="7">
        <v>0</v>
      </c>
      <c r="K139" s="109" t="str">
        <f t="shared" si="19"/>
        <v>4031/4032</v>
      </c>
      <c r="L139" s="22" t="str">
        <f>VLOOKUP(A139,'Trips&amp;Operators'!$C$1:$E$10000,3,FALSE)</f>
        <v>ROMERO</v>
      </c>
      <c r="M139" s="6">
        <f t="shared" si="20"/>
        <v>2.4074074077361729E-2</v>
      </c>
      <c r="N139" s="7">
        <f t="shared" si="21"/>
        <v>34.66666667140089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17:53:39-700',mode:absolute,to:'2016-11-13 20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4.7300000000000002E-2</v>
      </c>
      <c r="Z139" s="67">
        <f t="shared" si="28"/>
        <v>23.329899999999999</v>
      </c>
      <c r="AA139" s="67">
        <f t="shared" si="29"/>
        <v>23.282599999999999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0"/>
        <v>0221-13</v>
      </c>
      <c r="AE139" s="91" t="str">
        <f t="shared" si="31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139" s="88" t="str">
        <f t="shared" si="32"/>
        <v>"C:\Program Files (x86)\AstroGrep\AstroGrep.exe" /spath="%USERPROFILE%\AppData\Local\Temp\OnboardLogs" /stypes="app*4031*20161114*" /stext=" 02:.+((SYSTEM_STATE.+slice.+state.+changed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221-13 --locoid 4031 --swversion DE.1.0.8.0 --startMP 204:473 --initTime 2016-11-13T18:53:39 --startdatetime 2016-11-13T19:00:14 --delay 2 --endMP 204:233299 --enddatetime 2016-11-13T19:34:54 --enforcementcount 0 &gt;&gt;C:\Users\stu\Documents\GitHub\eaglep3-reporting\EC\2016-11-13-refined-times.txt</v>
      </c>
      <c r="AI139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{"issue":{"subject":"","project_id":79,"tracker_id":40,"status_id":1,"priority_id":2,"assigned_to_id":23,"start_date":"2016-11-13","description":"","custom_fields":[{"id":1,"name":"Subdivision","value":"EC"},{"id":4,"name":"Milepost","value":"23.3299"},{"id":17,"name":"Train ID","value":"221-13"},{"id":16,"name":"Locomotive ID","value":"4031"},{"id":130,"name":"Impact","value":""},{"id":150,"name":"Time of Event (Mountain Time)","value":"19:34:54"},{"id":151,"name":"Denver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616</v>
      </c>
      <c r="B140" s="7">
        <v>4032</v>
      </c>
      <c r="C140" s="22" t="s">
        <v>225</v>
      </c>
      <c r="D140" s="22" t="s">
        <v>404</v>
      </c>
      <c r="E140" s="13">
        <v>42687.825821759259</v>
      </c>
      <c r="F140" s="13">
        <v>42687.830729166664</v>
      </c>
      <c r="G140" s="7">
        <v>1</v>
      </c>
      <c r="H140" s="22" t="s">
        <v>175</v>
      </c>
      <c r="I140" s="13">
        <v>42687.856539351851</v>
      </c>
      <c r="J140" s="7">
        <v>0</v>
      </c>
      <c r="K140" s="109" t="str">
        <f t="shared" si="19"/>
        <v>4031/4032</v>
      </c>
      <c r="L140" s="22" t="str">
        <f>VLOOKUP(A140,'Trips&amp;Operators'!$C$1:$E$10000,3,FALSE)</f>
        <v>ROMERO</v>
      </c>
      <c r="M140" s="6">
        <f t="shared" si="20"/>
        <v>2.5810185186855961E-2</v>
      </c>
      <c r="N140" s="7">
        <f t="shared" si="21"/>
        <v>37.166666669072583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https://search-rtdc-monitor-bjffxe2xuh6vdkpspy63sjmuny.us-east-1.es.amazonaws.com/_plugin/kibana/#/discover/Steve-Slow-Train-Analysis-(2080s-and-2083s)?_g=(refreshInterval:(display:Off,section:0,value:0),time:(from:'2016-11-13 18:49:11-700',mode:absolute,to:'2016-11-13 21:33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2" t="str">
        <f t="shared" si="25"/>
        <v>N</v>
      </c>
      <c r="X140" s="177">
        <f t="shared" si="26"/>
        <v>1</v>
      </c>
      <c r="Y140" s="67">
        <f t="shared" si="27"/>
        <v>23.297499999999999</v>
      </c>
      <c r="Z140" s="67">
        <f t="shared" si="28"/>
        <v>1.47E-2</v>
      </c>
      <c r="AA140" s="67">
        <f t="shared" si="29"/>
        <v>23.282799999999998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0"/>
        <v>0222-13</v>
      </c>
      <c r="AE140" s="91" t="str">
        <f t="shared" si="31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140" s="88" t="str">
        <f t="shared" si="32"/>
        <v>"C:\Program Files (x86)\AstroGrep\AstroGrep.exe" /spath="%USERPROFILE%\AppData\Local\Temp\OnboardLogs" /stypes="app*4032*20161114*" /stext=" 03:.+((SYSTEM_STATE.+slice.+state.+changed )|(ment ac)|(system.+state.+changed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222-13 --locoid 4032 --swversion DE.1.0.8.0 --startMP 204:232975 --initTime 2016-11-13T19:49:11 --startdatetime 2016-11-13T19:56:15 --delay 1 --endMP 204:147 --enddatetime 2016-11-13T20:33:25 --enforcementcount 0 &gt;&gt;C:\Users\stu\Documents\GitHub\eaglep3-reporting\EC\2016-11-13-refined-times.txt</v>
      </c>
      <c r="AI140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{"issue":{"subject":"","project_id":79,"tracker_id":40,"status_id":1,"priority_id":2,"assigned_to_id":23,"start_date":"2016-11-13","description":"","custom_fields":[{"id":1,"name":"Subdivision","value":"EC"},{"id":4,"name":"Milepost","value":"0.0147"},{"id":17,"name":"Train ID","value":"222-13"},{"id":16,"name":"Locomotive ID","value":"4032"},{"id":130,"name":"Impact","value":""},{"id":150,"name":"Time of Event (Mountain Time)","value":"20:33:25"},{"id":151,"name":"Denver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613</v>
      </c>
      <c r="B141" s="7">
        <v>4007</v>
      </c>
      <c r="C141" s="22" t="s">
        <v>225</v>
      </c>
      <c r="D141" s="22" t="s">
        <v>407</v>
      </c>
      <c r="E141" s="13">
        <v>42687.808865740742</v>
      </c>
      <c r="F141" s="13">
        <v>42687.812754629631</v>
      </c>
      <c r="G141" s="7">
        <v>1</v>
      </c>
      <c r="H141" s="22" t="s">
        <v>328</v>
      </c>
      <c r="I141" s="13">
        <v>42687.837766203702</v>
      </c>
      <c r="J141" s="7">
        <v>0</v>
      </c>
      <c r="K141" s="109" t="str">
        <f t="shared" ref="K141:K203" si="36">IF(ISEVEN(B141),(B141-1)&amp;"/"&amp;B141,B141&amp;"/"&amp;(B141+1))</f>
        <v>4007/4008</v>
      </c>
      <c r="L141" s="22" t="str">
        <f>VLOOKUP(A141,'Trips&amp;Operators'!$C$1:$E$10000,3,FALSE)</f>
        <v>CRAYTON</v>
      </c>
      <c r="M141" s="6">
        <f t="shared" ref="M141:M203" si="37">I141-F141</f>
        <v>2.5011574070958886E-2</v>
      </c>
      <c r="N141" s="7">
        <f t="shared" ref="N141:N203" si="38">24*60*SUM($M141:$M141)</f>
        <v>36.016666662180796</v>
      </c>
      <c r="O141" s="7"/>
      <c r="P141" s="7"/>
      <c r="Q141" s="23"/>
      <c r="R141" s="23"/>
      <c r="S141" s="35">
        <f t="shared" ref="S141:S203" si="39">SUM(U141:U141)/IF(AG141="EC",12,1)</f>
        <v>1</v>
      </c>
      <c r="T141" s="50" t="str">
        <f t="shared" ref="T141:T203" si="4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3" si="4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https://search-rtdc-monitor-bjffxe2xuh6vdkpspy63sjmuny.us-east-1.es.amazonaws.com/_plugin/kibana/#/discover/Steve-Slow-Train-Analysis-(2080s-and-2083s)?_g=(refreshInterval:(display:Off,section:0,value:0),time:(from:'2016-11-13 18:24:46-700',mode:absolute,to:'2016-11-13 21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1" s="52" t="str">
        <f t="shared" ref="W141:W203" si="42">IF(AA141&lt;IF(AG141="EC",23,5.65),"Y","N")</f>
        <v>N</v>
      </c>
      <c r="X141" s="177">
        <f t="shared" ref="X141:X203" si="43">VALUE(LEFT(AD141,4))-VALUE(LEFT(AD140,4))</f>
        <v>1</v>
      </c>
      <c r="Y141" s="67">
        <f t="shared" ref="Y141:Y203" si="44">RIGHT(D141,LEN(D141)-4)/10000</f>
        <v>4.7500000000000001E-2</v>
      </c>
      <c r="Z141" s="67">
        <f t="shared" ref="Z141:Z203" si="45">RIGHT(H141,LEN(H141)-4)/10000</f>
        <v>23.33</v>
      </c>
      <c r="AA141" s="67">
        <f t="shared" ref="AA141:AA203" si="46">ABS(Z141-Y141)</f>
        <v>23.282499999999999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3" si="47">IF(LEN(A141)=6,"0"&amp;A141,A141)</f>
        <v>0223-13</v>
      </c>
      <c r="AE141" s="91" t="str">
        <f t="shared" ref="AE141:AE203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141" s="88" t="str">
        <f t="shared" ref="AF141:AF203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/stypes="app*4007*20161114*" /stext=" 03:.+((SYSTEM_STATE.+slice.+state.+changed )|(ment ac)|(system.+state.+changed )|(\[timeout)|(PRM\|1\|D)|(kpr)|(kdp)|(\|lc)|(penalty))" /e /r /s</v>
      </c>
      <c r="AG141" s="1" t="str">
        <f t="shared" ref="AG141:AG203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223-13 --locoid 4007 --swversion DE.1.0.8.0 --startMP 204:475 --initTime 2016-11-13T19:24:46 --startdatetime 2016-11-13T19:30:22 --delay 1 --endMP 204:233300 --enddatetime 2016-11-13T20:06:23 --enforcementcount 0 &gt;&gt;C:\Users\stu\Documents\GitHub\eaglep3-reporting\EC\2016-11-13-refined-times.txt</v>
      </c>
      <c r="AI141" s="119" t="str">
        <f t="shared" si="35"/>
        <v>echo {"issue":{"subject":"","project_id":79,"tracker_id":40,"status_id":1,"priority_id":2,"assigned_to_id":23,"start_date":"2016-11-13","description":"","custom_fields":[{"id":1,"name":"Subdivision","value":"EC"},{"id":4,"name":"Milepost","value":"23.33"},{"id":17,"name":"Train ID","value":"223-13"},{"id":16,"name":"Locomotive ID","value":"4007"},{"id":130,"name":"Impact","value":""},{"id":150,"name":"Time of Event (Mountain Time)","value":"20:06:23"},{"id":151,"name":"Denver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620</v>
      </c>
      <c r="B142" s="7">
        <v>4008</v>
      </c>
      <c r="C142" s="22" t="s">
        <v>225</v>
      </c>
      <c r="D142" s="22" t="s">
        <v>292</v>
      </c>
      <c r="E142" s="13">
        <v>42687.841585648152</v>
      </c>
      <c r="F142" s="13">
        <v>42687.852210648147</v>
      </c>
      <c r="G142" s="7">
        <v>3</v>
      </c>
      <c r="H142" s="22" t="s">
        <v>197</v>
      </c>
      <c r="I142" s="13">
        <v>42687.878194444442</v>
      </c>
      <c r="J142" s="7">
        <v>0</v>
      </c>
      <c r="K142" s="109" t="str">
        <f t="shared" si="36"/>
        <v>4007/4008</v>
      </c>
      <c r="L142" s="22" t="str">
        <f>VLOOKUP(A142,'Trips&amp;Operators'!$C$1:$E$10000,3,FALSE)</f>
        <v>CRAYTON</v>
      </c>
      <c r="M142" s="6">
        <f t="shared" si="37"/>
        <v>2.5983796294895001E-2</v>
      </c>
      <c r="N142" s="7">
        <f t="shared" si="38"/>
        <v>37.416666664648801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19:11:53-700',mode:absolute,to:'2016-11-13 22:04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23.299600000000002</v>
      </c>
      <c r="Z142" s="67">
        <f t="shared" si="45"/>
        <v>1.4500000000000001E-2</v>
      </c>
      <c r="AA142" s="67">
        <f t="shared" si="46"/>
        <v>23.2851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47"/>
        <v>0224-13</v>
      </c>
      <c r="AE142" s="91" t="str">
        <f t="shared" si="48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142" s="88" t="str">
        <f t="shared" si="49"/>
        <v>"C:\Program Files (x86)\AstroGrep\AstroGrep.exe" /spath="%USERPROFILE%\AppData\Local\Temp\OnboardLogs" /stypes="app*4008*20161114*" /stext=" 04:.+((SYSTEM_STATE.+slice.+state.+changed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ref="AH142:AH204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224-13 --locoid 4008 --swversion DE.1.0.8.0 --startMP 204:232996 --initTime 2016-11-13T20:11:53 --startdatetime 2016-11-13T20:27:11 --delay 3 --endMP 204:145 --enddatetime 2016-11-13T21:04:36 --enforcementcount 0 &gt;&gt;C:\Users\stu\Documents\GitHub\eaglep3-reporting\EC\2016-11-13-refined-times.txt</v>
      </c>
      <c r="AI142" s="119" t="str">
        <f t="shared" ref="AI142:AI204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ID","value":"224-13"},{"id":16,"name":"Locomotive ID","value":"4008"},{"id":130,"name":"Impact","value":""},{"id":150,"name":"Time of Event (Mountain Time)","value":"21:04:36"},{"id":151,"name":"Denver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617</v>
      </c>
      <c r="B143" s="7">
        <v>4014</v>
      </c>
      <c r="C143" s="22" t="s">
        <v>225</v>
      </c>
      <c r="D143" s="22" t="s">
        <v>327</v>
      </c>
      <c r="E143" s="13">
        <v>42687.826921296299</v>
      </c>
      <c r="F143" s="13">
        <v>42687.833518518521</v>
      </c>
      <c r="G143" s="7">
        <v>1</v>
      </c>
      <c r="H143" s="22" t="s">
        <v>203</v>
      </c>
      <c r="I143" s="13">
        <v>42687.858240740738</v>
      </c>
      <c r="J143" s="7">
        <v>0</v>
      </c>
      <c r="K143" s="109" t="str">
        <f t="shared" si="36"/>
        <v>4013/4014</v>
      </c>
      <c r="L143" s="22" t="str">
        <f>VLOOKUP(A143,'Trips&amp;Operators'!$C$1:$E$10000,3,FALSE)</f>
        <v>LOPES</v>
      </c>
      <c r="M143" s="6">
        <f t="shared" si="37"/>
        <v>2.4722222216951195E-2</v>
      </c>
      <c r="N143" s="7">
        <f t="shared" si="38"/>
        <v>35.599999992409721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18:50:46-700',mode:absolute,to:'2016-11-13 21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4.6600000000000003E-2</v>
      </c>
      <c r="Z143" s="67">
        <f t="shared" si="45"/>
        <v>23.329499999999999</v>
      </c>
      <c r="AA143" s="67">
        <f t="shared" si="46"/>
        <v>23.282899999999998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47"/>
        <v>0225-13</v>
      </c>
      <c r="AE143" s="91" t="str">
        <f t="shared" si="48"/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AF143" s="88" t="str">
        <f t="shared" si="49"/>
        <v>"C:\Program Files (x86)\AstroGrep\AstroGrep.exe" /spath="%USERPROFILE%\AppData\Local\Temp\OnboardLogs" /stypes="app*4014*20161114*" /stext=" 03:.+((SYSTEM_STATE.+slice.+state.+changed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225-13 --locoid 4014 --swversion DE.1.0.8.0 --startMP 204:466 --initTime 2016-11-13T19:50:46 --startdatetime 2016-11-13T20:00:16 --delay 1 --endMP 204:233295 --enddatetime 2016-11-13T20:35:52 --enforcementcount 0 &gt;&gt;C:\Users\stu\Documents\GitHub\eaglep3-reporting\EC\2016-11-13-refined-times.txt</v>
      </c>
      <c r="AI143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{"issue":{"subject":"","project_id":79,"tracker_id":40,"status_id":1,"priority_id":2,"assigned_to_id":23,"start_date":"2016-11-13","description":"","custom_fields":[{"id":1,"name":"Subdivision","value":"EC"},{"id":4,"name":"Milepost","value":"23.3295"},{"id":17,"name":"Train ID","value":"225-13"},{"id":16,"name":"Locomotive ID","value":"4014"},{"id":130,"name":"Impact","value":""},{"id":150,"name":"Time of Event (Mountain Time)","value":"20:35:52"},{"id":151,"name":"Denver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623</v>
      </c>
      <c r="B144" s="7">
        <v>4013</v>
      </c>
      <c r="C144" s="22" t="s">
        <v>225</v>
      </c>
      <c r="D144" s="22" t="s">
        <v>247</v>
      </c>
      <c r="E144" s="13">
        <v>42687.860023148147</v>
      </c>
      <c r="F144" s="13">
        <v>42687.872407407405</v>
      </c>
      <c r="G144" s="7">
        <v>1</v>
      </c>
      <c r="H144" s="22" t="s">
        <v>251</v>
      </c>
      <c r="I144" s="13">
        <v>42687.898460648146</v>
      </c>
      <c r="J144" s="7">
        <v>0</v>
      </c>
      <c r="K144" s="109" t="str">
        <f t="shared" si="36"/>
        <v>4013/4014</v>
      </c>
      <c r="L144" s="22" t="str">
        <f>VLOOKUP(A144,'Trips&amp;Operators'!$C$1:$E$10000,3,FALSE)</f>
        <v>LOPES</v>
      </c>
      <c r="M144" s="6">
        <f t="shared" si="37"/>
        <v>2.6053240741021E-2</v>
      </c>
      <c r="N144" s="7">
        <f t="shared" si="38"/>
        <v>37.51666666707024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19:38:26-700',mode:absolute,to:'2016-11-13 22:33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23.299099999999999</v>
      </c>
      <c r="Z144" s="67">
        <f t="shared" si="45"/>
        <v>1.6E-2</v>
      </c>
      <c r="AA144" s="67">
        <f t="shared" si="46"/>
        <v>23.283100000000001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47"/>
        <v>0226-13</v>
      </c>
      <c r="AE144" s="91" t="str">
        <f t="shared" si="48"/>
        <v>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 &amp; aws s3 cp s3://rtdc.mdm.uploadarchive.raw/RTDC4013/ "%USERPROFILE%\AppData\Local\Temp\OnboardLogs"\RTDC4013\2016-11-14 --exclude "*" --recursive --include "*20161114*" &amp; "%USERPROFILE%\Documents\GitHub\mrs-test-scripts\Headless Mode &amp; Sideloading\WalkAndUnGZ.bat" "%USERPROFILE%\AppData\Local\Temp\OnboardLogs"\RTDC4013\2016-11-14</v>
      </c>
      <c r="AF144" s="88" t="str">
        <f t="shared" si="49"/>
        <v>"C:\Program Files (x86)\AstroGrep\AstroGrep.exe" /spath="%USERPROFILE%\AppData\Local\Temp\OnboardLogs" /stypes="app*4013*20161114*" /stext=" 04:.+((SYSTEM_STATE.+slice.+state.+changed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226-13 --locoid 4013 --swversion DE.1.0.8.0 --startMP 204:232991 --initTime 2016-11-13T20:38:26 --startdatetime 2016-11-13T20:56:16 --delay 1 --endMP 204:160 --enddatetime 2016-11-13T21:33:47 --enforcementcount 0 &gt;&gt;C:\Users\stu\Documents\GitHub\eaglep3-reporting\EC\2016-11-13-refined-times.txt</v>
      </c>
      <c r="AI144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{"issue":{"subject":"","project_id":79,"tracker_id":40,"status_id":1,"priority_id":2,"assigned_to_id":23,"start_date":"2016-11-13","description":"","custom_fields":[{"id":1,"name":"Subdivision","value":"EC"},{"id":4,"name":"Milepost","value":"0.016"},{"id":17,"name":"Train ID","value":"226-13"},{"id":16,"name":"Locomotive ID","value":"4013"},{"id":130,"name":"Impact","value":""},{"id":150,"name":"Time of Event (Mountain Time)","value":"21:33:47"},{"id":151,"name":"Denver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x14ac:dyDescent="0.25">
      <c r="A145" s="37" t="s">
        <v>621</v>
      </c>
      <c r="B145" s="7">
        <v>4044</v>
      </c>
      <c r="C145" s="22" t="s">
        <v>225</v>
      </c>
      <c r="D145" s="22" t="s">
        <v>680</v>
      </c>
      <c r="E145" s="13">
        <v>42687.851817129631</v>
      </c>
      <c r="F145" s="13">
        <v>42687.85460648148</v>
      </c>
      <c r="G145" s="7">
        <v>0</v>
      </c>
      <c r="H145" s="22" t="s">
        <v>762</v>
      </c>
      <c r="I145" s="13">
        <v>42687.879363425927</v>
      </c>
      <c r="J145" s="7">
        <v>0</v>
      </c>
      <c r="K145" s="109" t="str">
        <f t="shared" si="36"/>
        <v>4043/4044</v>
      </c>
      <c r="L145" s="22" t="str">
        <f>VLOOKUP(A145,'Trips&amp;Operators'!$C$1:$E$10000,3,FALSE)</f>
        <v>CHANDLER</v>
      </c>
      <c r="M145" s="6">
        <f t="shared" si="37"/>
        <v>2.4756944447290152E-2</v>
      </c>
      <c r="N145" s="7">
        <f t="shared" si="38"/>
        <v>35.650000004097819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19:26:37-700',mode:absolute,to:'2016-11-13 22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4.7699999999999999E-2</v>
      </c>
      <c r="Z145" s="67">
        <f t="shared" si="45"/>
        <v>23.325700000000001</v>
      </c>
      <c r="AA145" s="67">
        <f t="shared" si="46"/>
        <v>23.278000000000002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47"/>
        <v>0227-13</v>
      </c>
      <c r="AE145" s="91" t="str">
        <f t="shared" si="48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145" s="88" t="str">
        <f t="shared" si="49"/>
        <v>"C:\Program Files (x86)\AstroGrep\AstroGrep.exe" /spath="%USERPROFILE%\AppData\Local\Temp\OnboardLogs" /stypes="app*4044*20161114*" /stext=" 04:.+((SYSTEM_STATE.+slice.+state.+changed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227-13 --locoid 4044 --swversion DE.1.0.8.0 --startMP 204:477 --initTime 2016-11-13T20:26:37 --startdatetime 2016-11-13T20:30:38 --delay 0 --endMP 204:233257 --enddatetime 2016-11-13T21:06:17 --enforcementcount 0 &gt;&gt;C:\Users\stu\Documents\GitHub\eaglep3-reporting\EC\2016-11-13-refined-times.txt</v>
      </c>
      <c r="AI145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{"issue":{"subject":"","project_id":79,"tracker_id":40,"status_id":1,"priority_id":2,"assigned_to_id":23,"start_date":"2016-11-13","description":"","custom_fields":[{"id":1,"name":"Subdivision","value":"EC"},{"id":4,"name":"Milepost","value":"23.3257"},{"id":17,"name":"Train ID","value":"227-13"},{"id":16,"name":"Locomotive ID","value":"4044"},{"id":130,"name":"Impact","value":""},{"id":150,"name":"Time of Event (Mountain Time)","value":"21:06:17"},{"id":151,"name":"Denver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626</v>
      </c>
      <c r="B146" s="7">
        <v>4043</v>
      </c>
      <c r="C146" s="22" t="s">
        <v>225</v>
      </c>
      <c r="D146" s="22" t="s">
        <v>333</v>
      </c>
      <c r="E146" s="13">
        <v>42687.890219907407</v>
      </c>
      <c r="F146" s="13">
        <v>42687.893483796295</v>
      </c>
      <c r="G146" s="7">
        <v>1</v>
      </c>
      <c r="H146" s="22" t="s">
        <v>325</v>
      </c>
      <c r="I146" s="13">
        <v>42687.921469907407</v>
      </c>
      <c r="J146" s="7">
        <v>0</v>
      </c>
      <c r="K146" s="109" t="str">
        <f t="shared" si="36"/>
        <v>4043/4044</v>
      </c>
      <c r="L146" s="22" t="str">
        <f>VLOOKUP(A146,'Trips&amp;Operators'!$C$1:$E$10000,3,FALSE)</f>
        <v>CHANDLER</v>
      </c>
      <c r="M146" s="6">
        <f t="shared" si="37"/>
        <v>2.7986111112113576E-2</v>
      </c>
      <c r="N146" s="7">
        <f t="shared" si="38"/>
        <v>40.30000000144355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20:21:55-700',mode:absolute,to:'2016-11-13 23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23.297599999999999</v>
      </c>
      <c r="Z146" s="67">
        <f t="shared" si="45"/>
        <v>1.54E-2</v>
      </c>
      <c r="AA146" s="67">
        <f t="shared" si="46"/>
        <v>23.2822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47"/>
        <v>0228-13</v>
      </c>
      <c r="AE146" s="91" t="str">
        <f t="shared" si="48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146" s="88" t="str">
        <f t="shared" si="49"/>
        <v>"C:\Program Files (x86)\AstroGrep\AstroGrep.exe" /spath="%USERPROFILE%\AppData\Local\Temp\OnboardLogs" /stypes="app*4043*20161114*" /stext=" 05:.+((SYSTEM_STATE.+slice.+state.+changed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228-13 --locoid 4043 --swversion DE.1.0.8.0 --startMP 204:232976 --initTime 2016-11-13T21:21:55 --startdatetime 2016-11-13T21:26:37 --delay 1 --endMP 204:154 --enddatetime 2016-11-13T22:06:55 --enforcementcount 0 &gt;&gt;C:\Users\stu\Documents\GitHub\eaglep3-reporting\EC\2016-11-13-refined-times.txt</v>
      </c>
      <c r="AI146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{"issue":{"subject":"","project_id":79,"tracker_id":40,"status_id":1,"priority_id":2,"assigned_to_id":23,"start_date":"2016-11-13","description":"","custom_fields":[{"id":1,"name":"Subdivision","value":"EC"},{"id":4,"name":"Milepost","value":"0.0154"},{"id":17,"name":"Train ID","value":"228-13"},{"id":16,"name":"Locomotive ID","value":"4043"},{"id":130,"name":"Impact","value":""},{"id":150,"name":"Time of Event (Mountain Time)","value":"22:06:55"},{"id":151,"name":"Denver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624</v>
      </c>
      <c r="B147" s="7">
        <v>4031</v>
      </c>
      <c r="C147" s="22" t="s">
        <v>225</v>
      </c>
      <c r="D147" s="22" t="s">
        <v>291</v>
      </c>
      <c r="E147" s="13">
        <v>42687.870150462964</v>
      </c>
      <c r="F147" s="13">
        <v>42687.875196759262</v>
      </c>
      <c r="G147" s="7">
        <v>1</v>
      </c>
      <c r="H147" s="22" t="s">
        <v>238</v>
      </c>
      <c r="I147" s="13">
        <v>42687.900416666664</v>
      </c>
      <c r="J147" s="7">
        <v>0</v>
      </c>
      <c r="K147" s="109" t="str">
        <f t="shared" si="36"/>
        <v>4031/4032</v>
      </c>
      <c r="L147" s="22" t="str">
        <f>VLOOKUP(A147,'Trips&amp;Operators'!$C$1:$E$10000,3,FALSE)</f>
        <v>LEVERE</v>
      </c>
      <c r="M147" s="6">
        <f t="shared" si="37"/>
        <v>2.5219907402060926E-2</v>
      </c>
      <c r="N147" s="7">
        <f t="shared" si="38"/>
        <v>36.316666658967733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19:53:01-700',mode:absolute,to:'2016-11-13 22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4.8000000000000001E-2</v>
      </c>
      <c r="Z147" s="67">
        <f t="shared" si="45"/>
        <v>23.329799999999999</v>
      </c>
      <c r="AA147" s="67">
        <f t="shared" si="46"/>
        <v>23.2818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47"/>
        <v>0229-13</v>
      </c>
      <c r="AE147" s="91" t="str">
        <f t="shared" si="48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147" s="88" t="str">
        <f t="shared" si="49"/>
        <v>"C:\Program Files (x86)\AstroGrep\AstroGrep.exe" /spath="%USERPROFILE%\AppData\Local\Temp\OnboardLogs" /stypes="app*4031*20161114*" /stext=" 04:.+((SYSTEM_STATE.+slice.+state.+changed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229-13 --locoid 4031 --swversion DE.1.0.8.0 --startMP 204:480 --initTime 2016-11-13T20:53:01 --startdatetime 2016-11-13T21:00:17 --delay 1 --endMP 204:233298 --enddatetime 2016-11-13T21:36:36 --enforcementcount 0 &gt;&gt;C:\Users\stu\Documents\GitHub\eaglep3-reporting\EC\2016-11-13-refined-times.txt</v>
      </c>
      <c r="AI147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{"issue":{"subject":"","project_id":79,"tracker_id":40,"status_id":1,"priority_id":2,"assigned_to_id":23,"start_date":"2016-11-13","description":"","custom_fields":[{"id":1,"name":"Subdivision","value":"EC"},{"id":4,"name":"Milepost","value":"23.3298"},{"id":17,"name":"Train ID","value":"229-13"},{"id":16,"name":"Locomotive ID","value":"4031"},{"id":130,"name":"Impact","value":""},{"id":150,"name":"Time of Event (Mountain Time)","value":"21:36:36"},{"id":151,"name":"Denver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629</v>
      </c>
      <c r="B148" s="7">
        <v>4032</v>
      </c>
      <c r="C148" s="22" t="s">
        <v>225</v>
      </c>
      <c r="D148" s="22" t="s">
        <v>763</v>
      </c>
      <c r="E148" s="13">
        <v>42687.907037037039</v>
      </c>
      <c r="F148" s="13">
        <v>42687.914085648146</v>
      </c>
      <c r="G148" s="7">
        <v>1</v>
      </c>
      <c r="H148" s="22" t="s">
        <v>400</v>
      </c>
      <c r="I148" s="13">
        <v>42687.940486111111</v>
      </c>
      <c r="J148" s="7">
        <v>0</v>
      </c>
      <c r="K148" s="109" t="str">
        <f t="shared" si="36"/>
        <v>4031/4032</v>
      </c>
      <c r="L148" s="22" t="str">
        <f>VLOOKUP(A148,'Trips&amp;Operators'!$C$1:$E$10000,3,FALSE)</f>
        <v>LEVERE</v>
      </c>
      <c r="M148" s="6">
        <f t="shared" si="37"/>
        <v>2.6400462964375038E-2</v>
      </c>
      <c r="N148" s="7">
        <f t="shared" si="38"/>
        <v>38.016666668700054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20:46:08-700',mode:absolute,to:'2016-11-13 23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23.297000000000001</v>
      </c>
      <c r="Z148" s="67">
        <f t="shared" si="45"/>
        <v>1.72E-2</v>
      </c>
      <c r="AA148" s="67">
        <f t="shared" si="46"/>
        <v>23.279800000000002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47"/>
        <v>0230-13</v>
      </c>
      <c r="AE148" s="91" t="str">
        <f t="shared" si="48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148" s="88" t="str">
        <f t="shared" si="49"/>
        <v>"C:\Program Files (x86)\AstroGrep\AstroGrep.exe" /spath="%USERPROFILE%\AppData\Local\Temp\OnboardLogs" /stypes="app*4032*20161114*" /stext=" 05:.+((SYSTEM_STATE.+slice.+state.+changed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230-13 --locoid 4032 --swversion DE.1.0.8.0 --startMP 204:232970 --initTime 2016-11-13T21:46:08 --startdatetime 2016-11-13T21:56:17 --delay 1 --endMP 204:172 --enddatetime 2016-11-13T22:34:18 --enforcementcount 0 &gt;&gt;C:\Users\stu\Documents\GitHub\eaglep3-reporting\EC\2016-11-13-refined-times.txt</v>
      </c>
      <c r="AI148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{"issue":{"subject":"","project_id":79,"tracker_id":40,"status_id":1,"priority_id":2,"assigned_to_id":23,"start_date":"2016-11-13","description":"","custom_fields":[{"id":1,"name":"Subdivision","value":"EC"},{"id":4,"name":"Milepost","value":"0.0172"},{"id":17,"name":"Train ID","value":"230-13"},{"id":16,"name":"Locomotive ID","value":"4032"},{"id":130,"name":"Impact","value":""},{"id":150,"name":"Time of Event (Mountain Time)","value":"22:34:18"},{"id":151,"name":"Denver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625</v>
      </c>
      <c r="B149" s="7">
        <v>4007</v>
      </c>
      <c r="C149" s="22" t="s">
        <v>225</v>
      </c>
      <c r="D149" s="22" t="s">
        <v>362</v>
      </c>
      <c r="E149" s="13">
        <v>42687.887337962966</v>
      </c>
      <c r="F149" s="13">
        <v>42687.896377314813</v>
      </c>
      <c r="G149" s="7">
        <v>2</v>
      </c>
      <c r="H149" s="22" t="s">
        <v>246</v>
      </c>
      <c r="I149" s="13">
        <v>42687.921631944446</v>
      </c>
      <c r="J149" s="7">
        <v>0</v>
      </c>
      <c r="K149" s="109" t="str">
        <f t="shared" si="36"/>
        <v>4007/4008</v>
      </c>
      <c r="L149" s="22" t="str">
        <f>VLOOKUP(A149,'Trips&amp;Operators'!$C$1:$E$10000,3,FALSE)</f>
        <v>WHITED</v>
      </c>
      <c r="M149" s="6">
        <f t="shared" si="37"/>
        <v>2.5254629632399883E-2</v>
      </c>
      <c r="N149" s="7">
        <f t="shared" si="38"/>
        <v>36.366666670655832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20:17:46-700',mode:absolute,to:'2016-11-13 23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4.4400000000000002E-2</v>
      </c>
      <c r="Z149" s="67">
        <f t="shared" si="45"/>
        <v>23.3306</v>
      </c>
      <c r="AA149" s="67">
        <f t="shared" si="46"/>
        <v>23.286200000000001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47"/>
        <v>0231-13</v>
      </c>
      <c r="AE149" s="91" t="str">
        <f t="shared" si="48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149" s="88" t="str">
        <f t="shared" si="49"/>
        <v>"C:\Program Files (x86)\AstroGrep\AstroGrep.exe" /spath="%USERPROFILE%\AppData\Local\Temp\OnboardLogs" /stypes="app*4007*20161114*" /stext=" 05:.+((SYSTEM_STATE.+slice.+state.+changed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231-13 --locoid 4007 --swversion DE.1.0.8.0 --startMP 204:444 --initTime 2016-11-13T21:17:46 --startdatetime 2016-11-13T21:30:47 --delay 2 --endMP 204:233306 --enddatetime 2016-11-13T22:07:09 --enforcementcount 0 &gt;&gt;C:\Users\stu\Documents\GitHub\eaglep3-reporting\EC\2016-11-13-refined-times.txt</v>
      </c>
      <c r="AI149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{"issue":{"subject":"","project_id":79,"tracker_id":40,"status_id":1,"priority_id":2,"assigned_to_id":23,"start_date":"2016-11-13","description":"","custom_fields":[{"id":1,"name":"Subdivision","value":"EC"},{"id":4,"name":"Milepost","value":"23.3306"},{"id":17,"name":"Train ID","value":"231-13"},{"id":16,"name":"Locomotive ID","value":"4007"},{"id":130,"name":"Impact","value":""},{"id":150,"name":"Time of Event (Mountain Time)","value":"22:07:09"},{"id":151,"name":"Denver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631</v>
      </c>
      <c r="B150" s="7">
        <v>4008</v>
      </c>
      <c r="C150" s="22" t="s">
        <v>225</v>
      </c>
      <c r="D150" s="22" t="s">
        <v>330</v>
      </c>
      <c r="E150" s="13">
        <v>42687.929340277777</v>
      </c>
      <c r="F150" s="13">
        <v>42687.935104166667</v>
      </c>
      <c r="G150" s="7">
        <v>1</v>
      </c>
      <c r="H150" s="22" t="s">
        <v>253</v>
      </c>
      <c r="I150" s="13">
        <v>42687.96230324074</v>
      </c>
      <c r="J150" s="7">
        <v>0</v>
      </c>
      <c r="K150" s="109" t="str">
        <f t="shared" si="36"/>
        <v>4007/4008</v>
      </c>
      <c r="L150" s="22" t="str">
        <f>VLOOKUP(A150,'Trips&amp;Operators'!$C$1:$E$10000,3,FALSE)</f>
        <v>WHITED</v>
      </c>
      <c r="M150" s="6">
        <f t="shared" si="37"/>
        <v>2.7199074072996154E-2</v>
      </c>
      <c r="N150" s="7">
        <f t="shared" si="38"/>
        <v>39.166666665114462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21:18:15-700',mode:absolute,to:'2016-11-14 00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23.296800000000001</v>
      </c>
      <c r="Z150" s="67">
        <f t="shared" si="45"/>
        <v>1.3899999999999999E-2</v>
      </c>
      <c r="AA150" s="67">
        <f t="shared" si="46"/>
        <v>23.282900000000001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47"/>
        <v>0232-13</v>
      </c>
      <c r="AE150" s="91" t="str">
        <f t="shared" si="48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150" s="88" t="str">
        <f t="shared" si="49"/>
        <v>"C:\Program Files (x86)\AstroGrep\AstroGrep.exe" /spath="%USERPROFILE%\AppData\Local\Temp\OnboardLogs" /stypes="app*4008*20161114*" /stext=" 06:.+((SYSTEM_STATE.+slice.+state.+changed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232-13 --locoid 4008 --swversion DE.1.0.8.0 --startMP 204:232968 --initTime 2016-11-13T22:18:15 --startdatetime 2016-11-13T22:26:33 --delay 1 --endMP 204:139 --enddatetime 2016-11-13T23:05:43 --enforcementcount 0 &gt;&gt;C:\Users\stu\Documents\GitHub\eaglep3-reporting\EC\2016-11-13-refined-times.txt</v>
      </c>
      <c r="AI150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{"issue":{"subject":"","project_id":79,"tracker_id":40,"status_id":1,"priority_id":2,"assigned_to_id":23,"start_date":"2016-11-13","description":"","custom_fields":[{"id":1,"name":"Subdivision","value":"EC"},{"id":4,"name":"Milepost","value":"0.0139"},{"id":17,"name":"Train ID","value":"232-13"},{"id":16,"name":"Locomotive ID","value":"4008"},{"id":130,"name":"Impact","value":""},{"id":150,"name":"Time of Event (Mountain Time)","value":"23:05:43"},{"id":151,"name":"Denver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628</v>
      </c>
      <c r="B151" s="7">
        <v>4014</v>
      </c>
      <c r="C151" s="22" t="s">
        <v>225</v>
      </c>
      <c r="D151" s="22" t="s">
        <v>764</v>
      </c>
      <c r="E151" s="13">
        <v>42687.90388888889</v>
      </c>
      <c r="F151" s="13">
        <v>42687.91684027778</v>
      </c>
      <c r="G151" s="7">
        <v>1</v>
      </c>
      <c r="H151" s="22" t="s">
        <v>240</v>
      </c>
      <c r="I151" s="13">
        <v>42687.941030092596</v>
      </c>
      <c r="J151" s="7">
        <v>0</v>
      </c>
      <c r="K151" s="109" t="str">
        <f t="shared" si="36"/>
        <v>4013/4014</v>
      </c>
      <c r="L151" s="22" t="str">
        <f>VLOOKUP(A151,'Trips&amp;Operators'!$C$1:$E$10000,3,FALSE)</f>
        <v>NEWELL</v>
      </c>
      <c r="M151" s="6">
        <f t="shared" si="37"/>
        <v>2.4189814816054422E-2</v>
      </c>
      <c r="N151" s="7">
        <f t="shared" si="38"/>
        <v>34.833333335118368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20:41:36-700',mode:absolute,to:'2016-11-13 23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4.0599999999999997E-2</v>
      </c>
      <c r="Z151" s="67">
        <f t="shared" si="45"/>
        <v>23.331199999999999</v>
      </c>
      <c r="AA151" s="67">
        <f t="shared" si="46"/>
        <v>23.290599999999998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47"/>
        <v>0233-13</v>
      </c>
      <c r="AE151" s="91" t="str">
        <f t="shared" si="48"/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AF151" s="88" t="str">
        <f t="shared" si="49"/>
        <v>"C:\Program Files (x86)\AstroGrep\AstroGrep.exe" /spath="%USERPROFILE%\AppData\Local\Temp\OnboardLogs" /stypes="app*4014*20161114*" /stext=" 05:.+((SYSTEM_STATE.+slice.+state.+changed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233-13 --locoid 4014 --swversion DE.1.0.8.0 --startMP 204:406 --initTime 2016-11-13T21:41:36 --startdatetime 2016-11-13T22:00:15 --delay 1 --endMP 204:233312 --enddatetime 2016-11-13T22:35:05 --enforcementcount 0 &gt;&gt;C:\Users\stu\Documents\GitHub\eaglep3-reporting\EC\2016-11-13-refined-times.txt</v>
      </c>
      <c r="AI151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{"issue":{"subject":"","project_id":79,"tracker_id":40,"status_id":1,"priority_id":2,"assigned_to_id":23,"start_date":"2016-11-13","description":"","custom_fields":[{"id":1,"name":"Subdivision","value":"EC"},{"id":4,"name":"Milepost","value":"23.3312"},{"id":17,"name":"Train ID","value":"233-13"},{"id":16,"name":"Locomotive ID","value":"4014"},{"id":130,"name":"Impact","value":""},{"id":150,"name":"Time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634</v>
      </c>
      <c r="B152" s="7">
        <v>4013</v>
      </c>
      <c r="C152" s="22" t="s">
        <v>225</v>
      </c>
      <c r="D152" s="22" t="s">
        <v>288</v>
      </c>
      <c r="E152" s="13">
        <v>42687.944652777776</v>
      </c>
      <c r="F152" s="13">
        <v>42687.955729166664</v>
      </c>
      <c r="G152" s="7">
        <v>1</v>
      </c>
      <c r="H152" s="22" t="s">
        <v>216</v>
      </c>
      <c r="I152" s="13">
        <v>42687.981006944443</v>
      </c>
      <c r="J152" s="7">
        <v>0</v>
      </c>
      <c r="K152" s="109" t="str">
        <f t="shared" si="36"/>
        <v>4013/4014</v>
      </c>
      <c r="L152" s="22" t="str">
        <f>VLOOKUP(A152,'Trips&amp;Operators'!$C$1:$E$10000,3,FALSE)</f>
        <v>NEWELL</v>
      </c>
      <c r="M152" s="6">
        <f t="shared" si="37"/>
        <v>2.527777777868323E-2</v>
      </c>
      <c r="N152" s="7">
        <f t="shared" si="38"/>
        <v>36.400000001303852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21:40:18-700',mode:absolute,to:'2016-11-14 00:32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23.299299999999999</v>
      </c>
      <c r="Z152" s="67">
        <f t="shared" si="45"/>
        <v>1.5599999999999999E-2</v>
      </c>
      <c r="AA152" s="67">
        <f t="shared" si="46"/>
        <v>23.2837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47"/>
        <v>0234-13</v>
      </c>
      <c r="AE152" s="91" t="str">
        <f t="shared" si="48"/>
        <v>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 &amp; aws s3 cp s3://rtdc.mdm.uploadarchive.raw/RTDC4013/ "%USERPROFILE%\AppData\Local\Temp\OnboardLogs"\RTDC4013\2016-11-14 --exclude "*" --recursive --include "*20161114*" &amp; "%USERPROFILE%\Documents\GitHub\mrs-test-scripts\Headless Mode &amp; Sideloading\WalkAndUnGZ.bat" "%USERPROFILE%\AppData\Local\Temp\OnboardLogs"\RTDC4013\2016-11-14</v>
      </c>
      <c r="AF152" s="88" t="str">
        <f t="shared" si="49"/>
        <v>"C:\Program Files (x86)\AstroGrep\AstroGrep.exe" /spath="%USERPROFILE%\AppData\Local\Temp\OnboardLogs" /stypes="app*4013*20161114*" /stext=" 06:.+((SYSTEM_STATE.+slice.+state.+changed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234-13 --locoid 4013 --swversion DE.1.0.8.0 --startMP 204:232993 --initTime 2016-11-13T22:40:18 --startdatetime 2016-11-13T22:56:15 --delay 1 --endMP 204:156 --enddatetime 2016-11-13T23:32:39 --enforcementcount 0 &gt;&gt;C:\Users\stu\Documents\GitHub\eaglep3-reporting\EC\2016-11-13-refined-times.txt</v>
      </c>
      <c r="AI152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{"issue":{"subject":"","project_id":79,"tracker_id":40,"status_id":1,"priority_id":2,"assigned_to_id":23,"start_date":"2016-11-13","description":"","custom_fields":[{"id":1,"name":"Subdivision","value":"EC"},{"id":4,"name":"Milepost","value":"0.0156"},{"id":17,"name":"Train ID","value":"234-13"},{"id":16,"name":"Locomotive ID","value":"4013"},{"id":130,"name":"Impact","value":""},{"id":150,"name":"Time of Event (Mountain Time)","value":"23:32:39"},{"id":151,"name":"Denver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632</v>
      </c>
      <c r="B153" s="7">
        <v>4044</v>
      </c>
      <c r="C153" s="22" t="s">
        <v>225</v>
      </c>
      <c r="D153" s="22" t="s">
        <v>362</v>
      </c>
      <c r="E153" s="13">
        <v>42687.936354166668</v>
      </c>
      <c r="F153" s="13">
        <v>42687.938043981485</v>
      </c>
      <c r="G153" s="7">
        <v>0</v>
      </c>
      <c r="H153" s="22" t="s">
        <v>203</v>
      </c>
      <c r="I153" s="13">
        <v>42687.963113425925</v>
      </c>
      <c r="J153" s="7">
        <v>0</v>
      </c>
      <c r="K153" s="109" t="str">
        <f t="shared" si="36"/>
        <v>4043/4044</v>
      </c>
      <c r="L153" s="22" t="str">
        <f>VLOOKUP(A153,'Trips&amp;Operators'!$C$1:$E$10000,3,FALSE)</f>
        <v>CHANDLER</v>
      </c>
      <c r="M153" s="6">
        <f t="shared" si="37"/>
        <v>2.5069444440305233E-2</v>
      </c>
      <c r="N153" s="7">
        <f t="shared" si="38"/>
        <v>36.099999994039536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21:28:21-700',mode:absolute,to:'2016-11-14 00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4.4400000000000002E-2</v>
      </c>
      <c r="Z153" s="67">
        <f t="shared" si="45"/>
        <v>23.329499999999999</v>
      </c>
      <c r="AA153" s="67">
        <f t="shared" si="46"/>
        <v>23.2851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47"/>
        <v>0235-13</v>
      </c>
      <c r="AE153" s="91" t="str">
        <f t="shared" si="48"/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AF153" s="88" t="str">
        <f t="shared" si="49"/>
        <v>"C:\Program Files (x86)\AstroGrep\AstroGrep.exe" /spath="%USERPROFILE%\AppData\Local\Temp\OnboardLogs" /stypes="app*4044*20161114*" /stext=" 06:.+((SYSTEM_STATE.+slice.+state.+changed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235-13 --locoid 4044 --swversion DE.1.0.8.0 --startMP 204:444 --initTime 2016-11-13T22:28:21 --startdatetime 2016-11-13T22:30:47 --delay 0 --endMP 204:233295 --enddatetime 2016-11-13T23:06:53 --enforcementcount 0 &gt;&gt;C:\Users\stu\Documents\GitHub\eaglep3-reporting\EC\2016-11-13-refined-times.txt</v>
      </c>
      <c r="AI153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{"issue":{"subject":"","project_id":79,"tracker_id":40,"status_id":1,"priority_id":2,"assigned_to_id":23,"start_date":"2016-11-13","description":"","custom_fields":[{"id":1,"name":"Subdivision","value":"EC"},{"id":4,"name":"Milepost","value":"23.3295"},{"id":17,"name":"Train ID","value":"235-13"},{"id":16,"name":"Locomotive ID","value":"4044"},{"id":130,"name":"Impact","value":""},{"id":150,"name":"Time of Event (Mountain Time)","value":"23:06:53"},{"id":151,"name":"Denver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637</v>
      </c>
      <c r="B154" s="7">
        <v>4043</v>
      </c>
      <c r="C154" s="22" t="s">
        <v>225</v>
      </c>
      <c r="D154" s="22" t="s">
        <v>402</v>
      </c>
      <c r="E154" s="13">
        <v>42687.974270833336</v>
      </c>
      <c r="F154" s="13">
        <v>42687.976724537039</v>
      </c>
      <c r="G154" s="7">
        <v>1</v>
      </c>
      <c r="H154" s="22" t="s">
        <v>251</v>
      </c>
      <c r="I154" s="13">
        <v>42688.004016203704</v>
      </c>
      <c r="J154" s="7">
        <v>0</v>
      </c>
      <c r="K154" s="109" t="str">
        <f t="shared" si="36"/>
        <v>4043/4044</v>
      </c>
      <c r="L154" s="22" t="str">
        <f>VLOOKUP(A154,'Trips&amp;Operators'!$C$1:$E$10000,3,FALSE)</f>
        <v>CHANDLER</v>
      </c>
      <c r="M154" s="6">
        <f t="shared" si="37"/>
        <v>2.7291666665405501E-2</v>
      </c>
      <c r="N154" s="7">
        <f t="shared" si="38"/>
        <v>39.299999998183921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22:22:57-700',mode:absolute,to:'2016-11-14 01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23.2972</v>
      </c>
      <c r="Z154" s="67">
        <f t="shared" si="45"/>
        <v>1.6E-2</v>
      </c>
      <c r="AA154" s="67">
        <f t="shared" si="46"/>
        <v>23.281200000000002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47"/>
        <v>0236-13</v>
      </c>
      <c r="AE154" s="91" t="str">
        <f t="shared" si="48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154" s="88" t="str">
        <f t="shared" si="49"/>
        <v>"C:\Program Files (x86)\AstroGrep\AstroGrep.exe" /spath="%USERPROFILE%\AppData\Local\Temp\OnboardLogs" /stypes="app*4043*20161114*" /stext=" 07:.+((SYSTEM_STATE.+slice.+state.+changed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236-13 --locoid 4043 --swversion DE.1.0.8.0 --startMP 204:232972 --initTime 2016-11-13T23:22:57 --startdatetime 2016-11-13T23:26:29 --delay 1 --endMP 204:160 --enddatetime 2016-11-14T00:05:47 --enforcementcount 0 &gt;&gt;C:\Users\stu\Documents\GitHub\eaglep3-reporting\EC\2016-11-13-refined-times.txt</v>
      </c>
      <c r="AI154" s="119" t="str">
        <f t="shared" si="52"/>
        <v>echo {"issue":{"subject":"","project_id":79,"tracker_id":40,"status_id":1,"priority_id":2,"assigned_to_id":23,"start_date":"2016-11-14","description":"","custom_fields":[{"id":1,"name":"Subdivision","value":"EC"},{"id":4,"name":"Milepost","value":"0.016"},{"id":17,"name":"Train ID","value":"236-13"},{"id":16,"name":"Locomotive ID","value":"4043"},{"id":130,"name":"Impact","value":""},{"id":150,"name":"Time of Event (Mountain Time)","value":"00:05:47"},{"id":151,"name":"Denver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635</v>
      </c>
      <c r="B155" s="7">
        <v>4031</v>
      </c>
      <c r="C155" s="22" t="s">
        <v>225</v>
      </c>
      <c r="D155" s="22" t="s">
        <v>227</v>
      </c>
      <c r="E155" s="13">
        <v>42687.950104166666</v>
      </c>
      <c r="F155" s="13">
        <v>42687.95857638889</v>
      </c>
      <c r="G155" s="7">
        <v>1</v>
      </c>
      <c r="H155" s="22" t="s">
        <v>246</v>
      </c>
      <c r="I155" s="13">
        <v>42687.983587962961</v>
      </c>
      <c r="J155" s="7">
        <v>0</v>
      </c>
      <c r="K155" s="109" t="str">
        <f t="shared" si="36"/>
        <v>4031/4032</v>
      </c>
      <c r="L155" s="22" t="str">
        <f>VLOOKUP(A155,'Trips&amp;Operators'!$C$1:$E$10000,3,FALSE)</f>
        <v>LEVERE</v>
      </c>
      <c r="M155" s="6">
        <f t="shared" si="37"/>
        <v>2.5011574070958886E-2</v>
      </c>
      <c r="N155" s="7">
        <f t="shared" si="38"/>
        <v>36.016666662180796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21:48:09-700',mode:absolute,to:'2016-11-14 00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4.58E-2</v>
      </c>
      <c r="Z155" s="67">
        <f t="shared" si="45"/>
        <v>23.3306</v>
      </c>
      <c r="AA155" s="67">
        <f t="shared" si="46"/>
        <v>23.284800000000001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47"/>
        <v>0237-13</v>
      </c>
      <c r="AE155" s="91" t="str">
        <f t="shared" si="48"/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AF155" s="88" t="str">
        <f t="shared" si="49"/>
        <v>"C:\Program Files (x86)\AstroGrep\AstroGrep.exe" /spath="%USERPROFILE%\AppData\Local\Temp\OnboardLogs" /stypes="app*4031*20161114*" /stext=" 06:.+((SYSTEM_STATE.+slice.+state.+changed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237-13 --locoid 4031 --swversion DE.1.0.8.0 --startMP 204:458 --initTime 2016-11-13T22:48:09 --startdatetime 2016-11-13T23:00:21 --delay 1 --endMP 204:233306 --enddatetime 2016-11-13T23:36:22 --enforcementcount 0 &gt;&gt;C:\Users\stu\Documents\GitHub\eaglep3-reporting\EC\2016-11-13-refined-times.txt</v>
      </c>
      <c r="AI155" s="119" t="str">
        <f t="shared" si="52"/>
        <v>echo {"issue":{"subject":"","project_id":79,"tracker_id":40,"status_id":1,"priority_id":2,"assigned_to_id":23,"start_date":"2016-11-13","description":"","custom_fields":[{"id":1,"name":"Subdivision","value":"EC"},{"id":4,"name":"Milepost","value":"23.3306"},{"id":17,"name":"Train ID","value":"237-13"},{"id":16,"name":"Locomotive ID","value":"4031"},{"id":130,"name":"Impact","value":""},{"id":150,"name":"Time of Event (Mountain Time)","value":"23:36:22"},{"id":151,"name":"Denver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639</v>
      </c>
      <c r="B156" s="7">
        <v>4032</v>
      </c>
      <c r="C156" s="22" t="s">
        <v>225</v>
      </c>
      <c r="D156" s="22" t="s">
        <v>332</v>
      </c>
      <c r="E156" s="13">
        <v>42687.991319444445</v>
      </c>
      <c r="F156" s="13">
        <v>42687.997465277775</v>
      </c>
      <c r="G156" s="7">
        <v>1</v>
      </c>
      <c r="H156" s="22" t="s">
        <v>325</v>
      </c>
      <c r="I156" s="13">
        <v>42688.023958333331</v>
      </c>
      <c r="J156" s="7">
        <v>0</v>
      </c>
      <c r="K156" s="109" t="str">
        <f t="shared" si="36"/>
        <v>4031/4032</v>
      </c>
      <c r="L156" s="22" t="str">
        <f>VLOOKUP(A156,'Trips&amp;Operators'!$C$1:$E$10000,3,FALSE)</f>
        <v>LEVERE</v>
      </c>
      <c r="M156" s="6">
        <f t="shared" si="37"/>
        <v>2.6493055556784384E-2</v>
      </c>
      <c r="N156" s="7">
        <f t="shared" si="38"/>
        <v>38.150000001769513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22:47:30-700',mode:absolute,to:'2016-11-14 01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23.300799999999999</v>
      </c>
      <c r="Z156" s="67">
        <f t="shared" si="45"/>
        <v>1.54E-2</v>
      </c>
      <c r="AA156" s="67">
        <f t="shared" si="46"/>
        <v>23.285399999999999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47"/>
        <v>0238-13</v>
      </c>
      <c r="AE156" s="91" t="str">
        <f t="shared" si="48"/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AF156" s="88" t="str">
        <f t="shared" si="49"/>
        <v>"C:\Program Files (x86)\AstroGrep\AstroGrep.exe" /spath="%USERPROFILE%\AppData\Local\Temp\OnboardLogs" /stypes="app*4032*20161114*" /stext=" 07:.+((SYSTEM_STATE.+slice.+state.+changed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238-13 --locoid 4032 --swversion DE.1.0.8.0 --startMP 204:233008 --initTime 2016-11-13T23:47:30 --startdatetime 2016-11-13T23:56:21 --delay 1 --endMP 204:154 --enddatetime 2016-11-14T00:34:30 --enforcementcount 0 &gt;&gt;C:\Users\stu\Documents\GitHub\eaglep3-reporting\EC\2016-11-13-refined-times.txt</v>
      </c>
      <c r="AI156" s="119" t="str">
        <f t="shared" si="52"/>
        <v>echo {"issue":{"subject":"","project_id":79,"tracker_id":40,"status_id":1,"priority_id":2,"assigned_to_id":23,"start_date":"2016-11-14","description":"","custom_fields":[{"id":1,"name":"Subdivision","value":"EC"},{"id":4,"name":"Milepost","value":"0.0154"},{"id":17,"name":"Train ID","value":"238-13"},{"id":16,"name":"Locomotive ID","value":"4032"},{"id":130,"name":"Impact","value":""},{"id":150,"name":"Time of Event (Mountain Time)","value":"00:34:30"},{"id":151,"name":"Denver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7" t="s">
        <v>636</v>
      </c>
      <c r="B157" s="7">
        <v>4007</v>
      </c>
      <c r="C157" s="22" t="s">
        <v>225</v>
      </c>
      <c r="D157" s="22" t="s">
        <v>205</v>
      </c>
      <c r="E157" s="13">
        <v>42687.965891203705</v>
      </c>
      <c r="F157" s="13">
        <v>42687.97934027778</v>
      </c>
      <c r="G157" s="7">
        <v>1</v>
      </c>
      <c r="H157" s="22" t="s">
        <v>765</v>
      </c>
      <c r="I157" s="13">
        <v>42688.00408564815</v>
      </c>
      <c r="J157" s="7">
        <v>0</v>
      </c>
      <c r="K157" s="109" t="str">
        <f t="shared" si="36"/>
        <v>4007/4008</v>
      </c>
      <c r="L157" s="22" t="str">
        <f>VLOOKUP(A157,'Trips&amp;Operators'!$C$1:$E$10000,3,FALSE)</f>
        <v>CRAYTON</v>
      </c>
      <c r="M157" s="6">
        <f t="shared" si="37"/>
        <v>2.47453703705105E-2</v>
      </c>
      <c r="N157" s="7">
        <f t="shared" si="38"/>
        <v>35.63333333353512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22:10:53-700',mode:absolute,to:'2016-11-14 01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4.5100000000000001E-2</v>
      </c>
      <c r="Z157" s="67">
        <f t="shared" si="45"/>
        <v>23.3308</v>
      </c>
      <c r="AA157" s="67">
        <f t="shared" si="46"/>
        <v>23.285699999999999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47"/>
        <v>0239-13</v>
      </c>
      <c r="AE157" s="91" t="str">
        <f t="shared" si="48"/>
        <v>aws s3 cp s3://rtdc.mdm.uploadarchive.raw/RTDC4007/ "%USERPROFILE%\AppData\Local\Temp\OnboardLogs"\RTDC4007\2016-11-13 --exclude "*" --recursive --include "*20161113*" &amp; "%USERPROFILE%\Documents\GitHub\mrs-test-scripts\Headless Mode &amp; Sideloading\WalkAndUnGZ.bat" "%USERPROFILE%\AppData\Local\Temp\OnboardLogs"\RTDC4007\2016-11-13 &amp; aws s3 cp s3://rtdc.mdm.uploadarchive.raw/RTDC4007/ "%USERPROFILE%\AppData\Local\Temp\OnboardLogs"\RTDC4007\2016-11-14 --exclude "*" --recursive --include "*20161114*" &amp; "%USERPROFILE%\Documents\GitHub\mrs-test-scripts\Headless Mode &amp; Sideloading\WalkAndUnGZ.bat" "%USERPROFILE%\AppData\Local\Temp\OnboardLogs"\RTDC4007\2016-11-14</v>
      </c>
      <c r="AF157" s="88" t="str">
        <f t="shared" si="49"/>
        <v>"C:\Program Files (x86)\AstroGrep\AstroGrep.exe" /spath="%USERPROFILE%\AppData\Local\Temp\OnboardLogs" /stypes="app*4007*20161114*" /stext=" 07:.+((SYSTEM_STATE.+slice.+state.+changed )|(ment ac)|(system.+state.+changed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239-13 --locoid 4007 --swversion DE.1.0.8.0 --startMP 204:451 --initTime 2016-11-13T23:10:53 --startdatetime 2016-11-13T23:30:15 --delay 1 --endMP 204:233308 --enddatetime 2016-11-14T00:05:53 --enforcementcount 0 &gt;&gt;C:\Users\stu\Documents\GitHub\eaglep3-reporting\EC\2016-11-13-refined-times.txt</v>
      </c>
      <c r="AI157" s="119" t="str">
        <f t="shared" si="52"/>
        <v>echo {"issue":{"subject":"","project_id":79,"tracker_id":40,"status_id":1,"priority_id":2,"assigned_to_id":23,"start_date":"2016-11-14","description":"","custom_fields":[{"id":1,"name":"Subdivision","value":"EC"},{"id":4,"name":"Milepost","value":"23.3308"},{"id":17,"name":"Train ID","value":"239-13"},{"id":16,"name":"Locomotive ID","value":"4007"},{"id":130,"name":"Impact","value":""},{"id":150,"name":"Time of Event (Mountain Time)","value":"00:05:53"},{"id":151,"name":"Denver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640</v>
      </c>
      <c r="B158" s="7">
        <v>4008</v>
      </c>
      <c r="C158" s="22" t="s">
        <v>225</v>
      </c>
      <c r="D158" s="22" t="s">
        <v>288</v>
      </c>
      <c r="E158" s="13">
        <v>42688.011076388888</v>
      </c>
      <c r="F158" s="13">
        <v>42688.018321759257</v>
      </c>
      <c r="G158" s="7">
        <v>1</v>
      </c>
      <c r="H158" s="22" t="s">
        <v>199</v>
      </c>
      <c r="I158" s="13">
        <v>42688.04483796296</v>
      </c>
      <c r="J158" s="7">
        <v>0</v>
      </c>
      <c r="K158" s="109" t="str">
        <f t="shared" si="36"/>
        <v>4007/4008</v>
      </c>
      <c r="L158" s="22" t="str">
        <f>VLOOKUP(A158,'Trips&amp;Operators'!$C$1:$E$10000,3,FALSE)</f>
        <v>CRAYTON</v>
      </c>
      <c r="M158" s="6">
        <f t="shared" si="37"/>
        <v>2.6516203703067731E-2</v>
      </c>
      <c r="N158" s="7">
        <f t="shared" si="38"/>
        <v>38.183333332417533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23:15:57-700',mode:absolute,to:'2016-11-14 02:04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23.299299999999999</v>
      </c>
      <c r="Z158" s="67">
        <f t="shared" si="45"/>
        <v>1.43E-2</v>
      </c>
      <c r="AA158" s="67">
        <f t="shared" si="46"/>
        <v>23.285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47"/>
        <v>0240-13</v>
      </c>
      <c r="AE158" s="91" t="str">
        <f t="shared" si="48"/>
        <v>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 &amp; aws s3 cp s3://rtdc.mdm.uploadarchive.raw/RTDC4008/ "%USERPROFILE%\AppData\Local\Temp\OnboardLogs"\RTDC4008\2016-11-15 --exclude "*" --recursive --include "*20161115*" &amp; "%USERPROFILE%\Documents\GitHub\mrs-test-scripts\Headless Mode &amp; Sideloading\WalkAndUnGZ.bat" "%USERPROFILE%\AppData\Local\Temp\OnboardLogs"\RTDC4008\2016-11-15</v>
      </c>
      <c r="AF158" s="88" t="str">
        <f t="shared" si="49"/>
        <v>"C:\Program Files (x86)\AstroGrep\AstroGrep.exe" /spath="%USERPROFILE%\AppData\Local\Temp\OnboardLogs" /stypes="app*4008*20161114*" /stext=" 08:.+((SYSTEM_STATE.+slice.+state.+changed )|(ment ac)|(system.+state.+changed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240-13 --locoid 4008 --swversion DE.1.0.8.0 --startMP 204:232993 --initTime 2016-11-14T00:15:57 --startdatetime 2016-11-14T00:26:23 --delay 1 --endMP 204:143 --enddatetime 2016-11-14T01:04:34 --enforcementcount 0 &gt;&gt;C:\Users\stu\Documents\GitHub\eaglep3-reporting\EC\2016-11-13-refined-times.txt</v>
      </c>
      <c r="AI158" s="119" t="str">
        <f t="shared" si="52"/>
        <v>echo {"issue":{"subject":"","project_id":79,"tracker_id":40,"status_id":1,"priority_id":2,"assigned_to_id":23,"start_date":"2016-11-14","description":"","custom_fields":[{"id":1,"name":"Subdivision","value":"EC"},{"id":4,"name":"Milepost","value":"0.0143"},{"id":17,"name":"Train ID","value":"240-13"},{"id":16,"name":"Locomotive ID","value":"4008"},{"id":130,"name":"Impact","value":""},{"id":150,"name":"Time of Event (Mountain Time)","value":"01:04:34"},{"id":151,"name":"Denver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638</v>
      </c>
      <c r="B159" s="7">
        <v>4014</v>
      </c>
      <c r="C159" s="22" t="s">
        <v>225</v>
      </c>
      <c r="D159" s="22" t="s">
        <v>222</v>
      </c>
      <c r="E159" s="13">
        <v>42687.983240740738</v>
      </c>
      <c r="F159" s="13">
        <v>42688.000150462962</v>
      </c>
      <c r="G159" s="7">
        <v>2</v>
      </c>
      <c r="H159" s="22" t="s">
        <v>684</v>
      </c>
      <c r="I159" s="13">
        <v>42688.024386574078</v>
      </c>
      <c r="J159" s="7">
        <v>0</v>
      </c>
      <c r="K159" s="109" t="str">
        <f t="shared" si="36"/>
        <v>4013/4014</v>
      </c>
      <c r="L159" s="22" t="str">
        <f>VLOOKUP(A159,'Trips&amp;Operators'!$C$1:$E$10000,3,FALSE)</f>
        <v>NEWELL</v>
      </c>
      <c r="M159" s="6">
        <f t="shared" si="37"/>
        <v>2.4236111115897074E-2</v>
      </c>
      <c r="N159" s="7">
        <f t="shared" si="38"/>
        <v>34.900000006891787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22:35:52-700',mode:absolute,to:'2016-11-14 01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9" s="52" t="str">
        <f t="shared" si="42"/>
        <v>N</v>
      </c>
      <c r="X159" s="177">
        <f t="shared" si="43"/>
        <v>1</v>
      </c>
      <c r="Y159" s="67">
        <f t="shared" si="44"/>
        <v>4.5699999999999998E-2</v>
      </c>
      <c r="Z159" s="67">
        <f t="shared" si="45"/>
        <v>23.328900000000001</v>
      </c>
      <c r="AA159" s="67">
        <f t="shared" si="46"/>
        <v>23.283200000000001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47"/>
        <v>0241-13</v>
      </c>
      <c r="AE159" s="91" t="str">
        <f t="shared" si="48"/>
        <v>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 &amp; aws s3 cp s3://rtdc.mdm.uploadarchive.raw/RTDC4014/ "%USERPROFILE%\AppData\Local\Temp\OnboardLogs"\RTDC4014\2016-11-15 --exclude "*" --recursive --include "*20161115*" &amp; "%USERPROFILE%\Documents\GitHub\mrs-test-scripts\Headless Mode &amp; Sideloading\WalkAndUnGZ.bat" "%USERPROFILE%\AppData\Local\Temp\OnboardLogs"\RTDC4014\2016-11-15</v>
      </c>
      <c r="AF159" s="88" t="str">
        <f t="shared" si="49"/>
        <v>"C:\Program Files (x86)\AstroGrep\AstroGrep.exe" /spath="%USERPROFILE%\AppData\Local\Temp\OnboardLogs" /stypes="app*4014*20161114*" /stext=" 07:.+((SYSTEM_STATE.+slice.+state.+changed )|(ment ac)|(system.+state.+changed )|(\[timeout)|(PRM\|1\|D)|(kpr)|(kdp)|(\|lc)|(penalty))" /e /r /s</v>
      </c>
      <c r="AG159" s="1" t="str">
        <f t="shared" si="50"/>
        <v>EC</v>
      </c>
      <c r="AH159" s="92" t="str">
        <f t="shared" si="51"/>
        <v>"%USERPROFILE%\Documents\GitHub\eaglep3\Utilities\RefineRTDCRunTimes.py" --tripid 241-13 --locoid 4014 --swversion DE.1.0.8.0 --startMP 204:457 --initTime 2016-11-13T23:35:52 --startdatetime 2016-11-14T00:00:13 --delay 2 --endMP 204:233289 --enddatetime 2016-11-14T00:35:07 --enforcementcount 0 &gt;&gt;C:\Users\stu\Documents\GitHub\eaglep3-reporting\EC\2016-11-13-refined-times.txt</v>
      </c>
      <c r="AI159" s="119" t="str">
        <f t="shared" si="52"/>
        <v>echo {"issue":{"subject":"","project_id":79,"tracker_id":40,"status_id":1,"priority_id":2,"assigned_to_id":23,"start_date":"2016-11-14","description":"","custom_fields":[{"id":1,"name":"Subdivision","value":"EC"},{"id":4,"name":"Milepost","value":"23.3289"},{"id":17,"name":"Train ID","value":"241-13"},{"id":16,"name":"Locomotive ID","value":"4014"},{"id":130,"name":"Impact","value":""},{"id":150,"name":"Time of Event (Mountain Time)","value":"00:35:07"},{"id":151,"name":"Denver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643</v>
      </c>
      <c r="B160" s="7">
        <v>4013</v>
      </c>
      <c r="C160" s="22" t="s">
        <v>225</v>
      </c>
      <c r="D160" s="22" t="s">
        <v>254</v>
      </c>
      <c r="E160" s="13">
        <v>42688.032951388886</v>
      </c>
      <c r="F160" s="13">
        <v>42688.039039351854</v>
      </c>
      <c r="G160" s="7">
        <v>0</v>
      </c>
      <c r="H160" s="22" t="s">
        <v>251</v>
      </c>
      <c r="I160" s="13">
        <v>42688.066111111111</v>
      </c>
      <c r="J160" s="7">
        <v>0</v>
      </c>
      <c r="K160" s="109" t="str">
        <f t="shared" si="36"/>
        <v>4013/4014</v>
      </c>
      <c r="L160" s="22" t="str">
        <f>VLOOKUP(A160,'Trips&amp;Operators'!$C$1:$E$10000,3,FALSE)</f>
        <v>NEWELL</v>
      </c>
      <c r="M160" s="6">
        <f t="shared" si="37"/>
        <v>2.7071759257523809E-2</v>
      </c>
      <c r="N160" s="7">
        <f t="shared" si="38"/>
        <v>38.983333330834284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23:47:27-700',mode:absolute,to:'2016-11-14 02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23.3002</v>
      </c>
      <c r="Z160" s="67">
        <f t="shared" si="45"/>
        <v>1.6E-2</v>
      </c>
      <c r="AA160" s="67">
        <f t="shared" si="46"/>
        <v>23.284200000000002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47"/>
        <v>0242-13</v>
      </c>
      <c r="AE160" s="91" t="str">
        <f t="shared" si="48"/>
        <v>aws s3 cp s3://rtdc.mdm.uploadarchive.raw/RTDC4013/ "%USERPROFILE%\AppData\Local\Temp\OnboardLogs"\RTDC4013\2016-11-14 --exclude "*" --recursive --include "*20161114*" &amp; "%USERPROFILE%\Documents\GitHub\mrs-test-scripts\Headless Mode &amp; Sideloading\WalkAndUnGZ.bat" "%USERPROFILE%\AppData\Local\Temp\OnboardLogs"\RTDC4013\2016-11-14 &amp; aws s3 cp s3://rtdc.mdm.uploadarchive.raw/RTDC4013/ "%USERPROFILE%\AppData\Local\Temp\OnboardLogs"\RTDC4013\2016-11-15 --exclude "*" --recursive --include "*20161115*" &amp; "%USERPROFILE%\Documents\GitHub\mrs-test-scripts\Headless Mode &amp; Sideloading\WalkAndUnGZ.bat" "%USERPROFILE%\AppData\Local\Temp\OnboardLogs"\RTDC4013\2016-11-15</v>
      </c>
      <c r="AF160" s="88" t="str">
        <f t="shared" si="49"/>
        <v>"C:\Program Files (x86)\AstroGrep\AstroGrep.exe" /spath="%USERPROFILE%\AppData\Local\Temp\OnboardLogs" /stypes="app*4013*20161114*" /stext=" 08:.+((SYSTEM_STATE.+slice.+state.+changed )|(ment ac)|(system.+state.+changed )|(\[timeout)|(PRM\|1\|D)|(kpr)|(kdp)|(\|lc)|(penalty))" /e /r /s</v>
      </c>
      <c r="AG160" s="1" t="str">
        <f t="shared" si="50"/>
        <v>EC</v>
      </c>
      <c r="AH160" s="92" t="str">
        <f t="shared" si="51"/>
        <v>"%USERPROFILE%\Documents\GitHub\eaglep3\Utilities\RefineRTDCRunTimes.py" --tripid 242-13 --locoid 4013 --swversion DE.1.0.8.0 --startMP 204:233002 --initTime 2016-11-14T00:47:27 --startdatetime 2016-11-14T00:56:13 --delay 0 --endMP 204:160 --enddatetime 2016-11-14T01:35:12 --enforcementcount 0 &gt;&gt;C:\Users\stu\Documents\GitHub\eaglep3-reporting\EC\2016-11-13-refined-times.txt</v>
      </c>
      <c r="AI160" s="119" t="str">
        <f t="shared" si="52"/>
        <v>echo {"issue":{"subject":"","project_id":79,"tracker_id":40,"status_id":1,"priority_id":2,"assigned_to_id":23,"start_date":"2016-11-14","description":"","custom_fields":[{"id":1,"name":"Subdivision","value":"EC"},{"id":4,"name":"Milepost","value":"0.016"},{"id":17,"name":"Train ID","value":"242-13"},{"id":16,"name":"Locomotive ID","value":"4013"},{"id":130,"name":"Impact","value":""},{"id":150,"name":"Time of Event (Mountain Time)","value":"01:35:12"},{"id":151,"name":"Denver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641</v>
      </c>
      <c r="B161" s="7">
        <v>4044</v>
      </c>
      <c r="C161" s="22" t="s">
        <v>225</v>
      </c>
      <c r="D161" s="22" t="s">
        <v>245</v>
      </c>
      <c r="E161" s="13">
        <v>42688.019803240742</v>
      </c>
      <c r="F161" s="13">
        <v>42688.021192129629</v>
      </c>
      <c r="G161" s="7">
        <v>0</v>
      </c>
      <c r="H161" s="22" t="s">
        <v>265</v>
      </c>
      <c r="I161" s="13">
        <v>42688.045578703706</v>
      </c>
      <c r="J161" s="7">
        <v>0</v>
      </c>
      <c r="K161" s="109" t="str">
        <f t="shared" si="36"/>
        <v>4043/4044</v>
      </c>
      <c r="L161" s="22" t="str">
        <f>VLOOKUP(A161,'Trips&amp;Operators'!$C$1:$E$10000,3,FALSE)</f>
        <v>CHANDLER</v>
      </c>
      <c r="M161" s="6">
        <f t="shared" si="37"/>
        <v>2.4386574077652767E-2</v>
      </c>
      <c r="N161" s="7">
        <f t="shared" si="38"/>
        <v>35.116666671819985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23:28:31-700',mode:absolute,to:'2016-11-14 02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4.6899999999999997E-2</v>
      </c>
      <c r="Z161" s="67">
        <f t="shared" si="45"/>
        <v>23.3293</v>
      </c>
      <c r="AA161" s="67">
        <f t="shared" si="46"/>
        <v>23.282399999999999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47"/>
        <v>0243-13</v>
      </c>
      <c r="AE161" s="91" t="str">
        <f t="shared" si="48"/>
        <v>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 &amp; 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</v>
      </c>
      <c r="AF161" s="88" t="str">
        <f t="shared" si="49"/>
        <v>"C:\Program Files (x86)\AstroGrep\AstroGrep.exe" /spath="%USERPROFILE%\AppData\Local\Temp\OnboardLogs" /stypes="app*4044*20161114*" /stext=" 08:.+((SYSTEM_STATE.+slice.+state.+changed )|(ment ac)|(system.+state.+changed )|(\[timeout)|(PRM\|1\|D)|(kpr)|(kdp)|(\|lc)|(penalty))" /e /r /s</v>
      </c>
      <c r="AG161" s="1" t="str">
        <f t="shared" si="50"/>
        <v>EC</v>
      </c>
      <c r="AH161" s="92" t="str">
        <f t="shared" si="51"/>
        <v>"%USERPROFILE%\Documents\GitHub\eaglep3\Utilities\RefineRTDCRunTimes.py" --tripid 243-13 --locoid 4044 --swversion DE.1.0.8.0 --startMP 204:469 --initTime 2016-11-14T00:28:31 --startdatetime 2016-11-14T00:30:31 --delay 0 --endMP 204:233293 --enddatetime 2016-11-14T01:05:38 --enforcementcount 0 &gt;&gt;C:\Users\stu\Documents\GitHub\eaglep3-reporting\EC\2016-11-13-refined-times.txt</v>
      </c>
      <c r="AI161" s="119" t="str">
        <f t="shared" si="52"/>
        <v>echo {"issue":{"subject":"","project_id":79,"tracker_id":40,"status_id":1,"priority_id":2,"assigned_to_id":23,"start_date":"2016-11-14","description":"","custom_fields":[{"id":1,"name":"Subdivision","value":"EC"},{"id":4,"name":"Milepost","value":"23.3293"},{"id":17,"name":"Train ID","value":"243-13"},{"id":16,"name":"Locomotive ID","value":"4044"},{"id":130,"name":"Impact","value":""},{"id":150,"name":"Time of Event (Mountain Time)","value":"01:05:38"},{"id":151,"name":"Denver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645</v>
      </c>
      <c r="B162" s="7">
        <v>4043</v>
      </c>
      <c r="C162" s="22" t="s">
        <v>225</v>
      </c>
      <c r="D162" s="22" t="s">
        <v>403</v>
      </c>
      <c r="E162" s="13">
        <v>42688.050416666665</v>
      </c>
      <c r="F162" s="13">
        <v>42688.061331018522</v>
      </c>
      <c r="G162" s="7">
        <v>1</v>
      </c>
      <c r="H162" s="22" t="s">
        <v>216</v>
      </c>
      <c r="I162" s="13">
        <v>42688.093460648146</v>
      </c>
      <c r="J162" s="7">
        <v>0</v>
      </c>
      <c r="K162" s="109" t="str">
        <f t="shared" si="36"/>
        <v>4043/4044</v>
      </c>
      <c r="L162" s="22" t="str">
        <f>VLOOKUP(A162,'Trips&amp;Operators'!$C$1:$E$10000,3,FALSE)</f>
        <v>CHANDLER</v>
      </c>
      <c r="M162" s="6">
        <f t="shared" si="37"/>
        <v>3.2129629624250811E-2</v>
      </c>
      <c r="N162" s="7">
        <f t="shared" si="38"/>
        <v>46.266666658921167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https://search-rtdc-monitor-bjffxe2xuh6vdkpspy63sjmuny.us-east-1.es.amazonaws.com/_plugin/kibana/#/discover/Steve-Slow-Train-Analysis-(2080s-and-2083s)?_g=(refreshInterval:(display:Off,section:0,value:0),time:(from:'2016-11-14 00:12:36-700',mode:absolute,to:'2016-11-14 03:14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23.296900000000001</v>
      </c>
      <c r="Z162" s="67">
        <f t="shared" si="45"/>
        <v>1.5599999999999999E-2</v>
      </c>
      <c r="AA162" s="67">
        <f t="shared" si="46"/>
        <v>23.281300000000002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47"/>
        <v>0244-13</v>
      </c>
      <c r="AE162" s="91" t="str">
        <f t="shared" si="48"/>
        <v>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 &amp; aws s3 cp s3://rtdc.mdm.uploadarchive.raw/RTDC4043/ "%USERPROFILE%\AppData\Local\Temp\OnboardLogs"\RTDC4043\2016-11-15 --exclude "*" --recursive --include "*20161115*" &amp; "%USERPROFILE%\Documents\GitHub\mrs-test-scripts\Headless Mode &amp; Sideloading\WalkAndUnGZ.bat" "%USERPROFILE%\AppData\Local\Temp\OnboardLogs"\RTDC4043\2016-11-15</v>
      </c>
      <c r="AF162" s="88" t="str">
        <f t="shared" si="49"/>
        <v>"C:\Program Files (x86)\AstroGrep\AstroGrep.exe" /spath="%USERPROFILE%\AppData\Local\Temp\OnboardLogs" /stypes="app*4043*20161114*" /stext=" 09:.+((SYSTEM_STATE.+slice.+state.+changed )|(ment ac)|(system.+state.+changed )|(\[timeout)|(PRM\|1\|D)|(kpr)|(kdp)|(\|lc)|(penalty))" /e /r /s</v>
      </c>
      <c r="AG162" s="1" t="str">
        <f t="shared" si="50"/>
        <v>EC</v>
      </c>
      <c r="AH162" s="92" t="str">
        <f t="shared" si="51"/>
        <v>"%USERPROFILE%\Documents\GitHub\eaglep3\Utilities\RefineRTDCRunTimes.py" --tripid 244-13 --locoid 4043 --swversion DE.1.0.8.0 --startMP 204:232969 --initTime 2016-11-14T01:12:36 --startdatetime 2016-11-14T01:28:19 --delay 1 --endMP 204:156 --enddatetime 2016-11-14T02:14:35 --enforcementcount 0 &gt;&gt;C:\Users\stu\Documents\GitHub\eaglep3-reporting\EC\2016-11-13-refined-times.txt</v>
      </c>
      <c r="AI162" s="119" t="str">
        <f t="shared" si="52"/>
        <v>echo {"issue":{"subject":"","project_id":79,"tracker_id":40,"status_id":1,"priority_id":2,"assigned_to_id":23,"start_date":"2016-11-14","description":"","custom_fields":[{"id":1,"name":"Subdivision","value":"EC"},{"id":4,"name":"Milepost","value":"0.0156"},{"id":17,"name":"Train ID","value":"244-13"},{"id":16,"name":"Locomotive ID","value":"4043"},{"id":130,"name":"Impact","value":""},{"id":150,"name":"Time of Event (Mountain Time)","value":"02:14:35"},{"id":151,"name":"Denver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485</v>
      </c>
      <c r="B163" s="7">
        <v>4041</v>
      </c>
      <c r="C163" s="22" t="s">
        <v>225</v>
      </c>
      <c r="D163" s="22" t="s">
        <v>417</v>
      </c>
      <c r="E163" s="13">
        <v>42687.232719907406</v>
      </c>
      <c r="F163" s="13">
        <v>42687.234537037039</v>
      </c>
      <c r="G163" s="7">
        <v>1</v>
      </c>
      <c r="H163" s="22" t="s">
        <v>423</v>
      </c>
      <c r="I163" s="13">
        <v>42687.246666666666</v>
      </c>
      <c r="J163" s="7">
        <v>0</v>
      </c>
      <c r="K163" s="109" t="str">
        <f t="shared" si="36"/>
        <v>4041/4042</v>
      </c>
      <c r="L163" s="22" t="str">
        <f>VLOOKUP(A163,'Trips&amp;Operators'!$C$1:$E$10000,3,FALSE)</f>
        <v>STARKS</v>
      </c>
      <c r="M163" s="6">
        <f t="shared" si="37"/>
        <v>1.2129629627452232E-2</v>
      </c>
      <c r="N163" s="7">
        <f t="shared" si="38"/>
        <v>17.466666663531214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04:35:07-700',mode:absolute,to:'2016-11-13 06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3" s="52" t="str">
        <f t="shared" si="42"/>
        <v>N</v>
      </c>
      <c r="X163" s="177">
        <f t="shared" si="43"/>
        <v>1556</v>
      </c>
      <c r="Y163" s="67">
        <f t="shared" si="44"/>
        <v>5.8634000000000004</v>
      </c>
      <c r="Z163" s="67">
        <f t="shared" si="45"/>
        <v>7.6399999999999996E-2</v>
      </c>
      <c r="AA163" s="67">
        <f t="shared" si="46"/>
        <v>5.7870000000000008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47"/>
        <v>1800-13</v>
      </c>
      <c r="AE163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63" s="88" t="str">
        <f t="shared" si="49"/>
        <v>"C:\Program Files (x86)\AstroGrep\AstroGrep.exe" /spath="%USERPROFILE%\AppData\Local\Temp\OnboardLogs" /stypes="app*4041*20161113*" /stext=" 12:.+((SYSTEM_STATE.+slice.+state.+changed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1800-13 --locoid 4041 --swversion DE.1.0.8.0 --startMP 300:58634 --initTime 2016-11-13T05:35:07 --startdatetime 2016-11-13T05:37:44 --delay 1 --endMP 204:764 --enddatetime 2016-11-13T05:55:12 --enforcementcount 0 &gt;&gt;C:\Users\stu\Documents\GitHub\eaglep3-reporting\EC\2016-11-13-refined-times.txt</v>
      </c>
      <c r="AI163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{"issue":{"subject":"","project_id":79,"tracker_id":40,"status_id":1,"priority_id":2,"assigned_to_id":23,"start_date":"2016-11-13","description":"","custom_fields":[{"id":1,"name":"Subdivision","value":"NW"},{"id":4,"name":"Milepost","value":"0.0764"},{"id":17,"name":"Train ID","value":"1800-13"},{"id":16,"name":"Locomotive ID","value":"4041"},{"id":130,"name":"Impact","value":""},{"id":150,"name":"Time of Event (Mountain Time)","value":"05:55:12"},{"id":151,"name":"Denver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488</v>
      </c>
      <c r="B164" s="7">
        <v>4042</v>
      </c>
      <c r="C164" s="22" t="s">
        <v>225</v>
      </c>
      <c r="D164" s="22" t="s">
        <v>372</v>
      </c>
      <c r="E164" s="13">
        <v>42687.248020833336</v>
      </c>
      <c r="F164" s="13">
        <v>42687.264768518522</v>
      </c>
      <c r="G164" s="7">
        <v>1</v>
      </c>
      <c r="H164" s="22" t="s">
        <v>702</v>
      </c>
      <c r="I164" s="13">
        <v>42687.274189814816</v>
      </c>
      <c r="J164" s="7">
        <v>0</v>
      </c>
      <c r="K164" s="109" t="str">
        <f t="shared" si="36"/>
        <v>4041/4042</v>
      </c>
      <c r="L164" s="22" t="str">
        <f>VLOOKUP(A164,'Trips&amp;Operators'!$C$1:$E$10000,3,FALSE)</f>
        <v>STARKS</v>
      </c>
      <c r="M164" s="6">
        <f t="shared" si="37"/>
        <v>9.4212962940218858E-3</v>
      </c>
      <c r="N164" s="7">
        <f t="shared" si="38"/>
        <v>13.566666663391516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04:57:09-700',mode:absolute,to:'2016-11-13 07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0.1048</v>
      </c>
      <c r="Z164" s="67">
        <f t="shared" si="45"/>
        <v>5.8928000000000003</v>
      </c>
      <c r="AA164" s="67">
        <f t="shared" si="46"/>
        <v>5.7880000000000003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47"/>
        <v>1801-13</v>
      </c>
      <c r="AE164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64" s="88" t="str">
        <f t="shared" si="49"/>
        <v>"C:\Program Files (x86)\AstroGrep\AstroGrep.exe" /spath="%USERPROFILE%\AppData\Local\Temp\OnboardLogs" /stypes="app*4042*20161113*" /stext=" 13:.+((SYSTEM_STATE.+slice.+state.+changed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1801-13 --locoid 4042 --swversion DE.1.0.8.0 --startMP 204:1048 --initTime 2016-11-13T05:57:09 --startdatetime 2016-11-13T06:21:16 --delay 1 --endMP 300:58928 --enddatetime 2016-11-13T06:34:50 --enforcementcount 0 &gt;&gt;C:\Users\stu\Documents\GitHub\eaglep3-reporting\EC\2016-11-13-refined-times.txt</v>
      </c>
      <c r="AI164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{"issue":{"subject":"","project_id":79,"tracker_id":40,"status_id":1,"priority_id":2,"assigned_to_id":23,"start_date":"2016-11-13","description":"","custom_fields":[{"id":1,"name":"Subdivision","value":"NW"},{"id":4,"name":"Milepost","value":"5.8928"},{"id":17,"name":"Train ID","value":"1801-13"},{"id":16,"name":"Locomotive ID","value":"4042"},{"id":130,"name":"Impact","value":""},{"id":150,"name":"Time of Event (Mountain Time)","value":"06:34:50"},{"id":151,"name":"Denver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492</v>
      </c>
      <c r="B165" s="7">
        <v>4041</v>
      </c>
      <c r="C165" s="22" t="s">
        <v>225</v>
      </c>
      <c r="D165" s="22" t="s">
        <v>703</v>
      </c>
      <c r="E165" s="13">
        <v>42687.275439814817</v>
      </c>
      <c r="F165" s="13">
        <v>42687.27685185185</v>
      </c>
      <c r="G165" s="7">
        <v>1</v>
      </c>
      <c r="H165" s="22" t="s">
        <v>662</v>
      </c>
      <c r="I165" s="13">
        <v>42687.288344907407</v>
      </c>
      <c r="J165" s="7">
        <v>0</v>
      </c>
      <c r="K165" s="109" t="str">
        <f t="shared" si="36"/>
        <v>4041/4042</v>
      </c>
      <c r="L165" s="22" t="str">
        <f>VLOOKUP(A165,'Trips&amp;Operators'!$C$1:$E$10000,3,FALSE)</f>
        <v>STARKS</v>
      </c>
      <c r="M165" s="6">
        <f t="shared" si="37"/>
        <v>1.1493055557366461E-2</v>
      </c>
      <c r="N165" s="7">
        <f t="shared" si="38"/>
        <v>16.550000002607703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05:36:38-700',mode:absolute,to:'2016-11-13 07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5.8615000000000004</v>
      </c>
      <c r="Z165" s="67">
        <f t="shared" si="45"/>
        <v>7.6100000000000001E-2</v>
      </c>
      <c r="AA165" s="67">
        <f t="shared" si="46"/>
        <v>5.7854000000000001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47"/>
        <v>1802-13</v>
      </c>
      <c r="AE165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65" s="88" t="str">
        <f t="shared" si="49"/>
        <v>"C:\Program Files (x86)\AstroGrep\AstroGrep.exe" /spath="%USERPROFILE%\AppData\Local\Temp\OnboardLogs" /stypes="app*4041*20161113*" /stext=" 13:.+((SYSTEM_STATE.+slice.+state.+changed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1802-13 --locoid 4041 --swversion DE.1.0.8.0 --startMP 300:58615 --initTime 2016-11-13T06:36:38 --startdatetime 2016-11-13T06:38:40 --delay 1 --endMP 204:761 --enddatetime 2016-11-13T06:55:13 --enforcementcount 0 &gt;&gt;C:\Users\stu\Documents\GitHub\eaglep3-reporting\EC\2016-11-13-refined-times.txt</v>
      </c>
      <c r="AI165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{"issue":{"subject":"","project_id":79,"tracker_id":40,"status_id":1,"priority_id":2,"assigned_to_id":23,"start_date":"2016-11-13","description":"","custom_fields":[{"id":1,"name":"Subdivision","value":"NW"},{"id":4,"name":"Milepost","value":"0.0761"},{"id":17,"name":"Train ID","value":"1802-13"},{"id":16,"name":"Locomotive ID","value":"4041"},{"id":130,"name":"Impact","value":""},{"id":150,"name":"Time of Event (Mountain Time)","value":"06:55:13"},{"id":151,"name":"Denver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495</v>
      </c>
      <c r="B166" s="7">
        <v>4042</v>
      </c>
      <c r="C166" s="22" t="s">
        <v>225</v>
      </c>
      <c r="D166" s="22" t="s">
        <v>420</v>
      </c>
      <c r="E166" s="13">
        <v>42687.289884259262</v>
      </c>
      <c r="F166" s="13">
        <v>42687.306597222225</v>
      </c>
      <c r="G166" s="7">
        <v>1</v>
      </c>
      <c r="H166" s="22" t="s">
        <v>704</v>
      </c>
      <c r="I166" s="13">
        <v>42687.315995370373</v>
      </c>
      <c r="J166" s="7">
        <v>0</v>
      </c>
      <c r="K166" s="109" t="str">
        <f t="shared" si="36"/>
        <v>4041/4042</v>
      </c>
      <c r="L166" s="22" t="str">
        <f>VLOOKUP(A166,'Trips&amp;Operators'!$C$1:$E$10000,3,FALSE)</f>
        <v>STARKS</v>
      </c>
      <c r="M166" s="6">
        <f t="shared" si="37"/>
        <v>9.3981481477385387E-3</v>
      </c>
      <c r="N166" s="7">
        <f t="shared" si="38"/>
        <v>13.533333332743496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05:57:26-700',mode:absolute,to:'2016-11-13 08:35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0.106</v>
      </c>
      <c r="Z166" s="67">
        <f t="shared" si="45"/>
        <v>5.8930999999999996</v>
      </c>
      <c r="AA166" s="67">
        <f t="shared" si="46"/>
        <v>5.7870999999999997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47"/>
        <v>1803-13</v>
      </c>
      <c r="AE166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66" s="88" t="str">
        <f t="shared" si="49"/>
        <v>"C:\Program Files (x86)\AstroGrep\AstroGrep.exe" /spath="%USERPROFILE%\AppData\Local\Temp\OnboardLogs" /stypes="app*4042*20161113*" /stext=" 14:.+((SYSTEM_STATE.+slice.+state.+changed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1803-13 --locoid 4042 --swversion DE.1.0.8.0 --startMP 204:1060 --initTime 2016-11-13T06:57:26 --startdatetime 2016-11-13T07:21:30 --delay 1 --endMP 300:58931 --enddatetime 2016-11-13T07:35:02 --enforcementcount 0 &gt;&gt;C:\Users\stu\Documents\GitHub\eaglep3-reporting\EC\2016-11-13-refined-times.txt</v>
      </c>
      <c r="AI166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{"issue":{"subject":"","project_id":79,"tracker_id":40,"status_id":1,"priority_id":2,"assigned_to_id":23,"start_date":"2016-11-13","description":"","custom_fields":[{"id":1,"name":"Subdivision","value":"NW"},{"id":4,"name":"Milepost","value":"5.8931"},{"id":17,"name":"Train ID","value":"1803-13"},{"id":16,"name":"Locomotive ID","value":"4042"},{"id":130,"name":"Impact","value":""},{"id":150,"name":"Time of Event (Mountain Time)","value":"07:35:02"},{"id":151,"name":"Denver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446</v>
      </c>
      <c r="B167" s="7">
        <v>4041</v>
      </c>
      <c r="C167" s="22" t="s">
        <v>225</v>
      </c>
      <c r="D167" s="22" t="s">
        <v>335</v>
      </c>
      <c r="E167" s="13">
        <v>42687.31695601852</v>
      </c>
      <c r="F167" s="13">
        <v>42687.318472222221</v>
      </c>
      <c r="G167" s="7">
        <v>1</v>
      </c>
      <c r="H167" s="22" t="s">
        <v>395</v>
      </c>
      <c r="I167" s="13">
        <v>42687.331122685187</v>
      </c>
      <c r="J167" s="7">
        <v>0</v>
      </c>
      <c r="K167" s="109" t="str">
        <f t="shared" si="36"/>
        <v>4041/4042</v>
      </c>
      <c r="L167" s="22" t="str">
        <f>VLOOKUP(A167,'Trips&amp;Operators'!$C$1:$E$10000,3,FALSE)</f>
        <v>STARKS</v>
      </c>
      <c r="M167" s="6">
        <f t="shared" si="37"/>
        <v>1.2650462966121268E-2</v>
      </c>
      <c r="N167" s="7">
        <f t="shared" si="38"/>
        <v>18.216666671214625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06:36:25-700',mode:absolute,to:'2016-11-13 08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5.8613</v>
      </c>
      <c r="Z167" s="67">
        <f t="shared" si="45"/>
        <v>7.85E-2</v>
      </c>
      <c r="AA167" s="67">
        <f t="shared" si="46"/>
        <v>5.7827999999999999</v>
      </c>
      <c r="AB167" s="64" t="str">
        <f>VLOOKUP(A167,Enforcements!$C$7:$K$20,8,0)</f>
        <v>Track device (7)</v>
      </c>
      <c r="AC167" s="60" t="str">
        <f>VLOOKUP(A167,Enforcements!$C$7:$E$20,3,0)</f>
        <v>SWITCH UNKNOWN</v>
      </c>
      <c r="AD167" s="61" t="str">
        <f t="shared" si="47"/>
        <v>1804-13</v>
      </c>
      <c r="AE167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67" s="88" t="str">
        <f t="shared" si="49"/>
        <v>"C:\Program Files (x86)\AstroGrep\AstroGrep.exe" /spath="%USERPROFILE%\AppData\Local\Temp\OnboardLogs" /stypes="app*4041*20161113*" /stext=" 14:.+((SYSTEM_STATE.+slice.+state.+changed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1804-13 --locoid 4041 --swversion DE.1.0.8.0 --startMP 300:58613 --initTime 2016-11-13T07:36:25 --startdatetime 2016-11-13T07:38:36 --delay 1 --endMP 204:785 --enddatetime 2016-11-13T07:56:49 --enforcementcount 0 &gt;&gt;C:\Users\stu\Documents\GitHub\eaglep3-reporting\EC\2016-11-13-refined-times.txt</v>
      </c>
      <c r="AI167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{"issue":{"subject":"","project_id":79,"tracker_id":40,"status_id":1,"priority_id":2,"assigned_to_id":23,"start_date":"2016-11-13","description":"","custom_fields":[{"id":1,"name":"Subdivision","value":"NW"},{"id":4,"name":"Milepost","value":"0.0785"},{"id":17,"name":"Train ID","value":"1804-13"},{"id":16,"name":"Locomotive ID","value":"4041"},{"id":130,"name":"Impact","value":""},{"id":150,"name":"Time of Event (Mountain Time)","value":"07:56:49"},{"id":151,"name":"Denver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506</v>
      </c>
      <c r="B168" s="7">
        <v>4042</v>
      </c>
      <c r="C168" s="22" t="s">
        <v>225</v>
      </c>
      <c r="D168" s="22" t="s">
        <v>705</v>
      </c>
      <c r="E168" s="13">
        <v>42687.332349537035</v>
      </c>
      <c r="F168" s="13">
        <v>42687.348078703704</v>
      </c>
      <c r="G168" s="7">
        <v>1</v>
      </c>
      <c r="H168" s="22" t="s">
        <v>706</v>
      </c>
      <c r="I168" s="13">
        <v>42687.357534722221</v>
      </c>
      <c r="J168" s="7">
        <v>0</v>
      </c>
      <c r="K168" s="109" t="str">
        <f t="shared" si="36"/>
        <v>4041/4042</v>
      </c>
      <c r="L168" s="22" t="str">
        <f>VLOOKUP(A168,'Trips&amp;Operators'!$C$1:$E$10000,3,FALSE)</f>
        <v>STARKS</v>
      </c>
      <c r="M168" s="6">
        <f t="shared" si="37"/>
        <v>9.4560185170848854E-3</v>
      </c>
      <c r="N168" s="7">
        <f t="shared" si="38"/>
        <v>13.616666664602235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06:58:35-700',mode:absolute,to:'2016-11-13 09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0.1067</v>
      </c>
      <c r="Z168" s="67">
        <f t="shared" si="45"/>
        <v>5.8921999999999999</v>
      </c>
      <c r="AA168" s="67">
        <f t="shared" si="46"/>
        <v>5.7854999999999999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47"/>
        <v>1805-13</v>
      </c>
      <c r="AE168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68" s="88" t="str">
        <f t="shared" si="49"/>
        <v>"C:\Program Files (x86)\AstroGrep\AstroGrep.exe" /spath="%USERPROFILE%\AppData\Local\Temp\OnboardLogs" /stypes="app*4042*20161113*" /stext=" 15:.+((SYSTEM_STATE.+slice.+state.+changed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1805-13 --locoid 4042 --swversion DE.1.0.8.0 --startMP 204:1067 --initTime 2016-11-13T07:58:35 --startdatetime 2016-11-13T08:21:14 --delay 1 --endMP 300:58922 --enddatetime 2016-11-13T08:34:51 --enforcementcount 0 &gt;&gt;C:\Users\stu\Documents\GitHub\eaglep3-reporting\EC\2016-11-13-refined-times.txt</v>
      </c>
      <c r="AI168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{"issue":{"subject":"","project_id":79,"tracker_id":40,"status_id":1,"priority_id":2,"assigned_to_id":23,"start_date":"2016-11-13","description":"","custom_fields":[{"id":1,"name":"Subdivision","value":"NW"},{"id":4,"name":"Milepost","value":"5.8922"},{"id":17,"name":"Train ID","value":"1805-13"},{"id":16,"name":"Locomotive ID","value":"4042"},{"id":130,"name":"Impact","value":""},{"id":150,"name":"Time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512</v>
      </c>
      <c r="B169" s="7">
        <v>4041</v>
      </c>
      <c r="C169" s="22" t="s">
        <v>225</v>
      </c>
      <c r="D169" s="22" t="s">
        <v>707</v>
      </c>
      <c r="E169" s="13">
        <v>42687.358668981484</v>
      </c>
      <c r="F169" s="13">
        <v>42687.360381944447</v>
      </c>
      <c r="G169" s="7">
        <v>1</v>
      </c>
      <c r="H169" s="22" t="s">
        <v>708</v>
      </c>
      <c r="I169" s="13">
        <v>42687.373124999998</v>
      </c>
      <c r="J169" s="7">
        <v>0</v>
      </c>
      <c r="K169" s="109" t="str">
        <f t="shared" si="36"/>
        <v>4041/4042</v>
      </c>
      <c r="L169" s="22" t="str">
        <f>VLOOKUP(A169,'Trips&amp;Operators'!$C$1:$E$10000,3,FALSE)</f>
        <v>STARKS</v>
      </c>
      <c r="M169" s="6">
        <f t="shared" si="37"/>
        <v>1.2743055551254656E-2</v>
      </c>
      <c r="N169" s="7">
        <f t="shared" si="38"/>
        <v>18.349999993806705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07:36:29-700',mode:absolute,to:'2016-11-13 09:57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5.8616999999999999</v>
      </c>
      <c r="Z169" s="67">
        <f t="shared" si="45"/>
        <v>7.8E-2</v>
      </c>
      <c r="AA169" s="67">
        <f t="shared" si="46"/>
        <v>5.7836999999999996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47"/>
        <v>1806-13</v>
      </c>
      <c r="AE169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69" s="88" t="str">
        <f t="shared" si="49"/>
        <v>"C:\Program Files (x86)\AstroGrep\AstroGrep.exe" /spath="%USERPROFILE%\AppData\Local\Temp\OnboardLogs" /stypes="app*4041*20161113*" /stext=" 15:.+((SYSTEM_STATE.+slice.+state.+changed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1806-13 --locoid 4041 --swversion DE.1.0.8.0 --startMP 300:58617 --initTime 2016-11-13T08:36:29 --startdatetime 2016-11-13T08:38:57 --delay 1 --endMP 204:780 --enddatetime 2016-11-13T08:57:18 --enforcementcount 0 &gt;&gt;C:\Users\stu\Documents\GitHub\eaglep3-reporting\EC\2016-11-13-refined-times.txt</v>
      </c>
      <c r="AI169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{"issue":{"subject":"","project_id":79,"tracker_id":40,"status_id":1,"priority_id":2,"assigned_to_id":23,"start_date":"2016-11-13","description":"","custom_fields":[{"id":1,"name":"Subdivision","value":"NW"},{"id":4,"name":"Milepost","value":"0.078"},{"id":17,"name":"Train ID","value":"1806-13"},{"id":16,"name":"Locomotive ID","value":"4041"},{"id":130,"name":"Impact","value":""},{"id":150,"name":"Time of Event (Mountain Time)","value":"08:57:18"},{"id":151,"name":"Denver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517</v>
      </c>
      <c r="B170" s="7">
        <v>4042</v>
      </c>
      <c r="C170" s="22" t="s">
        <v>225</v>
      </c>
      <c r="D170" s="22" t="s">
        <v>709</v>
      </c>
      <c r="E170" s="13">
        <v>42687.38753472222</v>
      </c>
      <c r="F170" s="13">
        <v>42687.389768518522</v>
      </c>
      <c r="G170" s="7">
        <v>1</v>
      </c>
      <c r="H170" s="22" t="s">
        <v>704</v>
      </c>
      <c r="I170" s="13">
        <v>42687.399861111109</v>
      </c>
      <c r="J170" s="7">
        <v>0</v>
      </c>
      <c r="K170" s="109" t="str">
        <f t="shared" si="36"/>
        <v>4041/4042</v>
      </c>
      <c r="L170" s="22" t="str">
        <f>VLOOKUP(A170,'Trips&amp;Operators'!$C$1:$E$10000,3,FALSE)</f>
        <v>STARKS</v>
      </c>
      <c r="M170" s="6">
        <f t="shared" si="37"/>
        <v>1.0092592587170657E-2</v>
      </c>
      <c r="N170" s="7">
        <f t="shared" si="38"/>
        <v>14.533333325525746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08:18:03-700',mode:absolute,to:'2016-11-13 10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0.107</v>
      </c>
      <c r="Z170" s="67">
        <f t="shared" si="45"/>
        <v>5.8930999999999996</v>
      </c>
      <c r="AA170" s="67">
        <f t="shared" si="46"/>
        <v>5.7860999999999994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47"/>
        <v>1807-13</v>
      </c>
      <c r="AE170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70" s="88" t="str">
        <f t="shared" si="49"/>
        <v>"C:\Program Files (x86)\AstroGrep\AstroGrep.exe" /spath="%USERPROFILE%\AppData\Local\Temp\OnboardLogs" /stypes="app*4042*20161113*" /stext=" 16:.+((SYSTEM_STATE.+slice.+state.+changed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1807-13 --locoid 4042 --swversion DE.1.0.8.0 --startMP 204:1070 --initTime 2016-11-13T09:18:03 --startdatetime 2016-11-13T09:21:16 --delay 1 --endMP 300:58931 --enddatetime 2016-11-13T09:35:48 --enforcementcount 0 &gt;&gt;C:\Users\stu\Documents\GitHub\eaglep3-reporting\EC\2016-11-13-refined-times.txt</v>
      </c>
      <c r="AI170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{"issue":{"subject":"","project_id":79,"tracker_id":40,"status_id":1,"priority_id":2,"assigned_to_id":23,"start_date":"2016-11-13","description":"","custom_fields":[{"id":1,"name":"Subdivision","value":"NW"},{"id":4,"name":"Milepost","value":"5.8931"},{"id":17,"name":"Train ID","value":"1807-13"},{"id":16,"name":"Locomotive ID","value":"4042"},{"id":130,"name":"Impact","value":""},{"id":150,"name":"Time of Event (Mountain Time)","value":"09:35:48"},{"id":151,"name":"Denver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520</v>
      </c>
      <c r="B171" s="7">
        <v>4041</v>
      </c>
      <c r="C171" s="22" t="s">
        <v>225</v>
      </c>
      <c r="D171" s="22" t="s">
        <v>710</v>
      </c>
      <c r="E171" s="13">
        <v>42687.401666666665</v>
      </c>
      <c r="F171" s="13">
        <v>42687.403402777774</v>
      </c>
      <c r="G171" s="7">
        <v>1</v>
      </c>
      <c r="H171" s="22" t="s">
        <v>423</v>
      </c>
      <c r="I171" s="13">
        <v>42687.413240740738</v>
      </c>
      <c r="J171" s="7">
        <v>0</v>
      </c>
      <c r="K171" s="109" t="str">
        <f t="shared" si="36"/>
        <v>4041/4042</v>
      </c>
      <c r="L171" s="22" t="str">
        <f>VLOOKUP(A171,'Trips&amp;Operators'!$C$1:$E$10000,3,FALSE)</f>
        <v>STARKS</v>
      </c>
      <c r="M171" s="6">
        <f t="shared" si="37"/>
        <v>9.8379629635019228E-3</v>
      </c>
      <c r="N171" s="7">
        <f t="shared" si="38"/>
        <v>14.166666667442769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08:38:24-700',mode:absolute,to:'2016-11-13 10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5.8456000000000001</v>
      </c>
      <c r="Z171" s="67">
        <f t="shared" si="45"/>
        <v>7.6399999999999996E-2</v>
      </c>
      <c r="AA171" s="67">
        <f t="shared" si="46"/>
        <v>5.7692000000000005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47"/>
        <v>1808-13</v>
      </c>
      <c r="AE171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71" s="88" t="str">
        <f t="shared" si="49"/>
        <v>"C:\Program Files (x86)\AstroGrep\AstroGrep.exe" /spath="%USERPROFILE%\AppData\Local\Temp\OnboardLogs" /stypes="app*4041*20161113*" /stext=" 16:.+((SYSTEM_STATE.+slice.+state.+changed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1808-13 --locoid 4041 --swversion DE.1.0.8.0 --startMP 300:58456 --initTime 2016-11-13T09:38:24 --startdatetime 2016-11-13T09:40:54 --delay 1 --endMP 204:764 --enddatetime 2016-11-13T09:55:04 --enforcementcount 0 &gt;&gt;C:\Users\stu\Documents\GitHub\eaglep3-reporting\EC\2016-11-13-refined-times.txt</v>
      </c>
      <c r="AI171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{"issue":{"subject":"","project_id":79,"tracker_id":40,"status_id":1,"priority_id":2,"assigned_to_id":23,"start_date":"2016-11-13","description":"","custom_fields":[{"id":1,"name":"Subdivision","value":"NW"},{"id":4,"name":"Milepost","value":"0.0764"},{"id":17,"name":"Train ID","value":"1808-13"},{"id":16,"name":"Locomotive ID","value":"4041"},{"id":130,"name":"Impact","value":""},{"id":150,"name":"Time of Event (Mountain Time)","value":"09:55:04"},{"id":151,"name":"Denver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525</v>
      </c>
      <c r="B172" s="7">
        <v>4042</v>
      </c>
      <c r="C172" s="22" t="s">
        <v>225</v>
      </c>
      <c r="D172" s="22" t="s">
        <v>711</v>
      </c>
      <c r="E172" s="13">
        <v>42687.429837962962</v>
      </c>
      <c r="F172" s="13">
        <v>42687.445636574077</v>
      </c>
      <c r="G172" s="7">
        <v>1</v>
      </c>
      <c r="H172" s="22" t="s">
        <v>415</v>
      </c>
      <c r="I172" s="13">
        <v>42687.454745370371</v>
      </c>
      <c r="J172" s="7">
        <v>0</v>
      </c>
      <c r="K172" s="109" t="str">
        <f t="shared" si="36"/>
        <v>4041/4042</v>
      </c>
      <c r="L172" s="22" t="str">
        <f>VLOOKUP(A172,'Trips&amp;Operators'!$C$1:$E$10000,3,FALSE)</f>
        <v>STARKS</v>
      </c>
      <c r="M172" s="6">
        <f t="shared" si="37"/>
        <v>9.1087962937308475E-3</v>
      </c>
      <c r="N172" s="7">
        <f t="shared" si="38"/>
        <v>13.11666666297242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09:18:58-700',mode:absolute,to:'2016-11-13 11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0.10489999999999999</v>
      </c>
      <c r="Z172" s="67">
        <f t="shared" si="45"/>
        <v>5.8925999999999998</v>
      </c>
      <c r="AA172" s="67">
        <f t="shared" si="46"/>
        <v>5.7877000000000001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47"/>
        <v>1809-13</v>
      </c>
      <c r="AE172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72" s="88" t="str">
        <f t="shared" si="49"/>
        <v>"C:\Program Files (x86)\AstroGrep\AstroGrep.exe" /spath="%USERPROFILE%\AppData\Local\Temp\OnboardLogs" /stypes="app*4042*20161113*" /stext=" 17:.+((SYSTEM_STATE.+slice.+state.+changed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1809-13 --locoid 4042 --swversion DE.1.0.8.0 --startMP 204:1049 --initTime 2016-11-13T10:18:58 --startdatetime 2016-11-13T10:41:43 --delay 1 --endMP 300:58926 --enddatetime 2016-11-13T10:54:50 --enforcementcount 0 &gt;&gt;C:\Users\stu\Documents\GitHub\eaglep3-reporting\EC\2016-11-13-refined-times.txt</v>
      </c>
      <c r="AI172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{"issue":{"subject":"","project_id":79,"tracker_id":40,"status_id":1,"priority_id":2,"assigned_to_id":23,"start_date":"2016-11-13","description":"","custom_fields":[{"id":1,"name":"Subdivision","value":"NW"},{"id":4,"name":"Milepost","value":"5.8926"},{"id":17,"name":"Train ID","value":"1809-13"},{"id":16,"name":"Locomotive ID","value":"4042"},{"id":130,"name":"Impact","value":""},{"id":150,"name":"Time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529</v>
      </c>
      <c r="B173" s="7">
        <v>4041</v>
      </c>
      <c r="C173" s="22" t="s">
        <v>225</v>
      </c>
      <c r="D173" s="22" t="s">
        <v>712</v>
      </c>
      <c r="E173" s="13">
        <v>42687.443344907406</v>
      </c>
      <c r="F173" s="13">
        <v>42687.445636574077</v>
      </c>
      <c r="G173" s="7">
        <v>1</v>
      </c>
      <c r="H173" s="22" t="s">
        <v>418</v>
      </c>
      <c r="I173" s="13">
        <v>42687.454745370371</v>
      </c>
      <c r="J173" s="7">
        <v>0</v>
      </c>
      <c r="K173" s="109" t="str">
        <f t="shared" si="36"/>
        <v>4041/4042</v>
      </c>
      <c r="L173" s="22" t="str">
        <f>VLOOKUP(A173,'Trips&amp;Operators'!$C$1:$E$10000,3,FALSE)</f>
        <v>STARKS</v>
      </c>
      <c r="M173" s="6">
        <f t="shared" si="37"/>
        <v>9.1087962937308475E-3</v>
      </c>
      <c r="N173" s="7">
        <f t="shared" si="38"/>
        <v>13.11666666297242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09:38:25-700',mode:absolute,to:'2016-11-13 11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5.8624000000000001</v>
      </c>
      <c r="Z173" s="67">
        <f t="shared" si="45"/>
        <v>7.5499999999999998E-2</v>
      </c>
      <c r="AA173" s="67">
        <f t="shared" si="46"/>
        <v>5.7869000000000002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47"/>
        <v>1810-13</v>
      </c>
      <c r="AE173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73" s="88" t="str">
        <f t="shared" si="49"/>
        <v>"C:\Program Files (x86)\AstroGrep\AstroGrep.exe" /spath="%USERPROFILE%\AppData\Local\Temp\OnboardLogs" /stypes="app*4041*20161113*" /stext=" 17:.+((SYSTEM_STATE.+slice.+state.+changed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1810-13 --locoid 4041 --swversion DE.1.0.8.0 --startMP 300:58624 --initTime 2016-11-13T10:38:25 --startdatetime 2016-11-13T10:41:43 --delay 1 --endMP 204:755 --enddatetime 2016-11-13T10:54:50 --enforcementcount 0 &gt;&gt;C:\Users\stu\Documents\GitHub\eaglep3-reporting\EC\2016-11-13-refined-times.txt</v>
      </c>
      <c r="AI173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{"issue":{"subject":"","project_id":79,"tracker_id":40,"status_id":1,"priority_id":2,"assigned_to_id":23,"start_date":"2016-11-13","description":"","custom_fields":[{"id":1,"name":"Subdivision","value":"NW"},{"id":4,"name":"Milepost","value":"0.0755"},{"id":17,"name":"Train ID","value":"1810-13"},{"id":16,"name":"Locomotive ID","value":"4041"},{"id":130,"name":"Impact","value":""},{"id":150,"name":"Time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531</v>
      </c>
      <c r="B174" s="7">
        <v>4042</v>
      </c>
      <c r="C174" s="22" t="s">
        <v>225</v>
      </c>
      <c r="D174" s="22" t="s">
        <v>713</v>
      </c>
      <c r="E174" s="13">
        <v>42687.471238425926</v>
      </c>
      <c r="F174" s="13">
        <v>42687.473090277781</v>
      </c>
      <c r="G174" s="7">
        <v>1</v>
      </c>
      <c r="H174" s="22" t="s">
        <v>411</v>
      </c>
      <c r="I174" s="13">
        <v>42687.482268518521</v>
      </c>
      <c r="J174" s="7">
        <v>0</v>
      </c>
      <c r="K174" s="109" t="str">
        <f t="shared" si="36"/>
        <v>4041/4042</v>
      </c>
      <c r="L174" s="22" t="str">
        <f>VLOOKUP(A174,'Trips&amp;Operators'!$C$1:$E$10000,3,FALSE)</f>
        <v>STARKS</v>
      </c>
      <c r="M174" s="6">
        <f t="shared" si="37"/>
        <v>9.1782407398568466E-3</v>
      </c>
      <c r="N174" s="7">
        <f t="shared" si="38"/>
        <v>13.216666665393859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10:18:35-700',mode:absolute,to:'2016-11-13 12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0.1041</v>
      </c>
      <c r="Z174" s="67">
        <f t="shared" si="45"/>
        <v>5.8935000000000004</v>
      </c>
      <c r="AA174" s="67">
        <f t="shared" si="46"/>
        <v>5.7894000000000005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47"/>
        <v>1811-13</v>
      </c>
      <c r="AE174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74" s="88" t="str">
        <f t="shared" si="49"/>
        <v>"C:\Program Files (x86)\AstroGrep\AstroGrep.exe" /spath="%USERPROFILE%\AppData\Local\Temp\OnboardLogs" /stypes="app*4042*20161113*" /stext=" 18:.+((SYSTEM_STATE.+slice.+state.+changed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1811-13 --locoid 4042 --swversion DE.1.0.8.0 --startMP 204:1041 --initTime 2016-11-13T11:18:35 --startdatetime 2016-11-13T11:21:15 --delay 1 --endMP 300:58935 --enddatetime 2016-11-13T11:34:28 --enforcementcount 0 &gt;&gt;C:\Users\stu\Documents\GitHub\eaglep3-reporting\EC\2016-11-13-refined-times.txt</v>
      </c>
      <c r="AI174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{"issue":{"subject":"","project_id":79,"tracker_id":40,"status_id":1,"priority_id":2,"assigned_to_id":23,"start_date":"2016-11-13","description":"","custom_fields":[{"id":1,"name":"Subdivision","value":"NW"},{"id":4,"name":"Milepost","value":"5.8935"},{"id":17,"name":"Train ID","value":"1811-13"},{"id":16,"name":"Locomotive ID","value":"4042"},{"id":130,"name":"Impact","value":""},{"id":150,"name":"Time of Event (Mountain Time)","value":"11:34:28"},{"id":151,"name":"Denver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534</v>
      </c>
      <c r="B175" s="7">
        <v>4041</v>
      </c>
      <c r="C175" s="22" t="s">
        <v>225</v>
      </c>
      <c r="D175" s="22" t="s">
        <v>714</v>
      </c>
      <c r="E175" s="13">
        <v>42687.483090277776</v>
      </c>
      <c r="F175" s="13">
        <v>42687.484861111108</v>
      </c>
      <c r="G175" s="7">
        <v>1</v>
      </c>
      <c r="H175" s="22" t="s">
        <v>715</v>
      </c>
      <c r="I175" s="13">
        <v>42687.496944444443</v>
      </c>
      <c r="J175" s="7">
        <v>0</v>
      </c>
      <c r="K175" s="109" t="str">
        <f t="shared" si="36"/>
        <v>4041/4042</v>
      </c>
      <c r="L175" s="22" t="str">
        <f>VLOOKUP(A175,'Trips&amp;Operators'!$C$1:$E$10000,3,FALSE)</f>
        <v>STARKS</v>
      </c>
      <c r="M175" s="6">
        <f t="shared" si="37"/>
        <v>1.2083333334885538E-2</v>
      </c>
      <c r="N175" s="7">
        <f t="shared" si="38"/>
        <v>17.400000002235174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10:35:39-700',mode:absolute,to:'2016-11-13 12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5.8632</v>
      </c>
      <c r="Z175" s="67">
        <f t="shared" si="45"/>
        <v>7.6799999999999993E-2</v>
      </c>
      <c r="AA175" s="67">
        <f t="shared" si="46"/>
        <v>5.7863999999999995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47"/>
        <v>1812-13</v>
      </c>
      <c r="AE175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75" s="88" t="str">
        <f t="shared" si="49"/>
        <v>"C:\Program Files (x86)\AstroGrep\AstroGrep.exe" /spath="%USERPROFILE%\AppData\Local\Temp\OnboardLogs" /stypes="app*4041*20161113*" /stext=" 18:.+((SYSTEM_STATE.+slice.+state.+changed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1812-13 --locoid 4041 --swversion DE.1.0.8.0 --startMP 300:58632 --initTime 2016-11-13T11:35:39 --startdatetime 2016-11-13T11:38:12 --delay 1 --endMP 204:768 --enddatetime 2016-11-13T11:55:36 --enforcementcount 0 &gt;&gt;C:\Users\stu\Documents\GitHub\eaglep3-reporting\EC\2016-11-13-refined-times.txt</v>
      </c>
      <c r="AI175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{"issue":{"subject":"","project_id":79,"tracker_id":40,"status_id":1,"priority_id":2,"assigned_to_id":23,"start_date":"2016-11-13","description":"","custom_fields":[{"id":1,"name":"Subdivision","value":"NW"},{"id":4,"name":"Milepost","value":"0.0768"},{"id":17,"name":"Train ID","value":"1812-13"},{"id":16,"name":"Locomotive ID","value":"4041"},{"id":130,"name":"Impact","value":""},{"id":150,"name":"Time of Event (Mountain Time)","value":"11:55:36"},{"id":151,"name":"Denver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542</v>
      </c>
      <c r="B176" s="7">
        <v>4042</v>
      </c>
      <c r="C176" s="22" t="s">
        <v>225</v>
      </c>
      <c r="D176" s="22" t="s">
        <v>372</v>
      </c>
      <c r="E176" s="13">
        <v>42687.512060185189</v>
      </c>
      <c r="F176" s="13">
        <v>42687.514745370368</v>
      </c>
      <c r="G176" s="7">
        <v>2</v>
      </c>
      <c r="H176" s="22" t="s">
        <v>716</v>
      </c>
      <c r="I176" s="13">
        <v>42687.524305555555</v>
      </c>
      <c r="J176" s="7">
        <v>0</v>
      </c>
      <c r="K176" s="109" t="str">
        <f t="shared" si="36"/>
        <v>4041/4042</v>
      </c>
      <c r="L176" s="22" t="str">
        <f>VLOOKUP(A176,'Trips&amp;Operators'!$C$1:$E$10000,3,FALSE)</f>
        <v>STARKS</v>
      </c>
      <c r="M176" s="6">
        <f t="shared" si="37"/>
        <v>9.560185186273884E-3</v>
      </c>
      <c r="N176" s="7">
        <f t="shared" si="38"/>
        <v>13.766666668234393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11:17:22-700',mode:absolute,to:'2016-11-13 13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0.1048</v>
      </c>
      <c r="Z176" s="67">
        <f t="shared" si="45"/>
        <v>5.8929</v>
      </c>
      <c r="AA176" s="67">
        <f t="shared" si="46"/>
        <v>5.7881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47"/>
        <v>1813-13</v>
      </c>
      <c r="AE176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76" s="88" t="str">
        <f t="shared" si="49"/>
        <v>"C:\Program Files (x86)\AstroGrep\AstroGrep.exe" /spath="%USERPROFILE%\AppData\Local\Temp\OnboardLogs" /stypes="app*4042*20161113*" /stext=" 19:.+((SYSTEM_STATE.+slice.+state.+changed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1813-13 --locoid 4042 --swversion DE.1.0.8.0 --startMP 204:1048 --initTime 2016-11-13T12:17:22 --startdatetime 2016-11-13T12:21:14 --delay 2 --endMP 300:58929 --enddatetime 2016-11-13T12:35:00 --enforcementcount 0 &gt;&gt;C:\Users\stu\Documents\GitHub\eaglep3-reporting\EC\2016-11-13-refined-times.txt</v>
      </c>
      <c r="AI176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{"issue":{"subject":"","project_id":79,"tracker_id":40,"status_id":1,"priority_id":2,"assigned_to_id":23,"start_date":"2016-11-13","description":"","custom_fields":[{"id":1,"name":"Subdivision","value":"NW"},{"id":4,"name":"Milepost","value":"5.8929"},{"id":17,"name":"Train ID","value":"1813-13"},{"id":16,"name":"Locomotive ID","value":"4042"},{"id":130,"name":"Impact","value":""},{"id":150,"name":"Time of Event (Mountain Time)","value":"12:35:00"},{"id":151,"name":"Denver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545</v>
      </c>
      <c r="B177" s="7">
        <v>4041</v>
      </c>
      <c r="C177" s="22" t="s">
        <v>225</v>
      </c>
      <c r="D177" s="22" t="s">
        <v>707</v>
      </c>
      <c r="E177" s="13">
        <v>42687.525497685187</v>
      </c>
      <c r="F177" s="13">
        <v>42687.527094907404</v>
      </c>
      <c r="G177" s="7">
        <v>2</v>
      </c>
      <c r="H177" s="22" t="s">
        <v>425</v>
      </c>
      <c r="I177" s="13">
        <v>42687.538310185184</v>
      </c>
      <c r="J177" s="7">
        <v>0</v>
      </c>
      <c r="K177" s="109" t="str">
        <f t="shared" si="36"/>
        <v>4041/4042</v>
      </c>
      <c r="L177" s="22" t="str">
        <f>VLOOKUP(A177,'Trips&amp;Operators'!$C$1:$E$10000,3,FALSE)</f>
        <v>STARKS</v>
      </c>
      <c r="M177" s="6">
        <f t="shared" si="37"/>
        <v>1.1215277780138422E-2</v>
      </c>
      <c r="N177" s="7">
        <f t="shared" si="38"/>
        <v>16.150000003399327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11:36:43-700',mode:absolute,to:'2016-11-13 13:55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5.8616999999999999</v>
      </c>
      <c r="Z177" s="67">
        <f t="shared" si="45"/>
        <v>7.4800000000000005E-2</v>
      </c>
      <c r="AA177" s="67">
        <f t="shared" si="46"/>
        <v>5.7869000000000002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47"/>
        <v>1814-13</v>
      </c>
      <c r="AE177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77" s="88" t="str">
        <f t="shared" si="49"/>
        <v>"C:\Program Files (x86)\AstroGrep\AstroGrep.exe" /spath="%USERPROFILE%\AppData\Local\Temp\OnboardLogs" /stypes="app*4041*20161113*" /stext=" 19:.+((SYSTEM_STATE.+slice.+state.+changed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1814-13 --locoid 4041 --swversion DE.1.0.8.0 --startMP 300:58617 --initTime 2016-11-13T12:36:43 --startdatetime 2016-11-13T12:39:01 --delay 2 --endMP 204:748 --enddatetime 2016-11-13T12:55:10 --enforcementcount 0 &gt;&gt;C:\Users\stu\Documents\GitHub\eaglep3-reporting\EC\2016-11-13-refined-times.txt</v>
      </c>
      <c r="AI177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{"issue":{"subject":"","project_id":79,"tracker_id":40,"status_id":1,"priority_id":2,"assigned_to_id":23,"start_date":"2016-11-13","description":"","custom_fields":[{"id":1,"name":"Subdivision","value":"NW"},{"id":4,"name":"Milepost","value":"0.0748"},{"id":17,"name":"Train ID","value":"1814-13"},{"id":16,"name":"Locomotive ID","value":"4041"},{"id":130,"name":"Impact","value":""},{"id":150,"name":"Time of Event (Mountain Time)","value":"12:55:10"},{"id":151,"name":"Denver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551</v>
      </c>
      <c r="B178" s="7">
        <v>4042</v>
      </c>
      <c r="C178" s="22" t="s">
        <v>225</v>
      </c>
      <c r="D178" s="22" t="s">
        <v>421</v>
      </c>
      <c r="E178" s="13">
        <v>42687.553796296299</v>
      </c>
      <c r="F178" s="13">
        <v>42687.556423611109</v>
      </c>
      <c r="G178" s="7">
        <v>1</v>
      </c>
      <c r="H178" s="22" t="s">
        <v>716</v>
      </c>
      <c r="I178" s="13">
        <v>42687.565844907411</v>
      </c>
      <c r="J178" s="7">
        <v>0</v>
      </c>
      <c r="K178" s="109" t="str">
        <f t="shared" si="36"/>
        <v>4041/4042</v>
      </c>
      <c r="L178" s="22" t="str">
        <f>VLOOKUP(A178,'Trips&amp;Operators'!$C$1:$E$10000,3,FALSE)</f>
        <v>STARKS</v>
      </c>
      <c r="M178" s="6">
        <f t="shared" si="37"/>
        <v>9.4212963012978435E-3</v>
      </c>
      <c r="N178" s="7">
        <f t="shared" si="38"/>
        <v>13.566666673868895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12:17:28-700',mode:absolute,to:'2016-11-13 14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0.1032</v>
      </c>
      <c r="Z178" s="67">
        <f t="shared" si="45"/>
        <v>5.8929</v>
      </c>
      <c r="AA178" s="67">
        <f t="shared" si="46"/>
        <v>5.7896999999999998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47"/>
        <v>1815-13</v>
      </c>
      <c r="AE178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78" s="88" t="str">
        <f t="shared" si="49"/>
        <v>"C:\Program Files (x86)\AstroGrep\AstroGrep.exe" /spath="%USERPROFILE%\AppData\Local\Temp\OnboardLogs" /stypes="app*4042*20161113*" /stext=" 20:.+((SYSTEM_STATE.+slice.+state.+changed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1815-13 --locoid 4042 --swversion DE.1.0.8.0 --startMP 204:1032 --initTime 2016-11-13T13:17:28 --startdatetime 2016-11-13T13:21:15 --delay 1 --endMP 300:58929 --enddatetime 2016-11-13T13:34:49 --enforcementcount 0 &gt;&gt;C:\Users\stu\Documents\GitHub\eaglep3-reporting\EC\2016-11-13-refined-times.txt</v>
      </c>
      <c r="AI178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{"issue":{"subject":"","project_id":79,"tracker_id":40,"status_id":1,"priority_id":2,"assigned_to_id":23,"start_date":"2016-11-13","description":"","custom_fields":[{"id":1,"name":"Subdivision","value":"NW"},{"id":4,"name":"Milepost","value":"5.8929"},{"id":17,"name":"Train ID","value":"1815-13"},{"id":16,"name":"Locomotive ID","value":"4042"},{"id":130,"name":"Impact","value":""},{"id":150,"name":"Time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455</v>
      </c>
      <c r="B179" s="7">
        <v>4041</v>
      </c>
      <c r="C179" s="22" t="s">
        <v>225</v>
      </c>
      <c r="D179" s="22" t="s">
        <v>717</v>
      </c>
      <c r="E179" s="13">
        <v>42687.566759259258</v>
      </c>
      <c r="F179" s="13">
        <v>42687.568437499998</v>
      </c>
      <c r="G179" s="7">
        <v>1</v>
      </c>
      <c r="H179" s="22" t="s">
        <v>423</v>
      </c>
      <c r="I179" s="13">
        <v>42687.579351851855</v>
      </c>
      <c r="J179" s="7">
        <v>0</v>
      </c>
      <c r="K179" s="109" t="str">
        <f t="shared" si="36"/>
        <v>4041/4042</v>
      </c>
      <c r="L179" s="22" t="str">
        <f>VLOOKUP(A179,'Trips&amp;Operators'!$C$1:$E$10000,3,FALSE)</f>
        <v>STARKS</v>
      </c>
      <c r="M179" s="6">
        <f t="shared" si="37"/>
        <v>1.0914351856627036E-2</v>
      </c>
      <c r="N179" s="7">
        <f t="shared" si="38"/>
        <v>15.716666673542932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12:36:08-700',mode:absolute,to:'2016-11-13 14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5.8609</v>
      </c>
      <c r="Z179" s="67">
        <f t="shared" si="45"/>
        <v>7.6399999999999996E-2</v>
      </c>
      <c r="AA179" s="67">
        <f t="shared" si="46"/>
        <v>5.7845000000000004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47"/>
        <v>1816-13</v>
      </c>
      <c r="AE179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79" s="88" t="str">
        <f t="shared" si="49"/>
        <v>"C:\Program Files (x86)\AstroGrep\AstroGrep.exe" /spath="%USERPROFILE%\AppData\Local\Temp\OnboardLogs" /stypes="app*4041*20161113*" /stext=" 20:.+((SYSTEM_STATE.+slice.+state.+changed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1816-13 --locoid 4041 --swversion DE.1.0.8.0 --startMP 300:58609 --initTime 2016-11-13T13:36:08 --startdatetime 2016-11-13T13:38:33 --delay 1 --endMP 204:764 --enddatetime 2016-11-13T13:54:16 --enforcementcount 0 &gt;&gt;C:\Users\stu\Documents\GitHub\eaglep3-reporting\EC\2016-11-13-refined-times.txt</v>
      </c>
      <c r="AI179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{"issue":{"subject":"","project_id":79,"tracker_id":40,"status_id":1,"priority_id":2,"assigned_to_id":23,"start_date":"2016-11-13","description":"","custom_fields":[{"id":1,"name":"Subdivision","value":"NW"},{"id":4,"name":"Milepost","value":"0.0764"},{"id":17,"name":"Train ID","value":"1816-13"},{"id":16,"name":"Locomotive ID","value":"4041"},{"id":130,"name":"Impact","value":""},{"id":150,"name":"Time of Event (Mountain Time)","value":"13:54:16"},{"id":151,"name":"Denver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560</v>
      </c>
      <c r="B180" s="7">
        <v>4042</v>
      </c>
      <c r="C180" s="22" t="s">
        <v>225</v>
      </c>
      <c r="D180" s="22" t="s">
        <v>718</v>
      </c>
      <c r="E180" s="13">
        <v>42687.590520833335</v>
      </c>
      <c r="F180" s="13">
        <v>42687.598101851851</v>
      </c>
      <c r="G180" s="7">
        <v>2</v>
      </c>
      <c r="H180" s="22" t="s">
        <v>719</v>
      </c>
      <c r="I180" s="13">
        <v>42687.607743055552</v>
      </c>
      <c r="J180" s="7">
        <v>0</v>
      </c>
      <c r="K180" s="109" t="str">
        <f t="shared" si="36"/>
        <v>4041/4042</v>
      </c>
      <c r="L180" s="22" t="str">
        <f>VLOOKUP(A180,'Trips&amp;Operators'!$C$1:$E$10000,3,FALSE)</f>
        <v>ADANE</v>
      </c>
      <c r="M180" s="6">
        <f t="shared" si="37"/>
        <v>9.6412037019035779E-3</v>
      </c>
      <c r="N180" s="7">
        <f t="shared" si="38"/>
        <v>13.883333330741152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13:10:21-700',mode:absolute,to:'2016-11-13 15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0.1055</v>
      </c>
      <c r="Z180" s="67">
        <f t="shared" si="45"/>
        <v>5.8956</v>
      </c>
      <c r="AA180" s="67">
        <f t="shared" si="46"/>
        <v>5.7900999999999998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47"/>
        <v>1817-13</v>
      </c>
      <c r="AE180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80" s="88" t="str">
        <f t="shared" si="49"/>
        <v>"C:\Program Files (x86)\AstroGrep\AstroGrep.exe" /spath="%USERPROFILE%\AppData\Local\Temp\OnboardLogs" /stypes="app*4042*20161113*" /stext=" 21:.+((SYSTEM_STATE.+slice.+state.+changed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1817-13 --locoid 4042 --swversion DE.1.0.8.0 --startMP 204:1055 --initTime 2016-11-13T14:10:21 --startdatetime 2016-11-13T14:21:16 --delay 2 --endMP 300:58956 --enddatetime 2016-11-13T14:35:09 --enforcementcount 0 &gt;&gt;C:\Users\stu\Documents\GitHub\eaglep3-reporting\EC\2016-11-13-refined-times.txt</v>
      </c>
      <c r="AI180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{"issue":{"subject":"","project_id":79,"tracker_id":40,"status_id":1,"priority_id":2,"assigned_to_id":23,"start_date":"2016-11-13","description":"","custom_fields":[{"id":1,"name":"Subdivision","value":"NW"},{"id":4,"name":"Milepost","value":"5.8956"},{"id":17,"name":"Train ID","value":"1817-13"},{"id":16,"name":"Locomotive ID","value":"4042"},{"id":130,"name":"Impact","value":""},{"id":150,"name":"Time of Event (Mountain Time)","value":"14:35:09"},{"id":151,"name":"Denver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566</v>
      </c>
      <c r="B181" s="7">
        <v>4041</v>
      </c>
      <c r="C181" s="22" t="s">
        <v>225</v>
      </c>
      <c r="D181" s="22" t="s">
        <v>720</v>
      </c>
      <c r="E181" s="13">
        <v>42687.609143518515</v>
      </c>
      <c r="F181" s="13">
        <v>42687.611076388886</v>
      </c>
      <c r="G181" s="7">
        <v>1</v>
      </c>
      <c r="H181" s="22" t="s">
        <v>416</v>
      </c>
      <c r="I181" s="13">
        <v>42687.621493055558</v>
      </c>
      <c r="J181" s="7">
        <v>0</v>
      </c>
      <c r="K181" s="109" t="str">
        <f t="shared" si="36"/>
        <v>4041/4042</v>
      </c>
      <c r="L181" s="22" t="str">
        <f>VLOOKUP(A181,'Trips&amp;Operators'!$C$1:$E$10000,3,FALSE)</f>
        <v>ADANE</v>
      </c>
      <c r="M181" s="6">
        <f t="shared" si="37"/>
        <v>1.0416666671517305E-2</v>
      </c>
      <c r="N181" s="7">
        <f t="shared" si="38"/>
        <v>15.000000006984919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13:37:10-700',mode:absolute,to:'2016-11-13 15:54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5.8647</v>
      </c>
      <c r="Z181" s="67">
        <f t="shared" si="45"/>
        <v>6.9599999999999995E-2</v>
      </c>
      <c r="AA181" s="67">
        <f t="shared" si="46"/>
        <v>5.7950999999999997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47"/>
        <v>1818-13</v>
      </c>
      <c r="AE181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81" s="88" t="str">
        <f t="shared" si="49"/>
        <v>"C:\Program Files (x86)\AstroGrep\AstroGrep.exe" /spath="%USERPROFILE%\AppData\Local\Temp\OnboardLogs" /stypes="app*4041*20161113*" /stext=" 21:.+((SYSTEM_STATE.+slice.+state.+changed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1818-13 --locoid 4041 --swversion DE.1.0.8.0 --startMP 300:58647 --initTime 2016-11-13T14:37:10 --startdatetime 2016-11-13T14:39:57 --delay 1 --endMP 204:696 --enddatetime 2016-11-13T14:54:57 --enforcementcount 0 &gt;&gt;C:\Users\stu\Documents\GitHub\eaglep3-reporting\EC\2016-11-13-refined-times.txt</v>
      </c>
      <c r="AI181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{"issue":{"subject":"","project_id":79,"tracker_id":40,"status_id":1,"priority_id":2,"assigned_to_id":23,"start_date":"2016-11-13","description":"","custom_fields":[{"id":1,"name":"Subdivision","value":"NW"},{"id":4,"name":"Milepost","value":"0.0696"},{"id":17,"name":"Train ID","value":"1818-13"},{"id":16,"name":"Locomotive ID","value":"4041"},{"id":130,"name":"Impact","value":""},{"id":150,"name":"Time of Event (Mountain Time)","value":"14:54:57"},{"id":151,"name":"Denver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571</v>
      </c>
      <c r="B182" s="7">
        <v>4042</v>
      </c>
      <c r="C182" s="22" t="s">
        <v>225</v>
      </c>
      <c r="D182" s="22" t="s">
        <v>412</v>
      </c>
      <c r="E182" s="13">
        <v>42687.638518518521</v>
      </c>
      <c r="F182" s="13">
        <v>42687.640405092592</v>
      </c>
      <c r="G182" s="7">
        <v>1</v>
      </c>
      <c r="H182" s="22" t="s">
        <v>419</v>
      </c>
      <c r="I182" s="13">
        <v>42687.649513888886</v>
      </c>
      <c r="J182" s="7">
        <v>0</v>
      </c>
      <c r="K182" s="109" t="str">
        <f t="shared" si="36"/>
        <v>4041/4042</v>
      </c>
      <c r="L182" s="22" t="str">
        <f>VLOOKUP(A182,'Trips&amp;Operators'!$C$1:$E$10000,3,FALSE)</f>
        <v>ADANE</v>
      </c>
      <c r="M182" s="6">
        <f t="shared" si="37"/>
        <v>9.1087962937308475E-3</v>
      </c>
      <c r="N182" s="7">
        <f t="shared" si="38"/>
        <v>13.11666666297242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14:19:28-700',mode:absolute,to:'2016-11-13 16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9.7799999999999998E-2</v>
      </c>
      <c r="Z182" s="67">
        <f t="shared" si="45"/>
        <v>5.8968999999999996</v>
      </c>
      <c r="AA182" s="67">
        <f t="shared" si="46"/>
        <v>5.7990999999999993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47"/>
        <v>1819-13</v>
      </c>
      <c r="AE182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82" s="88" t="str">
        <f t="shared" si="49"/>
        <v>"C:\Program Files (x86)\AstroGrep\AstroGrep.exe" /spath="%USERPROFILE%\AppData\Local\Temp\OnboardLogs" /stypes="app*4042*20161113*" /stext=" 22:.+((SYSTEM_STATE.+slice.+state.+changed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1819-13 --locoid 4042 --swversion DE.1.0.8.0 --startMP 204:978 --initTime 2016-11-13T15:19:28 --startdatetime 2016-11-13T15:22:11 --delay 1 --endMP 300:58969 --enddatetime 2016-11-13T15:35:18 --enforcementcount 0 &gt;&gt;C:\Users\stu\Documents\GitHub\eaglep3-reporting\EC\2016-11-13-refined-times.txt</v>
      </c>
      <c r="AI182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{"issue":{"subject":"","project_id":79,"tracker_id":40,"status_id":1,"priority_id":2,"assigned_to_id":23,"start_date":"2016-11-13","description":"","custom_fields":[{"id":1,"name":"Subdivision","value":"NW"},{"id":4,"name":"Milepost","value":"5.8969"},{"id":17,"name":"Train ID","value":"1819-13"},{"id":16,"name":"Locomotive ID","value":"4042"},{"id":130,"name":"Impact","value":""},{"id":150,"name":"Time of Event (Mountain Time)","value":"15:35:18"},{"id":151,"name":"Denver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456</v>
      </c>
      <c r="B183" s="7">
        <v>4041</v>
      </c>
      <c r="C183" s="22" t="s">
        <v>225</v>
      </c>
      <c r="D183" s="22" t="s">
        <v>721</v>
      </c>
      <c r="E183" s="13">
        <v>42687.650601851848</v>
      </c>
      <c r="F183" s="13">
        <v>42687.651898148149</v>
      </c>
      <c r="G183" s="7">
        <v>1</v>
      </c>
      <c r="H183" s="22" t="s">
        <v>722</v>
      </c>
      <c r="I183" s="13">
        <v>42687.663182870368</v>
      </c>
      <c r="J183" s="7">
        <v>0</v>
      </c>
      <c r="K183" s="109" t="str">
        <f t="shared" si="36"/>
        <v>4041/4042</v>
      </c>
      <c r="L183" s="22" t="str">
        <f>VLOOKUP(A183,'Trips&amp;Operators'!$C$1:$E$10000,3,FALSE)</f>
        <v>ADANE</v>
      </c>
      <c r="M183" s="6">
        <f t="shared" si="37"/>
        <v>1.1284722218988463E-2</v>
      </c>
      <c r="N183" s="7">
        <f t="shared" si="38"/>
        <v>16.249999995343387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14:36:52-700',mode:absolute,to:'2016-11-13 16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5.8653000000000004</v>
      </c>
      <c r="Z183" s="67">
        <f t="shared" si="45"/>
        <v>6.7699999999999996E-2</v>
      </c>
      <c r="AA183" s="67">
        <f t="shared" si="46"/>
        <v>5.7976000000000001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47"/>
        <v>1820-13</v>
      </c>
      <c r="AE183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83" s="88" t="str">
        <f t="shared" si="49"/>
        <v>"C:\Program Files (x86)\AstroGrep\AstroGrep.exe" /spath="%USERPROFILE%\AppData\Local\Temp\OnboardLogs" /stypes="app*4041*20161113*" /stext=" 22:.+((SYSTEM_STATE.+slice.+state.+changed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1820-13 --locoid 4041 --swversion DE.1.0.8.0 --startMP 300:58653 --initTime 2016-11-13T15:36:52 --startdatetime 2016-11-13T15:38:44 --delay 1 --endMP 204:677 --enddatetime 2016-11-13T15:54:59 --enforcementcount 0 &gt;&gt;C:\Users\stu\Documents\GitHub\eaglep3-reporting\EC\2016-11-13-refined-times.txt</v>
      </c>
      <c r="AI183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{"issue":{"subject":"","project_id":79,"tracker_id":40,"status_id":1,"priority_id":2,"assigned_to_id":23,"start_date":"2016-11-13","description":"","custom_fields":[{"id":1,"name":"Subdivision","value":"NW"},{"id":4,"name":"Milepost","value":"0.0677"},{"id":17,"name":"Train ID","value":"1820-13"},{"id":16,"name":"Locomotive ID","value":"4041"},{"id":130,"name":"Impact","value":""},{"id":150,"name":"Time of Event (Mountain Time)","value":"15:54:59"},{"id":151,"name":"Denver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580</v>
      </c>
      <c r="B184" s="7">
        <v>4042</v>
      </c>
      <c r="C184" s="22" t="s">
        <v>225</v>
      </c>
      <c r="D184" s="22" t="s">
        <v>723</v>
      </c>
      <c r="E184" s="13">
        <v>42687.676481481481</v>
      </c>
      <c r="F184" s="13">
        <v>42687.68167824074</v>
      </c>
      <c r="G184" s="7">
        <v>1</v>
      </c>
      <c r="H184" s="22" t="s">
        <v>724</v>
      </c>
      <c r="I184" s="13">
        <v>42687.692719907405</v>
      </c>
      <c r="J184" s="7">
        <v>0</v>
      </c>
      <c r="K184" s="109" t="str">
        <f t="shared" si="36"/>
        <v>4041/4042</v>
      </c>
      <c r="L184" s="22" t="str">
        <f>VLOOKUP(A184,'Trips&amp;Operators'!$C$1:$E$10000,3,FALSE)</f>
        <v>ADANE</v>
      </c>
      <c r="M184" s="6">
        <f t="shared" si="37"/>
        <v>1.1041666664823424E-2</v>
      </c>
      <c r="N184" s="7">
        <f t="shared" si="38"/>
        <v>15.899999997345731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15:14:08-700',mode:absolute,to:'2016-11-13 17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9.5799999999999996E-2</v>
      </c>
      <c r="Z184" s="67">
        <f t="shared" si="45"/>
        <v>5.8975</v>
      </c>
      <c r="AA184" s="67">
        <f t="shared" si="46"/>
        <v>5.8017000000000003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47"/>
        <v>1821-13</v>
      </c>
      <c r="AE184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84" s="88" t="str">
        <f t="shared" si="49"/>
        <v>"C:\Program Files (x86)\AstroGrep\AstroGrep.exe" /spath="%USERPROFILE%\AppData\Local\Temp\OnboardLogs" /stypes="app*4042*20161113*" /stext=" 23:.+((SYSTEM_STATE.+slice.+state.+changed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1821-13 --locoid 4042 --swversion DE.1.0.8.0 --startMP 204:958 --initTime 2016-11-13T16:14:08 --startdatetime 2016-11-13T16:21:37 --delay 1 --endMP 300:58975 --enddatetime 2016-11-13T16:37:31 --enforcementcount 0 &gt;&gt;C:\Users\stu\Documents\GitHub\eaglep3-reporting\EC\2016-11-13-refined-times.txt</v>
      </c>
      <c r="AI184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{"issue":{"subject":"","project_id":79,"tracker_id":40,"status_id":1,"priority_id":2,"assigned_to_id":23,"start_date":"2016-11-13","description":"","custom_fields":[{"id":1,"name":"Subdivision","value":"NW"},{"id":4,"name":"Milepost","value":"5.8975"},{"id":17,"name":"Train ID","value":"1821-13"},{"id":16,"name":"Locomotive ID","value":"4042"},{"id":130,"name":"Impact","value":""},{"id":150,"name":"Time of Event (Mountain Time)","value":"16:37:31"},{"id":151,"name":"Denver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584</v>
      </c>
      <c r="B185" s="7">
        <v>4041</v>
      </c>
      <c r="C185" s="22" t="s">
        <v>225</v>
      </c>
      <c r="D185" s="22" t="s">
        <v>725</v>
      </c>
      <c r="E185" s="13">
        <v>42687.69394675926</v>
      </c>
      <c r="F185" s="13">
        <v>42687.695625</v>
      </c>
      <c r="G185" s="7">
        <v>1</v>
      </c>
      <c r="H185" s="22" t="s">
        <v>392</v>
      </c>
      <c r="I185" s="13">
        <v>42687.706145833334</v>
      </c>
      <c r="J185" s="7">
        <v>0</v>
      </c>
      <c r="K185" s="109" t="str">
        <f t="shared" si="36"/>
        <v>4041/4042</v>
      </c>
      <c r="L185" s="22" t="str">
        <f>VLOOKUP(A185,'Trips&amp;Operators'!$C$1:$E$10000,3,FALSE)</f>
        <v>ADANE</v>
      </c>
      <c r="M185" s="6">
        <f t="shared" si="37"/>
        <v>1.0520833333430346E-2</v>
      </c>
      <c r="N185" s="7">
        <f t="shared" si="38"/>
        <v>15.150000000139698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15:39:17-700',mode:absolute,to:'2016-11-13 17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5.8663999999999996</v>
      </c>
      <c r="Z185" s="67">
        <f t="shared" si="45"/>
        <v>7.1300000000000002E-2</v>
      </c>
      <c r="AA185" s="67">
        <f t="shared" si="46"/>
        <v>5.7950999999999997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47"/>
        <v>1822-13</v>
      </c>
      <c r="AE185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85" s="88" t="str">
        <f t="shared" si="49"/>
        <v>"C:\Program Files (x86)\AstroGrep\AstroGrep.exe" /spath="%USERPROFILE%\AppData\Local\Temp\OnboardLogs" /stypes="app*4041*20161113*" /stext=" 23:.+((SYSTEM_STATE.+slice.+state.+changed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1822-13 --locoid 4041 --swversion DE.1.0.8.0 --startMP 300:58664 --initTime 2016-11-13T16:39:17 --startdatetime 2016-11-13T16:41:42 --delay 1 --endMP 204:713 --enddatetime 2016-11-13T16:56:51 --enforcementcount 0 &gt;&gt;C:\Users\stu\Documents\GitHub\eaglep3-reporting\EC\2016-11-13-refined-times.txt</v>
      </c>
      <c r="AI185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{"issue":{"subject":"","project_id":79,"tracker_id":40,"status_id":1,"priority_id":2,"assigned_to_id":23,"start_date":"2016-11-13","description":"","custom_fields":[{"id":1,"name":"Subdivision","value":"NW"},{"id":4,"name":"Milepost","value":"0.0713"},{"id":17,"name":"Train ID","value":"1822-13"},{"id":16,"name":"Locomotive ID","value":"4041"},{"id":130,"name":"Impact","value":""},{"id":150,"name":"Time of Event (Mountain Time)","value":"16:56:51"},{"id":151,"name":"Denver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s="21" customFormat="1" x14ac:dyDescent="0.25">
      <c r="A186" s="37" t="s">
        <v>593</v>
      </c>
      <c r="B186" s="7">
        <v>4042</v>
      </c>
      <c r="C186" s="22" t="s">
        <v>225</v>
      </c>
      <c r="D186" s="22" t="s">
        <v>726</v>
      </c>
      <c r="E186" s="13">
        <v>42687.72142361111</v>
      </c>
      <c r="F186" s="13">
        <v>42687.723483796297</v>
      </c>
      <c r="G186" s="7">
        <v>1</v>
      </c>
      <c r="H186" s="22" t="s">
        <v>424</v>
      </c>
      <c r="I186" s="13">
        <v>42687.735277777778</v>
      </c>
      <c r="J186" s="7">
        <v>0</v>
      </c>
      <c r="K186" s="109" t="str">
        <f t="shared" si="36"/>
        <v>4041/4042</v>
      </c>
      <c r="L186" s="22" t="str">
        <f>VLOOKUP(A186,'Trips&amp;Operators'!$C$1:$E$10000,3,FALSE)</f>
        <v>ADANE</v>
      </c>
      <c r="M186" s="6">
        <f t="shared" si="37"/>
        <v>1.1793981480877846E-2</v>
      </c>
      <c r="N186" s="7">
        <f t="shared" si="38"/>
        <v>16.983333332464099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16:18:51-700',mode:absolute,to:'2016-11-13 18:38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0.1007</v>
      </c>
      <c r="Z186" s="67">
        <f t="shared" si="45"/>
        <v>5.8997000000000002</v>
      </c>
      <c r="AA186" s="67">
        <f t="shared" si="46"/>
        <v>5.7990000000000004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47"/>
        <v>1823-13</v>
      </c>
      <c r="AE186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86" s="88" t="str">
        <f t="shared" si="49"/>
        <v>"C:\Program Files (x86)\AstroGrep\AstroGrep.exe" /spath="%USERPROFILE%\AppData\Local\Temp\OnboardLogs" /stypes="app*4042*20161114*" /stext=" 00:.+((SYSTEM_STATE.+slice.+state.+changed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1823-13 --locoid 4042 --swversion DE.1.0.8.0 --startMP 204:1007 --initTime 2016-11-13T17:18:51 --startdatetime 2016-11-13T17:21:49 --delay 1 --endMP 300:58997 --enddatetime 2016-11-13T17:38:48 --enforcementcount 0 &gt;&gt;C:\Users\stu\Documents\GitHub\eaglep3-reporting\EC\2016-11-13-refined-times.txt</v>
      </c>
      <c r="AI186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{"issue":{"subject":"","project_id":79,"tracker_id":40,"status_id":1,"priority_id":2,"assigned_to_id":23,"start_date":"2016-11-13","description":"","custom_fields":[{"id":1,"name":"Subdivision","value":"NW"},{"id":4,"name":"Milepost","value":"5.8997"},{"id":17,"name":"Train ID","value":"1823-13"},{"id":16,"name":"Locomotive ID","value":"4042"},{"id":130,"name":"Impact","value":""},{"id":150,"name":"Time of Event (Mountain Time)","value":"17:38:48"},{"id":151,"name":"Denver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597</v>
      </c>
      <c r="B187" s="7">
        <v>4041</v>
      </c>
      <c r="C187" s="22" t="s">
        <v>225</v>
      </c>
      <c r="D187" s="22" t="s">
        <v>727</v>
      </c>
      <c r="E187" s="13">
        <v>42687.736354166664</v>
      </c>
      <c r="F187" s="13">
        <v>42687.737569444442</v>
      </c>
      <c r="G187" s="7">
        <v>1</v>
      </c>
      <c r="H187" s="22" t="s">
        <v>410</v>
      </c>
      <c r="I187" s="13">
        <v>42687.747002314813</v>
      </c>
      <c r="J187" s="7">
        <v>0</v>
      </c>
      <c r="K187" s="109" t="str">
        <f t="shared" si="36"/>
        <v>4041/4042</v>
      </c>
      <c r="L187" s="22" t="str">
        <f>VLOOKUP(A187,'Trips&amp;Operators'!$C$1:$E$10000,3,FALSE)</f>
        <v>ADANE</v>
      </c>
      <c r="M187" s="6">
        <f t="shared" si="37"/>
        <v>9.4328703708015382E-3</v>
      </c>
      <c r="N187" s="7">
        <f t="shared" si="38"/>
        <v>13.583333333954215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16:40:21-700',mode:absolute,to:'2016-11-13 18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5.8677999999999999</v>
      </c>
      <c r="Z187" s="67">
        <f t="shared" si="45"/>
        <v>6.6299999999999998E-2</v>
      </c>
      <c r="AA187" s="67">
        <f t="shared" si="46"/>
        <v>5.8014999999999999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47"/>
        <v>1824-13</v>
      </c>
      <c r="AE187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87" s="88" t="str">
        <f t="shared" si="49"/>
        <v>"C:\Program Files (x86)\AstroGrep\AstroGrep.exe" /spath="%USERPROFILE%\AppData\Local\Temp\OnboardLogs" /stypes="app*4041*20161114*" /stext=" 00:.+((SYSTEM_STATE.+slice.+state.+changed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1824-13 --locoid 4041 --swversion DE.1.0.8.0 --startMP 300:58678 --initTime 2016-11-13T17:40:21 --startdatetime 2016-11-13T17:42:06 --delay 1 --endMP 204:663 --enddatetime 2016-11-13T17:55:41 --enforcementcount 0 &gt;&gt;C:\Users\stu\Documents\GitHub\eaglep3-reporting\EC\2016-11-13-refined-times.txt</v>
      </c>
      <c r="AI187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{"issue":{"subject":"","project_id":79,"tracker_id":40,"status_id":1,"priority_id":2,"assigned_to_id":23,"start_date":"2016-11-13","description":"","custom_fields":[{"id":1,"name":"Subdivision","value":"NW"},{"id":4,"name":"Milepost","value":"0.0663"},{"id":17,"name":"Train ID","value":"1824-13"},{"id":16,"name":"Locomotive ID","value":"4041"},{"id":130,"name":"Impact","value":""},{"id":150,"name":"Time of Event (Mountain Time)","value":"17:55:41"},{"id":151,"name":"Denver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461</v>
      </c>
      <c r="B188" s="7">
        <v>4042</v>
      </c>
      <c r="C188" s="22" t="s">
        <v>225</v>
      </c>
      <c r="D188" s="22" t="s">
        <v>728</v>
      </c>
      <c r="E188" s="13">
        <v>42687.752164351848</v>
      </c>
      <c r="F188" s="13">
        <v>42687.764837962961</v>
      </c>
      <c r="G188" s="7">
        <v>1</v>
      </c>
      <c r="H188" s="22" t="s">
        <v>716</v>
      </c>
      <c r="I188" s="13">
        <v>42687.781678240739</v>
      </c>
      <c r="J188" s="7">
        <v>0</v>
      </c>
      <c r="K188" s="109" t="str">
        <f t="shared" si="36"/>
        <v>4041/4042</v>
      </c>
      <c r="L188" s="22" t="str">
        <f>VLOOKUP(A188,'Trips&amp;Operators'!$C$1:$E$10000,3,FALSE)</f>
        <v>HOLCOMB</v>
      </c>
      <c r="M188" s="6">
        <f t="shared" si="37"/>
        <v>1.6840277778101154E-2</v>
      </c>
      <c r="N188" s="7">
        <f t="shared" si="38"/>
        <v>24.250000000465661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17:03:07-700',mode:absolute,to:'2016-11-13 19:45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9.4600000000000004E-2</v>
      </c>
      <c r="Z188" s="67">
        <f t="shared" si="45"/>
        <v>5.8929</v>
      </c>
      <c r="AA188" s="67">
        <f t="shared" si="46"/>
        <v>5.7983000000000002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47"/>
        <v>1825-13</v>
      </c>
      <c r="AE188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88" s="88" t="str">
        <f t="shared" si="49"/>
        <v>"C:\Program Files (x86)\AstroGrep\AstroGrep.exe" /spath="%USERPROFILE%\AppData\Local\Temp\OnboardLogs" /stypes="app*4042*20161114*" /stext=" 01:.+((SYSTEM_STATE.+slice.+state.+changed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1825-13 --locoid 4042 --swversion DE.1.0.8.0 --startMP 204:946 --initTime 2016-11-13T18:03:07 --startdatetime 2016-11-13T18:21:22 --delay 1 --endMP 300:58929 --enddatetime 2016-11-13T18:45:37 --enforcementcount 0 &gt;&gt;C:\Users\stu\Documents\GitHub\eaglep3-reporting\EC\2016-11-13-refined-times.txt</v>
      </c>
      <c r="AI188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{"issue":{"subject":"","project_id":79,"tracker_id":40,"status_id":1,"priority_id":2,"assigned_to_id":23,"start_date":"2016-11-13","description":"","custom_fields":[{"id":1,"name":"Subdivision","value":"NW"},{"id":4,"name":"Milepost","value":"5.8929"},{"id":17,"name":"Train ID","value":"1825-13"},{"id":16,"name":"Locomotive ID","value":"4042"},{"id":130,"name":"Impact","value":""},{"id":150,"name":"Time of Event (Mountain Time)","value":"18:45:37"},{"id":151,"name":"Denver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607</v>
      </c>
      <c r="B189" s="7">
        <v>4041</v>
      </c>
      <c r="C189" s="22" t="s">
        <v>225</v>
      </c>
      <c r="D189" s="22" t="s">
        <v>729</v>
      </c>
      <c r="E189" s="13">
        <v>42687.782696759263</v>
      </c>
      <c r="F189" s="13">
        <v>42687.784432870372</v>
      </c>
      <c r="G189" s="7">
        <v>1</v>
      </c>
      <c r="H189" s="22" t="s">
        <v>730</v>
      </c>
      <c r="I189" s="13">
        <v>42687.794629629629</v>
      </c>
      <c r="J189" s="7">
        <v>0</v>
      </c>
      <c r="K189" s="109" t="str">
        <f t="shared" si="36"/>
        <v>4041/4042</v>
      </c>
      <c r="L189" s="22" t="str">
        <f>VLOOKUP(A189,'Trips&amp;Operators'!$C$1:$E$10000,3,FALSE)</f>
        <v>HOLCOMB</v>
      </c>
      <c r="M189" s="6">
        <f t="shared" si="37"/>
        <v>1.0196759256359655E-2</v>
      </c>
      <c r="N189" s="7">
        <f t="shared" si="38"/>
        <v>14.683333329157904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17:47:05-700',mode:absolute,to:'2016-11-13 20:04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5.8608000000000002</v>
      </c>
      <c r="Z189" s="67">
        <f t="shared" si="45"/>
        <v>7.4700000000000003E-2</v>
      </c>
      <c r="AA189" s="67">
        <f t="shared" si="46"/>
        <v>5.7861000000000002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47"/>
        <v>1826-13</v>
      </c>
      <c r="AE189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89" s="88" t="str">
        <f t="shared" si="49"/>
        <v>"C:\Program Files (x86)\AstroGrep\AstroGrep.exe" /spath="%USERPROFILE%\AppData\Local\Temp\OnboardLogs" /stypes="app*4041*20161114*" /stext=" 02:.+((SYSTEM_STATE.+slice.+state.+changed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1826-13 --locoid 4041 --swversion DE.1.0.8.0 --startMP 300:58608 --initTime 2016-11-13T18:47:05 --startdatetime 2016-11-13T18:49:35 --delay 1 --endMP 204:747 --enddatetime 2016-11-13T19:04:16 --enforcementcount 0 &gt;&gt;C:\Users\stu\Documents\GitHub\eaglep3-reporting\EC\2016-11-13-refined-times.txt</v>
      </c>
      <c r="AI189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{"issue":{"subject":"","project_id":79,"tracker_id":40,"status_id":1,"priority_id":2,"assigned_to_id":23,"start_date":"2016-11-13","description":"","custom_fields":[{"id":1,"name":"Subdivision","value":"NW"},{"id":4,"name":"Milepost","value":"0.0747"},{"id":17,"name":"Train ID","value":"1826-13"},{"id":16,"name":"Locomotive ID","value":"4041"},{"id":130,"name":"Impact","value":""},{"id":150,"name":"Time of Event (Mountain Time)","value":"19:04:16"},{"id":151,"name":"Denver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7" t="s">
        <v>464</v>
      </c>
      <c r="B190" s="7">
        <v>4042</v>
      </c>
      <c r="C190" s="22" t="s">
        <v>225</v>
      </c>
      <c r="D190" s="22" t="s">
        <v>731</v>
      </c>
      <c r="E190" s="13">
        <v>42687.799097222225</v>
      </c>
      <c r="F190" s="13">
        <v>42687.806701388887</v>
      </c>
      <c r="G190" s="7">
        <v>1</v>
      </c>
      <c r="H190" s="22" t="s">
        <v>732</v>
      </c>
      <c r="I190" s="13">
        <v>42687.816134259258</v>
      </c>
      <c r="J190" s="7">
        <v>0</v>
      </c>
      <c r="K190" s="109" t="str">
        <f t="shared" si="36"/>
        <v>4041/4042</v>
      </c>
      <c r="L190" s="22" t="str">
        <f>VLOOKUP(A190,'Trips&amp;Operators'!$C$1:$E$10000,3,FALSE)</f>
        <v>HOLCOMB</v>
      </c>
      <c r="M190" s="6">
        <f t="shared" si="37"/>
        <v>9.4328703708015382E-3</v>
      </c>
      <c r="N190" s="7">
        <f t="shared" si="38"/>
        <v>13.583333333954215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18:10:42-700',mode:absolute,to:'2016-11-13 20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0.10440000000000001</v>
      </c>
      <c r="Z190" s="67">
        <f t="shared" si="45"/>
        <v>5.8964999999999996</v>
      </c>
      <c r="AA190" s="67">
        <f t="shared" si="46"/>
        <v>5.7920999999999996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47"/>
        <v>1827-13</v>
      </c>
      <c r="AE190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90" s="88" t="str">
        <f t="shared" si="49"/>
        <v>"C:\Program Files (x86)\AstroGrep\AstroGrep.exe" /spath="%USERPROFILE%\AppData\Local\Temp\OnboardLogs" /stypes="app*4042*20161114*" /stext=" 02:.+((SYSTEM_STATE.+slice.+state.+changed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1827-13 --locoid 4042 --swversion DE.1.0.8.0 --startMP 204:1044 --initTime 2016-11-13T19:10:42 --startdatetime 2016-11-13T19:21:39 --delay 1 --endMP 300:58965 --enddatetime 2016-11-13T19:35:14 --enforcementcount 0 &gt;&gt;C:\Users\stu\Documents\GitHub\eaglep3-reporting\EC\2016-11-13-refined-times.txt</v>
      </c>
      <c r="AI190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{"issue":{"subject":"","project_id":79,"tracker_id":40,"status_id":1,"priority_id":2,"assigned_to_id":23,"start_date":"2016-11-13","description":"","custom_fields":[{"id":1,"name":"Subdivision","value":"NW"},{"id":4,"name":"Milepost","value":"5.8965"},{"id":17,"name":"Train ID","value":"1827-13"},{"id":16,"name":"Locomotive ID","value":"4042"},{"id":130,"name":"Impact","value":""},{"id":150,"name":"Time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465</v>
      </c>
      <c r="B191" s="7">
        <v>4041</v>
      </c>
      <c r="C191" s="22" t="s">
        <v>225</v>
      </c>
      <c r="D191" s="22" t="s">
        <v>733</v>
      </c>
      <c r="E191" s="13">
        <v>42687.818333333336</v>
      </c>
      <c r="F191" s="13">
        <v>42687.819699074076</v>
      </c>
      <c r="G191" s="7">
        <v>1</v>
      </c>
      <c r="H191" s="22" t="s">
        <v>734</v>
      </c>
      <c r="I191" s="13">
        <v>42687.831412037034</v>
      </c>
      <c r="J191" s="7">
        <v>0</v>
      </c>
      <c r="K191" s="109" t="str">
        <f t="shared" si="36"/>
        <v>4041/4042</v>
      </c>
      <c r="L191" s="22" t="str">
        <f>VLOOKUP(A191,'Trips&amp;Operators'!$C$1:$E$10000,3,FALSE)</f>
        <v>ADANE</v>
      </c>
      <c r="M191" s="6">
        <f t="shared" si="37"/>
        <v>1.1712962957972195E-2</v>
      </c>
      <c r="N191" s="7">
        <f t="shared" si="38"/>
        <v>16.866666659479961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18:38:24-700',mode:absolute,to:'2016-11-13 20:57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5.8642000000000003</v>
      </c>
      <c r="Z191" s="67">
        <f t="shared" si="45"/>
        <v>6.7100000000000007E-2</v>
      </c>
      <c r="AA191" s="67">
        <f t="shared" si="46"/>
        <v>5.7971000000000004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47"/>
        <v>1828-13</v>
      </c>
      <c r="AE191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91" s="88" t="str">
        <f t="shared" si="49"/>
        <v>"C:\Program Files (x86)\AstroGrep\AstroGrep.exe" /spath="%USERPROFILE%\AppData\Local\Temp\OnboardLogs" /stypes="app*4041*20161114*" /stext=" 02:.+((SYSTEM_STATE.+slice.+state.+changed )|(ment ac)|(system.+state.+changed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1828-13 --locoid 4041 --swversion DE.1.0.8.0 --startMP 300:58642 --initTime 2016-11-13T19:38:24 --startdatetime 2016-11-13T19:40:22 --delay 1 --endMP 204:671 --enddatetime 2016-11-13T19:57:14 --enforcementcount 0 &gt;&gt;C:\Users\stu\Documents\GitHub\eaglep3-reporting\EC\2016-11-13-refined-times.txt</v>
      </c>
      <c r="AI191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{"issue":{"subject":"","project_id":79,"tracker_id":40,"status_id":1,"priority_id":2,"assigned_to_id":23,"start_date":"2016-11-13","description":"","custom_fields":[{"id":1,"name":"Subdivision","value":"NW"},{"id":4,"name":"Milepost","value":"0.0671"},{"id":17,"name":"Train ID","value":"1828-13"},{"id":16,"name":"Locomotive ID","value":"4041"},{"id":130,"name":"Impact","value":""},{"id":150,"name":"Time of Event (Mountain Time)","value":"19:57:14"},{"id":151,"name":"Denver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619</v>
      </c>
      <c r="B192" s="7">
        <v>4042</v>
      </c>
      <c r="C192" s="22" t="s">
        <v>225</v>
      </c>
      <c r="D192" s="22" t="s">
        <v>735</v>
      </c>
      <c r="E192" s="13">
        <v>42687.83284722222</v>
      </c>
      <c r="F192" s="13">
        <v>42687.848634259259</v>
      </c>
      <c r="G192" s="7">
        <v>1</v>
      </c>
      <c r="H192" s="22" t="s">
        <v>736</v>
      </c>
      <c r="I192" s="13">
        <v>42687.858402777776</v>
      </c>
      <c r="J192" s="7">
        <v>0</v>
      </c>
      <c r="K192" s="109" t="str">
        <f t="shared" si="36"/>
        <v>4041/4042</v>
      </c>
      <c r="L192" s="22" t="str">
        <f>VLOOKUP(A192,'Trips&amp;Operators'!$C$1:$E$10000,3,FALSE)</f>
        <v>ADANE</v>
      </c>
      <c r="M192" s="6">
        <f t="shared" si="37"/>
        <v>9.7685185173759237E-3</v>
      </c>
      <c r="N192" s="7">
        <f t="shared" si="38"/>
        <v>14.06666666502133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18:59:18-700',mode:absolute,to:'2016-11-13 21:36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9.6500000000000002E-2</v>
      </c>
      <c r="Z192" s="67">
        <f t="shared" si="45"/>
        <v>5.8983999999999996</v>
      </c>
      <c r="AA192" s="67">
        <f t="shared" si="46"/>
        <v>5.8018999999999998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47"/>
        <v>1829-13</v>
      </c>
      <c r="AE192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92" s="88" t="str">
        <f t="shared" si="49"/>
        <v>"C:\Program Files (x86)\AstroGrep\AstroGrep.exe" /spath="%USERPROFILE%\AppData\Local\Temp\OnboardLogs" /stypes="app*4042*20161114*" /stext=" 03:.+((SYSTEM_STATE.+slice.+state.+changed )|(ment ac)|(system.+state.+changed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1829-13 --locoid 4042 --swversion DE.1.0.8.0 --startMP 204:965 --initTime 2016-11-13T19:59:18 --startdatetime 2016-11-13T20:22:02 --delay 1 --endMP 300:58984 --enddatetime 2016-11-13T20:36:06 --enforcementcount 0 &gt;&gt;C:\Users\stu\Documents\GitHub\eaglep3-reporting\EC\2016-11-13-refined-times.txt</v>
      </c>
      <c r="AI192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{"issue":{"subject":"","project_id":79,"tracker_id":40,"status_id":1,"priority_id":2,"assigned_to_id":23,"start_date":"2016-11-13","description":"","custom_fields":[{"id":1,"name":"Subdivision","value":"NW"},{"id":4,"name":"Milepost","value":"5.8984"},{"id":17,"name":"Train ID","value":"1829-13"},{"id":16,"name":"Locomotive ID","value":"4042"},{"id":130,"name":"Impact","value":""},{"id":150,"name":"Time of Event (Mountain Time)","value":"20:36:06"},{"id":151,"name":"Denver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622</v>
      </c>
      <c r="B193" s="7">
        <v>4041</v>
      </c>
      <c r="C193" s="22" t="s">
        <v>225</v>
      </c>
      <c r="D193" s="22" t="s">
        <v>738</v>
      </c>
      <c r="E193" s="13">
        <v>42687.8594212963</v>
      </c>
      <c r="F193" s="13">
        <v>42687.861516203702</v>
      </c>
      <c r="G193" s="7">
        <v>1</v>
      </c>
      <c r="H193" s="22" t="s">
        <v>739</v>
      </c>
      <c r="I193" s="13">
        <v>42687.871215277781</v>
      </c>
      <c r="J193" s="7">
        <v>0</v>
      </c>
      <c r="K193" s="109" t="str">
        <f t="shared" si="36"/>
        <v>4041/4042</v>
      </c>
      <c r="L193" s="22" t="str">
        <f>VLOOKUP(A193,'Trips&amp;Operators'!$C$1:$E$10000,3,FALSE)</f>
        <v>ADANE</v>
      </c>
      <c r="M193" s="6">
        <f t="shared" si="37"/>
        <v>9.6990740785258822E-3</v>
      </c>
      <c r="N193" s="7">
        <f t="shared" si="38"/>
        <v>13.96666667307727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19:37:34-700',mode:absolute,to:'2016-11-13 21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3" s="52" t="str">
        <f t="shared" si="42"/>
        <v>N</v>
      </c>
      <c r="X193" s="177">
        <f t="shared" si="43"/>
        <v>1</v>
      </c>
      <c r="Y193" s="67">
        <f t="shared" si="44"/>
        <v>5.8676000000000004</v>
      </c>
      <c r="Z193" s="67">
        <f t="shared" si="45"/>
        <v>6.4899999999999999E-2</v>
      </c>
      <c r="AA193" s="67">
        <f t="shared" si="46"/>
        <v>5.8027000000000006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47"/>
        <v>1830-13</v>
      </c>
      <c r="AE193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93" s="88" t="str">
        <f t="shared" si="49"/>
        <v>"C:\Program Files (x86)\AstroGrep\AstroGrep.exe" /spath="%USERPROFILE%\AppData\Local\Temp\OnboardLogs" /stypes="app*4041*20161114*" /stext=" 03:.+((SYSTEM_STATE.+slice.+state.+changed )|(ment ac)|(system.+state.+changed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1830-13 --locoid 4041 --swversion DE.1.0.8.0 --startMP 300:58676 --initTime 2016-11-13T20:37:34 --startdatetime 2016-11-13T20:40:35 --delay 1 --endMP 204:649 --enddatetime 2016-11-13T20:54:33 --enforcementcount 0 &gt;&gt;C:\Users\stu\Documents\GitHub\eaglep3-reporting\EC\2016-11-13-refined-times.txt</v>
      </c>
      <c r="AI193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{"issue":{"subject":"","project_id":79,"tracker_id":40,"status_id":1,"priority_id":2,"assigned_to_id":23,"start_date":"2016-11-13","description":"","custom_fields":[{"id":1,"name":"Subdivision","value":"NW"},{"id":4,"name":"Milepost","value":"0.0649"},{"id":17,"name":"Train ID","value":"1830-13"},{"id":16,"name":"Locomotive ID","value":"4041"},{"id":130,"name":"Impact","value":""},{"id":150,"name":"Time of Event (Mountain Time)","value":"20:54:33"},{"id":151,"name":"Denver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466</v>
      </c>
      <c r="B194" s="7">
        <v>4042</v>
      </c>
      <c r="C194" s="22" t="s">
        <v>225</v>
      </c>
      <c r="D194" s="22" t="s">
        <v>740</v>
      </c>
      <c r="E194" s="13">
        <v>42687.872534722221</v>
      </c>
      <c r="F194" s="13">
        <v>42687.890023148146</v>
      </c>
      <c r="G194" s="7">
        <v>1</v>
      </c>
      <c r="H194" s="22" t="s">
        <v>413</v>
      </c>
      <c r="I194" s="13">
        <v>42687.900925925926</v>
      </c>
      <c r="J194" s="7">
        <v>0</v>
      </c>
      <c r="K194" s="109" t="str">
        <f t="shared" si="36"/>
        <v>4041/4042</v>
      </c>
      <c r="L194" s="22" t="str">
        <f>VLOOKUP(A194,'Trips&amp;Operators'!$C$1:$E$10000,3,FALSE)</f>
        <v>ADANE</v>
      </c>
      <c r="M194" s="6">
        <f t="shared" si="37"/>
        <v>1.0902777779847383E-2</v>
      </c>
      <c r="N194" s="7">
        <f t="shared" si="38"/>
        <v>15.700000002980232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19:56:27-700',mode:absolute,to:'2016-11-13 22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4" s="52" t="str">
        <f t="shared" si="42"/>
        <v>N</v>
      </c>
      <c r="X194" s="177">
        <f t="shared" si="43"/>
        <v>1</v>
      </c>
      <c r="Y194" s="67">
        <f t="shared" si="44"/>
        <v>9.3899999999999997E-2</v>
      </c>
      <c r="Z194" s="67">
        <f t="shared" si="45"/>
        <v>5.8949999999999996</v>
      </c>
      <c r="AA194" s="67">
        <f t="shared" si="46"/>
        <v>5.8010999999999999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47"/>
        <v>1831-13</v>
      </c>
      <c r="AE194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94" s="88" t="str">
        <f t="shared" si="49"/>
        <v>"C:\Program Files (x86)\AstroGrep\AstroGrep.exe" /spath="%USERPROFILE%\AppData\Local\Temp\OnboardLogs" /stypes="app*4042*20161114*" /stext=" 04:.+((SYSTEM_STATE.+slice.+state.+changed )|(ment ac)|(system.+state.+changed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1831-13 --locoid 4042 --swversion DE.1.0.8.0 --startMP 204:939 --initTime 2016-11-13T20:56:27 --startdatetime 2016-11-13T21:21:38 --delay 1 --endMP 300:58950 --enddatetime 2016-11-13T21:37:20 --enforcementcount 0 &gt;&gt;C:\Users\stu\Documents\GitHub\eaglep3-reporting\EC\2016-11-13-refined-times.txt</v>
      </c>
      <c r="AI194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{"issue":{"subject":"","project_id":79,"tracker_id":40,"status_id":1,"priority_id":2,"assigned_to_id":23,"start_date":"2016-11-13","description":"","custom_fields":[{"id":1,"name":"Subdivision","value":"NW"},{"id":4,"name":"Milepost","value":"5.895"},{"id":17,"name":"Train ID","value":"1831-13"},{"id":16,"name":"Locomotive ID","value":"4042"},{"id":130,"name":"Impact","value":""},{"id":150,"name":"Time of Event (Mountain Time)","value":"21:37:20"},{"id":151,"name":"Denver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627</v>
      </c>
      <c r="B195" s="7">
        <v>4041</v>
      </c>
      <c r="C195" s="22" t="s">
        <v>225</v>
      </c>
      <c r="D195" s="22" t="s">
        <v>414</v>
      </c>
      <c r="E195" s="13">
        <v>42687.902430555558</v>
      </c>
      <c r="F195" s="13">
        <v>42687.903900462959</v>
      </c>
      <c r="G195" s="7">
        <v>1</v>
      </c>
      <c r="H195" s="22" t="s">
        <v>741</v>
      </c>
      <c r="I195" s="13">
        <v>42687.912916666668</v>
      </c>
      <c r="J195" s="7">
        <v>0</v>
      </c>
      <c r="K195" s="109" t="str">
        <f t="shared" si="36"/>
        <v>4041/4042</v>
      </c>
      <c r="L195" s="22" t="str">
        <f>VLOOKUP(A195,'Trips&amp;Operators'!$C$1:$E$10000,3,FALSE)</f>
        <v>ADANE</v>
      </c>
      <c r="M195" s="6">
        <f t="shared" si="37"/>
        <v>9.0162037085974589E-3</v>
      </c>
      <c r="N195" s="7">
        <f t="shared" si="38"/>
        <v>12.983333340380341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20:39:30-700',mode:absolute,to:'2016-11-13 22:54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5" s="52" t="str">
        <f t="shared" si="42"/>
        <v>N</v>
      </c>
      <c r="X195" s="177">
        <f t="shared" si="43"/>
        <v>1</v>
      </c>
      <c r="Y195" s="67">
        <f t="shared" si="44"/>
        <v>5.8638000000000003</v>
      </c>
      <c r="Z195" s="67">
        <f t="shared" si="45"/>
        <v>6.3100000000000003E-2</v>
      </c>
      <c r="AA195" s="67">
        <f t="shared" si="46"/>
        <v>5.8007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47"/>
        <v>1832-13</v>
      </c>
      <c r="AE195" s="91" t="str">
        <f t="shared" si="48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195" s="88" t="str">
        <f t="shared" si="49"/>
        <v>"C:\Program Files (x86)\AstroGrep\AstroGrep.exe" /spath="%USERPROFILE%\AppData\Local\Temp\OnboardLogs" /stypes="app*4041*20161114*" /stext=" 04:.+((SYSTEM_STATE.+slice.+state.+changed )|(ment ac)|(system.+state.+changed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1832-13 --locoid 4041 --swversion DE.1.0.8.0 --startMP 300:58638 --initTime 2016-11-13T21:39:30 --startdatetime 2016-11-13T21:41:37 --delay 1 --endMP 204:631 --enddatetime 2016-11-13T21:54:36 --enforcementcount 0 &gt;&gt;C:\Users\stu\Documents\GitHub\eaglep3-reporting\EC\2016-11-13-refined-times.txt</v>
      </c>
      <c r="AI195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{"issue":{"subject":"","project_id":79,"tracker_id":40,"status_id":1,"priority_id":2,"assigned_to_id":23,"start_date":"2016-11-13","description":"","custom_fields":[{"id":1,"name":"Subdivision","value":"NW"},{"id":4,"name":"Milepost","value":"0.0631"},{"id":17,"name":"Train ID","value":"1832-13"},{"id":16,"name":"Locomotive ID","value":"4041"},{"id":130,"name":"Impact","value":""},{"id":150,"name":"Time of Event (Mountain Time)","value":"21:54:36"},{"id":151,"name":"Denver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630</v>
      </c>
      <c r="B196" s="7">
        <v>4042</v>
      </c>
      <c r="C196" s="22" t="s">
        <v>225</v>
      </c>
      <c r="D196" s="22" t="s">
        <v>742</v>
      </c>
      <c r="E196" s="13">
        <v>42687.926979166667</v>
      </c>
      <c r="F196" s="13">
        <v>42687.931712962964</v>
      </c>
      <c r="G196" s="7">
        <v>1</v>
      </c>
      <c r="H196" s="22" t="s">
        <v>422</v>
      </c>
      <c r="I196" s="13">
        <v>42687.941284722219</v>
      </c>
      <c r="J196" s="7">
        <v>0</v>
      </c>
      <c r="K196" s="109" t="str">
        <f t="shared" si="36"/>
        <v>4041/4042</v>
      </c>
      <c r="L196" s="22" t="str">
        <f>VLOOKUP(A196,'Trips&amp;Operators'!$C$1:$E$10000,3,FALSE)</f>
        <v>ADANE</v>
      </c>
      <c r="M196" s="6">
        <f t="shared" si="37"/>
        <v>9.5717592557775788E-3</v>
      </c>
      <c r="N196" s="7">
        <f t="shared" si="38"/>
        <v>13.783333328319713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21:14:51-700',mode:absolute,to:'2016-11-13 23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6" s="52" t="str">
        <f t="shared" si="42"/>
        <v>N</v>
      </c>
      <c r="X196" s="177">
        <f t="shared" si="43"/>
        <v>1</v>
      </c>
      <c r="Y196" s="67">
        <f t="shared" si="44"/>
        <v>9.3700000000000006E-2</v>
      </c>
      <c r="Z196" s="67">
        <f t="shared" si="45"/>
        <v>5.8975999999999997</v>
      </c>
      <c r="AA196" s="67">
        <f t="shared" si="46"/>
        <v>5.8038999999999996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47"/>
        <v>1833-13</v>
      </c>
      <c r="AE196" s="91" t="str">
        <f t="shared" si="48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196" s="88" t="str">
        <f t="shared" si="49"/>
        <v>"C:\Program Files (x86)\AstroGrep\AstroGrep.exe" /spath="%USERPROFILE%\AppData\Local\Temp\OnboardLogs" /stypes="app*4042*20161114*" /stext=" 05:.+((SYSTEM_STATE.+slice.+state.+changed )|(ment ac)|(system.+state.+changed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1833-13 --locoid 4042 --swversion DE.1.0.8.0 --startMP 204:937 --initTime 2016-11-13T22:14:51 --startdatetime 2016-11-13T22:21:40 --delay 1 --endMP 300:58976 --enddatetime 2016-11-13T22:35:27 --enforcementcount 0 &gt;&gt;C:\Users\stu\Documents\GitHub\eaglep3-reporting\EC\2016-11-13-refined-times.txt</v>
      </c>
      <c r="AI196" s="119" t="str">
        <f t="shared" si="52"/>
        <v>echo {"issue":{"subject":"","project_id":79,"tracker_id":40,"status_id":1,"priority_id":2,"assigned_to_id":23,"start_date":"2016-11-13","description":"","custom_fields":[{"id":1,"name":"Subdivision","value":"NW"},{"id":4,"name":"Milepost","value":"5.8976"},{"id":17,"name":"Train ID","value":"1833-13"},{"id":16,"name":"Locomotive ID","value":"4042"},{"id":130,"name":"Impact","value":""},{"id":150,"name":"Time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467</v>
      </c>
      <c r="B197" s="7">
        <v>4008</v>
      </c>
      <c r="C197" s="22" t="s">
        <v>225</v>
      </c>
      <c r="D197" s="22" t="s">
        <v>766</v>
      </c>
      <c r="E197" s="13">
        <v>42687.119050925925</v>
      </c>
      <c r="F197" s="13">
        <v>42687.120381944442</v>
      </c>
      <c r="G197" s="7">
        <v>1</v>
      </c>
      <c r="H197" s="22" t="s">
        <v>429</v>
      </c>
      <c r="I197" s="13">
        <v>42687.127025462964</v>
      </c>
      <c r="J197" s="7">
        <v>0</v>
      </c>
      <c r="K197" s="109" t="str">
        <f t="shared" si="36"/>
        <v>4007/4008</v>
      </c>
      <c r="L197" s="22" t="str">
        <f>VLOOKUP(A197,'Trips&amp;Operators'!$C$1:$E$10000,3,FALSE)</f>
        <v>KILLION</v>
      </c>
      <c r="M197" s="6">
        <f t="shared" si="37"/>
        <v>6.6435185217414983E-3</v>
      </c>
      <c r="N197" s="7">
        <f t="shared" si="38"/>
        <v>9.5666666713077575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01:51:26-700',mode:absolute,to:'2016-11-13 04:02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7" s="52" t="str">
        <f t="shared" si="42"/>
        <v>Y</v>
      </c>
      <c r="X197" s="177">
        <f t="shared" si="43"/>
        <v>-1531</v>
      </c>
      <c r="Y197" s="67">
        <f t="shared" si="44"/>
        <v>2.3129</v>
      </c>
      <c r="Z197" s="67">
        <f t="shared" si="45"/>
        <v>1.6899999999999998E-2</v>
      </c>
      <c r="AA197" s="67">
        <f t="shared" si="46"/>
        <v>2.2959999999999998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47"/>
        <v>0302-13</v>
      </c>
      <c r="AE197" s="91" t="str">
        <f t="shared" si="48"/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AF197" s="88" t="str">
        <f t="shared" si="49"/>
        <v>"C:\Program Files (x86)\AstroGrep\AstroGrep.exe" /spath="%USERPROFILE%\AppData\Local\Temp\OnboardLogs" /stypes="app*4008*20161113*" /stext=" 10:.+((SYSTEM_STATE.+slice.+state.+changed )|(ment ac)|(system.+state.+changed )|(\[timeout)|(PRM\|1\|D)|(kpr)|(kdp)|(\|lc)|(penalty))"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302-13 --locoid 4008 --swversion DE.1.0.8.0 --startMP 300:23129 --initTime 2016-11-13T02:51:26 --startdatetime 2016-11-13T02:53:21 --delay 1 --endMP 204:169 --enddatetime 2016-11-13T03:02:55 --enforcementcount 0 &gt;&gt;C:\Users\stu\Documents\GitHub\eaglep3-reporting\EC\2016-11-13-refined-times.txt</v>
      </c>
      <c r="AI197" s="119" t="str">
        <f t="shared" si="52"/>
        <v>echo {"issue":{"subject":"","project_id":79,"tracker_id":40,"status_id":1,"priority_id":2,"assigned_to_id":23,"start_date":"2016-11-13","description":"","custom_fields":[{"id":1,"name":"Subdivision","value":"Other"},{"id":4,"name":"Milepost","value":"0.0169"},{"id":17,"name":"Train ID","value":"302-13"},{"id":16,"name":"Locomotive ID","value":"4008"},{"id":130,"name":"Impact","value":""},{"id":150,"name":"Time of Event (Mountain Time)","value":"03:02:55"},{"id":151,"name":"Denver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606</v>
      </c>
      <c r="B198" s="7">
        <v>4029</v>
      </c>
      <c r="C198" s="22" t="s">
        <v>225</v>
      </c>
      <c r="D198" s="22" t="s">
        <v>201</v>
      </c>
      <c r="E198" s="13">
        <v>42687.77789351852</v>
      </c>
      <c r="F198" s="13">
        <v>25568.708333333332</v>
      </c>
      <c r="G198" s="7">
        <v>1</v>
      </c>
      <c r="H198" s="22" t="s">
        <v>767</v>
      </c>
      <c r="I198" s="13">
        <v>25568.708333333332</v>
      </c>
      <c r="J198" s="7">
        <v>0</v>
      </c>
      <c r="K198" s="109" t="str">
        <f t="shared" si="36"/>
        <v>4029/4030</v>
      </c>
      <c r="L198" s="22" t="str">
        <f>VLOOKUP(A198,'Trips&amp;Operators'!$C$1:$E$10000,3,FALSE)</f>
        <v>MOSES</v>
      </c>
      <c r="M198" s="6">
        <f t="shared" si="37"/>
        <v>0</v>
      </c>
      <c r="N198" s="7">
        <f t="shared" si="38"/>
        <v>0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17:40:10-700',mode:absolute,to:'1969-12-31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8" s="52" t="str">
        <f t="shared" si="42"/>
        <v>Y</v>
      </c>
      <c r="X198" s="177">
        <f t="shared" si="43"/>
        <v>1</v>
      </c>
      <c r="Y198" s="67">
        <f t="shared" si="44"/>
        <v>4.53E-2</v>
      </c>
      <c r="Z198" s="67">
        <f t="shared" si="45"/>
        <v>2.3313999999999999</v>
      </c>
      <c r="AA198" s="67">
        <f t="shared" si="46"/>
        <v>2.2860999999999998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47"/>
        <v>0303-13</v>
      </c>
      <c r="AE198" s="91" t="str">
        <f t="shared" si="48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198" s="88" t="str">
        <f t="shared" si="49"/>
        <v>"C:\Program Files (x86)\AstroGrep\AstroGrep.exe" /spath="%USERPROFILE%\AppData\Local\Temp\OnboardLogs" /stypes="app*4029*19700101*" /stext=" 00:.+((SYSTEM_STATE.+slice.+state.+changed )|(ment ac)|(system.+state.+changed )|(\[timeout)|(PRM\|1\|D)|(kpr)|(kdp)|(\|lc)|(penalty))"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303-13 --locoid 4029 --swversion DE.1.0.8.0 --startMP 204:453 --initTime 2016-11-13T18:40:10 --startdatetime 1969-12-31T17:00:00 --delay 1 --endMP 300:23314 --enddatetime 1969-12-31T17:00:00 --enforcementcount 0 &gt;&gt;C:\Users\stu\Documents\GitHub\eaglep3-reporting\EC\2016-11-13-refined-times.txt</v>
      </c>
      <c r="AI198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ID","value":"303-13"},{"id":16,"name":"Locomotive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469</v>
      </c>
      <c r="B199" s="7">
        <v>4001</v>
      </c>
      <c r="C199" s="22" t="s">
        <v>225</v>
      </c>
      <c r="D199" s="22" t="s">
        <v>768</v>
      </c>
      <c r="E199" s="13">
        <v>42687.140949074077</v>
      </c>
      <c r="F199" s="13">
        <v>42687.142256944448</v>
      </c>
      <c r="G199" s="7">
        <v>1</v>
      </c>
      <c r="H199" s="22" t="s">
        <v>769</v>
      </c>
      <c r="I199" s="13">
        <v>42687.148449074077</v>
      </c>
      <c r="J199" s="7">
        <v>0</v>
      </c>
      <c r="K199" s="109" t="str">
        <f t="shared" si="36"/>
        <v>4001/4002</v>
      </c>
      <c r="L199" s="22" t="str">
        <f>VLOOKUP(A199,'Trips&amp;Operators'!$C$1:$E$10000,3,FALSE)</f>
        <v>ACKERMAN</v>
      </c>
      <c r="M199" s="6">
        <f t="shared" si="37"/>
        <v>6.1921296291984618E-3</v>
      </c>
      <c r="N199" s="7">
        <f t="shared" si="38"/>
        <v>8.916666666045785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02:22:58-700',mode:absolute,to:'2016-11-13 04:33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9" s="52" t="str">
        <f t="shared" si="42"/>
        <v>Y</v>
      </c>
      <c r="X199" s="177">
        <f t="shared" si="43"/>
        <v>1</v>
      </c>
      <c r="Y199" s="67">
        <f t="shared" si="44"/>
        <v>2.2332999999999998</v>
      </c>
      <c r="Z199" s="67">
        <f t="shared" si="45"/>
        <v>7.6E-3</v>
      </c>
      <c r="AA199" s="67">
        <f t="shared" si="46"/>
        <v>2.2256999999999998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47"/>
        <v>0304-13</v>
      </c>
      <c r="AE199" s="91" t="str">
        <f t="shared" si="48"/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AF199" s="88" t="str">
        <f t="shared" si="49"/>
        <v>"C:\Program Files (x86)\AstroGrep\AstroGrep.exe" /spath="%USERPROFILE%\AppData\Local\Temp\OnboardLogs" /stypes="app*4001*20161113*" /stext=" 10:.+((SYSTEM_STATE.+slice.+state.+changed )|(ment ac)|(system.+state.+changed )|(\[timeout)|(PRM\|1\|D)|(kpr)|(kdp)|(\|lc)|(penalty))"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304-13 --locoid 4001 --swversion DE.1.0.8.0 --startMP 300:22333 --initTime 2016-11-13T03:22:58 --startdatetime 2016-11-13T03:24:51 --delay 1 --endMP 204:76 --enddatetime 2016-11-13T03:33:46 --enforcementcount 0 &gt;&gt;C:\Users\stu\Documents\GitHub\eaglep3-reporting\EC\2016-11-13-refined-times.txt</v>
      </c>
      <c r="AI199" s="119" t="str">
        <f t="shared" si="52"/>
        <v>echo {"issue":{"subject":"","project_id":79,"tracker_id":40,"status_id":1,"priority_id":2,"assigned_to_id":23,"start_date":"2016-11-13","description":"","custom_fields":[{"id":1,"name":"Subdivision","value":"Other"},{"id":4,"name":"Milepost","value":"0.0076"},{"id":17,"name":"Train ID","value":"304-13"},{"id":16,"name":"Locomotive ID","value":"4001"},{"id":130,"name":"Impact","value":""},{"id":150,"name":"Time of Event (Mountain Time)","value":"03:33:46"},{"id":151,"name":"Denver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614</v>
      </c>
      <c r="B200" s="7">
        <v>4022</v>
      </c>
      <c r="C200" s="22" t="s">
        <v>225</v>
      </c>
      <c r="D200" s="22" t="s">
        <v>290</v>
      </c>
      <c r="E200" s="13">
        <v>42687.811203703706</v>
      </c>
      <c r="F200" s="13">
        <v>25568.708333333332</v>
      </c>
      <c r="G200" s="7">
        <v>1</v>
      </c>
      <c r="H200" s="22" t="s">
        <v>770</v>
      </c>
      <c r="I200" s="13">
        <v>25568.708333333332</v>
      </c>
      <c r="J200" s="7">
        <v>0</v>
      </c>
      <c r="K200" s="109" t="str">
        <f t="shared" si="36"/>
        <v>4021/4022</v>
      </c>
      <c r="L200" s="22" t="str">
        <f>VLOOKUP(A200,'Trips&amp;Operators'!$C$1:$E$10000,3,FALSE)</f>
        <v>HOLCOMB</v>
      </c>
      <c r="M200" s="6">
        <f t="shared" si="37"/>
        <v>0</v>
      </c>
      <c r="N200" s="7">
        <f t="shared" si="38"/>
        <v>0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18:28:08-700',mode:absolute,to:'1969-12-31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0" s="52" t="str">
        <f t="shared" si="42"/>
        <v>Y</v>
      </c>
      <c r="X200" s="177">
        <f t="shared" si="43"/>
        <v>1</v>
      </c>
      <c r="Y200" s="67">
        <f t="shared" si="44"/>
        <v>4.7100000000000003E-2</v>
      </c>
      <c r="Z200" s="67">
        <f t="shared" si="45"/>
        <v>2.3306</v>
      </c>
      <c r="AA200" s="67">
        <f t="shared" si="46"/>
        <v>2.2835000000000001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47"/>
        <v>0305-13</v>
      </c>
      <c r="AE200" s="91" t="str">
        <f t="shared" si="48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0" s="88" t="str">
        <f t="shared" si="49"/>
        <v>"C:\Program Files (x86)\AstroGrep\AstroGrep.exe" /spath="%USERPROFILE%\AppData\Local\Temp\OnboardLogs" /stypes="app*4022*19700101*" /stext=" 00:.+((SYSTEM_STATE.+slice.+state.+changed )|(ment ac)|(system.+state.+changed )|(\[timeout)|(PRM\|1\|D)|(kpr)|(kdp)|(\|lc)|(penalty))" /e /r /s</v>
      </c>
      <c r="AG200" s="1" t="str">
        <f t="shared" si="50"/>
        <v>Other</v>
      </c>
      <c r="AH200" s="92" t="str">
        <f t="shared" si="51"/>
        <v>"%USERPROFILE%\Documents\GitHub\eaglep3\Utilities\RefineRTDCRunTimes.py" --tripid 305-13 --locoid 4022 --swversion DE.1.0.8.0 --startMP 204:471 --initTime 2016-11-13T19:28:08 --startdatetime 1969-12-31T17:00:00 --delay 1 --endMP 300:23306 --enddatetime 1969-12-31T17:00:00 --enforcementcount 0 &gt;&gt;C:\Users\stu\Documents\GitHub\eaglep3-reporting\EC\2016-11-13-refined-times.txt</v>
      </c>
      <c r="AI200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ID","value":"305-13"},{"id":16,"name":"Locomotive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438</v>
      </c>
      <c r="B201" s="7">
        <v>4015</v>
      </c>
      <c r="C201" s="22" t="s">
        <v>225</v>
      </c>
      <c r="D201" s="22" t="s">
        <v>771</v>
      </c>
      <c r="E201" s="13">
        <v>42687.155081018522</v>
      </c>
      <c r="F201" s="13">
        <v>42687.15792824074</v>
      </c>
      <c r="G201" s="7">
        <v>3</v>
      </c>
      <c r="H201" s="22" t="s">
        <v>197</v>
      </c>
      <c r="I201" s="13">
        <v>42687.164270833331</v>
      </c>
      <c r="J201" s="7">
        <v>0</v>
      </c>
      <c r="K201" s="109" t="str">
        <f t="shared" si="36"/>
        <v>4015/4016</v>
      </c>
      <c r="L201" s="22" t="str">
        <f>VLOOKUP(A201,'Trips&amp;Operators'!$C$1:$E$10000,3,FALSE)</f>
        <v>OUN</v>
      </c>
      <c r="M201" s="6">
        <f t="shared" si="37"/>
        <v>6.3425925909541547E-3</v>
      </c>
      <c r="N201" s="7">
        <f t="shared" si="38"/>
        <v>9.1333333309739828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02:43:19-700',mode:absolute,to:'2016-11-13 04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1" s="52" t="str">
        <f t="shared" si="42"/>
        <v>Y</v>
      </c>
      <c r="X201" s="177">
        <f t="shared" si="43"/>
        <v>1</v>
      </c>
      <c r="Y201" s="67">
        <f t="shared" si="44"/>
        <v>2.3342999999999998</v>
      </c>
      <c r="Z201" s="67">
        <f t="shared" si="45"/>
        <v>1.4500000000000001E-2</v>
      </c>
      <c r="AA201" s="67">
        <f t="shared" si="46"/>
        <v>2.3197999999999999</v>
      </c>
      <c r="AB201" s="64" t="str">
        <f>VLOOKUP(A201,Enforcements!$C$7:$K$20,8,0)</f>
        <v>Form based authority (4)</v>
      </c>
      <c r="AC201" s="60" t="str">
        <f>VLOOKUP(A201,Enforcements!$C$7:$E$20,3,0)</f>
        <v>TRACK WARRANT AUTHORITY</v>
      </c>
      <c r="AD201" s="61" t="str">
        <f t="shared" si="47"/>
        <v>0306-13</v>
      </c>
      <c r="AE201" s="91" t="str">
        <f t="shared" si="48"/>
        <v>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 &amp; 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</v>
      </c>
      <c r="AF201" s="88" t="str">
        <f t="shared" si="49"/>
        <v>"C:\Program Files (x86)\AstroGrep\AstroGrep.exe" /spath="%USERPROFILE%\AppData\Local\Temp\OnboardLogs" /stypes="app*4015*20161113*" /stext=" 10:.+((SYSTEM_STATE.+slice.+state.+changed )|(ment ac)|(system.+state.+changed )|(\[timeout)|(PRM\|1\|D)|(kpr)|(kdp)|(\|lc)|(penalty))" /e /r /s</v>
      </c>
      <c r="AG201" s="1" t="str">
        <f t="shared" si="50"/>
        <v>Other</v>
      </c>
      <c r="AH201" s="92" t="str">
        <f t="shared" si="51"/>
        <v>"%USERPROFILE%\Documents\GitHub\eaglep3\Utilities\RefineRTDCRunTimes.py" --tripid 306-13 --locoid 4015 --swversion DE.1.0.8.0 --startMP 300:23343 --initTime 2016-11-13T03:43:19 --startdatetime 2016-11-13T03:47:25 --delay 3 --endMP 204:145 --enddatetime 2016-11-13T03:56:33 --enforcementcount 0 &gt;&gt;C:\Users\stu\Documents\GitHub\eaglep3-reporting\EC\2016-11-13-refined-times.txt</v>
      </c>
      <c r="AI201" s="119" t="str">
        <f t="shared" si="52"/>
        <v>echo {"issue":{"subject":"","project_id":79,"tracker_id":40,"status_id":1,"priority_id":2,"assigned_to_id":23,"start_date":"2016-11-13","description":"","custom_fields":[{"id":1,"name":"Subdivision","value":"Other"},{"id":4,"name":"Milepost","value":"0.0145"},{"id":17,"name":"Train ID","value":"306-13"},{"id":16,"name":"Locomotive ID","value":"4015"},{"id":130,"name":"Impact","value":""},{"id":150,"name":"Time of Event (Mountain Time)","value":"03:56:33"},{"id":151,"name":"Denver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615</v>
      </c>
      <c r="B202" s="7">
        <v>4002</v>
      </c>
      <c r="C202" s="22" t="s">
        <v>225</v>
      </c>
      <c r="D202" s="22" t="s">
        <v>219</v>
      </c>
      <c r="E202" s="13">
        <v>42687.818761574075</v>
      </c>
      <c r="F202" s="13">
        <v>25568.708333333332</v>
      </c>
      <c r="G202" s="7">
        <v>1</v>
      </c>
      <c r="H202" s="22" t="s">
        <v>436</v>
      </c>
      <c r="I202" s="13">
        <v>25568.708333333332</v>
      </c>
      <c r="J202" s="7">
        <v>0</v>
      </c>
      <c r="K202" s="109" t="str">
        <f t="shared" si="36"/>
        <v>4001/4002</v>
      </c>
      <c r="L202" s="22" t="str">
        <f>VLOOKUP(A202,'Trips&amp;Operators'!$C$1:$E$10000,3,FALSE)</f>
        <v>SHOOK</v>
      </c>
      <c r="M202" s="6">
        <f t="shared" si="37"/>
        <v>0</v>
      </c>
      <c r="N202" s="7">
        <f t="shared" si="38"/>
        <v>0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18:39:01-700',mode:absolute,to:'1969-12-31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2" s="52" t="str">
        <f t="shared" si="42"/>
        <v>Y</v>
      </c>
      <c r="X202" s="177">
        <f t="shared" si="43"/>
        <v>1</v>
      </c>
      <c r="Y202" s="67">
        <f t="shared" si="44"/>
        <v>4.6199999999999998E-2</v>
      </c>
      <c r="Z202" s="67">
        <f t="shared" si="45"/>
        <v>2.3304</v>
      </c>
      <c r="AA202" s="67">
        <f t="shared" si="46"/>
        <v>2.2842000000000002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47"/>
        <v>0307-13</v>
      </c>
      <c r="AE202" s="91" t="str">
        <f t="shared" si="48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2" s="88" t="str">
        <f t="shared" si="49"/>
        <v>"C:\Program Files (x86)\AstroGrep\AstroGrep.exe" /spath="%USERPROFILE%\AppData\Local\Temp\OnboardLogs" /stypes="app*4002*19700101*" /stext=" 00:.+((SYSTEM_STATE.+slice.+state.+changed )|(ment ac)|(system.+state.+changed )|(\[timeout)|(PRM\|1\|D)|(kpr)|(kdp)|(\|lc)|(penalty))" /e /r /s</v>
      </c>
      <c r="AG202" s="1" t="str">
        <f t="shared" si="50"/>
        <v>Other</v>
      </c>
      <c r="AH202" s="92" t="str">
        <f t="shared" si="51"/>
        <v>"%USERPROFILE%\Documents\GitHub\eaglep3\Utilities\RefineRTDCRunTimes.py" --tripid 307-13 --locoid 4002 --swversion DE.1.0.8.0 --startMP 204:462 --initTime 2016-11-13T19:39:01 --startdatetime 1969-12-31T17:00:00 --delay 1 --endMP 300:23304 --enddatetime 1969-12-31T17:00:00 --enforcementcount 0 &gt;&gt;C:\Users\stu\Documents\GitHub\eaglep3-reporting\EC\2016-11-13-refined-times.txt</v>
      </c>
      <c r="AI202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ID","value":"307-13"},{"id":16,"name":"Locomotive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471</v>
      </c>
      <c r="B203" s="7">
        <v>4043</v>
      </c>
      <c r="C203" s="22" t="s">
        <v>225</v>
      </c>
      <c r="D203" s="22" t="s">
        <v>772</v>
      </c>
      <c r="E203" s="13">
        <v>42687.171747685185</v>
      </c>
      <c r="F203" s="13">
        <v>42687.173356481479</v>
      </c>
      <c r="G203" s="7">
        <v>1</v>
      </c>
      <c r="H203" s="22" t="s">
        <v>198</v>
      </c>
      <c r="I203" s="13">
        <v>42687.180706018517</v>
      </c>
      <c r="J203" s="7">
        <v>0</v>
      </c>
      <c r="K203" s="109" t="str">
        <f t="shared" si="36"/>
        <v>4043/4044</v>
      </c>
      <c r="L203" s="22" t="str">
        <f>VLOOKUP(A203,'Trips&amp;Operators'!$C$1:$E$10000,3,FALSE)</f>
        <v>DAVIS</v>
      </c>
      <c r="M203" s="6">
        <f t="shared" si="37"/>
        <v>7.3495370379532687E-3</v>
      </c>
      <c r="N203" s="7">
        <f t="shared" si="38"/>
        <v>10.583333334652707</v>
      </c>
      <c r="O203" s="7"/>
      <c r="P203" s="7"/>
      <c r="Q203" s="23"/>
      <c r="R203" s="23"/>
      <c r="S203" s="35">
        <f t="shared" si="39"/>
        <v>1</v>
      </c>
      <c r="T203" s="50" t="str">
        <f t="shared" si="40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https://search-rtdc-monitor-bjffxe2xuh6vdkpspy63sjmuny.us-east-1.es.amazonaws.com/_plugin/kibana/#/discover/Steve-Slow-Train-Analysis-(2080s-and-2083s)?_g=(refreshInterval:(display:Off,section:0,value:0),time:(from:'2016-11-13 03:07:19-700',mode:absolute,to:'2016-11-13 05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3" s="52" t="str">
        <f t="shared" si="42"/>
        <v>Y</v>
      </c>
      <c r="X203" s="177">
        <f t="shared" si="43"/>
        <v>1</v>
      </c>
      <c r="Y203" s="67">
        <f t="shared" si="44"/>
        <v>2.3313000000000001</v>
      </c>
      <c r="Z203" s="67">
        <f t="shared" si="45"/>
        <v>1.49E-2</v>
      </c>
      <c r="AA203" s="67">
        <f t="shared" si="46"/>
        <v>2.3164000000000002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47"/>
        <v>0308-13</v>
      </c>
      <c r="AE203" s="91" t="str">
        <f t="shared" si="48"/>
        <v>aws s3 cp s3://rtdc.mdm.uploadarchive.raw/RTDC4043/ "%USERPROFILE%\AppData\Local\Temp\OnboardLogs"\RTDC4043\2016-11-13 --exclude "*" --recursive --include "*20161113*" &amp; "%USERPROFILE%\Documents\GitHub\mrs-test-scripts\Headless Mode &amp; Sideloading\WalkAndUnGZ.bat" "%USERPROFILE%\AppData\Local\Temp\OnboardLogs"\RTDC4043\2016-11-13 &amp; aws s3 cp s3://rtdc.mdm.uploadarchive.raw/RTDC4043/ "%USERPROFILE%\AppData\Local\Temp\OnboardLogs"\RTDC4043\2016-11-14 --exclude "*" --recursive --include "*20161114*" &amp; "%USERPROFILE%\Documents\GitHub\mrs-test-scripts\Headless Mode &amp; Sideloading\WalkAndUnGZ.bat" "%USERPROFILE%\AppData\Local\Temp\OnboardLogs"\RTDC4043\2016-11-14</v>
      </c>
      <c r="AF203" s="88" t="str">
        <f t="shared" si="49"/>
        <v>"C:\Program Files (x86)\AstroGrep\AstroGrep.exe" /spath="%USERPROFILE%\AppData\Local\Temp\OnboardLogs" /stypes="app*4043*20161113*" /stext=" 11:.+((SYSTEM_STATE.+slice.+state.+changed )|(ment ac)|(system.+state.+changed )|(\[timeout)|(PRM\|1\|D)|(kpr)|(kdp)|(\|lc)|(penalty))" /e /r /s</v>
      </c>
      <c r="AG203" s="1" t="str">
        <f t="shared" si="50"/>
        <v>Other</v>
      </c>
      <c r="AH203" s="92" t="str">
        <f t="shared" si="51"/>
        <v>"%USERPROFILE%\Documents\GitHub\eaglep3\Utilities\RefineRTDCRunTimes.py" --tripid 308-13 --locoid 4043 --swversion DE.1.0.8.0 --startMP 300:23313 --initTime 2016-11-13T04:07:19 --startdatetime 2016-11-13T04:09:38 --delay 1 --endMP 204:149 --enddatetime 2016-11-13T04:20:13 --enforcementcount 0 &gt;&gt;C:\Users\stu\Documents\GitHub\eaglep3-reporting\EC\2016-11-13-refined-times.txt</v>
      </c>
      <c r="AI203" s="119" t="str">
        <f t="shared" si="52"/>
        <v>echo {"issue":{"subject":"","project_id":79,"tracker_id":40,"status_id":1,"priority_id":2,"assigned_to_id":23,"start_date":"2016-11-13","description":"","custom_fields":[{"id":1,"name":"Subdivision","value":"Other"},{"id":4,"name":"Milepost","value":"0.0149"},{"id":17,"name":"Train ID","value":"308-13"},{"id":16,"name":"Locomotive ID","value":"4043"},{"id":130,"name":"Impact","value":""},{"id":150,"name":"Time of Event (Mountain Time)","value":"04:20:13"},{"id":151,"name":"Denver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642</v>
      </c>
      <c r="B204" s="7">
        <v>4031</v>
      </c>
      <c r="C204" s="22" t="s">
        <v>225</v>
      </c>
      <c r="D204" s="22" t="s">
        <v>407</v>
      </c>
      <c r="E204" s="13">
        <v>42688.028252314813</v>
      </c>
      <c r="F204" s="13">
        <v>42688.029606481483</v>
      </c>
      <c r="G204" s="7">
        <v>1</v>
      </c>
      <c r="H204" s="22" t="s">
        <v>773</v>
      </c>
      <c r="I204" s="13">
        <v>42688.035960648151</v>
      </c>
      <c r="J204" s="7">
        <v>0</v>
      </c>
      <c r="K204" s="109" t="str">
        <f t="shared" ref="K204:K214" si="53">IF(ISEVEN(B204),(B204-1)&amp;"/"&amp;B204,B204&amp;"/"&amp;(B204+1))</f>
        <v>4031/4032</v>
      </c>
      <c r="L204" s="22" t="str">
        <f>VLOOKUP(A204,'Trips&amp;Operators'!$C$1:$E$10000,3,FALSE)</f>
        <v>LEVERE</v>
      </c>
      <c r="M204" s="6">
        <f t="shared" ref="M204:M214" si="54">I204-F204</f>
        <v>6.3541666677338071E-3</v>
      </c>
      <c r="N204" s="7">
        <f t="shared" ref="N204:N214" si="55">24*60*SUM($M204:$M204)</f>
        <v>9.1500000015366822</v>
      </c>
      <c r="O204" s="7"/>
      <c r="P204" s="7"/>
      <c r="Q204" s="23"/>
      <c r="R204" s="23"/>
      <c r="S204" s="35">
        <f t="shared" ref="S204:S214" si="56">SUM(U204:U204)/IF(AG204="EC",12,1)</f>
        <v>1</v>
      </c>
      <c r="T204" s="50" t="str">
        <f t="shared" ref="T204:T214" si="57"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ref="V204:V214" si="58"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https://search-rtdc-monitor-bjffxe2xuh6vdkpspy63sjmuny.us-east-1.es.amazonaws.com/_plugin/kibana/#/discover/Steve-Slow-Train-Analysis-(2080s-and-2083s)?_g=(refreshInterval:(display:Off,section:0,value:0),time:(from:'2016-11-13 23:40:41-700',mode:absolute,to:'2016-11-14 01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4" s="52" t="str">
        <f t="shared" ref="W204:W214" si="59">IF(AA204&lt;IF(AG204="EC",23,5.65),"Y","N")</f>
        <v>Y</v>
      </c>
      <c r="X204" s="177">
        <f t="shared" ref="X204:X214" si="60">VALUE(LEFT(AD204,4))-VALUE(LEFT(AD203,4))</f>
        <v>1</v>
      </c>
      <c r="Y204" s="67">
        <f t="shared" ref="Y204:Y214" si="61">RIGHT(D204,LEN(D204)-4)/10000</f>
        <v>4.7500000000000001E-2</v>
      </c>
      <c r="Z204" s="67">
        <f t="shared" ref="Z204:Z214" si="62">RIGHT(H204,LEN(H204)-4)/10000</f>
        <v>2.2837000000000001</v>
      </c>
      <c r="AA204" s="67">
        <f t="shared" ref="AA204:AA214" si="63">ABS(Z204-Y204)</f>
        <v>2.2362000000000002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ref="AD204:AD214" si="64">IF(LEN(A204)=6,"0"&amp;A204,A204)</f>
        <v>0309-13</v>
      </c>
      <c r="AE204" s="91" t="str">
        <f t="shared" ref="AE204:AE214" si="65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 &amp; aws s3 cp s3://rtdc.mdm.uploadarchive.raw/RTDC4031/ "%USERPROFILE%\AppData\Local\Temp\OnboardLogs"\RTDC4031\2016-11-15 --exclude "*" --recursive --include "*20161115*" &amp; "%USERPROFILE%\Documents\GitHub\mrs-test-scripts\Headless Mode &amp; Sideloading\WalkAndUnGZ.bat" "%USERPROFILE%\AppData\Local\Temp\OnboardLogs"\RTDC4031\2016-11-15</v>
      </c>
      <c r="AF204" s="88" t="str">
        <f t="shared" ref="AF204:AF214" si="66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/stypes="app*4031*20161114*" /stext=" 07:.+((SYSTEM_STATE.+slice.+state.+changed )|(ment ac)|(system.+state.+changed )|(\[timeout)|(PRM\|1\|D)|(kpr)|(kdp)|(\|lc)|(penalty))" /e /r /s</v>
      </c>
      <c r="AG204" s="1" t="str">
        <f t="shared" ref="AG204:AG214" si="67">IFERROR(IF(VALUE(LEFT(AD204,2))&lt;=2,"EC",IF(OR(VALUE(LEFT(AD204,2))=8,VALUE(LEFT(AD204,2))=18),"NW","Other")),"Other")</f>
        <v>Other</v>
      </c>
      <c r="AH204" s="92" t="str">
        <f t="shared" si="51"/>
        <v>"%USERPROFILE%\Documents\GitHub\eaglep3\Utilities\RefineRTDCRunTimes.py" --tripid 309-13 --locoid 4031 --swversion DE.1.0.8.0 --startMP 204:475 --initTime 2016-11-14T00:40:41 --startdatetime 2016-11-14T00:42:38 --delay 1 --endMP 300:22837 --enddatetime 2016-11-14T00:51:47 --enforcementcount 0 &gt;&gt;C:\Users\stu\Documents\GitHub\eaglep3-reporting\EC\2016-11-13-refined-times.txt</v>
      </c>
      <c r="AI204" s="119" t="str">
        <f t="shared" si="52"/>
        <v>echo {"issue":{"subject":"","project_id":79,"tracker_id":40,"status_id":1,"priority_id":2,"assigned_to_id":23,"start_date":"2016-11-14","description":"","custom_fields":[{"id":1,"name":"Subdivision","value":"Other"},{"id":4,"name":"Milepost","value":"2.2837"},{"id":17,"name":"Train ID","value":"309-13"},{"id":16,"name":"Locomotive ID","value":"4031"},{"id":130,"name":"Impact","value":""},{"id":150,"name":"Time of Event (Mountain Time)","value":"00:51:47"},{"id":151,"name":"Denver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473</v>
      </c>
      <c r="B205" s="7">
        <v>4030</v>
      </c>
      <c r="C205" s="22" t="s">
        <v>225</v>
      </c>
      <c r="D205" s="22" t="s">
        <v>774</v>
      </c>
      <c r="E205" s="13">
        <v>42687.179259259261</v>
      </c>
      <c r="F205" s="13">
        <v>42687.180590277778</v>
      </c>
      <c r="G205" s="7">
        <v>1</v>
      </c>
      <c r="H205" s="22" t="s">
        <v>198</v>
      </c>
      <c r="I205" s="13">
        <v>42687.186863425923</v>
      </c>
      <c r="J205" s="7">
        <v>0</v>
      </c>
      <c r="K205" s="109" t="str">
        <f t="shared" si="53"/>
        <v>4029/4030</v>
      </c>
      <c r="L205" s="22" t="str">
        <f>VLOOKUP(A205,'Trips&amp;Operators'!$C$1:$E$10000,3,FALSE)</f>
        <v>HAITHCOX</v>
      </c>
      <c r="M205" s="6">
        <f t="shared" si="54"/>
        <v>6.2731481448281556E-3</v>
      </c>
      <c r="N205" s="7">
        <f t="shared" si="55"/>
        <v>9.0333333285525441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https://search-rtdc-monitor-bjffxe2xuh6vdkpspy63sjmuny.us-east-1.es.amazonaws.com/_plugin/kibana/#/discover/Steve-Slow-Train-Analysis-(2080s-and-2083s)?_g=(refreshInterval:(display:Off,section:0,value:0),time:(from:'2016-11-13 03:18:08-700',mode:absolute,to:'2016-11-13 05:29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5" s="52" t="str">
        <f t="shared" si="59"/>
        <v>Y</v>
      </c>
      <c r="X205" s="177">
        <f t="shared" si="60"/>
        <v>1</v>
      </c>
      <c r="Y205" s="67">
        <f t="shared" si="61"/>
        <v>2.3548</v>
      </c>
      <c r="Z205" s="67">
        <f t="shared" si="62"/>
        <v>1.49E-2</v>
      </c>
      <c r="AA205" s="67">
        <f t="shared" si="63"/>
        <v>2.3399000000000001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64"/>
        <v>0310-13</v>
      </c>
      <c r="AE205" s="91" t="str">
        <f t="shared" si="65"/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AF205" s="88" t="str">
        <f t="shared" si="66"/>
        <v>"C:\Program Files (x86)\AstroGrep\AstroGrep.exe" /spath="%USERPROFILE%\AppData\Local\Temp\OnboardLogs" /stypes="app*4030*20161113*" /stext=" 11:.+((SYSTEM_STATE.+slice.+state.+changed )|(ment ac)|(system.+state.+changed )|(\[timeout)|(PRM\|1\|D)|(kpr)|(kdp)|(\|lc)|(penalty))" /e /r /s</v>
      </c>
      <c r="AG205" s="1" t="str">
        <f t="shared" si="67"/>
        <v>Other</v>
      </c>
      <c r="AH205" s="92" t="str">
        <f t="shared" ref="AH205:AH214" si="6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310-13 --locoid 4030 --swversion DE.1.0.8.0 --startMP 300:23548 --initTime 2016-11-13T04:18:08 --startdatetime 2016-11-13T04:20:03 --delay 1 --endMP 204:149 --enddatetime 2016-11-13T04:29:05 --enforcementcount 0 &gt;&gt;C:\Users\stu\Documents\GitHub\eaglep3-reporting\EC\2016-11-13-refined-times.txt</v>
      </c>
      <c r="AI205" s="119" t="str">
        <f t="shared" ref="AI205:AI214" si="6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{"issue":{"subject":"","project_id":79,"tracker_id":40,"status_id":1,"priority_id":2,"assigned_to_id":23,"start_date":"2016-11-13","description":"","custom_fields":[{"id":1,"name":"Subdivision","value":"Other"},{"id":4,"name":"Milepost","value":"0.0149"},{"id":17,"name":"Train ID","value":"310-13"},{"id":16,"name":"Locomotive ID","value":"4030"},{"id":130,"name":"Impact","value":""},{"id":150,"name":"Time of Event (Mountain Time)","value":"04:29:05"},{"id":151,"name":"Denver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435</v>
      </c>
      <c r="B206" s="7">
        <v>4025</v>
      </c>
      <c r="C206" s="22" t="s">
        <v>225</v>
      </c>
      <c r="D206" s="22" t="s">
        <v>205</v>
      </c>
      <c r="E206" s="13">
        <v>42687.086076388892</v>
      </c>
      <c r="F206" s="13">
        <v>25568.708333333332</v>
      </c>
      <c r="G206" s="7">
        <v>1</v>
      </c>
      <c r="H206" s="22" t="s">
        <v>436</v>
      </c>
      <c r="I206" s="13">
        <v>25568.708333333332</v>
      </c>
      <c r="J206" s="7">
        <v>0</v>
      </c>
      <c r="K206" s="109" t="str">
        <f t="shared" si="53"/>
        <v>4025/4026</v>
      </c>
      <c r="L206" s="22" t="str">
        <f>VLOOKUP(A206,'Trips&amp;Operators'!$C$1:$E$10000,3,FALSE)</f>
        <v>STAMBAUGH</v>
      </c>
      <c r="M206" s="6">
        <f t="shared" si="54"/>
        <v>0</v>
      </c>
      <c r="N206" s="7">
        <f t="shared" si="55"/>
        <v>0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https://search-rtdc-monitor-bjffxe2xuh6vdkpspy63sjmuny.us-east-1.es.amazonaws.com/_plugin/kibana/#/discover/Steve-Slow-Train-Analysis-(2080s-and-2083s)?_g=(refreshInterval:(display:Off,section:0,value:0),time:(from:'2016-11-13 01:03:57-700',mode:absolute,to:'1969-12-31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6" s="52" t="str">
        <f t="shared" si="59"/>
        <v>Y</v>
      </c>
      <c r="X206" s="177">
        <f t="shared" si="60"/>
        <v>3</v>
      </c>
      <c r="Y206" s="67">
        <f t="shared" si="61"/>
        <v>4.5100000000000001E-2</v>
      </c>
      <c r="Z206" s="67">
        <f t="shared" si="62"/>
        <v>2.3304</v>
      </c>
      <c r="AA206" s="67">
        <f t="shared" si="63"/>
        <v>2.2852999999999999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64"/>
        <v>0313-12</v>
      </c>
      <c r="AE206" s="91" t="str">
        <f t="shared" si="6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6" s="88" t="str">
        <f t="shared" si="66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313-12 --locoid 4025 --swversion DE.1.0.8.0 --startMP 204:451 --initTime 2016-11-13T02:03:57 --startdatetime 1969-12-31T17:00:00 --delay 1 --endMP 300:23304 --enddatetime 1969-12-31T17:00:00 --enforcementcount 0 &gt;&gt;C:\Users\stu\Documents\GitHub\eaglep3-reporting\EC\2016-11-13-refined-times.txt</v>
      </c>
      <c r="AI20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ID","value":"313-12"},{"id":16,"name":"Locomotive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646</v>
      </c>
      <c r="B207" s="7">
        <v>4014</v>
      </c>
      <c r="C207" s="22" t="s">
        <v>225</v>
      </c>
      <c r="D207" s="22" t="s">
        <v>205</v>
      </c>
      <c r="E207" s="13">
        <v>42688.06827546296</v>
      </c>
      <c r="F207" s="13">
        <v>25568.708333333332</v>
      </c>
      <c r="G207" s="7">
        <v>1</v>
      </c>
      <c r="H207" s="22" t="s">
        <v>371</v>
      </c>
      <c r="I207" s="13">
        <v>25568.708333333332</v>
      </c>
      <c r="J207" s="7">
        <v>0</v>
      </c>
      <c r="K207" s="109" t="str">
        <f t="shared" si="53"/>
        <v>4013/4014</v>
      </c>
      <c r="L207" s="22" t="str">
        <f>VLOOKUP(A207,'Trips&amp;Operators'!$C$1:$E$10000,3,FALSE)</f>
        <v>NEWELL</v>
      </c>
      <c r="M207" s="6">
        <f t="shared" si="54"/>
        <v>0</v>
      </c>
      <c r="N207" s="7">
        <f t="shared" si="55"/>
        <v>0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00:38:19-700',mode:absolute,to:'1969-12-31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7" s="52" t="str">
        <f t="shared" si="59"/>
        <v>Y</v>
      </c>
      <c r="X207" s="177">
        <f t="shared" si="60"/>
        <v>0</v>
      </c>
      <c r="Y207" s="67">
        <f t="shared" si="61"/>
        <v>4.5100000000000001E-2</v>
      </c>
      <c r="Z207" s="67">
        <f t="shared" si="62"/>
        <v>2.3311999999999999</v>
      </c>
      <c r="AA207" s="67">
        <f t="shared" si="63"/>
        <v>2.2860999999999998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64"/>
        <v>0313-13</v>
      </c>
      <c r="AE207" s="91" t="str">
        <f t="shared" si="65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7" s="88" t="str">
        <f t="shared" si="66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313-13 --locoid 4014 --swversion DE.1.0.8.0 --startMP 204:451 --initTime 2016-11-14T01:38:19 --startdatetime 1969-12-31T17:00:00 --delay 1 --endMP 300:23312 --enddatetime 1969-12-31T17:00:00 --enforcementcount 0 &gt;&gt;C:\Users\stu\Documents\GitHub\eaglep3-reporting\EC\2016-11-13-refined-times.txt</v>
      </c>
      <c r="AI207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ID","value":"313-13"},{"id":16,"name":"Locomotive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437</v>
      </c>
      <c r="B208" s="7">
        <v>4038</v>
      </c>
      <c r="C208" s="22" t="s">
        <v>225</v>
      </c>
      <c r="D208" s="22" t="s">
        <v>245</v>
      </c>
      <c r="E208" s="13">
        <v>42687.107557870368</v>
      </c>
      <c r="F208" s="13">
        <v>25568.708333333332</v>
      </c>
      <c r="G208" s="7">
        <v>1</v>
      </c>
      <c r="H208" s="22" t="s">
        <v>434</v>
      </c>
      <c r="I208" s="13">
        <v>25568.708333333332</v>
      </c>
      <c r="J208" s="7">
        <v>0</v>
      </c>
      <c r="K208" s="109" t="str">
        <f t="shared" si="53"/>
        <v>4037/4038</v>
      </c>
      <c r="L208" s="22" t="str">
        <f>VLOOKUP(A208,'Trips&amp;Operators'!$C$1:$E$10000,3,FALSE)</f>
        <v>LEVIN</v>
      </c>
      <c r="M208" s="6">
        <f t="shared" si="54"/>
        <v>0</v>
      </c>
      <c r="N208" s="7">
        <f t="shared" si="55"/>
        <v>0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https://search-rtdc-monitor-bjffxe2xuh6vdkpspy63sjmuny.us-east-1.es.amazonaws.com/_plugin/kibana/#/discover/Steve-Slow-Train-Analysis-(2080s-and-2083s)?_g=(refreshInterval:(display:Off,section:0,value:0),time:(from:'2016-11-13 01:34:53-700',mode:absolute,to:'1969-12-31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8" s="52" t="str">
        <f t="shared" si="59"/>
        <v>Y</v>
      </c>
      <c r="X208" s="177">
        <f t="shared" si="60"/>
        <v>2</v>
      </c>
      <c r="Y208" s="67">
        <f t="shared" si="61"/>
        <v>4.6899999999999997E-2</v>
      </c>
      <c r="Z208" s="67">
        <f t="shared" si="62"/>
        <v>2.3300999999999998</v>
      </c>
      <c r="AA208" s="67">
        <f t="shared" si="63"/>
        <v>2.2831999999999999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64"/>
        <v>0315-12</v>
      </c>
      <c r="AE208" s="91" t="str">
        <f t="shared" si="65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8" s="88" t="str">
        <f t="shared" si="66"/>
        <v>"C:\Program Files (x86)\AstroGrep\AstroGrep.exe" /spath="%USERPROFILE%\AppData\Local\Temp\OnboardLogs" /stypes="app*4038*19700101*" /stext=" 00:.+((SYSTEM_STATE.+slice.+state.+changed )|(ment ac)|(system.+state.+changed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315-12 --locoid 4038 --swversion DE.1.0.8.0 --startMP 204:469 --initTime 2016-11-13T02:34:53 --startdatetime 1969-12-31T17:00:00 --delay 1 --endMP 300:23301 --enddatetime 1969-12-31T17:00:00 --enforcementcount 0 &gt;&gt;C:\Users\stu\Documents\GitHub\eaglep3-reporting\EC\2016-11-13-refined-times.txt</v>
      </c>
      <c r="AI208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ID","value":"315-12"},{"id":16,"name":"Locomotive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775</v>
      </c>
      <c r="B209" s="7">
        <v>4044</v>
      </c>
      <c r="C209" s="22" t="s">
        <v>225</v>
      </c>
      <c r="D209" s="22" t="s">
        <v>327</v>
      </c>
      <c r="E209" s="13">
        <v>42688.098043981481</v>
      </c>
      <c r="F209" s="13">
        <v>42688.099108796298</v>
      </c>
      <c r="G209" s="7">
        <v>1</v>
      </c>
      <c r="H209" s="22" t="s">
        <v>370</v>
      </c>
      <c r="I209" s="13">
        <v>42688.105104166665</v>
      </c>
      <c r="J209" s="7">
        <v>0</v>
      </c>
      <c r="K209" s="109" t="str">
        <f t="shared" si="53"/>
        <v>4043/4044</v>
      </c>
      <c r="L209" s="22" t="e">
        <f>VLOOKUP(A209,'Trips&amp;Operators'!$C$1:$E$10000,3,FALSE)</f>
        <v>#N/A</v>
      </c>
      <c r="M209" s="6">
        <f t="shared" si="54"/>
        <v>5.9953703676001169E-3</v>
      </c>
      <c r="N209" s="7">
        <f t="shared" si="55"/>
        <v>8.6333333293441683</v>
      </c>
      <c r="O209" s="7"/>
      <c r="P209" s="7"/>
      <c r="Q209" s="23"/>
      <c r="R209" s="23"/>
      <c r="S209" s="35">
        <f t="shared" si="56"/>
        <v>1</v>
      </c>
      <c r="T209" s="50" t="str">
        <f t="shared" si="57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https://search-rtdc-monitor-bjffxe2xuh6vdkpspy63sjmuny.us-east-1.es.amazonaws.com/_plugin/kibana/#/discover/Steve-Slow-Train-Analysis-(2080s-and-2083s)?_g=(refreshInterval:(display:Off,section:0,value:0),time:(from:'2016-11-14 01:21:11-700',mode:absolute,to:'2016-11-14 03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9" s="52" t="str">
        <f t="shared" si="59"/>
        <v>Y</v>
      </c>
      <c r="X209" s="177">
        <f t="shared" si="60"/>
        <v>0</v>
      </c>
      <c r="Y209" s="67">
        <f t="shared" si="61"/>
        <v>4.6600000000000003E-2</v>
      </c>
      <c r="Z209" s="67">
        <f t="shared" si="62"/>
        <v>2.3302</v>
      </c>
      <c r="AA209" s="67">
        <f t="shared" si="63"/>
        <v>2.2835999999999999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64"/>
        <v>0315-13</v>
      </c>
      <c r="AE209" s="91" t="str">
        <f t="shared" si="65"/>
        <v>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 &amp; aws s3 cp s3://rtdc.mdm.uploadarchive.raw/RTDC4044/ "%USERPROFILE%\AppData\Local\Temp\OnboardLogs"\RTDC4044\2016-11-15 --exclude "*" --recursive --include "*20161115*" &amp; "%USERPROFILE%\Documents\GitHub\mrs-test-scripts\Headless Mode &amp; Sideloading\WalkAndUnGZ.bat" "%USERPROFILE%\AppData\Local\Temp\OnboardLogs"\RTDC4044\2016-11-15</v>
      </c>
      <c r="AF209" s="88" t="str">
        <f t="shared" si="66"/>
        <v>"C:\Program Files (x86)\AstroGrep\AstroGrep.exe" /spath="%USERPROFILE%\AppData\Local\Temp\OnboardLogs" /stypes="app*4044*20161114*" /stext=" 09:.+((SYSTEM_STATE.+slice.+state.+changed )|(ment ac)|(system.+state.+changed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315-13 --locoid 4044 --swversion DE.1.0.8.0 --startMP 204:466 --initTime 2016-11-14T02:21:11 --startdatetime 2016-11-14T02:22:43 --delay 1 --endMP 300:23302 --enddatetime 2016-11-14T02:31:21 --enforcementcount 0 &gt;&gt;C:\Users\stu\Documents\GitHub\eaglep3-reporting\EC\2016-11-13-refined-times.txt</v>
      </c>
      <c r="AI209" s="119" t="str">
        <f t="shared" si="69"/>
        <v>echo {"issue":{"subject":"","project_id":79,"tracker_id":40,"status_id":1,"priority_id":2,"assigned_to_id":23,"start_date":"2016-11-14","description":"","custom_fields":[{"id":1,"name":"Subdivision","value":"Other"},{"id":4,"name":"Milepost","value":"2.3302"},{"id":17,"name":"Train ID","value":"315-13"},{"id":16,"name":"Locomotive ID","value":"4044"},{"id":130,"name":"Impact","value":""},{"id":150,"name":"Time of Event (Mountain Time)","value":"02:31:21"},{"id":151,"name":"Denver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481</v>
      </c>
      <c r="B210" s="7">
        <v>4042</v>
      </c>
      <c r="C210" s="22" t="s">
        <v>225</v>
      </c>
      <c r="D210" s="22" t="s">
        <v>747</v>
      </c>
      <c r="E210" s="13">
        <v>42687.216331018521</v>
      </c>
      <c r="F210" s="13">
        <v>42687.225648148145</v>
      </c>
      <c r="G210" s="7">
        <v>13</v>
      </c>
      <c r="H210" s="22" t="s">
        <v>294</v>
      </c>
      <c r="I210" s="13">
        <v>42687.231307870374</v>
      </c>
      <c r="J210" s="7">
        <v>0</v>
      </c>
      <c r="K210" s="109" t="str">
        <f t="shared" si="53"/>
        <v>4041/4042</v>
      </c>
      <c r="L210" s="22" t="str">
        <f>VLOOKUP(A210,'Trips&amp;Operators'!$C$1:$E$10000,3,FALSE)</f>
        <v>STARKS</v>
      </c>
      <c r="M210" s="6">
        <f t="shared" si="54"/>
        <v>5.659722228301689E-3</v>
      </c>
      <c r="N210" s="7">
        <f t="shared" si="55"/>
        <v>8.1500000087544322</v>
      </c>
      <c r="O210" s="7"/>
      <c r="P210" s="7"/>
      <c r="Q210" s="23"/>
      <c r="R210" s="23"/>
      <c r="S210" s="35">
        <f t="shared" si="56"/>
        <v>0</v>
      </c>
      <c r="T210" s="50" t="str">
        <f t="shared" si="57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https://search-rtdc-monitor-bjffxe2xuh6vdkpspy63sjmuny.us-east-1.es.amazonaws.com/_plugin/kibana/#/discover/Steve-Slow-Train-Analysis-(2080s-and-2083s)?_g=(refreshInterval:(display:Off,section:0,value:0),time:(from:'2016-11-13 04:11:31-700',mode:absolute,to:'2016-11-13 06:33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0" s="52" t="str">
        <f t="shared" si="59"/>
        <v>Y</v>
      </c>
      <c r="X210" s="177">
        <f t="shared" si="60"/>
        <v>1586</v>
      </c>
      <c r="Y210" s="67">
        <f t="shared" si="61"/>
        <v>2.9769000000000001</v>
      </c>
      <c r="Z210" s="67">
        <f t="shared" si="62"/>
        <v>5.8936999999999999</v>
      </c>
      <c r="AA210" s="67">
        <f t="shared" si="63"/>
        <v>2.9167999999999998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64"/>
        <v>1901-13</v>
      </c>
      <c r="AE210" s="91" t="str">
        <f t="shared" si="65"/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AF210" s="88" t="str">
        <f t="shared" si="66"/>
        <v>"C:\Program Files (x86)\AstroGrep\AstroGrep.exe" /spath="%USERPROFILE%\AppData\Local\Temp\OnboardLogs" /stypes="app*4042*20161113*" /stext=" 12:.+((SYSTEM_STATE.+slice.+state.+changed )|(ment ac)|(system.+state.+changed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1901-13 --locoid 4042 --swversion DE.1.0.8.0 --startMP 300:29769 --initTime 2016-11-13T05:11:31 --startdatetime 2016-11-13T05:24:56 --delay 13 --endMP 300:58937 --enddatetime 2016-11-13T05:33:05 --enforcementcount 0 &gt;&gt;C:\Users\stu\Documents\GitHub\eaglep3-reporting\EC\2016-11-13-refined-times.txt</v>
      </c>
      <c r="AI210" s="119" t="str">
        <f t="shared" si="69"/>
        <v>echo {"issue":{"subject":"","project_id":79,"tracker_id":40,"status_id":1,"priority_id":2,"assigned_to_id":23,"start_date":"2016-11-13","description":"","custom_fields":[{"id":1,"name":"Subdivision","value":"Other"},{"id":4,"name":"Milepost","value":"5.8937"},{"id":17,"name":"Train ID","value":"1901-13"},{"id":16,"name":"Locomotive ID","value":"4042"},{"id":130,"name":"Impact","value":""},{"id":150,"name":"Time of Event (Mountain Time)","value":"05:33:05"},{"id":151,"name":"Denver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633</v>
      </c>
      <c r="B211" s="7">
        <v>4041</v>
      </c>
      <c r="C211" s="22" t="s">
        <v>225</v>
      </c>
      <c r="D211" s="22" t="s">
        <v>748</v>
      </c>
      <c r="E211" s="13">
        <v>42687.942303240743</v>
      </c>
      <c r="F211" s="13">
        <v>42687.94427083333</v>
      </c>
      <c r="G211" s="7">
        <v>1</v>
      </c>
      <c r="H211" s="22" t="s">
        <v>749</v>
      </c>
      <c r="I211" s="13">
        <v>42687.94866898148</v>
      </c>
      <c r="J211" s="7">
        <v>0</v>
      </c>
      <c r="K211" s="109" t="str">
        <f t="shared" si="53"/>
        <v>4041/4042</v>
      </c>
      <c r="L211" s="22" t="str">
        <f>VLOOKUP(A211,'Trips&amp;Operators'!$C$1:$E$10000,3,FALSE)</f>
        <v>ADANE</v>
      </c>
      <c r="M211" s="6">
        <f t="shared" si="54"/>
        <v>4.3981481503578834E-3</v>
      </c>
      <c r="N211" s="7">
        <f t="shared" si="55"/>
        <v>6.3333333365153521</v>
      </c>
      <c r="O211" s="7"/>
      <c r="P211" s="7"/>
      <c r="Q211" s="23"/>
      <c r="R211" s="23"/>
      <c r="S211" s="35">
        <f t="shared" si="56"/>
        <v>0</v>
      </c>
      <c r="T211" s="50" t="str">
        <f t="shared" si="57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https://search-rtdc-monitor-bjffxe2xuh6vdkpspy63sjmuny.us-east-1.es.amazonaws.com/_plugin/kibana/#/discover/Steve-Slow-Train-Analysis-(2080s-and-2083s)?_g=(refreshInterval:(display:Off,section:0,value:0),time:(from:'2016-11-13 21:36:55-700',mode:absolute,to:'2016-11-13 23:46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1" s="52" t="str">
        <f t="shared" si="59"/>
        <v>Y</v>
      </c>
      <c r="X211" s="177">
        <f t="shared" si="60"/>
        <v>1</v>
      </c>
      <c r="Y211" s="67">
        <f t="shared" si="61"/>
        <v>5.8667999999999996</v>
      </c>
      <c r="Z211" s="67">
        <f t="shared" si="62"/>
        <v>2.1473</v>
      </c>
      <c r="AA211" s="67">
        <f t="shared" si="63"/>
        <v>3.7194999999999996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64"/>
        <v>1902-13</v>
      </c>
      <c r="AE211" s="91" t="str">
        <f t="shared" si="65"/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AF211" s="88" t="str">
        <f t="shared" si="66"/>
        <v>"C:\Program Files (x86)\AstroGrep\AstroGrep.exe" /spath="%USERPROFILE%\AppData\Local\Temp\OnboardLogs" /stypes="app*4041*20161114*" /stext=" 05:.+((SYSTEM_STATE.+slice.+state.+changed )|(ment ac)|(system.+state.+changed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1902-13 --locoid 4041 --swversion DE.1.0.8.0 --startMP 300:58668 --initTime 2016-11-13T22:36:55 --startdatetime 2016-11-13T22:39:45 --delay 1 --endMP 300:21473 --enddatetime 2016-11-13T22:46:05 --enforcementcount 0 &gt;&gt;C:\Users\stu\Documents\GitHub\eaglep3-reporting\EC\2016-11-13-refined-times.txt</v>
      </c>
      <c r="AI211" s="119" t="str">
        <f t="shared" si="69"/>
        <v>echo {"issue":{"subject":"","project_id":79,"tracker_id":40,"status_id":1,"priority_id":2,"assigned_to_id":23,"start_date":"2016-11-13","description":"","custom_fields":[{"id":1,"name":"Subdivision","value":"Other"},{"id":4,"name":"Milepost","value":"2.1473"},{"id":17,"name":"Train ID","value":"1902-13"},{"id":16,"name":"Locomotive ID","value":"4041"},{"id":130,"name":"Impact","value":""},{"id":150,"name":"Time of Event (Mountain Time)","value":"22:46:05"},{"id":151,"name":"Denver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588</v>
      </c>
      <c r="B212" s="7">
        <v>4016</v>
      </c>
      <c r="C212" s="22" t="s">
        <v>225</v>
      </c>
      <c r="D212" s="22" t="s">
        <v>776</v>
      </c>
      <c r="E212" s="13">
        <v>42687.716932870368</v>
      </c>
      <c r="F212" s="13">
        <v>25568.708333333332</v>
      </c>
      <c r="G212" s="7">
        <v>1</v>
      </c>
      <c r="H212" s="22" t="s">
        <v>371</v>
      </c>
      <c r="I212" s="13">
        <v>25568.708333333332</v>
      </c>
      <c r="J212" s="7">
        <v>0</v>
      </c>
      <c r="K212" s="109" t="str">
        <f t="shared" si="53"/>
        <v>4015/4016</v>
      </c>
      <c r="L212" s="22" t="str">
        <f>VLOOKUP(A212,'Trips&amp;Operators'!$C$1:$E$10000,3,FALSE)</f>
        <v>SMITH</v>
      </c>
      <c r="M212" s="6">
        <f t="shared" si="54"/>
        <v>0</v>
      </c>
      <c r="N212" s="7">
        <f t="shared" si="55"/>
        <v>0</v>
      </c>
      <c r="O212" s="7"/>
      <c r="P212" s="7"/>
      <c r="Q212" s="23"/>
      <c r="R212" s="23"/>
      <c r="S212" s="35">
        <f t="shared" si="56"/>
        <v>0</v>
      </c>
      <c r="T212" s="50" t="e">
        <f t="shared" si="57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https://search-rtdc-monitor-bjffxe2xuh6vdkpspy63sjmuny.us-east-1.es.amazonaws.com/_plugin/kibana/#/discover/Steve-Slow-Train-Analysis-(2080s-and-2083s)?_g=(refreshInterval:(display:Off,section:0,value:0),time:(from:'2016-11-13 16:12:23-700',mode:absolute,to:'1969-12-31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2" s="52" t="str">
        <f t="shared" si="59"/>
        <v>Y</v>
      </c>
      <c r="X212" s="177" t="e">
        <f t="shared" si="60"/>
        <v>#VALUE!</v>
      </c>
      <c r="Y212" s="67">
        <f t="shared" si="61"/>
        <v>0.14899999999999999</v>
      </c>
      <c r="Z212" s="67">
        <f t="shared" si="62"/>
        <v>2.3311999999999999</v>
      </c>
      <c r="AA212" s="67">
        <f t="shared" si="63"/>
        <v>2.1821999999999999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64"/>
        <v>53-13</v>
      </c>
      <c r="AE212" s="91" t="str">
        <f t="shared" si="6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2" s="88" t="str">
        <f t="shared" si="66"/>
        <v>"C:\Program Files (x86)\AstroGrep\AstroGrep.exe" /spath="%USERPROFILE%\AppData\Local\Temp\OnboardLogs" /stypes="app*4016*19700101*" /stext=" 00:.+((SYSTEM_STATE.+slice.+state.+changed )|(ment ac)|(system.+state.+changed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53-13 --locoid 4016 --swversion DE.1.0.8.0 --startMP 204:1490 --initTime 2016-11-13T17:12:23 --startdatetime 1969-12-31T17:00:00 --delay 1 --endMP 300:23312 --enddatetime 1969-12-31T17:00:00 --enforcementcount 0 &gt;&gt;C:\Users\stu\Documents\GitHub\eaglep3-reporting\EC\2016-11-13-refined-times.txt</v>
      </c>
      <c r="AI212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ID","value":"53-13"},{"id":16,"name":"Locomotive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600</v>
      </c>
      <c r="B213" s="7">
        <v>4017</v>
      </c>
      <c r="C213" s="22" t="s">
        <v>225</v>
      </c>
      <c r="D213" s="22" t="s">
        <v>777</v>
      </c>
      <c r="E213" s="13">
        <v>42687.746736111112</v>
      </c>
      <c r="F213" s="13">
        <v>42687.74827546296</v>
      </c>
      <c r="G213" s="7">
        <v>1</v>
      </c>
      <c r="H213" s="22" t="s">
        <v>740</v>
      </c>
      <c r="I213" s="13">
        <v>42687.753935185188</v>
      </c>
      <c r="J213" s="7">
        <v>0</v>
      </c>
      <c r="K213" s="109" t="str">
        <f t="shared" si="53"/>
        <v>4017/4018</v>
      </c>
      <c r="L213" s="22" t="str">
        <f>VLOOKUP(A213,'Trips&amp;Operators'!$C$1:$E$10000,3,FALSE)</f>
        <v>WHITED</v>
      </c>
      <c r="M213" s="6">
        <f t="shared" si="54"/>
        <v>5.659722228301689E-3</v>
      </c>
      <c r="N213" s="7">
        <f t="shared" si="55"/>
        <v>8.1500000087544322</v>
      </c>
      <c r="O213" s="7"/>
      <c r="P213" s="7"/>
      <c r="Q213" s="23"/>
      <c r="R213" s="23"/>
      <c r="S213" s="35">
        <f t="shared" si="56"/>
        <v>0</v>
      </c>
      <c r="T213" s="50" t="e">
        <f t="shared" si="5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https://search-rtdc-monitor-bjffxe2xuh6vdkpspy63sjmuny.us-east-1.es.amazonaws.com/_plugin/kibana/#/discover/Steve-Slow-Train-Analysis-(2080s-and-2083s)?_g=(refreshInterval:(display:Off,section:0,value:0),time:(from:'2016-11-13 16:55:18-700',mode:absolute,to:'2016-11-13 19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3" s="52" t="str">
        <f t="shared" si="59"/>
        <v>Y</v>
      </c>
      <c r="X213" s="177" t="e">
        <f t="shared" si="60"/>
        <v>#VALUE!</v>
      </c>
      <c r="Y213" s="67">
        <f t="shared" si="61"/>
        <v>2.1949999999999998</v>
      </c>
      <c r="Z213" s="67">
        <f t="shared" si="62"/>
        <v>9.3899999999999997E-2</v>
      </c>
      <c r="AA213" s="67">
        <f t="shared" si="63"/>
        <v>2.1010999999999997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64"/>
        <v>72-13</v>
      </c>
      <c r="AE213" s="91" t="str">
        <f t="shared" si="65"/>
        <v>aws s3 cp s3://rtdc.mdm.uploadarchive.raw/RTDC4017/ "%USERPROFILE%\AppData\Local\Temp\OnboardLogs"\RTDC4017\2016-11-13 --exclude "*" --recursive --include "*20161113*" &amp; "%USERPROFILE%\Documents\GitHub\mrs-test-scripts\Headless Mode &amp; Sideloading\WalkAndUnGZ.bat" "%USERPROFILE%\AppData\Local\Temp\OnboardLogs"\RTDC4017\2016-11-13 &amp; aws s3 cp s3://rtdc.mdm.uploadarchive.raw/RTDC4017/ "%USERPROFILE%\AppData\Local\Temp\OnboardLogs"\RTDC4017\2016-11-14 --exclude "*" --recursive --include "*20161114*" &amp; "%USERPROFILE%\Documents\GitHub\mrs-test-scripts\Headless Mode &amp; Sideloading\WalkAndUnGZ.bat" "%USERPROFILE%\AppData\Local\Temp\OnboardLogs"\RTDC4017\2016-11-14</v>
      </c>
      <c r="AF213" s="88" t="str">
        <f t="shared" si="66"/>
        <v>"C:\Program Files (x86)\AstroGrep\AstroGrep.exe" /spath="%USERPROFILE%\AppData\Local\Temp\OnboardLogs" /stypes="app*4017*20161114*" /stext=" 01:.+((SYSTEM_STATE.+slice.+state.+changed )|(ment ac)|(system.+state.+changed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72-13 --locoid 4017 --swversion DE.1.0.8.0 --startMP 300:21950 --initTime 2016-11-13T17:55:18 --startdatetime 2016-11-13T17:57:31 --delay 1 --endMP 204:939 --enddatetime 2016-11-13T18:05:40 --enforcementcount 0 &gt;&gt;C:\Users\stu\Documents\GitHub\eaglep3-reporting\EC\2016-11-13-refined-times.txt</v>
      </c>
      <c r="AI213" s="119" t="str">
        <f t="shared" si="69"/>
        <v>echo {"issue":{"subject":"","project_id":79,"tracker_id":40,"status_id":1,"priority_id":2,"assigned_to_id":23,"start_date":"2016-11-13","description":"","custom_fields":[{"id":1,"name":"Subdivision","value":"Other"},{"id":4,"name":"Milepost","value":"0.0939"},{"id":17,"name":"Train ID","value":"72-13"},{"id":16,"name":"Locomotive ID","value":"4017"},{"id":130,"name":"Impact","value":""},{"id":150,"name":"Time of Event (Mountain Time)","value":"18:05:40"},{"id":151,"name":"Denver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s="21" customFormat="1" x14ac:dyDescent="0.25">
      <c r="A214" s="37" t="s">
        <v>458</v>
      </c>
      <c r="B214" s="7">
        <v>4010</v>
      </c>
      <c r="C214" s="22" t="s">
        <v>225</v>
      </c>
      <c r="D214" s="22" t="s">
        <v>778</v>
      </c>
      <c r="E214" s="13">
        <v>42687.711041666669</v>
      </c>
      <c r="F214" s="13">
        <v>42687.712256944447</v>
      </c>
      <c r="G214" s="7">
        <v>1</v>
      </c>
      <c r="H214" s="22" t="s">
        <v>779</v>
      </c>
      <c r="I214" s="13">
        <v>42687.717650462961</v>
      </c>
      <c r="J214" s="7">
        <v>0</v>
      </c>
      <c r="K214" s="109" t="str">
        <f t="shared" si="53"/>
        <v>4009/4010</v>
      </c>
      <c r="L214" s="22" t="str">
        <f>VLOOKUP(A214,'Trips&amp;Operators'!$C$1:$E$10000,3,FALSE)</f>
        <v>CRAYTON</v>
      </c>
      <c r="M214" s="6">
        <f t="shared" si="54"/>
        <v>5.3935185133013874E-3</v>
      </c>
      <c r="N214" s="7">
        <f t="shared" si="55"/>
        <v>7.7666666591539979</v>
      </c>
      <c r="O214" s="7"/>
      <c r="P214" s="7"/>
      <c r="Q214" s="23"/>
      <c r="R214" s="23"/>
      <c r="S214" s="35">
        <f t="shared" si="56"/>
        <v>0</v>
      </c>
      <c r="T214" s="50" t="e">
        <f t="shared" si="57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https://search-rtdc-monitor-bjffxe2xuh6vdkpspy63sjmuny.us-east-1.es.amazonaws.com/_plugin/kibana/#/discover/Steve-Slow-Train-Analysis-(2080s-and-2083s)?_g=(refreshInterval:(display:Off,section:0,value:0),time:(from:'2016-11-13 16:03:54-700',mode:absolute,to:'2016-11-13 18:13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4" s="52" t="str">
        <f t="shared" si="59"/>
        <v>Y</v>
      </c>
      <c r="X214" s="177" t="e">
        <f t="shared" si="60"/>
        <v>#VALUE!</v>
      </c>
      <c r="Y214" s="67">
        <f t="shared" si="61"/>
        <v>2.3517000000000001</v>
      </c>
      <c r="Z214" s="67">
        <f t="shared" si="62"/>
        <v>9.2799999999999994E-2</v>
      </c>
      <c r="AA214" s="67">
        <f t="shared" si="63"/>
        <v>2.2589000000000001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64"/>
        <v>74-13</v>
      </c>
      <c r="AE214" s="91" t="str">
        <f t="shared" si="65"/>
        <v>aws s3 cp s3://rtdc.mdm.uploadarchive.raw/RTDC4010/ "%USERPROFILE%\AppData\Local\Temp\OnboardLogs"\RTDC4010\2016-11-13 --exclude "*" --recursive --include "*20161113*" &amp; "%USERPROFILE%\Documents\GitHub\mrs-test-scripts\Headless Mode &amp; Sideloading\WalkAndUnGZ.bat" "%USERPROFILE%\AppData\Local\Temp\OnboardLogs"\RTDC4010\2016-11-13 &amp; 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</v>
      </c>
      <c r="AF214" s="88" t="str">
        <f t="shared" si="66"/>
        <v>"C:\Program Files (x86)\AstroGrep\AstroGrep.exe" /spath="%USERPROFILE%\AppData\Local\Temp\OnboardLogs" /stypes="app*4010*20161114*" /stext=" 00:.+((SYSTEM_STATE.+slice.+state.+changed )|(ment ac)|(system.+state.+changed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74-13 --locoid 4010 --swversion DE.1.0.8.0 --startMP 300:23517 --initTime 2016-11-13T17:03:54 --startdatetime 2016-11-13T17:05:39 --delay 1 --endMP 204:928 --enddatetime 2016-11-13T17:13:25 --enforcementcount 0 &gt;&gt;C:\Users\stu\Documents\GitHub\eaglep3-reporting\EC\2016-11-13-refined-times.txt</v>
      </c>
      <c r="AI214" s="119" t="str">
        <f t="shared" si="69"/>
        <v>echo {"issue":{"subject":"","project_id":79,"tracker_id":40,"status_id":1,"priority_id":2,"assigned_to_id":23,"start_date":"2016-11-13","description":"","custom_fields":[{"id":1,"name":"Subdivision","value":"Other"},{"id":4,"name":"Milepost","value":"0.0928"},{"id":17,"name":"Train ID","value":"74-13"},{"id":16,"name":"Locomotive ID","value":"4010"},{"id":130,"name":"Impact","value":""},{"id":150,"name":"Time of Event (Mountain Time)","value":"17:13:25"},{"id":151,"name":"Denver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1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1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</sheetData>
  <autoFilter ref="A12:AG259">
    <sortState ref="A13:AG260">
      <sortCondition ref="AG13:AG215"/>
      <sortCondition ref="AD13:AD215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14">
    <cfRule type="cellIs" dxfId="11" priority="344" operator="equal">
      <formula>"Y"</formula>
    </cfRule>
  </conditionalFormatting>
  <conditionalFormatting sqref="X260:X1048576 X13:X214">
    <cfRule type="cellIs" dxfId="10" priority="327" operator="greaterThan">
      <formula>1</formula>
    </cfRule>
  </conditionalFormatting>
  <conditionalFormatting sqref="X260:X1048576 X12:X214">
    <cfRule type="cellIs" dxfId="9" priority="324" operator="equal">
      <formula>0</formula>
    </cfRule>
  </conditionalFormatting>
  <conditionalFormatting sqref="A13:S214">
    <cfRule type="expression" dxfId="8" priority="318" stopIfTrue="1">
      <formula>$P13&gt;0</formula>
    </cfRule>
    <cfRule type="expression" dxfId="7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AK13:AK214</xm:sqref>
        </x14:dataValidation>
        <x14:dataValidation type="list" allowBlank="1" showInputMessage="1" showErrorMessage="1">
          <x14:formula1>
            <xm:f>'Redmine List Values'!$C$2:$C$15</xm:f>
          </x14:formula1>
          <xm:sqref>AL13:AL214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abSelected="1"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32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- 2016-11-13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180</v>
      </c>
      <c r="AD6" s="130" t="s">
        <v>801</v>
      </c>
    </row>
    <row r="7" spans="1:30" s="1" customFormat="1" x14ac:dyDescent="0.25">
      <c r="A7" s="36">
        <v>42687.164270833331</v>
      </c>
      <c r="B7" s="31" t="s">
        <v>268</v>
      </c>
      <c r="C7" s="31" t="s">
        <v>438</v>
      </c>
      <c r="D7" s="31" t="s">
        <v>49</v>
      </c>
      <c r="E7" s="31" t="s">
        <v>211</v>
      </c>
      <c r="F7" s="47">
        <v>0</v>
      </c>
      <c r="G7" s="47">
        <v>37</v>
      </c>
      <c r="H7" s="47">
        <v>149</v>
      </c>
      <c r="I7" s="47">
        <v>116</v>
      </c>
      <c r="J7" s="31" t="s">
        <v>212</v>
      </c>
      <c r="K7" s="47">
        <v>1</v>
      </c>
      <c r="L7" s="154" t="s">
        <v>51</v>
      </c>
      <c r="M7" s="155">
        <f>CONVERT((I7-K7)/10000,"mi","ft")*IF(L7="Increasing Mileposts (1)",-1,1)</f>
        <v>60.72</v>
      </c>
      <c r="N7" s="156" t="str">
        <f>VLOOKUP(C7,'Trips&amp;Operators'!$C$1:$E$99999,3,FALSE)</f>
        <v>OUN</v>
      </c>
      <c r="O7" s="183" t="s">
        <v>206</v>
      </c>
      <c r="P7" s="157"/>
      <c r="Q7" s="31"/>
      <c r="R7" s="100" t="str">
        <f>VLOOKUP(C7,'Train Runs'!$A$13:$AE$10003,31,0)</f>
        <v>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 &amp; 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</v>
      </c>
      <c r="S7" s="103" t="str">
        <f>VLOOKUP(C7,'Train Runs'!$A$13:$AE$10003,22,0)</f>
        <v>https://search-rtdc-monitor-bjffxe2xuh6vdkpspy63sjmuny.us-east-1.es.amazonaws.com/_plugin/kibana/#/discover/Steve-Slow-Train-Analysis-(2080s-and-2083s)?_g=(refreshInterval:(display:Off,section:0,value:0),time:(from:'2016-11-13 02:43:19-700',mode:absolute,to:'2016-11-13 04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/stypes="*4015*201611131*" /stext=" 10:.+((SYSTEM_STATE.+slice.+state.+changed )|(ment ac)|(system.+state.+changed )|(\[timeout)|(PRM\|1\|D)|(kpr)|(kdp)|(\|lc)|(penalty))" /e /r /s</v>
      </c>
      <c r="U7" s="9" t="str">
        <f>MID(B7,13,4)</f>
        <v>4015</v>
      </c>
      <c r="V7" s="36">
        <f>A7-utc_offset/24</f>
        <v>42687.455937499995</v>
      </c>
      <c r="W7" s="50" t="str">
        <f>IF(VALUE(LEFT(IF(LEN(C7)=6,"0"&amp;C7,C7),2))&lt;=2,"EC",IF(OR(VALUE(LEFT(IF(LEN(C7)=6,"0"&amp;C7,C7),2))=8,VALUE(LEFT(IF(LEN(C7)=6,"0"&amp;C7,C7),2))=18),"NW","Other"))</f>
        <v>Other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{"issue":{"subject":"","project_id":79,"tracker_id":40,"status_id":1,"priority_id":2,"assigned_to_id":23,"start_date":"2016-11-13","description":"","custom_fields":[{"id":1,"name":"Subdivision","value":"Other"},{"id":4,"name":"Milepost","value":"0.0001"},{"id":17,"name":"Train ID","value":"306-13"},{"id":16,"name":"Locomotive ID","value":"4015"},{"id":130,"name":"Impact","value":""},{"id":150,"name":"Time of Event (Mountain Time)","value":"03:56:33"},{"id":151,"name":"Denver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"%USERPROFILE%\AppData\Local\Temp\OnboardLogs"\RTDC4015\*4015*201611131*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"%USERPROFILE%\AppData\Local\Temp\OnboardLogs"\RTDC4015\*4015*201611131* &gt;&gt; 42687-slicedisagreementcheck.txt</v>
      </c>
    </row>
    <row r="8" spans="1:30" s="1" customFormat="1" x14ac:dyDescent="0.25">
      <c r="A8" s="36">
        <v>42687.20103009259</v>
      </c>
      <c r="B8" s="31" t="s">
        <v>439</v>
      </c>
      <c r="C8" s="31" t="s">
        <v>440</v>
      </c>
      <c r="D8" s="31" t="s">
        <v>49</v>
      </c>
      <c r="E8" s="31" t="s">
        <v>211</v>
      </c>
      <c r="F8" s="47">
        <v>0</v>
      </c>
      <c r="G8" s="47">
        <v>59</v>
      </c>
      <c r="H8" s="47">
        <v>198</v>
      </c>
      <c r="I8" s="47">
        <v>110</v>
      </c>
      <c r="J8" s="31" t="s">
        <v>212</v>
      </c>
      <c r="K8" s="47">
        <v>1</v>
      </c>
      <c r="L8" s="154" t="s">
        <v>51</v>
      </c>
      <c r="M8" s="155">
        <f>CONVERT((I8-K8)/10000,"mi","ft")*IF(L8="Increasing Mileposts (1)",-1,1)</f>
        <v>57.552</v>
      </c>
      <c r="N8" s="156" t="str">
        <f>VLOOKUP(C8,'Trips&amp;Operators'!$C$1:$E$99999,3,FALSE)</f>
        <v>KILLION</v>
      </c>
      <c r="O8" s="183" t="s">
        <v>206</v>
      </c>
      <c r="P8" s="157" t="s">
        <v>802</v>
      </c>
      <c r="Q8" s="31"/>
      <c r="R8" s="100" t="str">
        <f>VLOOKUP(C8,'Train Runs'!$A$13:$AE$10003,31,0)</f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S8" s="103" t="str">
        <f>VLOOKUP(C8,'Train Runs'!$A$13:$AE$10003,22,0)</f>
        <v>https://search-rtdc-monitor-bjffxe2xuh6vdkpspy63sjmuny.us-east-1.es.amazonaws.com/_plugin/kibana/#/discover/Steve-Slow-Train-Analysis-(2080s-and-2083s)?_g=(refreshInterval:(display:Off,section:0,value:0),time:(from:'2016-11-13 03:09:19-700',mode:absolute,to:'2016-11-13 05:49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/stypes="*4008*201611131*" /stext=" 11:.+((SYSTEM_STATE.+slice.+state.+changed )|(ment ac)|(system.+state.+changed )|(\[timeout)|(PRM\|1\|D)|(kpr)|(kdp)|(\|lc)|(penalty))" /e /r /s</v>
      </c>
      <c r="U8" s="9" t="str">
        <f>MID(B8,13,4)</f>
        <v>4008</v>
      </c>
      <c r="V8" s="36">
        <f>A8-utc_offset/24</f>
        <v>42687.492696759255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braking","project_id":79,"tracker_id":40,"status_id":1,"priority_id":2,"assigned_to_id":23,"start_date":"2016-11-13","description":"Slice 1 commanded braking, other 2 did not","custom_fields":[{"id":1,"name":"Subdivision","value":"EC"},{"id":4,"name":"Milepost","value":"0.0001"},{"id":17,"name":"Train ID","value":"102-13"},{"id":16,"name":"Locomotive ID","value":"4008"},{"id":130,"name":"Impact","value":"Others"},{"id":150,"name":"Time of Event (Mountain Time)","value":"04:49:29"},{"id":151,"name":"Denver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8" s="53" t="s">
        <v>803</v>
      </c>
      <c r="AA8" s="53" t="s">
        <v>137</v>
      </c>
      <c r="AB8" s="53" t="s">
        <v>178</v>
      </c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"%USERPROFILE%\AppData\Local\Temp\OnboardLogs"\RTDC4008\*4008*201611131*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"%USERPROFILE%\AppData\Local\Temp\OnboardLogs"\RTDC4008\*4008*201611131* &gt;&gt; 42687-slicedisagreementcheck.txt</v>
      </c>
    </row>
    <row r="9" spans="1:30" s="1" customFormat="1" x14ac:dyDescent="0.25">
      <c r="A9" s="36">
        <v>42687.243819444448</v>
      </c>
      <c r="B9" s="31" t="s">
        <v>268</v>
      </c>
      <c r="C9" s="31" t="s">
        <v>441</v>
      </c>
      <c r="D9" s="31" t="s">
        <v>49</v>
      </c>
      <c r="E9" s="31" t="s">
        <v>211</v>
      </c>
      <c r="F9" s="47">
        <v>0</v>
      </c>
      <c r="G9" s="47">
        <v>43</v>
      </c>
      <c r="H9" s="47">
        <v>147</v>
      </c>
      <c r="I9" s="47">
        <v>109</v>
      </c>
      <c r="J9" s="31" t="s">
        <v>212</v>
      </c>
      <c r="K9" s="47">
        <v>1</v>
      </c>
      <c r="L9" s="154" t="s">
        <v>51</v>
      </c>
      <c r="M9" s="155">
        <f>CONVERT((I9-K9)/10000,"mi","ft")*IF(L9="Increasing Mileposts (1)",-1,1)</f>
        <v>57.024000000000001</v>
      </c>
      <c r="N9" s="156" t="str">
        <f>VLOOKUP(C9,'Trips&amp;Operators'!$C$1:$E$99999,3,FALSE)</f>
        <v>OUN</v>
      </c>
      <c r="O9" s="183" t="s">
        <v>206</v>
      </c>
      <c r="P9" s="157"/>
      <c r="Q9" s="31"/>
      <c r="R9" s="100" t="str">
        <f>VLOOKUP(C9,'Train Runs'!$A$13:$AE$10003,31,0)</f>
        <v>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 &amp; aws s3 cp s3://rtdc.mdm.uploadarchive.raw/RTDC4015/ "%USERPROFILE%\AppData\Local\Temp\OnboardLogs"\RTDC4015\2016-11-14 --exclude "*" --recursive --include "*20161114*" &amp; "%USERPROFILE%\Documents\GitHub\mrs-test-scripts\Headless Mode &amp; Sideloading\WalkAndUnGZ.bat" "%USERPROFILE%\AppData\Local\Temp\OnboardLogs"\RTDC4015\2016-11-14</v>
      </c>
      <c r="S9" s="103" t="str">
        <f>VLOOKUP(C9,'Train Runs'!$A$13:$AE$10003,22,0)</f>
        <v>https://search-rtdc-monitor-bjffxe2xuh6vdkpspy63sjmuny.us-east-1.es.amazonaws.com/_plugin/kibana/#/discover/Steve-Slow-Train-Analysis-(2080s-and-2083s)?_g=(refreshInterval:(display:Off,section:0,value:0),time:(from:'2016-11-13 04:03:40-700',mode:absolute,to:'2016-11-13 06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/stypes="*4015*201611131*" /stext=" 12:.+((SYSTEM_STATE.+slice.+state.+changed )|(ment ac)|(system.+state.+changed )|(\[timeout)|(PRM\|1\|D)|(kpr)|(kdp)|(\|lc)|(penalty))" /e /r /s</v>
      </c>
      <c r="U9" s="9" t="str">
        <f>MID(B9,13,4)</f>
        <v>4015</v>
      </c>
      <c r="V9" s="36">
        <f>A9-utc_offset/24</f>
        <v>42687.535486111112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{"issue":{"subject":"","project_id":79,"tracker_id":40,"status_id":1,"priority_id":2,"assigned_to_id":23,"start_date":"2016-11-13","description":"","custom_fields":[{"id":1,"name":"Subdivision","value":"EC"},{"id":4,"name":"Milepost","value":"0.0001"},{"id":17,"name":"Train ID","value":"106-13"},{"id":16,"name":"Locomotive ID","value":"4015"},{"id":130,"name":"Impact","value":""},{"id":150,"name":"Time of Event (Mountain Time)","value":"05:51:06"},{"id":151,"name":"Denver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"%USERPROFILE%\AppData\Local\Temp\OnboardLogs"\RTDC4015\*4015*201611131*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"%USERPROFILE%\AppData\Local\Temp\OnboardLogs"\RTDC4015\*4015*201611131* &gt;&gt; 42687-slicedisagreementcheck.txt</v>
      </c>
    </row>
    <row r="10" spans="1:30" s="1" customFormat="1" x14ac:dyDescent="0.25">
      <c r="A10" s="36">
        <v>42687.250243055554</v>
      </c>
      <c r="B10" s="31" t="s">
        <v>235</v>
      </c>
      <c r="C10" s="31" t="s">
        <v>442</v>
      </c>
      <c r="D10" s="31" t="s">
        <v>98</v>
      </c>
      <c r="E10" s="31" t="s">
        <v>207</v>
      </c>
      <c r="F10" s="47">
        <v>350</v>
      </c>
      <c r="G10" s="47">
        <v>402</v>
      </c>
      <c r="H10" s="47">
        <v>224764</v>
      </c>
      <c r="I10" s="47">
        <v>223659</v>
      </c>
      <c r="J10" s="31" t="s">
        <v>208</v>
      </c>
      <c r="K10" s="47">
        <v>232107</v>
      </c>
      <c r="L10" s="154" t="s">
        <v>51</v>
      </c>
      <c r="M10" s="155">
        <f>CONVERT((I10-K10)/10000,"mi","ft")*IF(L10="Increasing Mileposts (1)",-1,1)</f>
        <v>-4460.5439999999999</v>
      </c>
      <c r="N10" s="156" t="str">
        <f>VLOOKUP(C10,'Trips&amp;Operators'!$C$1:$E$99999,3,FALSE)</f>
        <v>STRICKLAND</v>
      </c>
      <c r="O10" s="183" t="s">
        <v>206</v>
      </c>
      <c r="P10" s="157"/>
      <c r="Q10" s="31"/>
      <c r="R10" s="100" t="str">
        <f>VLOOKUP(C10,'Train Runs'!$A$13:$AE$10003,31,0)</f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S10" s="103" t="str">
        <f>VLOOKUP(C10,'Train Runs'!$A$13:$AE$10003,22,0)</f>
        <v>https://search-rtdc-monitor-bjffxe2xuh6vdkpspy63sjmuny.us-east-1.es.amazonaws.com/_plugin/kibana/#/discover/Steve-Slow-Train-Analysis-(2080s-and-2083s)?_g=(refreshInterval:(display:Off,section:0,value:0),time:(from:'2016-11-13 04:54:41-700',mode:absolute,to:'2016-11-13 07:46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/stypes="*4032*201611131*" /stext=" 13:.+((SYSTEM_STATE.+slice.+state.+changed )|(ment ac)|(system.+state.+changed )|(\[timeout)|(PRM\|1\|D)|(kpr)|(kdp)|(\|lc)|(penalty))" /e /r /s</v>
      </c>
      <c r="U10" s="9" t="str">
        <f>MID(B10,13,4)</f>
        <v>4032</v>
      </c>
      <c r="V10" s="36">
        <f>A10-utc_offset/24</f>
        <v>42687.541909722218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{"issue":{"subject":"","project_id":79,"tracker_id":40,"status_id":1,"priority_id":2,"assigned_to_id":23,"start_date":"2016-11-13","description":"","custom_fields":[{"id":1,"name":"Subdivision","value":"EC"},{"id":4,"name":"Milepost","value":"23.2107"},{"id":17,"name":"Train ID","value":"112-13"},{"id":16,"name":"Locomotive ID","value":"4032"},{"id":130,"name":"Impact","value":""},{"id":150,"name":"Time of Event (Mountain Time)","value":"06:00:21"},{"id":151,"name":"Denver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"%USERPROFILE%\AppData\Local\Temp\OnboardLogs"\RTDC4032\*4032*201611131*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"%USERPROFILE%\AppData\Local\Temp\OnboardLogs"\RTDC4032\*4032*201611131* &gt;&gt; 42687-slicedisagreementcheck.txt</v>
      </c>
    </row>
    <row r="11" spans="1:30" s="1" customFormat="1" x14ac:dyDescent="0.25">
      <c r="A11" s="36">
        <v>42687.271724537037</v>
      </c>
      <c r="B11" s="31" t="s">
        <v>218</v>
      </c>
      <c r="C11" s="31" t="s">
        <v>443</v>
      </c>
      <c r="D11" s="31" t="s">
        <v>49</v>
      </c>
      <c r="E11" s="31" t="s">
        <v>211</v>
      </c>
      <c r="F11" s="47">
        <v>0</v>
      </c>
      <c r="G11" s="47">
        <v>40</v>
      </c>
      <c r="H11" s="47">
        <v>147</v>
      </c>
      <c r="I11" s="47">
        <v>119</v>
      </c>
      <c r="J11" s="31" t="s">
        <v>212</v>
      </c>
      <c r="K11" s="47">
        <v>1</v>
      </c>
      <c r="L11" s="154" t="s">
        <v>51</v>
      </c>
      <c r="M11" s="155">
        <f>CONVERT((I11-K11)/10000,"mi","ft")*IF(L11="Increasing Mileposts (1)",-1,1)</f>
        <v>62.304000000000002</v>
      </c>
      <c r="N11" s="156" t="str">
        <f>VLOOKUP(C11,'Trips&amp;Operators'!$C$1:$E$99999,3,FALSE)</f>
        <v>HAITHCOX</v>
      </c>
      <c r="O11" s="183" t="s">
        <v>206</v>
      </c>
      <c r="P11" s="157"/>
      <c r="Q11" s="31"/>
      <c r="R11" s="100" t="str">
        <f>VLOOKUP(C11,'Train Runs'!$A$13:$AE$10003,31,0)</f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S11" s="103" t="str">
        <f>VLOOKUP(C11,'Train Runs'!$A$13:$AE$10003,22,0)</f>
        <v>https://search-rtdc-monitor-bjffxe2xuh6vdkpspy63sjmuny.us-east-1.es.amazonaws.com/_plugin/kibana/#/discover/Steve-Slow-Train-Analysis-(2080s-and-2083s)?_g=(refreshInterval:(display:Off,section:0,value:0),time:(from:'2016-11-13 04:42:14-700',mode:absolute,to:'2016-11-13 07:31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/stypes="*4030*201611131*" /stext=" 13:.+((SYSTEM_STATE.+slice.+state.+changed )|(ment ac)|(system.+state.+changed )|(\[timeout)|(PRM\|1\|D)|(kpr)|(kdp)|(\|lc)|(penalty))" /e /r /s</v>
      </c>
      <c r="U11" s="9" t="str">
        <f>MID(B11,13,4)</f>
        <v>4030</v>
      </c>
      <c r="V11" s="36">
        <f>A11-utc_offset/24</f>
        <v>42687.563391203701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{"issue":{"subject":"","project_id":79,"tracker_id":40,"status_id":1,"priority_id":2,"assigned_to_id":23,"start_date":"2016-11-13","description":"","custom_fields":[{"id":1,"name":"Subdivision","value":"EC"},{"id":4,"name":"Milepost","value":"0.0001"},{"id":17,"name":"Train ID","value":"110-13"},{"id":16,"name":"Locomotive ID","value":"4030"},{"id":130,"name":"Impact","value":""},{"id":150,"name":"Time of Event (Mountain Time)","value":"06:31:17"},{"id":151,"name":"Denver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"%USERPROFILE%\AppData\Local\Temp\OnboardLogs"\RTDC4030\*4030*201611131*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"%USERPROFILE%\AppData\Local\Temp\OnboardLogs"\RTDC4030\*4030*201611131* &gt;&gt; 42687-slicedisagreementcheck.txt</v>
      </c>
    </row>
    <row r="12" spans="1:30" s="1" customFormat="1" x14ac:dyDescent="0.25">
      <c r="A12" s="36">
        <v>42687.287407407406</v>
      </c>
      <c r="B12" s="31" t="s">
        <v>189</v>
      </c>
      <c r="C12" s="31" t="s">
        <v>444</v>
      </c>
      <c r="D12" s="31" t="s">
        <v>98</v>
      </c>
      <c r="E12" s="31" t="s">
        <v>209</v>
      </c>
      <c r="F12" s="47">
        <v>200</v>
      </c>
      <c r="G12" s="47">
        <v>263</v>
      </c>
      <c r="H12" s="47">
        <v>155051</v>
      </c>
      <c r="I12" s="47">
        <v>155787</v>
      </c>
      <c r="J12" s="31" t="s">
        <v>210</v>
      </c>
      <c r="K12" s="47">
        <v>149694</v>
      </c>
      <c r="L12" s="154" t="s">
        <v>50</v>
      </c>
      <c r="M12" s="155">
        <f>CONVERT((I12-K12)/10000,"mi","ft")*IF(L12="Increasing Mileposts (1)",-1,1)</f>
        <v>-3217.1039999999998</v>
      </c>
      <c r="N12" s="156" t="str">
        <f>VLOOKUP(C12,'Trips&amp;Operators'!$C$1:$E$99999,3,FALSE)</f>
        <v>DAVIS</v>
      </c>
      <c r="O12" s="183" t="s">
        <v>206</v>
      </c>
      <c r="P12" s="157" t="s">
        <v>794</v>
      </c>
      <c r="Q12" s="31"/>
      <c r="R12" s="100" t="str">
        <f>VLOOKUP(C12,'Train Runs'!$A$13:$AE$10003,31,0)</f>
        <v>aws s3 cp s3://rtdc.mdm.uploadarchive.raw/RTDC4044/ "%USERPROFILE%\AppData\Local\Temp\OnboardLogs"\RTDC4044\2016-11-13 --exclude "*" --recursive --include "*20161113*" &amp; "%USERPROFILE%\Documents\GitHub\mrs-test-scripts\Headless Mode &amp; Sideloading\WalkAndUnGZ.bat" "%USERPROFILE%\AppData\Local\Temp\OnboardLogs"\RTDC4044\2016-11-13 &amp; aws s3 cp s3://rtdc.mdm.uploadarchive.raw/RTDC4044/ "%USERPROFILE%\AppData\Local\Temp\OnboardLogs"\RTDC4044\2016-11-14 --exclude "*" --recursive --include "*20161114*" &amp; "%USERPROFILE%\Documents\GitHub\mrs-test-scripts\Headless Mode &amp; Sideloading\WalkAndUnGZ.bat" "%USERPROFILE%\AppData\Local\Temp\OnboardLogs"\RTDC4044\2016-11-14</v>
      </c>
      <c r="S12" s="103" t="str">
        <f>VLOOKUP(C12,'Train Runs'!$A$13:$AE$10003,22,0)</f>
        <v>https://search-rtdc-monitor-bjffxe2xuh6vdkpspy63sjmuny.us-east-1.es.amazonaws.com/_plugin/kibana/#/discover/Steve-Slow-Train-Analysis-(2080s-and-2083s)?_g=(refreshInterval:(display:Off,section:0,value:0),time:(from:'2016-11-13 05:15:17-700',mode:absolute,to:'2016-11-13 08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/stypes="*4044*201611131*" /stext=" 13:.+((SYSTEM_STATE.+slice.+state.+changed )|(ment ac)|(system.+state.+changed )|(\[timeout)|(PRM\|1\|D)|(kpr)|(kdp)|(\|lc)|(penalty))" /e /r /s</v>
      </c>
      <c r="U12" s="9" t="str">
        <f>MID(B12,13,4)</f>
        <v>4044</v>
      </c>
      <c r="V12" s="36">
        <f>A12-utc_offset/24</f>
        <v>42687.57907407407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-13","description":"","custom_fields":[{"id":1,"name":"Subdivision","value":"EC"},{"id":4,"name":"Milepost","value":"14.9694"},{"id":17,"name":"Train ID","value":"121-13"},{"id":16,"name":"Locomotive ID","value":"4044"},{"id":130,"name":"Impact","value":""},{"id":150,"name":"Time of Event (Mountain Time)","value":"06:53:52"},{"id":151,"name":"Denver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"%USERPROFILE%\AppData\Local\Temp\OnboardLogs"\RTDC4044\*4044*201611131*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"%USERPROFILE%\AppData\Local\Temp\OnboardLogs"\RTDC4044\*4044*201611131* &gt;&gt; 42687-slicedisagreementcheck.txt</v>
      </c>
    </row>
    <row r="13" spans="1:30" s="1" customFormat="1" x14ac:dyDescent="0.25">
      <c r="A13" s="36">
        <v>42687.305659722224</v>
      </c>
      <c r="B13" s="31" t="s">
        <v>257</v>
      </c>
      <c r="C13" s="31" t="s">
        <v>445</v>
      </c>
      <c r="D13" s="31" t="s">
        <v>49</v>
      </c>
      <c r="E13" s="31" t="s">
        <v>211</v>
      </c>
      <c r="F13" s="47">
        <v>0</v>
      </c>
      <c r="G13" s="47">
        <v>50</v>
      </c>
      <c r="H13" s="47">
        <v>156</v>
      </c>
      <c r="I13" s="47">
        <v>119</v>
      </c>
      <c r="J13" s="31" t="s">
        <v>212</v>
      </c>
      <c r="K13" s="47">
        <v>1</v>
      </c>
      <c r="L13" s="154" t="s">
        <v>51</v>
      </c>
      <c r="M13" s="155">
        <f>CONVERT((I13-K13)/10000,"mi","ft")*IF(L13="Increasing Mileposts (1)",-1,1)</f>
        <v>62.304000000000002</v>
      </c>
      <c r="N13" s="156" t="str">
        <f>VLOOKUP(C13,'Trips&amp;Operators'!$C$1:$E$99999,3,FALSE)</f>
        <v>ACKERMAN</v>
      </c>
      <c r="O13" s="183" t="s">
        <v>206</v>
      </c>
      <c r="P13" s="157"/>
      <c r="Q13" s="31"/>
      <c r="R13" s="100" t="str">
        <f>VLOOKUP(C13,'Train Runs'!$A$13:$AE$10003,31,0)</f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S13" s="103" t="str">
        <f>VLOOKUP(C13,'Train Runs'!$A$13:$AE$10003,22,0)</f>
        <v>https://search-rtdc-monitor-bjffxe2xuh6vdkpspy63sjmuny.us-east-1.es.amazonaws.com/_plugin/kibana/#/discover/Steve-Slow-Train-Analysis-(2080s-and-2083s)?_g=(refreshInterval:(display:Off,section:0,value:0),time:(from:'2016-11-13 05:38:30-700',mode:absolute,to:'2016-11-13 08:20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/stypes="*4001*201611131*" /stext=" 14:.+((SYSTEM_STATE.+slice.+state.+changed )|(ment ac)|(system.+state.+changed )|(\[timeout)|(PRM\|1\|D)|(kpr)|(kdp)|(\|lc)|(penalty))" /e /r /s</v>
      </c>
      <c r="U13" s="9" t="str">
        <f>MID(B13,13,4)</f>
        <v>4001</v>
      </c>
      <c r="V13" s="36">
        <f>A13-utc_offset/24</f>
        <v>42687.597326388888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{"issue":{"subject":"","project_id":79,"tracker_id":40,"status_id":1,"priority_id":2,"assigned_to_id":23,"start_date":"2016-11-13","description":"","custom_fields":[{"id":1,"name":"Subdivision","value":"EC"},{"id":4,"name":"Milepost","value":"0.0001"},{"id":17,"name":"Train ID","value":"118-13"},{"id":16,"name":"Locomotive ID","value":"4001"},{"id":130,"name":"Impact","value":""},{"id":150,"name":"Time of Event (Mountain Time)","value":"07:20:09"},{"id":151,"name":"Denver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"%USERPROFILE%\AppData\Local\Temp\OnboardLogs"\RTDC4001\*4001*201611131*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"%USERPROFILE%\AppData\Local\Temp\OnboardLogs"\RTDC4001\*4001*201611131* &gt;&gt; 42687-slicedisagreementcheck.txt</v>
      </c>
    </row>
    <row r="14" spans="1:30" s="1" customFormat="1" x14ac:dyDescent="0.25">
      <c r="A14" s="36">
        <v>42687.319050925929</v>
      </c>
      <c r="B14" s="31" t="s">
        <v>242</v>
      </c>
      <c r="C14" s="31" t="s">
        <v>446</v>
      </c>
      <c r="D14" s="31" t="s">
        <v>49</v>
      </c>
      <c r="E14" s="31" t="s">
        <v>280</v>
      </c>
      <c r="F14" s="47">
        <v>0</v>
      </c>
      <c r="G14" s="47">
        <v>13</v>
      </c>
      <c r="H14" s="47">
        <v>58033</v>
      </c>
      <c r="I14" s="47">
        <v>57988</v>
      </c>
      <c r="J14" s="31" t="s">
        <v>267</v>
      </c>
      <c r="K14" s="47">
        <v>58066</v>
      </c>
      <c r="L14" s="154" t="s">
        <v>50</v>
      </c>
      <c r="M14" s="155">
        <f>CONVERT((I14-K14)/10000,"mi","ft")*IF(L14="Increasing Mileposts (1)",-1,1)</f>
        <v>41.183999999999997</v>
      </c>
      <c r="N14" s="156" t="str">
        <f>VLOOKUP(C14,'Trips&amp;Operators'!$C$1:$E$99999,3,FALSE)</f>
        <v>STARKS</v>
      </c>
      <c r="O14" s="183" t="s">
        <v>206</v>
      </c>
      <c r="P14" s="157" t="s">
        <v>798</v>
      </c>
      <c r="Q14" s="31"/>
      <c r="R14" s="100" t="str">
        <f>VLOOKUP(C14,'Train Runs'!$A$13:$AE$10003,31,0)</f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S14" s="103" t="str">
        <f>VLOOKUP(C14,'Train Runs'!$A$13:$AE$10003,22,0)</f>
        <v>https://search-rtdc-monitor-bjffxe2xuh6vdkpspy63sjmuny.us-east-1.es.amazonaws.com/_plugin/kibana/#/discover/Steve-Slow-Train-Analysis-(2080s-and-2083s)?_g=(refreshInterval:(display:Off,section:0,value:0),time:(from:'2016-11-13 06:36:25-700',mode:absolute,to:'2016-11-13 08:56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/stypes="*4041*201611131*" /stext=" 14:.+((SYSTEM_STATE.+slice.+state.+changed )|(ment ac)|(system.+state.+changed )|(\[timeout)|(PRM\|1\|D)|(kpr)|(kdp)|(\|lc)|(penalty))" /e /r /s</v>
      </c>
      <c r="U14" s="9" t="str">
        <f>MID(B14,13,4)</f>
        <v>4041</v>
      </c>
      <c r="V14" s="36">
        <f>A14-utc_offset/24</f>
        <v>42687.610717592594</v>
      </c>
      <c r="W14" s="50" t="str">
        <f>IF(VALUE(LEFT(IF(LEN(C14)=6,"0"&amp;C14,C14),2))&lt;=2,"EC",IF(OR(VALUE(LEFT(IF(LEN(C14)=6,"0"&amp;C14,C14),2))=8,VALUE(LEFT(IF(LEN(C14)=6,"0"&amp;C14,C14),2))=18),"NW","Other"))</f>
        <v>NW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{"issue":{"subject":"Went active too close to switch","project_id":79,"tracker_id":40,"status_id":1,"priority_id":2,"assigned_to_id":23,"start_date":"2016-11-13","description":"","custom_fields":[{"id":1,"name":"Subdivision","value":"NW"},{"id":4,"name":"Milepost","value":"5.8066"},{"id":17,"name":"Train ID","value":"1804-13"},{"id":16,"name":"Locomotive ID","value":"4041"},{"id":130,"name":"Impact","value":""},{"id":150,"name":"Time of Event (Mountain Time)","value":"07:39:26"},{"id":151,"name":"Denver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"%USERPROFILE%\AppData\Local\Temp\OnboardLogs"\RTDC4041\*4041*201611131*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"%USERPROFILE%\AppData\Local\Temp\OnboardLogs"\RTDC4041\*4041*201611131* &gt;&gt; 42687-slicedisagreementcheck.txt</v>
      </c>
    </row>
    <row r="15" spans="1:30" s="1" customFormat="1" x14ac:dyDescent="0.25">
      <c r="A15" s="36">
        <v>42687.39880787037</v>
      </c>
      <c r="B15" s="31" t="s">
        <v>235</v>
      </c>
      <c r="C15" s="31" t="s">
        <v>447</v>
      </c>
      <c r="D15" s="31" t="s">
        <v>98</v>
      </c>
      <c r="E15" s="31" t="s">
        <v>207</v>
      </c>
      <c r="F15" s="47">
        <v>700</v>
      </c>
      <c r="G15" s="47">
        <v>752</v>
      </c>
      <c r="H15" s="47">
        <v>180541</v>
      </c>
      <c r="I15" s="47">
        <v>176941</v>
      </c>
      <c r="J15" s="31" t="s">
        <v>208</v>
      </c>
      <c r="K15" s="47">
        <v>183829</v>
      </c>
      <c r="L15" s="154" t="s">
        <v>51</v>
      </c>
      <c r="M15" s="155">
        <f>CONVERT((I15-K15)/10000,"mi","ft")*IF(L15="Increasing Mileposts (1)",-1,1)</f>
        <v>-3636.864</v>
      </c>
      <c r="N15" s="156" t="str">
        <f>VLOOKUP(C15,'Trips&amp;Operators'!$C$1:$E$99999,3,FALSE)</f>
        <v>STRICKLAND</v>
      </c>
      <c r="O15" s="183" t="s">
        <v>206</v>
      </c>
      <c r="P15" s="157"/>
      <c r="Q15" s="31"/>
      <c r="R15" s="100" t="str">
        <f>VLOOKUP(C15,'Train Runs'!$A$13:$AE$10003,31,0)</f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S15" s="103" t="str">
        <f>VLOOKUP(C15,'Train Runs'!$A$13:$AE$10003,22,0)</f>
        <v>https://search-rtdc-monitor-bjffxe2xuh6vdkpspy63sjmuny.us-east-1.es.amazonaws.com/_plugin/kibana/#/discover/Steve-Slow-Train-Analysis-(2080s-and-2083s)?_g=(refreshInterval:(display:Off,section:0,value:0),time:(from:'2016-11-13 08:20:25-700',mode:absolute,to:'2016-11-13 11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/stypes="*4032*201611131*" /stext=" 16:.+((SYSTEM_STATE.+slice.+state.+changed )|(ment ac)|(system.+state.+changed )|(\[timeout)|(PRM\|1\|D)|(kpr)|(kdp)|(\|lc)|(penalty))" /e /r /s</v>
      </c>
      <c r="U15" s="9" t="str">
        <f>MID(B15,13,4)</f>
        <v>4032</v>
      </c>
      <c r="V15" s="36">
        <f>A15-utc_offset/24</f>
        <v>42687.690474537034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{"issue":{"subject":"","project_id":79,"tracker_id":40,"status_id":1,"priority_id":2,"assigned_to_id":23,"start_date":"2016-11-13","description":"","custom_fields":[{"id":1,"name":"Subdivision","value":"EC"},{"id":4,"name":"Milepost","value":"18.3829"},{"id":17,"name":"Train ID","value":"140-13"},{"id":16,"name":"Locomotive ID","value":"4032"},{"id":130,"name":"Impact","value":""},{"id":150,"name":"Time of Event (Mountain Time)","value":"09:34:17"},{"id":151,"name":"Denver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"%USERPROFILE%\AppData\Local\Temp\OnboardLogs"\RTDC4032\*4032*201611131*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"%USERPROFILE%\AppData\Local\Temp\OnboardLogs"\RTDC4032\*4032*201611131* &gt;&gt; 42687-slicedisagreementcheck.txt</v>
      </c>
    </row>
    <row r="16" spans="1:30" s="1" customFormat="1" x14ac:dyDescent="0.25">
      <c r="A16" s="36">
        <v>42687.400347222225</v>
      </c>
      <c r="B16" s="31" t="s">
        <v>235</v>
      </c>
      <c r="C16" s="31" t="s">
        <v>447</v>
      </c>
      <c r="D16" s="31" t="s">
        <v>98</v>
      </c>
      <c r="E16" s="31" t="s">
        <v>207</v>
      </c>
      <c r="F16" s="47">
        <v>700</v>
      </c>
      <c r="G16" s="47">
        <v>753</v>
      </c>
      <c r="H16" s="47">
        <v>165980</v>
      </c>
      <c r="I16" s="47">
        <v>162017</v>
      </c>
      <c r="J16" s="31" t="s">
        <v>208</v>
      </c>
      <c r="K16" s="47">
        <v>183829</v>
      </c>
      <c r="L16" s="154" t="s">
        <v>51</v>
      </c>
      <c r="M16" s="155">
        <f>CONVERT((I16-K16)/10000,"mi","ft")*IF(L16="Increasing Mileposts (1)",-1,1)</f>
        <v>-11516.736000000001</v>
      </c>
      <c r="N16" s="156" t="str">
        <f>VLOOKUP(C16,'Trips&amp;Operators'!$C$1:$E$99999,3,FALSE)</f>
        <v>STRICKLAND</v>
      </c>
      <c r="O16" s="183" t="s">
        <v>206</v>
      </c>
      <c r="P16" s="157"/>
      <c r="Q16" s="31"/>
      <c r="R16" s="100" t="str">
        <f>VLOOKUP(C16,'Train Runs'!$A$13:$AE$10003,31,0)</f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S16" s="103" t="str">
        <f>VLOOKUP(C16,'Train Runs'!$A$13:$AE$10003,22,0)</f>
        <v>https://search-rtdc-monitor-bjffxe2xuh6vdkpspy63sjmuny.us-east-1.es.amazonaws.com/_plugin/kibana/#/discover/Steve-Slow-Train-Analysis-(2080s-and-2083s)?_g=(refreshInterval:(display:Off,section:0,value:0),time:(from:'2016-11-13 08:20:25-700',mode:absolute,to:'2016-11-13 11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/stypes="*4032*201611131*" /stext=" 16:.+((SYSTEM_STATE.+slice.+state.+changed )|(ment ac)|(system.+state.+changed )|(\[timeout)|(PRM\|1\|D)|(kpr)|(kdp)|(\|lc)|(penalty))" /e /r /s</v>
      </c>
      <c r="U16" s="9" t="str">
        <f>MID(B16,13,4)</f>
        <v>4032</v>
      </c>
      <c r="V16" s="36">
        <f>A16-utc_offset/24</f>
        <v>42687.692013888889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{"issue":{"subject":"","project_id":79,"tracker_id":40,"status_id":1,"priority_id":2,"assigned_to_id":23,"start_date":"2016-11-13","description":"","custom_fields":[{"id":1,"name":"Subdivision","value":"EC"},{"id":4,"name":"Milepost","value":"18.3829"},{"id":17,"name":"Train ID","value":"140-13"},{"id":16,"name":"Locomotive ID","value":"4032"},{"id":130,"name":"Impact","value":""},{"id":150,"name":"Time of Event (Mountain Time)","value":"09:36:30"},{"id":151,"name":"Denver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"%USERPROFILE%\AppData\Local\Temp\OnboardLogs"\RTDC4032\*4032*201611131*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"%USERPROFILE%\AppData\Local\Temp\OnboardLogs"\RTDC4032\*4032*201611131* &gt;&gt; 42687-slicedisagreementcheck.txt</v>
      </c>
    </row>
    <row r="17" spans="1:30" s="1" customFormat="1" x14ac:dyDescent="0.25">
      <c r="A17" s="36">
        <v>42687.416585648149</v>
      </c>
      <c r="B17" s="31" t="s">
        <v>235</v>
      </c>
      <c r="C17" s="31" t="s">
        <v>447</v>
      </c>
      <c r="D17" s="31" t="s">
        <v>49</v>
      </c>
      <c r="E17" s="31" t="s">
        <v>207</v>
      </c>
      <c r="F17" s="47">
        <v>300</v>
      </c>
      <c r="G17" s="47">
        <v>492</v>
      </c>
      <c r="H17" s="47">
        <v>24241</v>
      </c>
      <c r="I17" s="47">
        <v>22365</v>
      </c>
      <c r="J17" s="31" t="s">
        <v>208</v>
      </c>
      <c r="K17" s="47">
        <v>21848</v>
      </c>
      <c r="L17" s="154" t="s">
        <v>51</v>
      </c>
      <c r="M17" s="155">
        <f>CONVERT((I17-K17)/10000,"mi","ft")*IF(L17="Increasing Mileposts (1)",-1,1)</f>
        <v>272.976</v>
      </c>
      <c r="N17" s="156" t="str">
        <f>VLOOKUP(C17,'Trips&amp;Operators'!$C$1:$E$99999,3,FALSE)</f>
        <v>STRICKLAND</v>
      </c>
      <c r="O17" s="183" t="s">
        <v>206</v>
      </c>
      <c r="P17" s="157"/>
      <c r="Q17" s="31"/>
      <c r="R17" s="100" t="str">
        <f>VLOOKUP(C17,'Train Runs'!$A$13:$AE$10003,31,0)</f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S17" s="103" t="str">
        <f>VLOOKUP(C17,'Train Runs'!$A$13:$AE$10003,22,0)</f>
        <v>https://search-rtdc-monitor-bjffxe2xuh6vdkpspy63sjmuny.us-east-1.es.amazonaws.com/_plugin/kibana/#/discover/Steve-Slow-Train-Analysis-(2080s-and-2083s)?_g=(refreshInterval:(display:Off,section:0,value:0),time:(from:'2016-11-13 08:20:25-700',mode:absolute,to:'2016-11-13 11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/stypes="*4032*201611131*" /stext=" 16:.+((SYSTEM_STATE.+slice.+state.+changed )|(ment ac)|(system.+state.+changed )|(\[timeout)|(PRM\|1\|D)|(kpr)|(kdp)|(\|lc)|(penalty))" /e /r /s</v>
      </c>
      <c r="U17" s="9" t="str">
        <f>MID(B17,13,4)</f>
        <v>4032</v>
      </c>
      <c r="V17" s="36">
        <f>A17-utc_offset/24</f>
        <v>42687.708252314813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{"issue":{"subject":"","project_id":79,"tracker_id":40,"status_id":1,"priority_id":2,"assigned_to_id":23,"start_date":"2016-11-13","description":"","custom_fields":[{"id":1,"name":"Subdivision","value":"EC"},{"id":4,"name":"Milepost","value":"2.1848"},{"id":17,"name":"Train ID","value":"140-13"},{"id":16,"name":"Locomotive ID","value":"4032"},{"id":130,"name":"Impact","value":""},{"id":150,"name":"Time of Event (Mountain Time)","value":"09:59:53"},{"id":151,"name":"Denver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"%USERPROFILE%\AppData\Local\Temp\OnboardLogs"\RTDC4032\*4032*201611131*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"%USERPROFILE%\AppData\Local\Temp\OnboardLogs"\RTDC4032\*4032*201611131* &gt;&gt; 42687-slicedisagreementcheck.txt</v>
      </c>
    </row>
    <row r="18" spans="1:30" s="1" customFormat="1" x14ac:dyDescent="0.25">
      <c r="A18" s="36">
        <v>42687.434999999998</v>
      </c>
      <c r="B18" s="31" t="s">
        <v>217</v>
      </c>
      <c r="C18" s="31" t="s">
        <v>448</v>
      </c>
      <c r="D18" s="31" t="s">
        <v>49</v>
      </c>
      <c r="E18" s="31" t="s">
        <v>209</v>
      </c>
      <c r="F18" s="47">
        <v>0</v>
      </c>
      <c r="G18" s="47">
        <v>787</v>
      </c>
      <c r="H18" s="47">
        <v>144156</v>
      </c>
      <c r="I18" s="47">
        <v>147974</v>
      </c>
      <c r="J18" s="31" t="s">
        <v>210</v>
      </c>
      <c r="K18" s="47">
        <v>144300</v>
      </c>
      <c r="L18" s="154" t="s">
        <v>50</v>
      </c>
      <c r="M18" s="155">
        <f>CONVERT((I18-K18)/10000,"mi","ft")*IF(L18="Increasing Mileposts (1)",-1,1)</f>
        <v>-1939.8720000000001</v>
      </c>
      <c r="N18" s="156" t="str">
        <f>VLOOKUP(C18,'Trips&amp;Operators'!$C$1:$E$99999,3,FALSE)</f>
        <v>HAITHCOX</v>
      </c>
      <c r="O18" s="183" t="s">
        <v>236</v>
      </c>
      <c r="P18" s="157" t="s">
        <v>796</v>
      </c>
      <c r="Q18" s="31"/>
      <c r="R18" s="100" t="str">
        <f>VLOOKUP(C18,'Train Runs'!$A$13:$AE$10003,31,0)</f>
        <v>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 &amp; aws s3 cp s3://rtdc.mdm.uploadarchive.raw/RTDC4029/ "%USERPROFILE%\AppData\Local\Temp\OnboardLogs"\RTDC4029\2016-11-14 --exclude "*" --recursive --include "*20161114*" &amp; "%USERPROFILE%\Documents\GitHub\mrs-test-scripts\Headless Mode &amp; Sideloading\WalkAndUnGZ.bat" "%USERPROFILE%\AppData\Local\Temp\OnboardLogs"\RTDC4029\2016-11-14</v>
      </c>
      <c r="S18" s="103" t="str">
        <f>VLOOKUP(C18,'Train Runs'!$A$13:$AE$10003,22,0)</f>
        <v>https://search-rtdc-monitor-bjffxe2xuh6vdkpspy63sjmuny.us-east-1.es.amazonaws.com/_plugin/kibana/#/discover/Steve-Slow-Train-Analysis-(2080s-and-2083s)?_g=(refreshInterval:(display:Off,section:0,value:0),time:(from:'2016-11-13 08:51:31-700',mode:absolute,to:'2016-11-13 11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/stypes="*4029*201611131*" /stext=" 17:.+((SYSTEM_STATE.+slice.+state.+changed )|(ment ac)|(system.+state.+changed )|(\[timeout)|(PRM\|1\|D)|(kpr)|(kdp)|(\|lc)|(penalty))" /e /r /s</v>
      </c>
      <c r="U18" s="9" t="str">
        <f>MID(B18,13,4)</f>
        <v>4029</v>
      </c>
      <c r="V18" s="36">
        <f>A18-utc_offset/24</f>
        <v>42687.726666666662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-13","description":"http://stevetu21.github.io/eaglep3/load_kml.html?kml=http://rtdc.gmaps-snips.s3.amazonaws.com/9d3797f9-19b6-4709-9a64-484c0213b2f1.kml","custom_fields":[{"id":1,"name":"Subdivision","value":"EC"},{"id":4,"name":"Milepost","value":"14.43"},{"id":17,"name":"Train ID","value":"151-13"},{"id":16,"name":"Locomotive ID","value":"4029"},{"id":130,"name":"Impact","value":"Enforcement"},{"id":150,"name":"Time of Event (Mountain Time)","value":"10:26:24"},{"id":151,"name":"Denver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184" t="s">
        <v>795</v>
      </c>
      <c r="AA18" s="53" t="s">
        <v>125</v>
      </c>
      <c r="AB18" s="53" t="s">
        <v>138</v>
      </c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"%USERPROFILE%\AppData\Local\Temp\OnboardLogs"\RTDC4029\*4029*201611131*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"%USERPROFILE%\AppData\Local\Temp\OnboardLogs"\RTDC4029\*4029*201611131* &gt;&gt; 42687-slicedisagreementcheck.txt</v>
      </c>
    </row>
    <row r="19" spans="1:30" s="1" customFormat="1" x14ac:dyDescent="0.25">
      <c r="A19" s="36">
        <v>42687.451932870368</v>
      </c>
      <c r="B19" s="31" t="s">
        <v>248</v>
      </c>
      <c r="C19" s="31" t="s">
        <v>449</v>
      </c>
      <c r="D19" s="31" t="s">
        <v>49</v>
      </c>
      <c r="E19" s="31" t="s">
        <v>211</v>
      </c>
      <c r="F19" s="47">
        <v>0</v>
      </c>
      <c r="G19" s="47">
        <v>71</v>
      </c>
      <c r="H19" s="47">
        <v>233219</v>
      </c>
      <c r="I19" s="47">
        <v>233298</v>
      </c>
      <c r="J19" s="31" t="s">
        <v>212</v>
      </c>
      <c r="K19" s="47">
        <v>233491</v>
      </c>
      <c r="L19" s="154" t="s">
        <v>50</v>
      </c>
      <c r="M19" s="155">
        <f>CONVERT((I19-K19)/10000,"mi","ft")*IF(L19="Increasing Mileposts (1)",-1,1)</f>
        <v>101.904</v>
      </c>
      <c r="N19" s="156" t="str">
        <f>VLOOKUP(C19,'Trips&amp;Operators'!$C$1:$E$99999,3,FALSE)</f>
        <v>STRICKLAND</v>
      </c>
      <c r="O19" s="183" t="s">
        <v>206</v>
      </c>
      <c r="P19" s="157"/>
      <c r="Q19" s="31"/>
      <c r="R19" s="100" t="str">
        <f>VLOOKUP(C19,'Train Runs'!$A$13:$AE$10003,31,0)</f>
        <v>aws s3 cp s3://rtdc.mdm.uploadarchive.raw/RTDC4031/ "%USERPROFILE%\AppData\Local\Temp\OnboardLogs"\RTDC4031\2016-11-13 --exclude "*" --recursive --include "*20161113*" &amp; "%USERPROFILE%\Documents\GitHub\mrs-test-scripts\Headless Mode &amp; Sideloading\WalkAndUnGZ.bat" "%USERPROFILE%\AppData\Local\Temp\OnboardLogs"\RTDC4031\2016-11-13 &amp; aws s3 cp s3://rtdc.mdm.uploadarchive.raw/RTDC4031/ "%USERPROFILE%\AppData\Local\Temp\OnboardLogs"\RTDC4031\2016-11-14 --exclude "*" --recursive --include "*20161114*" &amp; "%USERPROFILE%\Documents\GitHub\mrs-test-scripts\Headless Mode &amp; Sideloading\WalkAndUnGZ.bat" "%USERPROFILE%\AppData\Local\Temp\OnboardLogs"\RTDC4031\2016-11-14</v>
      </c>
      <c r="S19" s="103" t="str">
        <f>VLOOKUP(C19,'Train Runs'!$A$13:$AE$10003,22,0)</f>
        <v>https://search-rtdc-monitor-bjffxe2xuh6vdkpspy63sjmuny.us-east-1.es.amazonaws.com/_plugin/kibana/#/discover/Steve-Slow-Train-Analysis-(2080s-and-2083s)?_g=(refreshInterval:(display:Off,section:0,value:0),time:(from:'2016-11-13 09:08:37-700',mode:absolute,to:'2016-11-13 11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/stypes="*4031*201611131*" /stext=" 17:.+((SYSTEM_STATE.+slice.+state.+changed )|(ment ac)|(system.+state.+changed )|(\[timeout)|(PRM\|1\|D)|(kpr)|(kdp)|(\|lc)|(penalty))" /e /r /s</v>
      </c>
      <c r="U19" s="9" t="str">
        <f>MID(B19,13,4)</f>
        <v>4031</v>
      </c>
      <c r="V19" s="36">
        <f>A19-utc_offset/24</f>
        <v>42687.743599537032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{"issue":{"subject":"","project_id":79,"tracker_id":40,"status_id":1,"priority_id":2,"assigned_to_id":23,"start_date":"2016-11-13","description":"","custom_fields":[{"id":1,"name":"Subdivision","value":"EC"},{"id":4,"name":"Milepost","value":"23.3491"},{"id":17,"name":"Train ID","value":"153-13"},{"id":16,"name":"Locomotive ID","value":"4031"},{"id":130,"name":"Impact","value":""},{"id":150,"name":"Time of Event (Mountain Time)","value":"10:50:47"},{"id":151,"name":"Denver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"%USERPROFILE%\AppData\Local\Temp\OnboardLogs"\RTDC4031\*4031*201611131*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"%USERPROFILE%\AppData\Local\Temp\OnboardLogs"\RTDC4031\*4031*201611131* &gt;&gt; 42687-slicedisagreementcheck.txt</v>
      </c>
    </row>
    <row r="20" spans="1:30" s="1" customFormat="1" x14ac:dyDescent="0.25">
      <c r="A20" s="36">
        <v>42687.471701388888</v>
      </c>
      <c r="B20" s="31" t="s">
        <v>235</v>
      </c>
      <c r="C20" s="31" t="s">
        <v>450</v>
      </c>
      <c r="D20" s="31" t="s">
        <v>98</v>
      </c>
      <c r="E20" s="31" t="s">
        <v>207</v>
      </c>
      <c r="F20" s="47">
        <v>700</v>
      </c>
      <c r="G20" s="47">
        <v>752</v>
      </c>
      <c r="H20" s="47">
        <v>170649</v>
      </c>
      <c r="I20" s="47">
        <v>167773</v>
      </c>
      <c r="J20" s="31" t="s">
        <v>208</v>
      </c>
      <c r="K20" s="47">
        <v>183829</v>
      </c>
      <c r="L20" s="154" t="s">
        <v>51</v>
      </c>
      <c r="M20" s="155">
        <f>CONVERT((I20-K20)/10000,"mi","ft")*IF(L20="Increasing Mileposts (1)",-1,1)</f>
        <v>-8477.5679999999993</v>
      </c>
      <c r="N20" s="156" t="str">
        <f>VLOOKUP(C20,'Trips&amp;Operators'!$C$1:$E$99999,3,FALSE)</f>
        <v>STRICKLAND</v>
      </c>
      <c r="O20" s="183" t="s">
        <v>206</v>
      </c>
      <c r="P20" s="157"/>
      <c r="Q20" s="31"/>
      <c r="R20" s="100" t="str">
        <f>VLOOKUP(C20,'Train Runs'!$A$13:$AE$10003,31,0)</f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S20" s="103" t="str">
        <f>VLOOKUP(C20,'Train Runs'!$A$13:$AE$10003,22,0)</f>
        <v>https://search-rtdc-monitor-bjffxe2xuh6vdkpspy63sjmuny.us-east-1.es.amazonaws.com/_plugin/kibana/#/discover/Steve-Slow-Train-Analysis-(2080s-and-2083s)?_g=(refreshInterval:(display:Off,section:0,value:0),time:(from:'2016-11-13 10:05:12-700',mode:absolute,to:'2016-11-13 12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/stypes="*4032*201611131*" /stext=" 18:.+((SYSTEM_STATE.+slice.+state.+changed )|(ment ac)|(system.+state.+changed )|(\[timeout)|(PRM\|1\|D)|(kpr)|(kdp)|(\|lc)|(penalty))" /e /r /s</v>
      </c>
      <c r="U20" s="9" t="str">
        <f>MID(B20,13,4)</f>
        <v>4032</v>
      </c>
      <c r="V20" s="36">
        <f>A20-utc_offset/24</f>
        <v>42687.763368055552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{"issue":{"subject":"","project_id":79,"tracker_id":40,"status_id":1,"priority_id":2,"assigned_to_id":23,"start_date":"2016-11-13","description":"","custom_fields":[{"id":1,"name":"Subdivision","value":"EC"},{"id":4,"name":"Milepost","value":"18.3829"},{"id":17,"name":"Train ID","value":"154-13"},{"id":16,"name":"Locomotive ID","value":"4032"},{"id":130,"name":"Impact","value":""},{"id":150,"name":"Time of Event (Mountain Time)","value":"11:19:15"},{"id":151,"name":"Denver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"%USERPROFILE%\AppData\Local\Temp\OnboardLogs"\RTDC4032\*4032*201611131*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"%USERPROFILE%\AppData\Local\Temp\OnboardLogs"\RTDC4032\*4032*201611131* &gt;&gt; 42687-slicedisagreementcheck.txt</v>
      </c>
    </row>
    <row r="21" spans="1:30" x14ac:dyDescent="0.25">
      <c r="A21" s="36">
        <v>42687.47320601852</v>
      </c>
      <c r="B21" s="31" t="s">
        <v>235</v>
      </c>
      <c r="C21" s="31" t="s">
        <v>450</v>
      </c>
      <c r="D21" s="31" t="s">
        <v>49</v>
      </c>
      <c r="E21" s="31" t="s">
        <v>207</v>
      </c>
      <c r="F21" s="47">
        <v>450</v>
      </c>
      <c r="G21" s="47">
        <v>516</v>
      </c>
      <c r="H21" s="47">
        <v>158086</v>
      </c>
      <c r="I21" s="47">
        <v>155936</v>
      </c>
      <c r="J21" s="31" t="s">
        <v>208</v>
      </c>
      <c r="K21" s="47">
        <v>156300</v>
      </c>
      <c r="L21" s="154" t="s">
        <v>51</v>
      </c>
      <c r="M21" s="155">
        <f>CONVERT((I21-K21)/10000,"mi","ft")*IF(L21="Increasing Mileposts (1)",-1,1)</f>
        <v>-192.19200000000001</v>
      </c>
      <c r="N21" s="156" t="str">
        <f>VLOOKUP(C21,'Trips&amp;Operators'!$C$1:$E$99999,3,FALSE)</f>
        <v>STRICKLAND</v>
      </c>
      <c r="O21" s="183" t="s">
        <v>206</v>
      </c>
      <c r="P21" s="157"/>
      <c r="Q21" s="31"/>
      <c r="R21" s="100" t="str">
        <f>VLOOKUP(C21,'Train Runs'!$A$13:$AE$10003,31,0)</f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S21" s="103" t="str">
        <f>VLOOKUP(C21,'Train Runs'!$A$13:$AE$10003,22,0)</f>
        <v>https://search-rtdc-monitor-bjffxe2xuh6vdkpspy63sjmuny.us-east-1.es.amazonaws.com/_plugin/kibana/#/discover/Steve-Slow-Train-Analysis-(2080s-and-2083s)?_g=(refreshInterval:(display:Off,section:0,value:0),time:(from:'2016-11-13 10:05:12-700',mode:absolute,to:'2016-11-13 12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/stypes="*4032*201611131*" /stext=" 18:.+((SYSTEM_STATE.+slice.+state.+changed )|(ment ac)|(system.+state.+changed )|(\[timeout)|(PRM\|1\|D)|(kpr)|(kdp)|(\|lc)|(penalty))" /e /r /s</v>
      </c>
      <c r="U21" s="9" t="str">
        <f>MID(B21,13,4)</f>
        <v>4032</v>
      </c>
      <c r="V21" s="36">
        <f>A21-utc_offset/24</f>
        <v>42687.764872685184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{"issue":{"subject":"","project_id":79,"tracker_id":40,"status_id":1,"priority_id":2,"assigned_to_id":23,"start_date":"2016-11-13","description":"","custom_fields":[{"id":1,"name":"Subdivision","value":"EC"},{"id":4,"name":"Milepost","value":"15.63"},{"id":17,"name":"Train ID","value":"154-13"},{"id":16,"name":"Locomotive ID","value":"4032"},{"id":130,"name":"Impact","value":""},{"id":150,"name":"Time of Event (Mountain Time)","value":"11:21:25"},{"id":151,"name":"Denver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"%USERPROFILE%\AppData\Local\Temp\OnboardLogs"\RTDC4032\*4032*201611131*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"%USERPROFILE%\AppData\Local\Temp\OnboardLogs"\RTDC4032\*4032*201611131* &gt;&gt; 42687-slicedisagreementcheck.txt</v>
      </c>
    </row>
    <row r="22" spans="1:30" x14ac:dyDescent="0.25">
      <c r="A22" s="36">
        <v>42687.478136574071</v>
      </c>
      <c r="B22" s="31" t="s">
        <v>218</v>
      </c>
      <c r="C22" s="31" t="s">
        <v>451</v>
      </c>
      <c r="D22" s="31" t="s">
        <v>49</v>
      </c>
      <c r="E22" s="31" t="s">
        <v>207</v>
      </c>
      <c r="F22" s="47">
        <v>300</v>
      </c>
      <c r="G22" s="47">
        <v>381</v>
      </c>
      <c r="H22" s="47">
        <v>23018</v>
      </c>
      <c r="I22" s="47">
        <v>21928</v>
      </c>
      <c r="J22" s="31" t="s">
        <v>208</v>
      </c>
      <c r="K22" s="47">
        <v>21848</v>
      </c>
      <c r="L22" s="154" t="s">
        <v>51</v>
      </c>
      <c r="M22" s="155">
        <f>CONVERT((I22-K22)/10000,"mi","ft")*IF(L22="Increasing Mileposts (1)",-1,1)</f>
        <v>42.24</v>
      </c>
      <c r="N22" s="156" t="str">
        <f>VLOOKUP(C22,'Trips&amp;Operators'!$C$1:$E$99999,3,FALSE)</f>
        <v>HAITHCOX</v>
      </c>
      <c r="O22" s="183" t="s">
        <v>206</v>
      </c>
      <c r="P22" s="157"/>
      <c r="Q22" s="31"/>
      <c r="R22" s="100" t="str">
        <f>VLOOKUP(C22,'Train Runs'!$A$13:$AE$10003,31,0)</f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S22" s="103" t="str">
        <f>VLOOKUP(C22,'Train Runs'!$A$13:$AE$10003,22,0)</f>
        <v>https://search-rtdc-monitor-bjffxe2xuh6vdkpspy63sjmuny.us-east-1.es.amazonaws.com/_plugin/kibana/#/discover/Steve-Slow-Train-Analysis-(2080s-and-2083s)?_g=(refreshInterval:(display:Off,section:0,value:0),time:(from:'2016-11-13 09:50:36-700',mode:absolute,to:'2016-11-13 12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/stypes="*4030*201611131*" /stext=" 18:.+((SYSTEM_STATE.+slice.+state.+changed )|(ment ac)|(system.+state.+changed )|(\[timeout)|(PRM\|1\|D)|(kpr)|(kdp)|(\|lc)|(penalty))" /e /r /s</v>
      </c>
      <c r="U22" s="9" t="str">
        <f>MID(B22,13,4)</f>
        <v>4030</v>
      </c>
      <c r="V22" s="36">
        <f>A22-utc_offset/24</f>
        <v>42687.769803240735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{"issue":{"subject":"","project_id":79,"tracker_id":40,"status_id":1,"priority_id":2,"assigned_to_id":23,"start_date":"2016-11-13","description":"","custom_fields":[{"id":1,"name":"Subdivision","value":"EC"},{"id":4,"name":"Milepost","value":"2.1848"},{"id":17,"name":"Train ID","value":"152-13"},{"id":16,"name":"Locomotive ID","value":"4030"},{"id":130,"name":"Impact","value":""},{"id":150,"name":"Time of Event (Mountain Time)","value":"11:28:31"},{"id":151,"name":"Denver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"%USERPROFILE%\AppData\Local\Temp\OnboardLogs"\RTDC4030\*4030*201611131*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"%USERPROFILE%\AppData\Local\Temp\OnboardLogs"\RTDC4030\*4030*201611131* &gt;&gt; 42687-slicedisagreementcheck.txt</v>
      </c>
    </row>
    <row r="23" spans="1:30" x14ac:dyDescent="0.25">
      <c r="A23" s="36">
        <v>42687.493877314817</v>
      </c>
      <c r="B23" s="31" t="s">
        <v>266</v>
      </c>
      <c r="C23" s="31" t="s">
        <v>452</v>
      </c>
      <c r="D23" s="31" t="s">
        <v>49</v>
      </c>
      <c r="E23" s="31" t="s">
        <v>211</v>
      </c>
      <c r="F23" s="47">
        <v>0</v>
      </c>
      <c r="G23" s="47">
        <v>90</v>
      </c>
      <c r="H23" s="47">
        <v>233128</v>
      </c>
      <c r="I23" s="47">
        <v>233340</v>
      </c>
      <c r="J23" s="31" t="s">
        <v>212</v>
      </c>
      <c r="K23" s="47">
        <v>233491</v>
      </c>
      <c r="L23" s="154" t="s">
        <v>50</v>
      </c>
      <c r="M23" s="155">
        <f>CONVERT((I23-K23)/10000,"mi","ft")*IF(L23="Increasing Mileposts (1)",-1,1)</f>
        <v>79.727999999999994</v>
      </c>
      <c r="N23" s="156" t="str">
        <f>VLOOKUP(C23,'Trips&amp;Operators'!$C$1:$E$99999,3,FALSE)</f>
        <v>BARTLETT</v>
      </c>
      <c r="O23" s="183" t="s">
        <v>206</v>
      </c>
      <c r="P23" s="157" t="s">
        <v>802</v>
      </c>
      <c r="Q23" s="31"/>
      <c r="R23" s="100" t="str">
        <f>VLOOKUP(C23,'Train Runs'!$A$13:$AE$10003,31,0)</f>
        <v>aws s3 cp s3://rtdc.mdm.uploadarchive.raw/RTDC4016/ "%USERPROFILE%\AppData\Local\Temp\OnboardLogs"\RTDC4016\2016-11-13 --exclude "*" --recursive --include "*20161113*" &amp; "%USERPROFILE%\Documents\GitHub\mrs-test-scripts\Headless Mode &amp; Sideloading\WalkAndUnGZ.bat" "%USERPROFILE%\AppData\Local\Temp\OnboardLogs"\RTDC4016\2016-11-13 &amp; aws s3 cp s3://rtdc.mdm.uploadarchive.raw/RTDC4016/ "%USERPROFILE%\AppData\Local\Temp\OnboardLogs"\RTDC4016\2016-11-14 --exclude "*" --recursive --include "*20161114*" &amp; "%USERPROFILE%\Documents\GitHub\mrs-test-scripts\Headless Mode &amp; Sideloading\WalkAndUnGZ.bat" "%USERPROFILE%\AppData\Local\Temp\OnboardLogs"\RTDC4016\2016-11-14</v>
      </c>
      <c r="S23" s="103" t="str">
        <f>VLOOKUP(C23,'Train Runs'!$A$13:$AE$10003,22,0)</f>
        <v>https://search-rtdc-monitor-bjffxe2xuh6vdkpspy63sjmuny.us-east-1.es.amazonaws.com/_plugin/kibana/#/discover/Steve-Slow-Train-Analysis-(2080s-and-2083s)?_g=(refreshInterval:(display:Off,section:0,value:0),time:(from:'2016-11-13 10:09:24-700',mode:absolute,to:'2016-11-13 12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/stypes="*4016*201611131*" /stext=" 18:.+((SYSTEM_STATE.+slice.+state.+changed )|(ment ac)|(system.+state.+changed )|(\[timeout)|(PRM\|1\|D)|(kpr)|(kdp)|(\|lc)|(penalty))" /e /r /s</v>
      </c>
      <c r="U23" s="9" t="str">
        <f>MID(B23,13,4)</f>
        <v>4016</v>
      </c>
      <c r="V23" s="36">
        <f>A23-utc_offset/24</f>
        <v>42687.785543981481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braking","project_id":79,"tracker_id":40,"status_id":1,"priority_id":2,"assigned_to_id":23,"start_date":"2016-11-13","description":"Slice 2 commanded braking, other 2 did not","custom_fields":[{"id":1,"name":"Subdivision","value":"EC"},{"id":4,"name":"Milepost","value":"23.3491"},{"id":17,"name":"Train ID","value":"161-13"},{"id":16,"name":"Locomotive ID","value":"4016"},{"id":130,"name":"Impact","value":"Others"},{"id":150,"name":"Time of Event (Mountain Time)","value":"11:51:11"},{"id":151,"name":"Denver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3" s="53" t="s">
        <v>804</v>
      </c>
      <c r="AA23" s="53" t="s">
        <v>137</v>
      </c>
      <c r="AB23" s="53" t="s">
        <v>178</v>
      </c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"%USERPROFILE%\AppData\Local\Temp\OnboardLogs"\RTDC4016\*4016*201611131*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"%USERPROFILE%\AppData\Local\Temp\OnboardLogs"\RTDC4016\*4016*201611131* &gt;&gt; 42687-slicedisagreementcheck.txt</v>
      </c>
    </row>
    <row r="24" spans="1:30" ht="15" customHeight="1" x14ac:dyDescent="0.25">
      <c r="A24" s="36">
        <v>42687.503564814811</v>
      </c>
      <c r="B24" s="31" t="s">
        <v>439</v>
      </c>
      <c r="C24" s="31" t="s">
        <v>453</v>
      </c>
      <c r="D24" s="31" t="s">
        <v>49</v>
      </c>
      <c r="E24" s="31" t="s">
        <v>211</v>
      </c>
      <c r="F24" s="47">
        <v>0</v>
      </c>
      <c r="G24" s="47">
        <v>67</v>
      </c>
      <c r="H24" s="47">
        <v>169</v>
      </c>
      <c r="I24" s="47">
        <v>123</v>
      </c>
      <c r="J24" s="31" t="s">
        <v>212</v>
      </c>
      <c r="K24" s="47">
        <v>1</v>
      </c>
      <c r="L24" s="154" t="s">
        <v>51</v>
      </c>
      <c r="M24" s="155">
        <f>CONVERT((I24-K24)/10000,"mi","ft")*IF(L24="Increasing Mileposts (1)",-1,1)</f>
        <v>64.415999999999997</v>
      </c>
      <c r="N24" s="156" t="str">
        <f>VLOOKUP(C24,'Trips&amp;Operators'!$C$1:$E$99999,3,FALSE)</f>
        <v>CLARK</v>
      </c>
      <c r="O24" s="183" t="s">
        <v>206</v>
      </c>
      <c r="P24" s="157" t="s">
        <v>802</v>
      </c>
      <c r="Q24" s="31"/>
      <c r="R24" s="100" t="str">
        <f>VLOOKUP(C24,'Train Runs'!$A$13:$AE$10003,31,0)</f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S24" s="103" t="str">
        <f>VLOOKUP(C24,'Train Runs'!$A$13:$AE$10003,22,0)</f>
        <v>https://search-rtdc-monitor-bjffxe2xuh6vdkpspy63sjmuny.us-east-1.es.amazonaws.com/_plugin/kibana/#/discover/Steve-Slow-Train-Analysis-(2080s-and-2083s)?_g=(refreshInterval:(display:Off,section:0,value:0),time:(from:'2016-11-13 10:17:21-700',mode:absolute,to:'2016-11-13 13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/stypes="*4008*201611131*" /stext=" 19:.+((SYSTEM_STATE.+slice.+state.+changed )|(ment ac)|(system.+state.+changed )|(\[timeout)|(PRM\|1\|D)|(kpr)|(kdp)|(\|lc)|(penalty))" /e /r /s</v>
      </c>
      <c r="U24" s="9" t="str">
        <f>MID(B24,13,4)</f>
        <v>4008</v>
      </c>
      <c r="V24" s="36">
        <f>A24-utc_offset/24</f>
        <v>42687.795231481476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braking","project_id":79,"tracker_id":40,"status_id":1,"priority_id":2,"assigned_to_id":23,"start_date":"2016-11-13","description":"Slice 1 commanded braking, other 2 did not","custom_fields":[{"id":1,"name":"Subdivision","value":"EC"},{"id":4,"name":"Milepost","value":"0.0001"},{"id":17,"name":"Train ID","value":"156-13"},{"id":16,"name":"Locomotive ID","value":"4008"},{"id":130,"name":"Impact","value":"Others"},{"id":150,"name":"Time of Event (Mountain Time)","value":"12:05:08"},{"id":151,"name":"Denver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4" s="53" t="s">
        <v>803</v>
      </c>
      <c r="AA24" s="53" t="s">
        <v>137</v>
      </c>
      <c r="AB24" s="53" t="s">
        <v>178</v>
      </c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"%USERPROFILE%\AppData\Local\Temp\OnboardLogs"\RTDC4008\*4008*201611131*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"%USERPROFILE%\AppData\Local\Temp\OnboardLogs"\RTDC4008\*4008*201611131* &gt;&gt; 42687-slicedisagreementcheck.txt</v>
      </c>
    </row>
    <row r="25" spans="1:30" x14ac:dyDescent="0.25">
      <c r="A25" s="36">
        <v>42687.566793981481</v>
      </c>
      <c r="B25" s="31" t="s">
        <v>373</v>
      </c>
      <c r="C25" s="31" t="s">
        <v>454</v>
      </c>
      <c r="D25" s="31" t="s">
        <v>49</v>
      </c>
      <c r="E25" s="31" t="s">
        <v>211</v>
      </c>
      <c r="F25" s="47">
        <v>0</v>
      </c>
      <c r="G25" s="47">
        <v>64</v>
      </c>
      <c r="H25" s="47">
        <v>233307</v>
      </c>
      <c r="I25" s="47">
        <v>233345</v>
      </c>
      <c r="J25" s="31" t="s">
        <v>212</v>
      </c>
      <c r="K25" s="47">
        <v>233491</v>
      </c>
      <c r="L25" s="154" t="s">
        <v>50</v>
      </c>
      <c r="M25" s="155">
        <f>CONVERT((I25-K25)/10000,"mi","ft")*IF(L25="Increasing Mileposts (1)",-1,1)</f>
        <v>77.087999999999994</v>
      </c>
      <c r="N25" s="156" t="str">
        <f>VLOOKUP(C25,'Trips&amp;Operators'!$C$1:$E$99999,3,FALSE)</f>
        <v>BARTLETT</v>
      </c>
      <c r="O25" s="183" t="s">
        <v>206</v>
      </c>
      <c r="P25" s="157"/>
      <c r="Q25" s="31"/>
      <c r="R25" s="100" t="str">
        <f>VLOOKUP(C25,'Train Runs'!$A$13:$AE$10003,31,0)</f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S25" s="103" t="str">
        <f>VLOOKUP(C25,'Train Runs'!$A$13:$AE$10003,22,0)</f>
        <v>https://search-rtdc-monitor-bjffxe2xuh6vdkpspy63sjmuny.us-east-1.es.amazonaws.com/_plugin/kibana/#/discover/Steve-Slow-Train-Analysis-(2080s-and-2083s)?_g=(refreshInterval:(display:Off,section:0,value:0),time:(from:'2016-11-13 11:57:39-700',mode:absolute,to:'2016-11-13 14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/stypes="*4014*201611132*" /stext=" 20:.+((SYSTEM_STATE.+slice.+state.+changed )|(ment ac)|(system.+state.+changed )|(\[timeout)|(PRM\|1\|D)|(kpr)|(kdp)|(\|lc)|(penalty))" /e /r /s</v>
      </c>
      <c r="U25" s="9" t="str">
        <f>MID(B25,13,4)</f>
        <v>4014</v>
      </c>
      <c r="V25" s="36">
        <f>A25-utc_offset/24</f>
        <v>42687.858460648145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{"issue":{"subject":"","project_id":79,"tracker_id":40,"status_id":1,"priority_id":2,"assigned_to_id":23,"start_date":"2016-11-13","description":"","custom_fields":[{"id":1,"name":"Subdivision","value":"EC"},{"id":4,"name":"Milepost","value":"23.3491"},{"id":17,"name":"Train ID","value":"175-13"},{"id":16,"name":"Locomotive ID","value":"4014"},{"id":130,"name":"Impact","value":""},{"id":150,"name":"Time of Event (Mountain Time)","value":"13:36:11"},{"id":151,"name":"Denver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"%USERPROFILE%\AppData\Local\Temp\OnboardLogs"\RTDC4014\*4014*201611132*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"%USERPROFILE%\AppData\Local\Temp\OnboardLogs"\RTDC4014\*4014*201611132* &gt;&gt; 42687-slicedisagreementcheck.txt</v>
      </c>
    </row>
    <row r="26" spans="1:30" x14ac:dyDescent="0.25">
      <c r="A26" s="36">
        <v>42687.579351851855</v>
      </c>
      <c r="B26" s="31" t="s">
        <v>242</v>
      </c>
      <c r="C26" s="31" t="s">
        <v>455</v>
      </c>
      <c r="D26" s="31" t="s">
        <v>49</v>
      </c>
      <c r="E26" s="31" t="s">
        <v>211</v>
      </c>
      <c r="F26" s="47">
        <v>0</v>
      </c>
      <c r="G26" s="47">
        <v>165</v>
      </c>
      <c r="H26" s="47">
        <v>1525</v>
      </c>
      <c r="I26" s="47">
        <v>1319</v>
      </c>
      <c r="J26" s="31" t="s">
        <v>212</v>
      </c>
      <c r="K26" s="47">
        <v>575</v>
      </c>
      <c r="L26" s="154" t="s">
        <v>51</v>
      </c>
      <c r="M26" s="155">
        <f>CONVERT((I26-K26)/10000,"mi","ft")*IF(L26="Increasing Mileposts (1)",-1,1)</f>
        <v>392.83199999999999</v>
      </c>
      <c r="N26" s="156" t="str">
        <f>VLOOKUP(C26,'Trips&amp;Operators'!$C$1:$E$99999,3,FALSE)</f>
        <v>STARKS</v>
      </c>
      <c r="O26" s="183" t="s">
        <v>206</v>
      </c>
      <c r="P26" s="157"/>
      <c r="Q26" s="31"/>
      <c r="R26" s="100" t="str">
        <f>VLOOKUP(C26,'Train Runs'!$A$13:$AE$10003,31,0)</f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S26" s="103" t="str">
        <f>VLOOKUP(C26,'Train Runs'!$A$13:$AE$10003,22,0)</f>
        <v>https://search-rtdc-monitor-bjffxe2xuh6vdkpspy63sjmuny.us-east-1.es.amazonaws.com/_plugin/kibana/#/discover/Steve-Slow-Train-Analysis-(2080s-and-2083s)?_g=(refreshInterval:(display:Off,section:0,value:0),time:(from:'2016-11-13 12:36:08-700',mode:absolute,to:'2016-11-13 14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/stypes="*4041*201611132*" /stext=" 20:.+((SYSTEM_STATE.+slice.+state.+changed )|(ment ac)|(system.+state.+changed )|(\[timeout)|(PRM\|1\|D)|(kpr)|(kdp)|(\|lc)|(penalty))" /e /r /s</v>
      </c>
      <c r="U26" s="9" t="str">
        <f>MID(B26,13,4)</f>
        <v>4041</v>
      </c>
      <c r="V26" s="36">
        <f>A26-utc_offset/24</f>
        <v>42687.871018518519</v>
      </c>
      <c r="W26" s="50" t="str">
        <f>IF(VALUE(LEFT(IF(LEN(C26)=6,"0"&amp;C26,C26),2))&lt;=2,"EC",IF(OR(VALUE(LEFT(IF(LEN(C26)=6,"0"&amp;C26,C26),2))=8,VALUE(LEFT(IF(LEN(C26)=6,"0"&amp;C26,C26),2))=18),"NW","Other"))</f>
        <v>NW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{"issue":{"subject":"","project_id":79,"tracker_id":40,"status_id":1,"priority_id":2,"assigned_to_id":23,"start_date":"2016-11-13","description":"","custom_fields":[{"id":1,"name":"Subdivision","value":"NW"},{"id":4,"name":"Milepost","value":"0.0575"},{"id":17,"name":"Train ID","value":"1816-13"},{"id":16,"name":"Locomotive ID","value":"4041"},{"id":130,"name":"Impact","value":""},{"id":150,"name":"Time of Event (Mountain Time)","value":"13:54:16"},{"id":151,"name":"Denver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"%USERPROFILE%\AppData\Local\Temp\OnboardLogs"\RTDC4041\*4041*201611132*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"%USERPROFILE%\AppData\Local\Temp\OnboardLogs"\RTDC4041\*4041*201611132* &gt;&gt; 42687-slicedisagreementcheck.txt</v>
      </c>
    </row>
    <row r="27" spans="1:30" x14ac:dyDescent="0.25">
      <c r="A27" s="36">
        <v>42687.663182870368</v>
      </c>
      <c r="B27" s="31" t="s">
        <v>242</v>
      </c>
      <c r="C27" s="31" t="s">
        <v>456</v>
      </c>
      <c r="D27" s="31" t="s">
        <v>49</v>
      </c>
      <c r="E27" s="31" t="s">
        <v>211</v>
      </c>
      <c r="F27" s="47">
        <v>0</v>
      </c>
      <c r="G27" s="47">
        <v>32</v>
      </c>
      <c r="H27" s="47">
        <v>664</v>
      </c>
      <c r="I27" s="47">
        <v>647</v>
      </c>
      <c r="J27" s="31" t="s">
        <v>212</v>
      </c>
      <c r="K27" s="47">
        <v>575</v>
      </c>
      <c r="L27" s="154" t="s">
        <v>51</v>
      </c>
      <c r="M27" s="155">
        <f>CONVERT((I27-K27)/10000,"mi","ft")*IF(L27="Increasing Mileposts (1)",-1,1)</f>
        <v>38.015999999999998</v>
      </c>
      <c r="N27" s="156" t="str">
        <f>VLOOKUP(C27,'Trips&amp;Operators'!$C$1:$E$99999,3,FALSE)</f>
        <v>ADANE</v>
      </c>
      <c r="O27" s="183" t="s">
        <v>206</v>
      </c>
      <c r="P27" s="157"/>
      <c r="Q27" s="31"/>
      <c r="R27" s="100" t="str">
        <f>VLOOKUP(C27,'Train Runs'!$A$13:$AE$10003,31,0)</f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S27" s="103" t="str">
        <f>VLOOKUP(C27,'Train Runs'!$A$13:$AE$10003,22,0)</f>
        <v>https://search-rtdc-monitor-bjffxe2xuh6vdkpspy63sjmuny.us-east-1.es.amazonaws.com/_plugin/kibana/#/discover/Steve-Slow-Train-Analysis-(2080s-and-2083s)?_g=(refreshInterval:(display:Off,section:0,value:0),time:(from:'2016-11-13 14:36:52-700',mode:absolute,to:'2016-11-13 16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/stypes="*4041*201611132*" /stext=" 22:.+((SYSTEM_STATE.+slice.+state.+changed )|(ment ac)|(system.+state.+changed )|(\[timeout)|(PRM\|1\|D)|(kpr)|(kdp)|(\|lc)|(penalty))" /e /r /s</v>
      </c>
      <c r="U27" s="9" t="str">
        <f>MID(B27,13,4)</f>
        <v>4041</v>
      </c>
      <c r="V27" s="36">
        <f>A27-utc_offset/24</f>
        <v>42687.954849537033</v>
      </c>
      <c r="W27" s="50" t="str">
        <f>IF(VALUE(LEFT(IF(LEN(C27)=6,"0"&amp;C27,C27),2))&lt;=2,"EC",IF(OR(VALUE(LEFT(IF(LEN(C27)=6,"0"&amp;C27,C27),2))=8,VALUE(LEFT(IF(LEN(C27)=6,"0"&amp;C27,C27),2))=18),"NW","Other"))</f>
        <v>NW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{"issue":{"subject":"","project_id":79,"tracker_id":40,"status_id":1,"priority_id":2,"assigned_to_id":23,"start_date":"2016-11-13","description":"","custom_fields":[{"id":1,"name":"Subdivision","value":"NW"},{"id":4,"name":"Milepost","value":"0.0575"},{"id":17,"name":"Train ID","value":"1820-13"},{"id":16,"name":"Locomotive ID","value":"4041"},{"id":130,"name":"Impact","value":""},{"id":150,"name":"Time of Event (Mountain Time)","value":"15:54:59"},{"id":151,"name":"Denver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"%USERPROFILE%\AppData\Local\Temp\OnboardLogs"\RTDC4041\*4041*201611132*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"%USERPROFILE%\AppData\Local\Temp\OnboardLogs"\RTDC4041\*4041*201611132* &gt;&gt; 42687-slicedisagreementcheck.txt</v>
      </c>
    </row>
    <row r="28" spans="1:30" x14ac:dyDescent="0.25">
      <c r="A28" s="36">
        <v>42687.712465277778</v>
      </c>
      <c r="B28" s="31" t="s">
        <v>235</v>
      </c>
      <c r="C28" s="31" t="s">
        <v>457</v>
      </c>
      <c r="D28" s="31" t="s">
        <v>49</v>
      </c>
      <c r="E28" s="31" t="s">
        <v>211</v>
      </c>
      <c r="F28" s="47">
        <v>0</v>
      </c>
      <c r="G28" s="47">
        <v>86</v>
      </c>
      <c r="H28" s="47">
        <v>287</v>
      </c>
      <c r="I28" s="47">
        <v>196</v>
      </c>
      <c r="J28" s="31" t="s">
        <v>212</v>
      </c>
      <c r="K28" s="47">
        <v>1</v>
      </c>
      <c r="L28" s="154" t="s">
        <v>51</v>
      </c>
      <c r="M28" s="155">
        <f>CONVERT((I28-K28)/10000,"mi","ft")*IF(L28="Increasing Mileposts (1)",-1,1)</f>
        <v>102.96</v>
      </c>
      <c r="N28" s="156" t="str">
        <f>VLOOKUP(C28,'Trips&amp;Operators'!$C$1:$E$99999,3,FALSE)</f>
        <v>YOUNG</v>
      </c>
      <c r="O28" s="183" t="s">
        <v>206</v>
      </c>
      <c r="P28" s="157"/>
      <c r="Q28" s="31"/>
      <c r="R28" s="100" t="str">
        <f>VLOOKUP(C28,'Train Runs'!$A$13:$AE$10003,31,0)</f>
        <v>aws s3 cp s3://rtdc.mdm.uploadarchive.raw/RTDC4032/ "%USERPROFILE%\AppData\Local\Temp\OnboardLogs"\RTDC4032\2016-11-13 --exclude "*" --recursive --include "*20161113*" &amp; "%USERPROFILE%\Documents\GitHub\mrs-test-scripts\Headless Mode &amp; Sideloading\WalkAndUnGZ.bat" "%USERPROFILE%\AppData\Local\Temp\OnboardLogs"\RTDC4032\2016-11-13 &amp; aws s3 cp s3://rtdc.mdm.uploadarchive.raw/RTDC4032/ "%USERPROFILE%\AppData\Local\Temp\OnboardLogs"\RTDC4032\2016-11-14 --exclude "*" --recursive --include "*20161114*" &amp; "%USERPROFILE%\Documents\GitHub\mrs-test-scripts\Headless Mode &amp; Sideloading\WalkAndUnGZ.bat" "%USERPROFILE%\AppData\Local\Temp\OnboardLogs"\RTDC4032\2016-11-14</v>
      </c>
      <c r="S28" s="103" t="str">
        <f>VLOOKUP(C28,'Train Runs'!$A$13:$AE$10003,22,0)</f>
        <v>https://search-rtdc-monitor-bjffxe2xuh6vdkpspy63sjmuny.us-east-1.es.amazonaws.com/_plugin/kibana/#/discover/Steve-Slow-Train-Analysis-(2080s-and-2083s)?_g=(refreshInterval:(display:Off,section:0,value:0),time:(from:'2016-11-13 15:14:38-700',mode:absolute,to:'2016-11-13 18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/stypes="*4032*201611140*" /stext=" 00:.+((SYSTEM_STATE.+slice.+state.+changed )|(ment ac)|(system.+state.+changed )|(\[timeout)|(PRM\|1\|D)|(kpr)|(kdp)|(\|lc)|(penalty))" /e /r /s</v>
      </c>
      <c r="U28" s="9" t="str">
        <f>MID(B28,13,4)</f>
        <v>4032</v>
      </c>
      <c r="V28" s="36">
        <f>A28-utc_offset/24</f>
        <v>42688.004131944443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{"issue":{"subject":"","project_id":79,"tracker_id":40,"status_id":1,"priority_id":2,"assigned_to_id":23,"start_date":"2016-11-13","description":"","custom_fields":[{"id":1,"name":"Subdivision","value":"EC"},{"id":4,"name":"Milepost","value":"0.0001"},{"id":17,"name":"Train ID","value":"196-13"},{"id":16,"name":"Locomotive ID","value":"4032"},{"id":130,"name":"Impact","value":""},{"id":150,"name":"Time of Event (Mountain Time)","value":"17:05:57"},{"id":151,"name":"Denver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"%USERPROFILE%\AppData\Local\Temp\OnboardLogs"\RTDC4032\*4032*201611140*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"%USERPROFILE%\AppData\Local\Temp\OnboardLogs"\RTDC4032\*4032*201611140* &gt;&gt; 42687-slicedisagreementcheck.txt</v>
      </c>
    </row>
    <row r="29" spans="1:30" x14ac:dyDescent="0.25">
      <c r="A29" s="36">
        <v>42687.717662037037</v>
      </c>
      <c r="B29" s="31" t="s">
        <v>278</v>
      </c>
      <c r="C29" s="31" t="s">
        <v>458</v>
      </c>
      <c r="D29" s="31" t="s">
        <v>49</v>
      </c>
      <c r="E29" s="31" t="s">
        <v>211</v>
      </c>
      <c r="F29" s="47">
        <v>0</v>
      </c>
      <c r="G29" s="47">
        <v>100</v>
      </c>
      <c r="H29" s="47">
        <v>1688</v>
      </c>
      <c r="I29" s="47">
        <v>1471</v>
      </c>
      <c r="J29" s="31" t="s">
        <v>212</v>
      </c>
      <c r="K29" s="47">
        <v>826</v>
      </c>
      <c r="L29" s="154" t="s">
        <v>51</v>
      </c>
      <c r="M29" s="155">
        <f>CONVERT((I29-K29)/10000,"mi","ft")*IF(L29="Increasing Mileposts (1)",-1,1)</f>
        <v>340.56</v>
      </c>
      <c r="N29" s="156" t="str">
        <f>VLOOKUP(C29,'Trips&amp;Operators'!$C$1:$E$99999,3,FALSE)</f>
        <v>CRAYTON</v>
      </c>
      <c r="O29" s="183" t="s">
        <v>206</v>
      </c>
      <c r="P29" s="157"/>
      <c r="Q29" s="31"/>
      <c r="R29" s="100" t="str">
        <f>VLOOKUP(C29,'Train Runs'!$A$13:$AE$10003,31,0)</f>
        <v>aws s3 cp s3://rtdc.mdm.uploadarchive.raw/RTDC4010/ "%USERPROFILE%\AppData\Local\Temp\OnboardLogs"\RTDC4010\2016-11-13 --exclude "*" --recursive --include "*20161113*" &amp; "%USERPROFILE%\Documents\GitHub\mrs-test-scripts\Headless Mode &amp; Sideloading\WalkAndUnGZ.bat" "%USERPROFILE%\AppData\Local\Temp\OnboardLogs"\RTDC4010\2016-11-13 &amp; 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</v>
      </c>
      <c r="S29" s="103" t="str">
        <f>VLOOKUP(C29,'Train Runs'!$A$13:$AE$10003,22,0)</f>
        <v>https://search-rtdc-monitor-bjffxe2xuh6vdkpspy63sjmuny.us-east-1.es.amazonaws.com/_plugin/kibana/#/discover/Steve-Slow-Train-Analysis-(2080s-and-2083s)?_g=(refreshInterval:(display:Off,section:0,value:0),time:(from:'2016-11-13 16:03:54-700',mode:absolute,to:'2016-11-13 18:13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/stypes="*4010*201611140*" /stext=" 00:.+((SYSTEM_STATE.+slice.+state.+changed )|(ment ac)|(system.+state.+changed )|(\[timeout)|(PRM\|1\|D)|(kpr)|(kdp)|(\|lc)|(penalty))" /e /r /s</v>
      </c>
      <c r="U29" s="9" t="str">
        <f>MID(B29,13,4)</f>
        <v>4010</v>
      </c>
      <c r="V29" s="36">
        <f>A29-utc_offset/24</f>
        <v>42688.009328703702</v>
      </c>
      <c r="W29" s="50" t="str">
        <f>IF(VALUE(LEFT(IF(LEN(C29)=6,"0"&amp;C29,C29),2))&lt;=2,"EC",IF(OR(VALUE(LEFT(IF(LEN(C29)=6,"0"&amp;C29,C29),2))=8,VALUE(LEFT(IF(LEN(C29)=6,"0"&amp;C29,C29),2))=18),"NW","Other"))</f>
        <v>Other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{"issue":{"subject":"","project_id":79,"tracker_id":40,"status_id":1,"priority_id":2,"assigned_to_id":23,"start_date":"2016-11-13","description":"","custom_fields":[{"id":1,"name":"Subdivision","value":"Other"},{"id":4,"name":"Milepost","value":"0.0826"},{"id":17,"name":"Train ID","value":"74-13"},{"id":16,"name":"Locomotive ID","value":"4010"},{"id":130,"name":"Impact","value":""},{"id":150,"name":"Time of Event (Mountain Time)","value":"17:13:26"},{"id":151,"name":"Denver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"%USERPROFILE%\AppData\Local\Temp\OnboardLogs"\RTDC4010\*4010*201611140*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"%USERPROFILE%\AppData\Local\Temp\OnboardLogs"\RTDC4010\*4010*201611140* &gt;&gt; 42687-slicedisagreementcheck.txt</v>
      </c>
    </row>
    <row r="30" spans="1:30" ht="15" customHeight="1" x14ac:dyDescent="0.25">
      <c r="A30" s="36">
        <v>42687.718148148146</v>
      </c>
      <c r="B30" s="31" t="s">
        <v>278</v>
      </c>
      <c r="C30" s="31" t="s">
        <v>458</v>
      </c>
      <c r="D30" s="31" t="s">
        <v>49</v>
      </c>
      <c r="E30" s="31" t="s">
        <v>211</v>
      </c>
      <c r="F30" s="47">
        <v>0</v>
      </c>
      <c r="G30" s="47">
        <v>56</v>
      </c>
      <c r="H30" s="47">
        <v>1432</v>
      </c>
      <c r="I30" s="47">
        <v>1335</v>
      </c>
      <c r="J30" s="31" t="s">
        <v>212</v>
      </c>
      <c r="K30" s="47">
        <v>826</v>
      </c>
      <c r="L30" s="154" t="s">
        <v>51</v>
      </c>
      <c r="M30" s="155">
        <f>CONVERT((I30-K30)/10000,"mi","ft")*IF(L30="Increasing Mileposts (1)",-1,1)</f>
        <v>268.75200000000001</v>
      </c>
      <c r="N30" s="156" t="str">
        <f>VLOOKUP(C30,'Trips&amp;Operators'!$C$1:$E$99999,3,FALSE)</f>
        <v>CRAYTON</v>
      </c>
      <c r="O30" s="183" t="s">
        <v>206</v>
      </c>
      <c r="P30" s="157"/>
      <c r="Q30" s="31"/>
      <c r="R30" s="100" t="str">
        <f>VLOOKUP(C30,'Train Runs'!$A$13:$AE$10003,31,0)</f>
        <v>aws s3 cp s3://rtdc.mdm.uploadarchive.raw/RTDC4010/ "%USERPROFILE%\AppData\Local\Temp\OnboardLogs"\RTDC4010\2016-11-13 --exclude "*" --recursive --include "*20161113*" &amp; "%USERPROFILE%\Documents\GitHub\mrs-test-scripts\Headless Mode &amp; Sideloading\WalkAndUnGZ.bat" "%USERPROFILE%\AppData\Local\Temp\OnboardLogs"\RTDC4010\2016-11-13 &amp; aws s3 cp s3://rtdc.mdm.uploadarchive.raw/RTDC4010/ "%USERPROFILE%\AppData\Local\Temp\OnboardLogs"\RTDC4010\2016-11-14 --exclude "*" --recursive --include "*20161114*" &amp; "%USERPROFILE%\Documents\GitHub\mrs-test-scripts\Headless Mode &amp; Sideloading\WalkAndUnGZ.bat" "%USERPROFILE%\AppData\Local\Temp\OnboardLogs"\RTDC4010\2016-11-14</v>
      </c>
      <c r="S30" s="103" t="str">
        <f>VLOOKUP(C30,'Train Runs'!$A$13:$AE$10003,22,0)</f>
        <v>https://search-rtdc-monitor-bjffxe2xuh6vdkpspy63sjmuny.us-east-1.es.amazonaws.com/_plugin/kibana/#/discover/Steve-Slow-Train-Analysis-(2080s-and-2083s)?_g=(refreshInterval:(display:Off,section:0,value:0),time:(from:'2016-11-13 16:03:54-700',mode:absolute,to:'2016-11-13 18:13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/stypes="*4010*201611140*" /stext=" 00:.+((SYSTEM_STATE.+slice.+state.+changed )|(ment ac)|(system.+state.+changed )|(\[timeout)|(PRM\|1\|D)|(kpr)|(kdp)|(\|lc)|(penalty))" /e /r /s</v>
      </c>
      <c r="U30" s="9" t="str">
        <f>MID(B30,13,4)</f>
        <v>4010</v>
      </c>
      <c r="V30" s="36">
        <f>A30-utc_offset/24</f>
        <v>42688.00981481481</v>
      </c>
      <c r="W30" s="50" t="str">
        <f>IF(VALUE(LEFT(IF(LEN(C30)=6,"0"&amp;C30,C30),2))&lt;=2,"EC",IF(OR(VALUE(LEFT(IF(LEN(C30)=6,"0"&amp;C30,C30),2))=8,VALUE(LEFT(IF(LEN(C30)=6,"0"&amp;C30,C30),2))=18),"NW","Other"))</f>
        <v>Other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{"issue":{"subject":"","project_id":79,"tracker_id":40,"status_id":1,"priority_id":2,"assigned_to_id":23,"start_date":"2016-11-13","description":"","custom_fields":[{"id":1,"name":"Subdivision","value":"Other"},{"id":4,"name":"Milepost","value":"0.0826"},{"id":17,"name":"Train ID","value":"74-13"},{"id":16,"name":"Locomotive ID","value":"4010"},{"id":130,"name":"Impact","value":""},{"id":150,"name":"Time of Event (Mountain Time)","value":"17:14:08"},{"id":151,"name":"Denver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"%USERPROFILE%\AppData\Local\Temp\OnboardLogs"\RTDC4010\*4010*201611140*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"%USERPROFILE%\AppData\Local\Temp\OnboardLogs"\RTDC4010\*4010*201611140* &gt;&gt; 42687-slicedisagreementcheck.txt</v>
      </c>
    </row>
    <row r="31" spans="1:30" x14ac:dyDescent="0.25">
      <c r="A31" s="36">
        <v>42687.724861111114</v>
      </c>
      <c r="B31" s="31" t="s">
        <v>257</v>
      </c>
      <c r="C31" s="31" t="s">
        <v>459</v>
      </c>
      <c r="D31" s="31" t="s">
        <v>49</v>
      </c>
      <c r="E31" s="31" t="s">
        <v>209</v>
      </c>
      <c r="F31" s="47">
        <v>0</v>
      </c>
      <c r="G31" s="47">
        <v>651</v>
      </c>
      <c r="H31" s="47">
        <v>131384</v>
      </c>
      <c r="I31" s="47">
        <v>128962</v>
      </c>
      <c r="J31" s="31" t="s">
        <v>210</v>
      </c>
      <c r="K31" s="47">
        <v>127587</v>
      </c>
      <c r="L31" s="154" t="s">
        <v>51</v>
      </c>
      <c r="M31" s="155">
        <f>CONVERT((I31-K31)/10000,"mi","ft")*IF(L31="Increasing Mileposts (1)",-1,1)</f>
        <v>726</v>
      </c>
      <c r="N31" s="156" t="str">
        <f>VLOOKUP(C31,'Trips&amp;Operators'!$C$1:$E$99999,3,FALSE)</f>
        <v>STEWART</v>
      </c>
      <c r="O31" s="183" t="s">
        <v>206</v>
      </c>
      <c r="P31" s="157" t="s">
        <v>793</v>
      </c>
      <c r="Q31" s="31"/>
      <c r="R31" s="100" t="str">
        <f>VLOOKUP(C31,'Train Runs'!$A$13:$AE$10003,31,0)</f>
        <v>aws s3 cp s3://rtdc.mdm.uploadarchive.raw/RTDC4001/ "%USERPROFILE%\AppData\Local\Temp\OnboardLogs"\RTDC4001\2016-11-13 --exclude "*" --recursive --include "*20161113*" &amp; "%USERPROFILE%\Documents\GitHub\mrs-test-scripts\Headless Mode &amp; Sideloading\WalkAndUnGZ.bat" "%USERPROFILE%\AppData\Local\Temp\OnboardLogs"\RTDC4001\2016-11-13 &amp; aws s3 cp s3://rtdc.mdm.uploadarchive.raw/RTDC4001/ "%USERPROFILE%\AppData\Local\Temp\OnboardLogs"\RTDC4001\2016-11-14 --exclude "*" --recursive --include "*20161114*" &amp; "%USERPROFILE%\Documents\GitHub\mrs-test-scripts\Headless Mode &amp; Sideloading\WalkAndUnGZ.bat" "%USERPROFILE%\AppData\Local\Temp\OnboardLogs"\RTDC4001\2016-11-14</v>
      </c>
      <c r="S31" s="103" t="str">
        <f>VLOOKUP(C31,'Train Runs'!$A$13:$AE$10003,22,0)</f>
        <v>https://search-rtdc-monitor-bjffxe2xuh6vdkpspy63sjmuny.us-east-1.es.amazonaws.com/_plugin/kibana/#/discover/Steve-Slow-Train-Analysis-(2080s-and-2083s)?_g=(refreshInterval:(display:Off,section:0,value:0),time:(from:'2016-11-13 16:07:32-700',mode:absolute,to:'2016-11-13 18:49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/stypes="*4001*201611140*" /stext=" 00:.+((SYSTEM_STATE.+slice.+state.+changed )|(ment ac)|(system.+state.+changed )|(\[timeout)|(PRM\|1\|D)|(kpr)|(kdp)|(\|lc)|(penalty))" /e /r /s</v>
      </c>
      <c r="U31" s="9" t="str">
        <f>MID(B31,13,4)</f>
        <v>4001</v>
      </c>
      <c r="V31" s="36">
        <f>A31-utc_offset/24</f>
        <v>42688.016527777778</v>
      </c>
      <c r="W31" s="50" t="str">
        <f>IF(VALUE(LEFT(IF(LEN(C31)=6,"0"&amp;C31,C31),2))&lt;=2,"EC",IF(OR(VALUE(LEFT(IF(LEN(C31)=6,"0"&amp;C31,C31),2))=8,VALUE(LEFT(IF(LEN(C31)=6,"0"&amp;C31,C31),2))=18),"NW","Other"))</f>
        <v>EC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STOP","project_id":79,"tracker_id":40,"status_id":1,"priority_id":2,"assigned_to_id":23,"start_date":"2016-11-13","description":"","custom_fields":[{"id":1,"name":"Subdivision","value":"EC"},{"id":4,"name":"Milepost","value":"12.7587"},{"id":17,"name":"Train ID","value":"202-13"},{"id":16,"name":"Locomotive ID","value":"4001"},{"id":130,"name":"Impact","value":""},{"id":150,"name":"Time of Event (Mountain Time)","value":"17:23:48"},{"id":151,"name":"Denver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"%USERPROFILE%\AppData\Local\Temp\OnboardLogs"\RTDC4001\*4001*201611140*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"%USERPROFILE%\AppData\Local\Temp\OnboardLogs"\RTDC4001\*4001*201611140* &gt;&gt; 42687-slicedisagreementcheck.txt</v>
      </c>
    </row>
    <row r="32" spans="1:30" ht="15" customHeight="1" x14ac:dyDescent="0.25">
      <c r="A32" s="36">
        <v>42687.7655787037</v>
      </c>
      <c r="B32" s="31" t="s">
        <v>373</v>
      </c>
      <c r="C32" s="31" t="s">
        <v>460</v>
      </c>
      <c r="D32" s="31" t="s">
        <v>49</v>
      </c>
      <c r="E32" s="31" t="s">
        <v>154</v>
      </c>
      <c r="F32" s="47">
        <v>170</v>
      </c>
      <c r="G32" s="47">
        <v>268</v>
      </c>
      <c r="H32" s="47">
        <v>26603</v>
      </c>
      <c r="I32" s="47">
        <v>27814</v>
      </c>
      <c r="J32" s="31" t="s">
        <v>153</v>
      </c>
      <c r="K32" s="47">
        <v>27053</v>
      </c>
      <c r="L32" s="154" t="s">
        <v>50</v>
      </c>
      <c r="M32" s="155">
        <f>CONVERT((I32-K32)/10000,"mi","ft")*IF(L32="Increasing Mileposts (1)",-1,1)</f>
        <v>-401.80799999999999</v>
      </c>
      <c r="N32" s="156" t="str">
        <f>VLOOKUP(C32,'Trips&amp;Operators'!$C$1:$E$99999,3,FALSE)</f>
        <v>NEWELL</v>
      </c>
      <c r="O32" s="183" t="s">
        <v>206</v>
      </c>
      <c r="P32" s="157" t="s">
        <v>792</v>
      </c>
      <c r="Q32" s="31"/>
      <c r="R32" s="100" t="str">
        <f>VLOOKUP(C32,'Train Runs'!$A$13:$AE$10003,31,0)</f>
        <v>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 &amp; aws s3 cp s3://rtdc.mdm.uploadarchive.raw/RTDC4014/ "%USERPROFILE%\AppData\Local\Temp\OnboardLogs"\RTDC4014\2016-11-14 --exclude "*" --recursive --include "*20161114*" &amp; "%USERPROFILE%\Documents\GitHub\mrs-test-scripts\Headless Mode &amp; Sideloading\WalkAndUnGZ.bat" "%USERPROFILE%\AppData\Local\Temp\OnboardLogs"\RTDC4014\2016-11-14</v>
      </c>
      <c r="S32" s="103" t="str">
        <f>VLOOKUP(C32,'Train Runs'!$A$13:$AE$10003,22,0)</f>
        <v>https://search-rtdc-monitor-bjffxe2xuh6vdkpspy63sjmuny.us-east-1.es.amazonaws.com/_plugin/kibana/#/discover/Steve-Slow-Train-Analysis-(2080s-and-2083s)?_g=(refreshInterval:(display:Off,section:0,value:0),time:(from:'2016-11-13 17:08:08-700',mode:absolute,to:'2016-11-13 19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/stypes="*4014*201611140*" /stext=" 01:.+((SYSTEM_STATE.+slice.+state.+changed )|(ment ac)|(system.+state.+changed )|(\[timeout)|(PRM\|1\|D)|(kpr)|(kdp)|(\|lc)|(penalty))" /e /r /s</v>
      </c>
      <c r="U32" s="9" t="str">
        <f>MID(B32,13,4)</f>
        <v>4014</v>
      </c>
      <c r="V32" s="36">
        <f>A32-utc_offset/24</f>
        <v>42688.057245370364</v>
      </c>
      <c r="W32" s="50" t="str">
        <f>IF(VALUE(LEFT(IF(LEN(C32)=6,"0"&amp;C32,C32),2))&lt;=2,"EC",IF(OR(VALUE(LEFT(IF(LEN(C32)=6,"0"&amp;C32,C32),2))=8,VALUE(LEFT(IF(LEN(C32)=6,"0"&amp;C32,C32),2))=18),"NW","Other"))</f>
        <v>EC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arrival","project_id":79,"tracker_id":40,"status_id":1,"priority_id":2,"assigned_to_id":23,"start_date":"2016-11-13","description":"","custom_fields":[{"id":1,"name":"Subdivision","value":"EC"},{"id":4,"name":"Milepost","value":"2.7053"},{"id":17,"name":"Train ID","value":"217-13"},{"id":16,"name":"Locomotive ID","value":"4014"},{"id":130,"name":"Impact","value":""},{"id":150,"name":"Time of Event (Mountain Time)","value":"18:22:26"},{"id":151,"name":"Denver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"%USERPROFILE%\AppData\Local\Temp\OnboardLogs"\RTDC4014\*4014*201611140*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"%USERPROFILE%\AppData\Local\Temp\OnboardLogs"\RTDC4014\*4014*201611140* &gt;&gt; 42687-slicedisagreementcheck.txt</v>
      </c>
    </row>
    <row r="33" spans="1:30" x14ac:dyDescent="0.25">
      <c r="A33" s="36">
        <v>42687.77</v>
      </c>
      <c r="B33" s="31" t="s">
        <v>243</v>
      </c>
      <c r="C33" s="31" t="s">
        <v>461</v>
      </c>
      <c r="D33" s="31" t="s">
        <v>98</v>
      </c>
      <c r="E33" s="31" t="s">
        <v>280</v>
      </c>
      <c r="F33" s="47">
        <v>0</v>
      </c>
      <c r="G33" s="47">
        <v>632</v>
      </c>
      <c r="H33" s="47">
        <v>29315</v>
      </c>
      <c r="I33" s="47">
        <v>31476</v>
      </c>
      <c r="J33" s="31" t="s">
        <v>267</v>
      </c>
      <c r="K33" s="47">
        <v>28990</v>
      </c>
      <c r="L33" s="154" t="s">
        <v>50</v>
      </c>
      <c r="M33" s="155">
        <f>CONVERT((I33-K33)/10000,"mi","ft")*IF(L33="Increasing Mileposts (1)",-1,1)</f>
        <v>-1312.6079999999999</v>
      </c>
      <c r="N33" s="156" t="str">
        <f>VLOOKUP(C33,'Trips&amp;Operators'!$C$1:$E$99999,3,FALSE)</f>
        <v>HOLCOMB</v>
      </c>
      <c r="O33" s="183" t="s">
        <v>236</v>
      </c>
      <c r="P33" s="157" t="s">
        <v>796</v>
      </c>
      <c r="Q33" s="31"/>
      <c r="R33" s="100" t="str">
        <f>VLOOKUP(C33,'Train Runs'!$A$13:$AE$10003,31,0)</f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S33" s="103" t="str">
        <f>VLOOKUP(C33,'Train Runs'!$A$13:$AE$10003,22,0)</f>
        <v>https://search-rtdc-monitor-bjffxe2xuh6vdkpspy63sjmuny.us-east-1.es.amazonaws.com/_plugin/kibana/#/discover/Steve-Slow-Train-Analysis-(2080s-and-2083s)?_g=(refreshInterval:(display:Off,section:0,value:0),time:(from:'2016-11-13 17:03:07-700',mode:absolute,to:'2016-11-13 19:45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/stypes="*4042*201611140*" /stext=" 01:.+((SYSTEM_STATE.+slice.+state.+changed )|(ment ac)|(system.+state.+changed )|(\[timeout)|(PRM\|1\|D)|(kpr)|(kdp)|(\|lc)|(penalty))" /e /r /s</v>
      </c>
      <c r="U33" s="9" t="str">
        <f>MID(B33,13,4)</f>
        <v>4042</v>
      </c>
      <c r="V33" s="36">
        <f>A33-utc_offset/24</f>
        <v>42688.061666666661</v>
      </c>
      <c r="W33" s="50" t="str">
        <f>IF(VALUE(LEFT(IF(LEN(C33)=6,"0"&amp;C33,C33),2))&lt;=2,"EC",IF(OR(VALUE(LEFT(IF(LEN(C33)=6,"0"&amp;C33,C33),2))=8,VALUE(LEFT(IF(LEN(C33)=6,"0"&amp;C33,C33),2))=18),"NW","Other"))</f>
        <v>NW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-13","description":"http://stevetu21.github.io/eaglep3/load_kml.html?kml=http://rtdc.gmaps-snips.s3.amazonaws.com/7d234e66-bd23-4b5e-993f-6fae7e41f780.kml","custom_fields":[{"id":1,"name":"Subdivision","value":"NW"},{"id":4,"name":"Milepost","value":"2.899"},{"id":17,"name":"Train ID","value":"1825-13"},{"id":16,"name":"Locomotive ID","value":"4042"},{"id":130,"name":"Impact","value":"Enforcement"},{"id":150,"name":"Time of Event (Mountain Time)","value":"18:28:48"},{"id":151,"name":"Denver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3" s="184" t="s">
        <v>797</v>
      </c>
      <c r="AA33" s="53" t="s">
        <v>125</v>
      </c>
      <c r="AB33" s="53" t="s">
        <v>138</v>
      </c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"%USERPROFILE%\AppData\Local\Temp\OnboardLogs"\RTDC4042\*4042*201611140*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"%USERPROFILE%\AppData\Local\Temp\OnboardLogs"\RTDC4042\*4042*201611140* &gt;&gt; 42687-slicedisagreementcheck.txt</v>
      </c>
    </row>
    <row r="34" spans="1:30" x14ac:dyDescent="0.25">
      <c r="A34" s="36">
        <v>42687.775590277779</v>
      </c>
      <c r="B34" s="31" t="s">
        <v>218</v>
      </c>
      <c r="C34" s="31" t="s">
        <v>462</v>
      </c>
      <c r="D34" s="31" t="s">
        <v>49</v>
      </c>
      <c r="E34" s="31" t="s">
        <v>211</v>
      </c>
      <c r="F34" s="47">
        <v>0</v>
      </c>
      <c r="G34" s="47">
        <v>48</v>
      </c>
      <c r="H34" s="47">
        <v>149</v>
      </c>
      <c r="I34" s="47">
        <v>110</v>
      </c>
      <c r="J34" s="31" t="s">
        <v>212</v>
      </c>
      <c r="K34" s="47">
        <v>1</v>
      </c>
      <c r="L34" s="154" t="s">
        <v>51</v>
      </c>
      <c r="M34" s="155">
        <f>CONVERT((I34-K34)/10000,"mi","ft")*IF(L34="Increasing Mileposts (1)",-1,1)</f>
        <v>57.552</v>
      </c>
      <c r="N34" s="156" t="str">
        <f>VLOOKUP(C34,'Trips&amp;Operators'!$C$1:$E$99999,3,FALSE)</f>
        <v>MOSES</v>
      </c>
      <c r="O34" s="183" t="s">
        <v>206</v>
      </c>
      <c r="P34" s="157"/>
      <c r="Q34" s="31"/>
      <c r="R34" s="100" t="str">
        <f>VLOOKUP(C34,'Train Runs'!$A$13:$AE$10003,31,0)</f>
        <v>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 &amp; aws s3 cp s3://rtdc.mdm.uploadarchive.raw/RTDC4030/ "%USERPROFILE%\AppData\Local\Temp\OnboardLogs"\RTDC4030\2016-11-14 --exclude "*" --recursive --include "*20161114*" &amp; "%USERPROFILE%\Documents\GitHub\mrs-test-scripts\Headless Mode &amp; Sideloading\WalkAndUnGZ.bat" "%USERPROFILE%\AppData\Local\Temp\OnboardLogs"\RTDC4030\2016-11-14</v>
      </c>
      <c r="S34" s="103" t="str">
        <f>VLOOKUP(C34,'Train Runs'!$A$13:$AE$10003,22,0)</f>
        <v>https://search-rtdc-monitor-bjffxe2xuh6vdkpspy63sjmuny.us-east-1.es.amazonaws.com/_plugin/kibana/#/discover/Steve-Slow-Train-Analysis-(2080s-and-2083s)?_g=(refreshInterval:(display:Off,section:0,value:0),time:(from:'2016-11-13 16:51:49-700',mode:absolute,to:'2016-11-13 19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/stypes="*4030*201611140*" /stext=" 01:.+((SYSTEM_STATE.+slice.+state.+changed )|(ment ac)|(system.+state.+changed )|(\[timeout)|(PRM\|1\|D)|(kpr)|(kdp)|(\|lc)|(penalty))" /e /r /s</v>
      </c>
      <c r="U34" s="9" t="str">
        <f>MID(B34,13,4)</f>
        <v>4030</v>
      </c>
      <c r="V34" s="36">
        <f>A34-utc_offset/24</f>
        <v>42688.067256944443</v>
      </c>
      <c r="W34" s="50" t="str">
        <f>IF(VALUE(LEFT(IF(LEN(C34)=6,"0"&amp;C34,C34),2))&lt;=2,"EC",IF(OR(VALUE(LEFT(IF(LEN(C34)=6,"0"&amp;C34,C34),2))=8,VALUE(LEFT(IF(LEN(C34)=6,"0"&amp;C34,C34),2))=18),"NW","Other"))</f>
        <v>EC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{"issue":{"subject":"","project_id":79,"tracker_id":40,"status_id":1,"priority_id":2,"assigned_to_id":23,"start_date":"2016-11-13","description":"","custom_fields":[{"id":1,"name":"Subdivision","value":"EC"},{"id":4,"name":"Milepost","value":"0.0001"},{"id":17,"name":"Train ID","value":"208-13"},{"id":16,"name":"Locomotive ID","value":"4030"},{"id":130,"name":"Impact","value":""},{"id":150,"name":"Time of Event (Mountain Time)","value":"18:36:51"},{"id":151,"name":"Denver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"%USERPROFILE%\AppData\Local\Temp\OnboardLogs"\RTDC4030\*4030*201611140*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"%USERPROFILE%\AppData\Local\Temp\OnboardLogs"\RTDC4030\*4030*201611140* &gt;&gt; 42687-slicedisagreementcheck.txt</v>
      </c>
    </row>
    <row r="35" spans="1:30" x14ac:dyDescent="0.25">
      <c r="A35" s="36">
        <v>42687.781087962961</v>
      </c>
      <c r="B35" s="31" t="s">
        <v>243</v>
      </c>
      <c r="C35" s="31" t="s">
        <v>461</v>
      </c>
      <c r="D35" s="31" t="s">
        <v>49</v>
      </c>
      <c r="E35" s="31" t="s">
        <v>211</v>
      </c>
      <c r="F35" s="47">
        <v>0</v>
      </c>
      <c r="G35" s="47">
        <v>92</v>
      </c>
      <c r="H35" s="47">
        <v>58710</v>
      </c>
      <c r="I35" s="47">
        <v>58778</v>
      </c>
      <c r="J35" s="31" t="s">
        <v>212</v>
      </c>
      <c r="K35" s="47">
        <v>59058</v>
      </c>
      <c r="L35" s="154" t="s">
        <v>50</v>
      </c>
      <c r="M35" s="155">
        <f>CONVERT((I35-K35)/10000,"mi","ft")*IF(L35="Increasing Mileposts (1)",-1,1)</f>
        <v>147.84</v>
      </c>
      <c r="N35" s="156" t="str">
        <f>VLOOKUP(C35,'Trips&amp;Operators'!$C$1:$E$99999,3,FALSE)</f>
        <v>HOLCOMB</v>
      </c>
      <c r="O35" s="183" t="s">
        <v>206</v>
      </c>
      <c r="P35" s="157"/>
      <c r="Q35" s="31"/>
      <c r="R35" s="100" t="str">
        <f>VLOOKUP(C35,'Train Runs'!$A$13:$AE$10003,31,0)</f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S35" s="103" t="str">
        <f>VLOOKUP(C35,'Train Runs'!$A$13:$AE$10003,22,0)</f>
        <v>https://search-rtdc-monitor-bjffxe2xuh6vdkpspy63sjmuny.us-east-1.es.amazonaws.com/_plugin/kibana/#/discover/Steve-Slow-Train-Analysis-(2080s-and-2083s)?_g=(refreshInterval:(display:Off,section:0,value:0),time:(from:'2016-11-13 17:03:07-700',mode:absolute,to:'2016-11-13 19:45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/stypes="*4042*201611140*" /stext=" 01:.+((SYSTEM_STATE.+slice.+state.+changed )|(ment ac)|(system.+state.+changed )|(\[timeout)|(PRM\|1\|D)|(kpr)|(kdp)|(\|lc)|(penalty))" /e /r /s</v>
      </c>
      <c r="U35" s="9" t="str">
        <f>MID(B35,13,4)</f>
        <v>4042</v>
      </c>
      <c r="V35" s="36">
        <f>A35-utc_offset/24</f>
        <v>42688.072754629626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{"issue":{"subject":"","project_id":79,"tracker_id":40,"status_id":1,"priority_id":2,"assigned_to_id":23,"start_date":"2016-11-13","description":"","custom_fields":[{"id":1,"name":"Subdivision","value":"NW"},{"id":4,"name":"Milepost","value":"5.9058"},{"id":17,"name":"Train ID","value":"1825-13"},{"id":16,"name":"Locomotive ID","value":"4042"},{"id":130,"name":"Impact","value":""},{"id":150,"name":"Time of Event (Mountain Time)","value":"18:44:46"},{"id":151,"name":"Denver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"%USERPROFILE%\AppData\Local\Temp\OnboardLogs"\RTDC4042\*4042*201611140*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"%USERPROFILE%\AppData\Local\Temp\OnboardLogs"\RTDC4042\*4042*201611140* &gt;&gt; 42687-slicedisagreementcheck.txt</v>
      </c>
    </row>
    <row r="36" spans="1:30" x14ac:dyDescent="0.25">
      <c r="A36" s="36">
        <v>42687.797256944446</v>
      </c>
      <c r="B36" s="31" t="s">
        <v>439</v>
      </c>
      <c r="C36" s="31" t="s">
        <v>463</v>
      </c>
      <c r="D36" s="31" t="s">
        <v>49</v>
      </c>
      <c r="E36" s="31" t="s">
        <v>211</v>
      </c>
      <c r="F36" s="47">
        <v>0</v>
      </c>
      <c r="G36" s="47">
        <v>69</v>
      </c>
      <c r="H36" s="47">
        <v>234</v>
      </c>
      <c r="I36" s="47">
        <v>139</v>
      </c>
      <c r="J36" s="31" t="s">
        <v>212</v>
      </c>
      <c r="K36" s="47">
        <v>1</v>
      </c>
      <c r="L36" s="154" t="s">
        <v>51</v>
      </c>
      <c r="M36" s="155">
        <f>CONVERT((I36-K36)/10000,"mi","ft")*IF(L36="Increasing Mileposts (1)",-1,1)</f>
        <v>72.864000000000004</v>
      </c>
      <c r="N36" s="156" t="str">
        <f>VLOOKUP(C36,'Trips&amp;Operators'!$C$1:$E$99999,3,FALSE)</f>
        <v>YOUNG</v>
      </c>
      <c r="O36" s="183" t="s">
        <v>206</v>
      </c>
      <c r="P36" s="157"/>
      <c r="Q36" s="31"/>
      <c r="R36" s="100" t="str">
        <f>VLOOKUP(C36,'Train Runs'!$A$13:$AE$10003,31,0)</f>
        <v>aws s3 cp s3://rtdc.mdm.uploadarchive.raw/RTDC4008/ "%USERPROFILE%\AppData\Local\Temp\OnboardLogs"\RTDC4008\2016-11-13 --exclude "*" --recursive --include "*20161113*" &amp; "%USERPROFILE%\Documents\GitHub\mrs-test-scripts\Headless Mode &amp; Sideloading\WalkAndUnGZ.bat" "%USERPROFILE%\AppData\Local\Temp\OnboardLogs"\RTDC4008\2016-11-13 &amp; aws s3 cp s3://rtdc.mdm.uploadarchive.raw/RTDC4008/ "%USERPROFILE%\AppData\Local\Temp\OnboardLogs"\RTDC4008\2016-11-14 --exclude "*" --recursive --include "*20161114*" &amp; "%USERPROFILE%\Documents\GitHub\mrs-test-scripts\Headless Mode &amp; Sideloading\WalkAndUnGZ.bat" "%USERPROFILE%\AppData\Local\Temp\OnboardLogs"\RTDC4008\2016-11-14</v>
      </c>
      <c r="S36" s="103" t="str">
        <f>VLOOKUP(C36,'Train Runs'!$A$13:$AE$10003,22,0)</f>
        <v>https://search-rtdc-monitor-bjffxe2xuh6vdkpspy63sjmuny.us-east-1.es.amazonaws.com/_plugin/kibana/#/discover/Steve-Slow-Train-Analysis-(2080s-and-2083s)?_g=(refreshInterval:(display:Off,section:0,value:0),time:(from:'2016-11-13 17:15:14-700',mode:absolute,to:'2016-11-13 20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/stypes="*4008*201611140*" /stext=" 02:.+((SYSTEM_STATE.+slice.+state.+changed )|(ment ac)|(system.+state.+changed )|(\[timeout)|(PRM\|1\|D)|(kpr)|(kdp)|(\|lc)|(penalty))" /e /r /s</v>
      </c>
      <c r="U36" s="9" t="str">
        <f>MID(B36,13,4)</f>
        <v>4008</v>
      </c>
      <c r="V36" s="36">
        <f>A36-utc_offset/24</f>
        <v>42688.088923611111</v>
      </c>
      <c r="W36" s="50" t="str">
        <f>IF(VALUE(LEFT(IF(LEN(C36)=6,"0"&amp;C36,C36),2))&lt;=2,"EC",IF(OR(VALUE(LEFT(IF(LEN(C36)=6,"0"&amp;C36,C36),2))=8,VALUE(LEFT(IF(LEN(C36)=6,"0"&amp;C36,C36),2))=18),"NW","Other"))</f>
        <v>EC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{"issue":{"subject":"","project_id":79,"tracker_id":40,"status_id":1,"priority_id":2,"assigned_to_id":23,"start_date":"2016-11-13","description":"","custom_fields":[{"id":1,"name":"Subdivision","value":"EC"},{"id":4,"name":"Milepost","value":"0.0001"},{"id":17,"name":"Train ID","value":"212-13"},{"id":16,"name":"Locomotive ID","value":"4008"},{"id":130,"name":"Impact","value":""},{"id":150,"name":"Time of Event (Mountain Time)","value":"19:08:03"},{"id":151,"name":"Denver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"%USERPROFILE%\AppData\Local\Temp\OnboardLogs"\RTDC4008\*4008*201611140*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"%USERPROFILE%\AppData\Local\Temp\OnboardLogs"\RTDC4008\*4008*201611140* &gt;&gt; 42687-slicedisagreementcheck.txt</v>
      </c>
    </row>
    <row r="37" spans="1:30" x14ac:dyDescent="0.25">
      <c r="A37" s="36">
        <v>42687.815671296295</v>
      </c>
      <c r="B37" s="31" t="s">
        <v>243</v>
      </c>
      <c r="C37" s="31" t="s">
        <v>464</v>
      </c>
      <c r="D37" s="31" t="s">
        <v>49</v>
      </c>
      <c r="E37" s="31" t="s">
        <v>211</v>
      </c>
      <c r="F37" s="47">
        <v>0</v>
      </c>
      <c r="G37" s="47">
        <v>161</v>
      </c>
      <c r="H37" s="47">
        <v>57983</v>
      </c>
      <c r="I37" s="47">
        <v>58192</v>
      </c>
      <c r="J37" s="31" t="s">
        <v>212</v>
      </c>
      <c r="K37" s="47">
        <v>59058</v>
      </c>
      <c r="L37" s="154" t="s">
        <v>50</v>
      </c>
      <c r="M37" s="155">
        <f>CONVERT((I37-K37)/10000,"mi","ft")*IF(L37="Increasing Mileposts (1)",-1,1)</f>
        <v>457.24799999999999</v>
      </c>
      <c r="N37" s="156" t="str">
        <f>VLOOKUP(C37,'Trips&amp;Operators'!$C$1:$E$99999,3,FALSE)</f>
        <v>HOLCOMB</v>
      </c>
      <c r="O37" s="183" t="s">
        <v>206</v>
      </c>
      <c r="P37" s="157"/>
      <c r="Q37" s="31"/>
      <c r="R37" s="100" t="str">
        <f>VLOOKUP(C37,'Train Runs'!$A$13:$AE$10003,31,0)</f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S37" s="103" t="str">
        <f>VLOOKUP(C37,'Train Runs'!$A$13:$AE$10003,22,0)</f>
        <v>https://search-rtdc-monitor-bjffxe2xuh6vdkpspy63sjmuny.us-east-1.es.amazonaws.com/_plugin/kibana/#/discover/Steve-Slow-Train-Analysis-(2080s-and-2083s)?_g=(refreshInterval:(display:Off,section:0,value:0),time:(from:'2016-11-13 18:10:42-700',mode:absolute,to:'2016-11-13 20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/stypes="*4042*201611140*" /stext=" 02:.+((SYSTEM_STATE.+slice.+state.+changed )|(ment ac)|(system.+state.+changed )|(\[timeout)|(PRM\|1\|D)|(kpr)|(kdp)|(\|lc)|(penalty))" /e /r /s</v>
      </c>
      <c r="U37" s="9" t="str">
        <f>MID(B37,13,4)</f>
        <v>4042</v>
      </c>
      <c r="V37" s="36">
        <f>A37-utc_offset/24</f>
        <v>42688.10733796296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{"issue":{"subject":"","project_id":79,"tracker_id":40,"status_id":1,"priority_id":2,"assigned_to_id":23,"start_date":"2016-11-13","description":"","custom_fields":[{"id":1,"name":"Subdivision","value":"NW"},{"id":4,"name":"Milepost","value":"5.9058"},{"id":17,"name":"Train ID","value":"1827-13"},{"id":16,"name":"Locomotive ID","value":"4042"},{"id":130,"name":"Impact","value":""},{"id":150,"name":"Time of Event (Mountain Time)","value":"19:34:34"},{"id":151,"name":"Denver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"%USERPROFILE%\AppData\Local\Temp\OnboardLogs"\RTDC4042\*4042*201611140*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"%USERPROFILE%\AppData\Local\Temp\OnboardLogs"\RTDC4042\*4042*201611140* &gt;&gt; 42687-slicedisagreementcheck.txt</v>
      </c>
    </row>
    <row r="38" spans="1:30" x14ac:dyDescent="0.25">
      <c r="A38" s="36">
        <v>42687.816134259258</v>
      </c>
      <c r="B38" s="31" t="s">
        <v>243</v>
      </c>
      <c r="C38" s="31" t="s">
        <v>464</v>
      </c>
      <c r="D38" s="31" t="s">
        <v>49</v>
      </c>
      <c r="E38" s="31" t="s">
        <v>211</v>
      </c>
      <c r="F38" s="47">
        <v>0</v>
      </c>
      <c r="G38" s="47">
        <v>101</v>
      </c>
      <c r="H38" s="47">
        <v>58370</v>
      </c>
      <c r="I38" s="47">
        <v>58484</v>
      </c>
      <c r="J38" s="31" t="s">
        <v>212</v>
      </c>
      <c r="K38" s="47">
        <v>59058</v>
      </c>
      <c r="L38" s="154" t="s">
        <v>50</v>
      </c>
      <c r="M38" s="155">
        <f>CONVERT((I38-K38)/10000,"mi","ft")*IF(L38="Increasing Mileposts (1)",-1,1)</f>
        <v>303.072</v>
      </c>
      <c r="N38" s="156" t="str">
        <f>VLOOKUP(C38,'Trips&amp;Operators'!$C$1:$E$99999,3,FALSE)</f>
        <v>HOLCOMB</v>
      </c>
      <c r="O38" s="183" t="s">
        <v>206</v>
      </c>
      <c r="P38" s="157"/>
      <c r="Q38" s="31"/>
      <c r="R38" s="100" t="str">
        <f>VLOOKUP(C38,'Train Runs'!$A$13:$AE$10003,31,0)</f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S38" s="103" t="str">
        <f>VLOOKUP(C38,'Train Runs'!$A$13:$AE$10003,22,0)</f>
        <v>https://search-rtdc-monitor-bjffxe2xuh6vdkpspy63sjmuny.us-east-1.es.amazonaws.com/_plugin/kibana/#/discover/Steve-Slow-Train-Analysis-(2080s-and-2083s)?_g=(refreshInterval:(display:Off,section:0,value:0),time:(from:'2016-11-13 18:10:42-700',mode:absolute,to:'2016-11-13 20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/stypes="*4042*201611140*" /stext=" 02:.+((SYSTEM_STATE.+slice.+state.+changed )|(ment ac)|(system.+state.+changed )|(\[timeout)|(PRM\|1\|D)|(kpr)|(kdp)|(\|lc)|(penalty))" /e /r /s</v>
      </c>
      <c r="U38" s="9" t="str">
        <f>MID(B38,13,4)</f>
        <v>4042</v>
      </c>
      <c r="V38" s="36">
        <f>A38-utc_offset/24</f>
        <v>42688.107800925922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{"issue":{"subject":"","project_id":79,"tracker_id":40,"status_id":1,"priority_id":2,"assigned_to_id":23,"start_date":"2016-11-13","description":"","custom_fields":[{"id":1,"name":"Subdivision","value":"NW"},{"id":4,"name":"Milepost","value":"5.9058"},{"id":17,"name":"Train ID","value":"1827-13"},{"id":16,"name":"Locomotive ID","value":"4042"},{"id":130,"name":"Impact","value":""},{"id":150,"name":"Time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"%USERPROFILE%\AppData\Local\Temp\OnboardLogs"\RTDC4042\*4042*201611140*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"%USERPROFILE%\AppData\Local\Temp\OnboardLogs"\RTDC4042\*4042*201611140* &gt;&gt; 42687-slicedisagreementcheck.txt</v>
      </c>
    </row>
    <row r="39" spans="1:30" x14ac:dyDescent="0.25">
      <c r="A39" s="36">
        <v>42687.822141203702</v>
      </c>
      <c r="B39" s="31" t="s">
        <v>242</v>
      </c>
      <c r="C39" s="31" t="s">
        <v>465</v>
      </c>
      <c r="D39" s="31" t="s">
        <v>98</v>
      </c>
      <c r="E39" s="31" t="s">
        <v>207</v>
      </c>
      <c r="F39" s="47">
        <v>150</v>
      </c>
      <c r="G39" s="47">
        <v>206</v>
      </c>
      <c r="H39" s="47">
        <v>56919</v>
      </c>
      <c r="I39" s="47">
        <v>56650</v>
      </c>
      <c r="J39" s="31" t="s">
        <v>208</v>
      </c>
      <c r="K39" s="47">
        <v>59060</v>
      </c>
      <c r="L39" s="154" t="s">
        <v>51</v>
      </c>
      <c r="M39" s="155">
        <f>CONVERT((I39-K39)/10000,"mi","ft")*IF(L39="Increasing Mileposts (1)",-1,1)</f>
        <v>-1272.48</v>
      </c>
      <c r="N39" s="156" t="str">
        <f>VLOOKUP(C39,'Trips&amp;Operators'!$C$1:$E$99999,3,FALSE)</f>
        <v>ADANE</v>
      </c>
      <c r="O39" s="183" t="s">
        <v>206</v>
      </c>
      <c r="P39" s="157"/>
      <c r="Q39" s="31"/>
      <c r="R39" s="100" t="str">
        <f>VLOOKUP(C39,'Train Runs'!$A$13:$AE$10003,31,0)</f>
        <v>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 &amp; aws s3 cp s3://rtdc.mdm.uploadarchive.raw/RTDC4041/ "%USERPROFILE%\AppData\Local\Temp\OnboardLogs"\RTDC4041\2016-11-14 --exclude "*" --recursive --include "*20161114*" &amp; "%USERPROFILE%\Documents\GitHub\mrs-test-scripts\Headless Mode &amp; Sideloading\WalkAndUnGZ.bat" "%USERPROFILE%\AppData\Local\Temp\OnboardLogs"\RTDC4041\2016-11-14</v>
      </c>
      <c r="S39" s="103" t="str">
        <f>VLOOKUP(C39,'Train Runs'!$A$13:$AE$10003,22,0)</f>
        <v>https://search-rtdc-monitor-bjffxe2xuh6vdkpspy63sjmuny.us-east-1.es.amazonaws.com/_plugin/kibana/#/discover/Steve-Slow-Train-Analysis-(2080s-and-2083s)?_g=(refreshInterval:(display:Off,section:0,value:0),time:(from:'2016-11-13 18:38:24-700',mode:absolute,to:'2016-11-13 20:57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/stypes="*4041*201611140*" /stext=" 02:.+((SYSTEM_STATE.+slice.+state.+changed )|(ment ac)|(system.+state.+changed )|(\[timeout)|(PRM\|1\|D)|(kpr)|(kdp)|(\|lc)|(penalty))" /e /r /s</v>
      </c>
      <c r="U39" s="9" t="str">
        <f>MID(B39,13,4)</f>
        <v>4041</v>
      </c>
      <c r="V39" s="36">
        <f>A39-utc_offset/24</f>
        <v>42688.113807870366</v>
      </c>
      <c r="W39" s="50" t="str">
        <f>IF(VALUE(LEFT(IF(LEN(C39)=6,"0"&amp;C39,C39),2))&lt;=2,"EC",IF(OR(VALUE(LEFT(IF(LEN(C39)=6,"0"&amp;C39,C39),2))=8,VALUE(LEFT(IF(LEN(C39)=6,"0"&amp;C39,C39),2))=18),"NW","Other"))</f>
        <v>NW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{"issue":{"subject":"","project_id":79,"tracker_id":40,"status_id":1,"priority_id":2,"assigned_to_id":23,"start_date":"2016-11-13","description":"","custom_fields":[{"id":1,"name":"Subdivision","value":"NW"},{"id":4,"name":"Milepost","value":"5.906"},{"id":17,"name":"Train ID","value":"1828-13"},{"id":16,"name":"Locomotive ID","value":"4041"},{"id":130,"name":"Impact","value":""},{"id":150,"name":"Time of Event (Mountain Time)","value":"19:43:53"},{"id":151,"name":"Denver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"%USERPROFILE%\AppData\Local\Temp\OnboardLogs"\RTDC4041\*4041*201611140*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"%USERPROFILE%\AppData\Local\Temp\OnboardLogs"\RTDC4041\*4041*201611140* &gt;&gt; 42687-slicedisagreementcheck.txt</v>
      </c>
    </row>
    <row r="40" spans="1:30" x14ac:dyDescent="0.25">
      <c r="A40" s="36">
        <v>42687.891435185185</v>
      </c>
      <c r="B40" s="31" t="s">
        <v>243</v>
      </c>
      <c r="C40" s="31" t="s">
        <v>466</v>
      </c>
      <c r="D40" s="31" t="s">
        <v>98</v>
      </c>
      <c r="E40" s="31" t="s">
        <v>207</v>
      </c>
      <c r="F40" s="47">
        <v>200</v>
      </c>
      <c r="G40" s="47">
        <v>251</v>
      </c>
      <c r="H40" s="47">
        <v>5960</v>
      </c>
      <c r="I40" s="47">
        <v>6367</v>
      </c>
      <c r="J40" s="31" t="s">
        <v>208</v>
      </c>
      <c r="K40" s="47">
        <v>4790</v>
      </c>
      <c r="L40" s="154" t="s">
        <v>50</v>
      </c>
      <c r="M40" s="155">
        <f>CONVERT((I40-K40)/10000,"mi","ft")*IF(L40="Increasing Mileposts (1)",-1,1)</f>
        <v>-832.65599999999995</v>
      </c>
      <c r="N40" s="156" t="str">
        <f>VLOOKUP(C40,'Trips&amp;Operators'!$C$1:$E$99999,3,FALSE)</f>
        <v>ADANE</v>
      </c>
      <c r="O40" s="183" t="s">
        <v>206</v>
      </c>
      <c r="P40" s="157"/>
      <c r="Q40" s="31"/>
      <c r="R40" s="100" t="str">
        <f>VLOOKUP(C40,'Train Runs'!$A$13:$AE$10003,31,0)</f>
        <v>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 &amp; aws s3 cp s3://rtdc.mdm.uploadarchive.raw/RTDC4042/ "%USERPROFILE%\AppData\Local\Temp\OnboardLogs"\RTDC4042\2016-11-14 --exclude "*" --recursive --include "*20161114*" &amp; "%USERPROFILE%\Documents\GitHub\mrs-test-scripts\Headless Mode &amp; Sideloading\WalkAndUnGZ.bat" "%USERPROFILE%\AppData\Local\Temp\OnboardLogs"\RTDC4042\2016-11-14</v>
      </c>
      <c r="S40" s="103" t="str">
        <f>VLOOKUP(C40,'Train Runs'!$A$13:$AE$10003,22,0)</f>
        <v>https://search-rtdc-monitor-bjffxe2xuh6vdkpspy63sjmuny.us-east-1.es.amazonaws.com/_plugin/kibana/#/discover/Steve-Slow-Train-Analysis-(2080s-and-2083s)?_g=(refreshInterval:(display:Off,section:0,value:0),time:(from:'2016-11-13 19:56:27-700',mode:absolute,to:'2016-11-13 22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/stypes="*4042*201611140*" /stext=" 04:.+((SYSTEM_STATE.+slice.+state.+changed )|(ment ac)|(system.+state.+changed )|(\[timeout)|(PRM\|1\|D)|(kpr)|(kdp)|(\|lc)|(penalty))" /e /r /s</v>
      </c>
      <c r="U40" s="9" t="str">
        <f>MID(B40,13,4)</f>
        <v>4042</v>
      </c>
      <c r="V40" s="36">
        <f>A40-utc_offset/24</f>
        <v>42688.18310185185</v>
      </c>
      <c r="W40" s="50" t="str">
        <f>IF(VALUE(LEFT(IF(LEN(C40)=6,"0"&amp;C40,C40),2))&lt;=2,"EC",IF(OR(VALUE(LEFT(IF(LEN(C40)=6,"0"&amp;C40,C40),2))=8,VALUE(LEFT(IF(LEN(C40)=6,"0"&amp;C40,C40),2))=18),"NW","Other"))</f>
        <v>NW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{"issue":{"subject":"","project_id":79,"tracker_id":40,"status_id":1,"priority_id":2,"assigned_to_id":23,"start_date":"2016-11-13","description":"","custom_fields":[{"id":1,"name":"Subdivision","value":"NW"},{"id":4,"name":"Milepost","value":"0.479"},{"id":17,"name":"Train ID","value":"1831-13"},{"id":16,"name":"Locomotive ID","value":"4042"},{"id":130,"name":"Impact","value":""},{"id":150,"name":"Time of Event (Mountain Time)","value":"21:23:40"},{"id":151,"name":"Denver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"%USERPROFILE%\AppData\Local\Temp\OnboardLogs"\RTDC4042\*4042*201611140*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"%USERPROFILE%\AppData\Local\Temp\OnboardLogs"\RTDC4042\*4042*201611140* &gt;&gt; 42687-slicedisagreementcheck.txt</v>
      </c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D41" s="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3">
    <sortState ref="A7:AC43">
      <sortCondition ref="V6:V43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 O7:O40">
    <cfRule type="cellIs" dxfId="4" priority="36" operator="equal">
      <formula>"Y"</formula>
    </cfRule>
  </conditionalFormatting>
  <conditionalFormatting sqref="O2:O3">
    <cfRule type="cellIs" dxfId="3" priority="27" operator="equal">
      <formula>"Y"</formula>
    </cfRule>
  </conditionalFormatting>
  <conditionalFormatting sqref="A7:P40">
    <cfRule type="expression" dxfId="2" priority="20">
      <formula>$O7="Y"</formula>
    </cfRule>
  </conditionalFormatting>
  <hyperlinks>
    <hyperlink ref="Z18" r:id="rId1"/>
    <hyperlink ref="Z3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2016-11-13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>
        <v>158</v>
      </c>
      <c r="B3" s="47" t="str">
        <f>A3&amp;"-"&amp;IF(DAY(Variables!$A$2)&lt;10,0,"")&amp;DAY(Variables!$A$2)</f>
        <v>158-13</v>
      </c>
      <c r="C3" s="158"/>
      <c r="D3" s="163"/>
      <c r="E3" s="31" t="s">
        <v>337</v>
      </c>
      <c r="F3" s="22" t="str">
        <f>VLOOKUP(B3,'Trips&amp;Operators'!$C$2:$E$10000,3,FALSE)</f>
        <v>SWANSON</v>
      </c>
      <c r="G3" s="22" t="str">
        <f>VLOOKUP(B3,'Trips&amp;Operators'!$C$1:$F$10000,4,FALSE)</f>
        <v>rtdc.l.rtdc.4021:itc</v>
      </c>
      <c r="H3" s="30">
        <f>VLOOKUP(B3,'Trips&amp;Operators'!$C$1:$H$10000,5,FALSE)</f>
        <v>42687.477789351855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22158-13%22)),sort:!(Time,asc))</v>
      </c>
      <c r="J3" s="31" t="str">
        <f>VLOOKUP(B3,'Train Runs'!$A$13:$A$100000,1,FALSE)</f>
        <v>158-13</v>
      </c>
      <c r="K3" s="31" t="e">
        <f t="shared" ref="K3:K11" si="1">IF(VLOOKUP(A3,$K$46:$K$69,1,FALSE),"Cancelled")</f>
        <v>#N/A</v>
      </c>
    </row>
    <row r="4" spans="1:11" s="21" customFormat="1" x14ac:dyDescent="0.25">
      <c r="A4" s="179">
        <v>159</v>
      </c>
      <c r="B4" s="47" t="str">
        <f>A4&amp;"-"&amp;IF(DAY(Variables!$A$2)&lt;10,0,"")&amp;DAY(Variables!$A$2)</f>
        <v>159-13</v>
      </c>
      <c r="C4" s="158"/>
      <c r="D4" s="163"/>
      <c r="E4" s="31" t="s">
        <v>336</v>
      </c>
      <c r="F4" s="22" t="str">
        <f>VLOOKUP(B4,'Trips&amp;Operators'!$C$2:$E$10000,3,FALSE)</f>
        <v>STEWART</v>
      </c>
      <c r="G4" s="22" t="str">
        <f>VLOOKUP(B4,'Trips&amp;Operators'!$C$1:$F$10000,4,FALSE)</f>
        <v>rtdc.l.rtdc.4002:itc</v>
      </c>
      <c r="H4" s="30">
        <f>VLOOKUP(B4,'Trips&amp;Operators'!$C$1:$H$10000,5,FALSE)</f>
        <v>42687.453750000001</v>
      </c>
      <c r="I4" s="50" t="str">
        <f t="shared" ref="I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22159-13%22)),sort:!(Time,asc))</v>
      </c>
      <c r="J4" s="31" t="str">
        <f>VLOOKUP(B4,'Train Runs'!$A$13:$A$100000,1,FALSE)</f>
        <v>159-13</v>
      </c>
      <c r="K4" s="31" t="e">
        <f t="shared" ref="K4" si="3">IF(VLOOKUP(A4,$K$46:$K$69,1,FALSE),"Cancelled")</f>
        <v>#N/A</v>
      </c>
    </row>
    <row r="5" spans="1:11" x14ac:dyDescent="0.25">
      <c r="A5" s="179">
        <v>160</v>
      </c>
      <c r="B5" s="47" t="str">
        <f>A5&amp;"-"&amp;IF(DAY(Variables!$A$2)&lt;10,0,"")&amp;DAY(Variables!$A$2)</f>
        <v>160-13</v>
      </c>
      <c r="C5" s="158"/>
      <c r="D5" s="163"/>
      <c r="E5" s="31" t="s">
        <v>338</v>
      </c>
      <c r="F5" s="22" t="str">
        <f>VLOOKUP(B5,'Trips&amp;Operators'!$C$2:$E$10000,3,FALSE)</f>
        <v>STEWART</v>
      </c>
      <c r="G5" s="22" t="str">
        <f>VLOOKUP(B5,'Trips&amp;Operators'!$C$1:$F$10000,4,FALSE)</f>
        <v>rtdc.l.rtdc.4001:itc</v>
      </c>
      <c r="H5" s="30">
        <f>VLOOKUP(B5,'Trips&amp;Operators'!$C$1:$H$10000,5,FALSE)</f>
        <v>42687.495034722226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22160-13%22)),sort:!(Time,asc))</v>
      </c>
      <c r="J5" s="31" t="str">
        <f>VLOOKUP(B5,'Train Runs'!$A$13:$A$100000,1,FALSE)</f>
        <v>160-13</v>
      </c>
      <c r="K5" s="31" t="e">
        <f t="shared" si="1"/>
        <v>#N/A</v>
      </c>
    </row>
    <row r="6" spans="1:11" x14ac:dyDescent="0.25">
      <c r="A6" s="179">
        <v>163</v>
      </c>
      <c r="B6" s="47" t="str">
        <f>A6&amp;"-"&amp;IF(DAY(Variables!$A$2)&lt;10,0,"")&amp;DAY(Variables!$A$2)</f>
        <v>163-13</v>
      </c>
      <c r="C6" s="158"/>
      <c r="D6" s="163"/>
      <c r="E6" s="31" t="s">
        <v>337</v>
      </c>
      <c r="F6" s="22" t="str">
        <f>VLOOKUP(B6,'Trips&amp;Operators'!$C$2:$E$10000,3,FALSE)</f>
        <v>BRUDER</v>
      </c>
      <c r="G6" s="22" t="str">
        <f>VLOOKUP(B6,'Trips&amp;Operators'!$C$1:$F$10000,4,FALSE)</f>
        <v>rtdc.l.rtdc.4044:itc</v>
      </c>
      <c r="H6" s="30">
        <f>VLOOKUP(B6,'Trips&amp;Operators'!$C$1:$H$10000,5,FALSE)</f>
        <v>42687.476018518515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22163-13%22)),sort:!(Time,asc))</v>
      </c>
      <c r="J6" s="31" t="str">
        <f>VLOOKUP(B6,'Train Runs'!$A$13:$A$100000,1,FALSE)</f>
        <v>163-13</v>
      </c>
      <c r="K6" s="31" t="e">
        <f t="shared" si="1"/>
        <v>#N/A</v>
      </c>
    </row>
    <row r="7" spans="1:11" x14ac:dyDescent="0.25">
      <c r="A7" s="179">
        <v>166</v>
      </c>
      <c r="B7" s="47" t="str">
        <f>A7&amp;"-"&amp;IF(DAY(Variables!$A$2)&lt;10,0,"")&amp;DAY(Variables!$A$2)</f>
        <v>166-13</v>
      </c>
      <c r="C7" s="158"/>
      <c r="D7" s="163"/>
      <c r="E7" s="31" t="s">
        <v>337</v>
      </c>
      <c r="F7" s="22" t="str">
        <f>VLOOKUP(B7,'Trips&amp;Operators'!$C$2:$E$10000,3,FALSE)</f>
        <v>MOSES</v>
      </c>
      <c r="G7" s="22" t="str">
        <f>VLOOKUP(B7,'Trips&amp;Operators'!$C$1:$F$10000,4,FALSE)</f>
        <v>rtdc.l.rtdc.4030:itc</v>
      </c>
      <c r="H7" s="30">
        <f>VLOOKUP(B7,'Trips&amp;Operators'!$C$1:$H$10000,5,FALSE)</f>
        <v>42687.525081018517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22166-13%22)),sort:!(Time,asc))</v>
      </c>
      <c r="J7" s="31" t="str">
        <f>VLOOKUP(B7,'Train Runs'!$A$13:$A$100000,1,FALSE)</f>
        <v>166-13</v>
      </c>
      <c r="K7" s="31" t="e">
        <f t="shared" si="1"/>
        <v>#N/A</v>
      </c>
    </row>
    <row r="8" spans="1:11" x14ac:dyDescent="0.25">
      <c r="A8" s="171">
        <v>179</v>
      </c>
      <c r="B8" s="47" t="str">
        <f>A8&amp;"-"&amp;IF(DAY(Variables!$A$2)&lt;10,0,"")&amp;DAY(Variables!$A$2)</f>
        <v>179-13</v>
      </c>
      <c r="C8" s="158"/>
      <c r="D8" s="163"/>
      <c r="E8" s="31" t="s">
        <v>337</v>
      </c>
      <c r="F8" s="22" t="str">
        <f>VLOOKUP(B8,'Trips&amp;Operators'!$C$2:$E$10000,3,FALSE)</f>
        <v>MOSES</v>
      </c>
      <c r="G8" s="22" t="str">
        <f>VLOOKUP(B8,'Trips&amp;Operators'!$C$1:$F$10000,4,FALSE)</f>
        <v>rtdc.l.rtdc.4029:itc</v>
      </c>
      <c r="H8" s="30">
        <f>VLOOKUP(B8,'Trips&amp;Operators'!$C$1:$H$10000,5,FALSE)</f>
        <v>42687.560787037037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22179-13%22)),sort:!(Time,asc))</v>
      </c>
      <c r="J8" s="31" t="str">
        <f>VLOOKUP(B8,'Train Runs'!$A$13:$A$100000,1,FALSE)</f>
        <v>179-13</v>
      </c>
      <c r="K8" s="31" t="e">
        <f t="shared" si="1"/>
        <v>#N/A</v>
      </c>
    </row>
    <row r="9" spans="1:11" x14ac:dyDescent="0.25">
      <c r="A9" s="171">
        <v>181</v>
      </c>
      <c r="B9" s="47" t="str">
        <f>A9&amp;"-"&amp;IF(DAY(Variables!$A$2)&lt;10,0,"")&amp;DAY(Variables!$A$2)</f>
        <v>181-13</v>
      </c>
      <c r="C9" s="158"/>
      <c r="D9" s="163"/>
      <c r="E9" s="31" t="s">
        <v>337</v>
      </c>
      <c r="F9" s="22" t="str">
        <f>VLOOKUP(B9,'Trips&amp;Operators'!$C$2:$E$10000,3,FALSE)</f>
        <v>YOUNG</v>
      </c>
      <c r="G9" s="22" t="str">
        <f>VLOOKUP(B9,'Trips&amp;Operators'!$C$1:$F$10000,4,FALSE)</f>
        <v>rtdc.l.rtdc.4031:itc</v>
      </c>
      <c r="H9" s="30">
        <f>VLOOKUP(B9,'Trips&amp;Operators'!$C$1:$H$10000,5,FALSE)</f>
        <v>42687.571030092593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22181-13%22)),sort:!(Time,asc))</v>
      </c>
      <c r="J9" s="31" t="str">
        <f>VLOOKUP(B9,'Train Runs'!$A$13:$A$100000,1,FALSE)</f>
        <v>181-13</v>
      </c>
      <c r="K9" s="31" t="e">
        <f t="shared" si="1"/>
        <v>#N/A</v>
      </c>
    </row>
    <row r="10" spans="1:11" x14ac:dyDescent="0.25">
      <c r="A10" s="171">
        <v>182</v>
      </c>
      <c r="B10" s="47" t="str">
        <f>A10&amp;"-"&amp;IF(DAY(Variables!$A$2)&lt;10,0,"")&amp;DAY(Variables!$A$2)</f>
        <v>182-13</v>
      </c>
      <c r="C10" s="158"/>
      <c r="D10" s="163"/>
      <c r="E10" s="31" t="s">
        <v>337</v>
      </c>
      <c r="F10" s="22" t="str">
        <f>VLOOKUP(B10,'Trips&amp;Operators'!$C$2:$E$10000,3,FALSE)</f>
        <v>YOUNG</v>
      </c>
      <c r="G10" s="22" t="str">
        <f>VLOOKUP(B10,'Trips&amp;Operators'!$C$1:$F$10000,4,FALSE)</f>
        <v>rtdc.l.rtdc.4032:itc</v>
      </c>
      <c r="H10" s="30">
        <f>VLOOKUP(B10,'Trips&amp;Operators'!$C$1:$H$10000,5,FALSE)</f>
        <v>42687.607766203706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22182-13%22)),sort:!(Time,asc))</v>
      </c>
      <c r="J10" s="31" t="str">
        <f>VLOOKUP(B10,'Train Runs'!$A$13:$A$100000,1,FALSE)</f>
        <v>182-13</v>
      </c>
      <c r="K10" s="31" t="e">
        <f t="shared" si="1"/>
        <v>#N/A</v>
      </c>
    </row>
    <row r="11" spans="1:11" x14ac:dyDescent="0.25">
      <c r="A11" s="171">
        <v>183</v>
      </c>
      <c r="B11" s="47" t="str">
        <f>A11&amp;"-"&amp;IF(DAY(Variables!$A$2)&lt;10,0,"")&amp;DAY(Variables!$A$2)</f>
        <v>183-13</v>
      </c>
      <c r="C11" s="158"/>
      <c r="D11" s="163"/>
      <c r="E11" s="31" t="s">
        <v>337</v>
      </c>
      <c r="F11" s="22" t="str">
        <f>VLOOKUP(B11,'Trips&amp;Operators'!$C$2:$E$10000,3,FALSE)</f>
        <v>CLARK</v>
      </c>
      <c r="G11" s="22" t="str">
        <f>VLOOKUP(B11,'Trips&amp;Operators'!$C$1:$F$10000,4,FALSE)</f>
        <v>rtdc.l.rtdc.4007:itc</v>
      </c>
      <c r="H11" s="30">
        <f>VLOOKUP(B11,'Trips&amp;Operators'!$C$1:$H$10000,5,FALSE)</f>
        <v>42687.581041666665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22183-13%22)),sort:!(Time,asc))</v>
      </c>
      <c r="J11" s="31" t="str">
        <f>VLOOKUP(B11,'Train Runs'!$A$13:$A$100000,1,FALSE)</f>
        <v>183-13</v>
      </c>
      <c r="K11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181</v>
      </c>
      <c r="B1" s="21" t="s">
        <v>182</v>
      </c>
      <c r="C1" s="21" t="s">
        <v>0</v>
      </c>
      <c r="D1" s="21" t="s">
        <v>183</v>
      </c>
      <c r="E1" s="21" t="s">
        <v>184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42686.996539351851</v>
      </c>
      <c r="B2" s="21" t="s">
        <v>302</v>
      </c>
      <c r="C2" s="21" t="s">
        <v>383</v>
      </c>
      <c r="D2" s="21">
        <v>1300000</v>
      </c>
      <c r="E2" s="21" t="s">
        <v>113</v>
      </c>
      <c r="F2" s="21" t="str">
        <f t="shared" ref="F2:F65" si="0">B2</f>
        <v>rtdc.l.rtdc.4037:itc</v>
      </c>
      <c r="G2" s="8">
        <f t="shared" ref="G2:G65" si="1">A2</f>
        <v>42686.996539351851</v>
      </c>
    </row>
    <row r="3" spans="1:7" x14ac:dyDescent="0.25">
      <c r="A3" s="8">
        <v>42686.997766203705</v>
      </c>
      <c r="B3" s="21" t="s">
        <v>296</v>
      </c>
      <c r="C3" s="21" t="s">
        <v>384</v>
      </c>
      <c r="D3" s="21">
        <v>1800000</v>
      </c>
      <c r="E3" s="21" t="s">
        <v>344</v>
      </c>
      <c r="F3" s="21" t="str">
        <f t="shared" si="0"/>
        <v>rtdc.l.rtdc.4053:itc</v>
      </c>
      <c r="G3" s="8">
        <f t="shared" si="1"/>
        <v>42686.997766203705</v>
      </c>
    </row>
    <row r="4" spans="1:7" x14ac:dyDescent="0.25">
      <c r="A4" s="8">
        <v>42687.00439814815</v>
      </c>
      <c r="B4" s="21" t="s">
        <v>249</v>
      </c>
      <c r="C4" s="21" t="s">
        <v>385</v>
      </c>
      <c r="D4" s="21">
        <v>2000000</v>
      </c>
      <c r="E4" s="21" t="s">
        <v>244</v>
      </c>
      <c r="F4" s="21" t="str">
        <f t="shared" si="0"/>
        <v>rtdc.l.rtdc.4025:itc</v>
      </c>
      <c r="G4" s="8">
        <f t="shared" si="1"/>
        <v>42687.00439814815</v>
      </c>
    </row>
    <row r="5" spans="1:7" x14ac:dyDescent="0.25">
      <c r="A5" s="8">
        <v>42687.011261574073</v>
      </c>
      <c r="B5" s="21" t="s">
        <v>250</v>
      </c>
      <c r="C5" s="21" t="s">
        <v>386</v>
      </c>
      <c r="D5" s="21">
        <v>1810000</v>
      </c>
      <c r="E5" s="21" t="s">
        <v>382</v>
      </c>
      <c r="F5" s="21" t="str">
        <f t="shared" si="0"/>
        <v>rtdc.l.rtdc.4012:itc</v>
      </c>
      <c r="G5" s="8">
        <f t="shared" si="1"/>
        <v>42687.011261574073</v>
      </c>
    </row>
    <row r="6" spans="1:7" x14ac:dyDescent="0.25">
      <c r="A6" s="8">
        <v>42687.037754629629</v>
      </c>
      <c r="B6" s="21" t="s">
        <v>297</v>
      </c>
      <c r="C6" s="21" t="s">
        <v>387</v>
      </c>
      <c r="D6" s="21">
        <v>1300000</v>
      </c>
      <c r="E6" s="21" t="s">
        <v>113</v>
      </c>
      <c r="F6" s="21" t="str">
        <f t="shared" si="0"/>
        <v>rtdc.l.rtdc.4038:itc</v>
      </c>
      <c r="G6" s="8">
        <f t="shared" si="1"/>
        <v>42687.037754629629</v>
      </c>
    </row>
    <row r="7" spans="1:7" x14ac:dyDescent="0.25">
      <c r="A7" s="8">
        <v>42687.038055555553</v>
      </c>
      <c r="B7" s="21" t="s">
        <v>295</v>
      </c>
      <c r="C7" s="21" t="s">
        <v>388</v>
      </c>
      <c r="D7" s="21">
        <v>1800000</v>
      </c>
      <c r="E7" s="21" t="s">
        <v>344</v>
      </c>
      <c r="F7" s="21" t="str">
        <f t="shared" si="0"/>
        <v>rtdc.l.rtdc.4054:itc</v>
      </c>
      <c r="G7" s="8">
        <f t="shared" si="1"/>
        <v>42687.038055555553</v>
      </c>
    </row>
    <row r="8" spans="1:7" x14ac:dyDescent="0.25">
      <c r="A8" s="8">
        <v>42687.0469212963</v>
      </c>
      <c r="B8" s="21" t="s">
        <v>221</v>
      </c>
      <c r="C8" s="21" t="s">
        <v>389</v>
      </c>
      <c r="D8" s="21">
        <v>1810000</v>
      </c>
      <c r="E8" s="21" t="s">
        <v>382</v>
      </c>
      <c r="F8" s="21" t="str">
        <f t="shared" si="0"/>
        <v>rtdc.l.rtdc.4011:itc</v>
      </c>
      <c r="G8" s="8">
        <f t="shared" si="1"/>
        <v>42687.0469212963</v>
      </c>
    </row>
    <row r="9" spans="1:7" ht="15.75" thickBot="1" x14ac:dyDescent="0.3">
      <c r="A9" s="25">
        <v>42687.054699074077</v>
      </c>
      <c r="B9" s="21" t="s">
        <v>277</v>
      </c>
      <c r="C9" s="21" t="s">
        <v>390</v>
      </c>
      <c r="D9" s="21">
        <v>2000000</v>
      </c>
      <c r="E9" s="21" t="s">
        <v>244</v>
      </c>
      <c r="F9" s="21" t="str">
        <f t="shared" si="0"/>
        <v>rtdc.l.rtdc.4026:itc</v>
      </c>
      <c r="G9" s="8">
        <f t="shared" si="1"/>
        <v>42687.054699074077</v>
      </c>
    </row>
    <row r="10" spans="1:7" x14ac:dyDescent="0.25">
      <c r="A10" s="8">
        <v>42687.0700462963</v>
      </c>
      <c r="B10" s="21" t="s">
        <v>296</v>
      </c>
      <c r="C10" s="21" t="s">
        <v>391</v>
      </c>
      <c r="D10" s="21">
        <v>1800000</v>
      </c>
      <c r="E10" s="21" t="s">
        <v>344</v>
      </c>
      <c r="F10" s="21" t="str">
        <f t="shared" si="0"/>
        <v>rtdc.l.rtdc.4053:itc</v>
      </c>
      <c r="G10" s="8">
        <f t="shared" si="1"/>
        <v>42687.0700462963</v>
      </c>
    </row>
    <row r="11" spans="1:7" x14ac:dyDescent="0.25">
      <c r="A11" s="8">
        <v>42687.070844907408</v>
      </c>
      <c r="B11" s="21" t="s">
        <v>296</v>
      </c>
      <c r="C11" s="21" t="s">
        <v>391</v>
      </c>
      <c r="D11" s="21">
        <v>1800000</v>
      </c>
      <c r="E11" s="21" t="s">
        <v>344</v>
      </c>
      <c r="F11" s="21" t="str">
        <f t="shared" si="0"/>
        <v>rtdc.l.rtdc.4053:itc</v>
      </c>
      <c r="G11" s="8">
        <f t="shared" si="1"/>
        <v>42687.070844907408</v>
      </c>
    </row>
    <row r="12" spans="1:7" x14ac:dyDescent="0.25">
      <c r="A12" s="8">
        <v>42687.075312499997</v>
      </c>
      <c r="B12" s="21" t="s">
        <v>302</v>
      </c>
      <c r="C12" s="21" t="s">
        <v>433</v>
      </c>
      <c r="D12" s="21">
        <v>1300000</v>
      </c>
      <c r="E12" s="21" t="s">
        <v>113</v>
      </c>
      <c r="F12" s="21" t="str">
        <f t="shared" si="0"/>
        <v>rtdc.l.rtdc.4037:itc</v>
      </c>
      <c r="G12" s="8">
        <f t="shared" si="1"/>
        <v>42687.075312499997</v>
      </c>
    </row>
    <row r="13" spans="1:7" x14ac:dyDescent="0.25">
      <c r="A13" s="8">
        <v>42687.086412037039</v>
      </c>
      <c r="B13" s="21" t="s">
        <v>249</v>
      </c>
      <c r="C13" s="21" t="s">
        <v>435</v>
      </c>
      <c r="D13" s="21">
        <v>2000000</v>
      </c>
      <c r="E13" s="21" t="s">
        <v>244</v>
      </c>
      <c r="F13" s="21" t="str">
        <f t="shared" si="0"/>
        <v>rtdc.l.rtdc.4025:itc</v>
      </c>
      <c r="G13" s="8">
        <f t="shared" si="1"/>
        <v>42687.086412037039</v>
      </c>
    </row>
    <row r="14" spans="1:7" x14ac:dyDescent="0.25">
      <c r="A14" s="8">
        <v>42687.107928240737</v>
      </c>
      <c r="B14" s="21" t="s">
        <v>297</v>
      </c>
      <c r="C14" s="21" t="s">
        <v>437</v>
      </c>
      <c r="D14" s="21">
        <v>1300000</v>
      </c>
      <c r="E14" s="21" t="s">
        <v>113</v>
      </c>
      <c r="F14" s="21" t="str">
        <f t="shared" si="0"/>
        <v>rtdc.l.rtdc.4038:itc</v>
      </c>
      <c r="G14" s="8">
        <f t="shared" si="1"/>
        <v>42687.107928240737</v>
      </c>
    </row>
    <row r="15" spans="1:7" x14ac:dyDescent="0.25">
      <c r="A15" s="8">
        <v>42687.119583333333</v>
      </c>
      <c r="B15" s="21" t="s">
        <v>439</v>
      </c>
      <c r="C15" s="21" t="s">
        <v>467</v>
      </c>
      <c r="D15" s="21">
        <v>2030000</v>
      </c>
      <c r="E15" s="21" t="s">
        <v>377</v>
      </c>
      <c r="F15" s="21" t="str">
        <f t="shared" si="0"/>
        <v>rtdc.l.rtdc.4008:itc</v>
      </c>
      <c r="G15" s="8">
        <f t="shared" si="1"/>
        <v>42687.119583333333</v>
      </c>
    </row>
    <row r="16" spans="1:7" x14ac:dyDescent="0.25">
      <c r="A16" s="8">
        <v>42687.129965277774</v>
      </c>
      <c r="B16" s="21" t="s">
        <v>248</v>
      </c>
      <c r="C16" s="21" t="s">
        <v>468</v>
      </c>
      <c r="D16" s="21">
        <v>2030000</v>
      </c>
      <c r="E16" s="21" t="s">
        <v>377</v>
      </c>
      <c r="F16" s="21" t="str">
        <f t="shared" si="0"/>
        <v>rtdc.l.rtdc.4031:itc</v>
      </c>
      <c r="G16" s="8">
        <f t="shared" si="1"/>
        <v>42687.129965277774</v>
      </c>
    </row>
    <row r="17" spans="1:7" x14ac:dyDescent="0.25">
      <c r="A17" s="8">
        <v>42687.141481481478</v>
      </c>
      <c r="B17" s="21" t="s">
        <v>257</v>
      </c>
      <c r="C17" s="21" t="s">
        <v>469</v>
      </c>
      <c r="D17" s="21">
        <v>1260000</v>
      </c>
      <c r="E17" s="21" t="s">
        <v>376</v>
      </c>
      <c r="F17" s="21" t="str">
        <f t="shared" si="0"/>
        <v>rtdc.l.rtdc.4001:itc</v>
      </c>
      <c r="G17" s="8">
        <f t="shared" si="1"/>
        <v>42687.141481481478</v>
      </c>
    </row>
    <row r="18" spans="1:7" x14ac:dyDescent="0.25">
      <c r="A18" s="8">
        <v>42687.152592592596</v>
      </c>
      <c r="B18" s="21" t="s">
        <v>279</v>
      </c>
      <c r="C18" s="21" t="s">
        <v>470</v>
      </c>
      <c r="D18" s="21">
        <v>1260000</v>
      </c>
      <c r="E18" s="21" t="s">
        <v>376</v>
      </c>
      <c r="F18" s="21" t="str">
        <f t="shared" si="0"/>
        <v>rtdc.l.rtdc.4022:itc</v>
      </c>
      <c r="G18" s="8">
        <f t="shared" si="1"/>
        <v>42687.152592592596</v>
      </c>
    </row>
    <row r="19" spans="1:7" x14ac:dyDescent="0.25">
      <c r="A19" s="8">
        <v>42687.155972222223</v>
      </c>
      <c r="B19" s="21" t="s">
        <v>268</v>
      </c>
      <c r="C19" s="21" t="s">
        <v>438</v>
      </c>
      <c r="D19" s="21">
        <v>2110000</v>
      </c>
      <c r="E19" s="21" t="s">
        <v>381</v>
      </c>
      <c r="F19" s="21" t="str">
        <f t="shared" si="0"/>
        <v>rtdc.l.rtdc.4015:itc</v>
      </c>
      <c r="G19" s="8">
        <f t="shared" si="1"/>
        <v>42687.155972222223</v>
      </c>
    </row>
    <row r="20" spans="1:7" x14ac:dyDescent="0.25">
      <c r="A20" s="8">
        <v>42687.172222222223</v>
      </c>
      <c r="B20" s="21" t="s">
        <v>269</v>
      </c>
      <c r="C20" s="21" t="s">
        <v>471</v>
      </c>
      <c r="D20" s="21">
        <v>1990000</v>
      </c>
      <c r="E20" s="21" t="s">
        <v>339</v>
      </c>
      <c r="F20" s="21" t="str">
        <f t="shared" si="0"/>
        <v>rtdc.l.rtdc.4043:itc</v>
      </c>
      <c r="G20" s="8">
        <f t="shared" si="1"/>
        <v>42687.172222222223</v>
      </c>
    </row>
    <row r="21" spans="1:7" x14ac:dyDescent="0.25">
      <c r="A21" s="8">
        <v>42687.173506944448</v>
      </c>
      <c r="B21" s="21" t="s">
        <v>439</v>
      </c>
      <c r="C21" s="21" t="s">
        <v>440</v>
      </c>
      <c r="D21" s="21">
        <v>2030000</v>
      </c>
      <c r="E21" s="21" t="s">
        <v>377</v>
      </c>
      <c r="F21" s="21" t="str">
        <f t="shared" si="0"/>
        <v>rtdc.l.rtdc.4008:itc</v>
      </c>
      <c r="G21" s="8">
        <f t="shared" si="1"/>
        <v>42687.173506944448</v>
      </c>
    </row>
    <row r="22" spans="1:7" x14ac:dyDescent="0.25">
      <c r="A22" s="27">
        <v>42687.173750000002</v>
      </c>
      <c r="B22" s="21" t="s">
        <v>373</v>
      </c>
      <c r="C22" s="21" t="s">
        <v>472</v>
      </c>
      <c r="D22" s="21">
        <v>2110000</v>
      </c>
      <c r="E22" s="21" t="s">
        <v>381</v>
      </c>
      <c r="F22" s="21" t="str">
        <f t="shared" si="0"/>
        <v>rtdc.l.rtdc.4014:itc</v>
      </c>
      <c r="G22" s="8">
        <f t="shared" si="1"/>
        <v>42687.173750000002</v>
      </c>
    </row>
    <row r="23" spans="1:7" x14ac:dyDescent="0.25">
      <c r="A23" s="8">
        <v>42687.174074074072</v>
      </c>
      <c r="B23" s="21" t="s">
        <v>218</v>
      </c>
      <c r="C23" s="21" t="s">
        <v>473</v>
      </c>
      <c r="D23" s="21">
        <v>2090000</v>
      </c>
      <c r="E23" s="21" t="s">
        <v>474</v>
      </c>
      <c r="F23" s="21" t="str">
        <f t="shared" si="0"/>
        <v>rtdc.l.rtdc.4030:itc</v>
      </c>
      <c r="G23" s="8">
        <f t="shared" si="1"/>
        <v>42687.174074074072</v>
      </c>
    </row>
    <row r="24" spans="1:7" x14ac:dyDescent="0.25">
      <c r="A24" s="8">
        <v>42687.177222222221</v>
      </c>
      <c r="B24" s="21" t="s">
        <v>218</v>
      </c>
      <c r="C24" s="21" t="s">
        <v>473</v>
      </c>
      <c r="D24" s="21">
        <v>2090000</v>
      </c>
      <c r="E24" s="21" t="s">
        <v>474</v>
      </c>
      <c r="F24" s="21" t="str">
        <f t="shared" si="0"/>
        <v>rtdc.l.rtdc.4030:itc</v>
      </c>
      <c r="G24" s="8">
        <f t="shared" si="1"/>
        <v>42687.177222222221</v>
      </c>
    </row>
    <row r="25" spans="1:7" x14ac:dyDescent="0.25">
      <c r="A25" s="8">
        <v>42687.178425925929</v>
      </c>
      <c r="B25" s="21" t="s">
        <v>218</v>
      </c>
      <c r="C25" s="21" t="s">
        <v>473</v>
      </c>
      <c r="D25" s="21">
        <v>2090000</v>
      </c>
      <c r="E25" s="21" t="s">
        <v>474</v>
      </c>
      <c r="F25" s="21" t="str">
        <f t="shared" si="0"/>
        <v>rtdc.l.rtdc.4030:itc</v>
      </c>
      <c r="G25" s="8">
        <f t="shared" si="1"/>
        <v>42687.178425925929</v>
      </c>
    </row>
    <row r="26" spans="1:7" x14ac:dyDescent="0.25">
      <c r="A26" s="8">
        <v>42687.179571759261</v>
      </c>
      <c r="B26" s="21" t="s">
        <v>218</v>
      </c>
      <c r="C26" s="21" t="s">
        <v>473</v>
      </c>
      <c r="D26" s="21">
        <v>2090000</v>
      </c>
      <c r="E26" s="21" t="s">
        <v>474</v>
      </c>
      <c r="F26" s="21" t="str">
        <f t="shared" si="0"/>
        <v>rtdc.l.rtdc.4030:itc</v>
      </c>
      <c r="G26" s="8">
        <f t="shared" si="1"/>
        <v>42687.179571759261</v>
      </c>
    </row>
    <row r="27" spans="1:7" x14ac:dyDescent="0.25">
      <c r="A27" s="8">
        <v>42687.18304398148</v>
      </c>
      <c r="B27" s="21" t="s">
        <v>189</v>
      </c>
      <c r="C27" s="21" t="s">
        <v>475</v>
      </c>
      <c r="D27" s="21">
        <v>1990000</v>
      </c>
      <c r="E27" s="21" t="s">
        <v>339</v>
      </c>
      <c r="F27" s="21" t="str">
        <f t="shared" si="0"/>
        <v>rtdc.l.rtdc.4044:itc</v>
      </c>
      <c r="G27" s="8">
        <f t="shared" si="1"/>
        <v>42687.18304398148</v>
      </c>
    </row>
    <row r="28" spans="1:7" x14ac:dyDescent="0.25">
      <c r="A28" s="8">
        <v>42687.188946759263</v>
      </c>
      <c r="B28" s="21" t="s">
        <v>257</v>
      </c>
      <c r="C28" s="21" t="s">
        <v>476</v>
      </c>
      <c r="D28" s="21">
        <v>1260000</v>
      </c>
      <c r="E28" s="21" t="s">
        <v>376</v>
      </c>
      <c r="F28" s="21" t="str">
        <f t="shared" si="0"/>
        <v>rtdc.l.rtdc.4001:itc</v>
      </c>
      <c r="G28" s="8">
        <f t="shared" si="1"/>
        <v>42687.188946759263</v>
      </c>
    </row>
    <row r="29" spans="1:7" x14ac:dyDescent="0.25">
      <c r="A29" s="8">
        <v>42687.190578703703</v>
      </c>
      <c r="B29" s="21" t="s">
        <v>217</v>
      </c>
      <c r="C29" s="21" t="s">
        <v>477</v>
      </c>
      <c r="D29" s="21">
        <v>2090000</v>
      </c>
      <c r="E29" s="21" t="s">
        <v>474</v>
      </c>
      <c r="F29" s="21" t="str">
        <f t="shared" si="0"/>
        <v>rtdc.l.rtdc.4029:itc</v>
      </c>
      <c r="G29" s="8">
        <f t="shared" si="1"/>
        <v>42687.190578703703</v>
      </c>
    </row>
    <row r="30" spans="1:7" x14ac:dyDescent="0.25">
      <c r="A30" s="8">
        <v>42687.192118055558</v>
      </c>
      <c r="B30" s="21" t="s">
        <v>217</v>
      </c>
      <c r="C30" s="21" t="s">
        <v>477</v>
      </c>
      <c r="D30" s="21">
        <v>2090000</v>
      </c>
      <c r="E30" s="21" t="s">
        <v>474</v>
      </c>
      <c r="F30" s="21" t="str">
        <f t="shared" si="0"/>
        <v>rtdc.l.rtdc.4029:itc</v>
      </c>
      <c r="G30" s="8">
        <f t="shared" si="1"/>
        <v>42687.192118055558</v>
      </c>
    </row>
    <row r="31" spans="1:7" x14ac:dyDescent="0.25">
      <c r="A31" s="8">
        <v>42687.204039351855</v>
      </c>
      <c r="B31" s="21" t="s">
        <v>248</v>
      </c>
      <c r="C31" s="21" t="s">
        <v>478</v>
      </c>
      <c r="D31" s="21">
        <v>1760000</v>
      </c>
      <c r="E31" s="21" t="s">
        <v>340</v>
      </c>
      <c r="F31" s="21" t="str">
        <f t="shared" si="0"/>
        <v>rtdc.l.rtdc.4031:itc</v>
      </c>
      <c r="G31" s="8">
        <f t="shared" si="1"/>
        <v>42687.204039351855</v>
      </c>
    </row>
    <row r="32" spans="1:7" x14ac:dyDescent="0.25">
      <c r="A32" s="8">
        <v>42687.204745370371</v>
      </c>
      <c r="B32" s="21" t="s">
        <v>479</v>
      </c>
      <c r="C32" s="21" t="s">
        <v>480</v>
      </c>
      <c r="D32" s="21">
        <v>2030000</v>
      </c>
      <c r="E32" s="21" t="s">
        <v>377</v>
      </c>
      <c r="F32" s="21" t="str">
        <f t="shared" si="0"/>
        <v>rtdc.l.rtdc.4007:itc</v>
      </c>
      <c r="G32" s="8">
        <f t="shared" si="1"/>
        <v>42687.204745370371</v>
      </c>
    </row>
    <row r="33" spans="1:7" x14ac:dyDescent="0.25">
      <c r="A33" s="8">
        <v>42687.211238425924</v>
      </c>
      <c r="B33" s="21" t="s">
        <v>268</v>
      </c>
      <c r="C33" s="21" t="s">
        <v>441</v>
      </c>
      <c r="D33" s="21">
        <v>2110000</v>
      </c>
      <c r="E33" s="21" t="s">
        <v>381</v>
      </c>
      <c r="F33" s="21" t="str">
        <f t="shared" si="0"/>
        <v>rtdc.l.rtdc.4015:itc</v>
      </c>
      <c r="G33" s="8">
        <f t="shared" si="1"/>
        <v>42687.211238425924</v>
      </c>
    </row>
    <row r="34" spans="1:7" x14ac:dyDescent="0.25">
      <c r="A34" s="8">
        <v>42687.214618055557</v>
      </c>
      <c r="B34" s="21" t="s">
        <v>189</v>
      </c>
      <c r="C34" s="21" t="s">
        <v>475</v>
      </c>
      <c r="D34" s="21">
        <v>1990000</v>
      </c>
      <c r="E34" s="21" t="s">
        <v>339</v>
      </c>
      <c r="F34" s="21" t="str">
        <f t="shared" si="0"/>
        <v>rtdc.l.rtdc.4044:itc</v>
      </c>
      <c r="G34" s="8">
        <f t="shared" si="1"/>
        <v>42687.214618055557</v>
      </c>
    </row>
    <row r="35" spans="1:7" x14ac:dyDescent="0.25">
      <c r="A35" s="8">
        <v>42687.216840277775</v>
      </c>
      <c r="B35" s="21" t="s">
        <v>243</v>
      </c>
      <c r="C35" s="21" t="s">
        <v>481</v>
      </c>
      <c r="D35" s="21">
        <v>1110000</v>
      </c>
      <c r="E35" s="21" t="s">
        <v>482</v>
      </c>
      <c r="F35" s="21" t="str">
        <f t="shared" si="0"/>
        <v>rtdc.l.rtdc.4042:itc</v>
      </c>
      <c r="G35" s="8">
        <f t="shared" si="1"/>
        <v>42687.216840277775</v>
      </c>
    </row>
    <row r="36" spans="1:7" x14ac:dyDescent="0.25">
      <c r="A36" s="8">
        <v>42687.224374999998</v>
      </c>
      <c r="B36" s="21" t="s">
        <v>269</v>
      </c>
      <c r="C36" s="21" t="s">
        <v>483</v>
      </c>
      <c r="D36" s="21">
        <v>1990000</v>
      </c>
      <c r="E36" s="21" t="s">
        <v>339</v>
      </c>
      <c r="F36" s="21" t="str">
        <f t="shared" si="0"/>
        <v>rtdc.l.rtdc.4043:itc</v>
      </c>
      <c r="G36" s="8">
        <f t="shared" si="1"/>
        <v>42687.224374999998</v>
      </c>
    </row>
    <row r="37" spans="1:7" x14ac:dyDescent="0.25">
      <c r="A37" s="8">
        <v>42687.228298611109</v>
      </c>
      <c r="B37" s="21" t="s">
        <v>217</v>
      </c>
      <c r="C37" s="21" t="s">
        <v>477</v>
      </c>
      <c r="D37" s="21">
        <v>2090000</v>
      </c>
      <c r="E37" s="21" t="s">
        <v>474</v>
      </c>
      <c r="F37" s="21" t="str">
        <f t="shared" si="0"/>
        <v>rtdc.l.rtdc.4029:itc</v>
      </c>
      <c r="G37" s="8">
        <f t="shared" si="1"/>
        <v>42687.228298611109</v>
      </c>
    </row>
    <row r="38" spans="1:7" x14ac:dyDescent="0.25">
      <c r="A38" s="8">
        <v>42687.22923611111</v>
      </c>
      <c r="B38" s="21" t="s">
        <v>279</v>
      </c>
      <c r="C38" s="21" t="s">
        <v>484</v>
      </c>
      <c r="D38" s="21">
        <v>2150000</v>
      </c>
      <c r="E38" s="21" t="s">
        <v>342</v>
      </c>
      <c r="F38" s="21" t="str">
        <f t="shared" si="0"/>
        <v>rtdc.l.rtdc.4022:itc</v>
      </c>
      <c r="G38" s="8">
        <f t="shared" si="1"/>
        <v>42687.22923611111</v>
      </c>
    </row>
    <row r="39" spans="1:7" x14ac:dyDescent="0.25">
      <c r="A39" s="8">
        <v>42687.233159722222</v>
      </c>
      <c r="B39" s="21" t="s">
        <v>242</v>
      </c>
      <c r="C39" s="21" t="s">
        <v>485</v>
      </c>
      <c r="D39" s="21">
        <v>1110000</v>
      </c>
      <c r="E39" s="21" t="s">
        <v>482</v>
      </c>
      <c r="F39" s="21" t="str">
        <f t="shared" si="0"/>
        <v>rtdc.l.rtdc.4041:itc</v>
      </c>
      <c r="G39" s="8">
        <f t="shared" si="1"/>
        <v>42687.233159722222</v>
      </c>
    </row>
    <row r="40" spans="1:7" x14ac:dyDescent="0.25">
      <c r="A40" s="8">
        <v>42687.233599537038</v>
      </c>
      <c r="B40" s="26" t="s">
        <v>258</v>
      </c>
      <c r="C40" s="21" t="s">
        <v>486</v>
      </c>
      <c r="D40" s="21">
        <v>1260000</v>
      </c>
      <c r="E40" s="21" t="s">
        <v>376</v>
      </c>
      <c r="F40" s="21" t="str">
        <f t="shared" si="0"/>
        <v>rtdc.l.rtdc.4002:itc</v>
      </c>
      <c r="G40" s="8">
        <f t="shared" si="1"/>
        <v>42687.233599537038</v>
      </c>
    </row>
    <row r="41" spans="1:7" x14ac:dyDescent="0.25">
      <c r="A41" s="8">
        <v>42687.234351851854</v>
      </c>
      <c r="B41" s="21" t="s">
        <v>258</v>
      </c>
      <c r="C41" s="21" t="s">
        <v>486</v>
      </c>
      <c r="D41" s="21">
        <v>1260000</v>
      </c>
      <c r="E41" s="21" t="s">
        <v>376</v>
      </c>
      <c r="F41" s="21" t="str">
        <f t="shared" si="0"/>
        <v>rtdc.l.rtdc.4002:itc</v>
      </c>
      <c r="G41" s="8">
        <f t="shared" si="1"/>
        <v>42687.234351851854</v>
      </c>
    </row>
    <row r="42" spans="1:7" x14ac:dyDescent="0.25">
      <c r="A42" s="8">
        <v>42687.235324074078</v>
      </c>
      <c r="B42" s="21" t="s">
        <v>258</v>
      </c>
      <c r="C42" s="21" t="s">
        <v>486</v>
      </c>
      <c r="D42" s="21">
        <v>1260000</v>
      </c>
      <c r="E42" s="21" t="s">
        <v>376</v>
      </c>
      <c r="F42" s="21" t="str">
        <f t="shared" si="0"/>
        <v>rtdc.l.rtdc.4002:itc</v>
      </c>
      <c r="G42" s="8">
        <f t="shared" si="1"/>
        <v>42687.235324074078</v>
      </c>
    </row>
    <row r="43" spans="1:7" x14ac:dyDescent="0.25">
      <c r="A43" s="8">
        <v>42687.236990740741</v>
      </c>
      <c r="B43" s="21" t="s">
        <v>248</v>
      </c>
      <c r="C43" s="21" t="s">
        <v>478</v>
      </c>
      <c r="D43" s="21">
        <v>1760000</v>
      </c>
      <c r="E43" s="21" t="s">
        <v>340</v>
      </c>
      <c r="F43" s="21" t="str">
        <f t="shared" si="0"/>
        <v>rtdc.l.rtdc.4031:itc</v>
      </c>
      <c r="G43" s="8">
        <f t="shared" si="1"/>
        <v>42687.236990740741</v>
      </c>
    </row>
    <row r="44" spans="1:7" x14ac:dyDescent="0.25">
      <c r="A44" s="8">
        <v>42687.238009259258</v>
      </c>
      <c r="B44" s="21" t="s">
        <v>218</v>
      </c>
      <c r="C44" s="21" t="s">
        <v>443</v>
      </c>
      <c r="D44" s="21">
        <v>2090000</v>
      </c>
      <c r="E44" s="21" t="s">
        <v>474</v>
      </c>
      <c r="F44" s="21" t="str">
        <f t="shared" si="0"/>
        <v>rtdc.l.rtdc.4030:itc</v>
      </c>
      <c r="G44" s="8">
        <f t="shared" si="1"/>
        <v>42687.238009259258</v>
      </c>
    </row>
    <row r="45" spans="1:7" x14ac:dyDescent="0.25">
      <c r="A45" s="8">
        <v>42687.243159722224</v>
      </c>
      <c r="B45" s="21" t="s">
        <v>479</v>
      </c>
      <c r="C45" s="21" t="s">
        <v>480</v>
      </c>
      <c r="D45" s="21">
        <v>2030000</v>
      </c>
      <c r="E45" s="21" t="s">
        <v>377</v>
      </c>
      <c r="F45" s="21" t="str">
        <f t="shared" si="0"/>
        <v>rtdc.l.rtdc.4007:itc</v>
      </c>
      <c r="G45" s="8">
        <f t="shared" si="1"/>
        <v>42687.243159722224</v>
      </c>
    </row>
    <row r="46" spans="1:7" x14ac:dyDescent="0.25">
      <c r="A46" s="8">
        <v>42687.247337962966</v>
      </c>
      <c r="B46" s="21" t="s">
        <v>235</v>
      </c>
      <c r="C46" s="21" t="s">
        <v>442</v>
      </c>
      <c r="D46" s="21">
        <v>1760000</v>
      </c>
      <c r="E46" s="21" t="s">
        <v>340</v>
      </c>
      <c r="F46" s="21" t="str">
        <f t="shared" si="0"/>
        <v>rtdc.l.rtdc.4032:itc</v>
      </c>
      <c r="G46" s="8">
        <f t="shared" si="1"/>
        <v>42687.247337962966</v>
      </c>
    </row>
    <row r="47" spans="1:7" x14ac:dyDescent="0.25">
      <c r="A47" s="8">
        <v>42687.247719907406</v>
      </c>
      <c r="B47" s="21" t="s">
        <v>373</v>
      </c>
      <c r="C47" s="21" t="s">
        <v>487</v>
      </c>
      <c r="D47" s="21">
        <v>2110000</v>
      </c>
      <c r="E47" s="21" t="s">
        <v>381</v>
      </c>
      <c r="F47" s="21" t="str">
        <f t="shared" si="0"/>
        <v>rtdc.l.rtdc.4014:itc</v>
      </c>
      <c r="G47" s="8">
        <f t="shared" si="1"/>
        <v>42687.247719907406</v>
      </c>
    </row>
    <row r="48" spans="1:7" x14ac:dyDescent="0.25">
      <c r="A48" s="8">
        <v>42687.248472222222</v>
      </c>
      <c r="B48" s="21" t="s">
        <v>243</v>
      </c>
      <c r="C48" s="21" t="s">
        <v>488</v>
      </c>
      <c r="D48" s="21">
        <v>1110000</v>
      </c>
      <c r="E48" s="21" t="s">
        <v>482</v>
      </c>
      <c r="F48" s="21" t="str">
        <f t="shared" si="0"/>
        <v>rtdc.l.rtdc.4042:itc</v>
      </c>
      <c r="G48" s="8">
        <f t="shared" si="1"/>
        <v>42687.248472222222</v>
      </c>
    </row>
    <row r="49" spans="1:7" x14ac:dyDescent="0.25">
      <c r="A49" s="8">
        <v>42687.255706018521</v>
      </c>
      <c r="B49" s="21" t="s">
        <v>439</v>
      </c>
      <c r="C49" s="21" t="s">
        <v>489</v>
      </c>
      <c r="D49" s="21">
        <v>2030000</v>
      </c>
      <c r="E49" s="21" t="s">
        <v>377</v>
      </c>
      <c r="F49" s="21" t="str">
        <f t="shared" si="0"/>
        <v>rtdc.l.rtdc.4008:itc</v>
      </c>
      <c r="G49" s="8">
        <f t="shared" si="1"/>
        <v>42687.255706018521</v>
      </c>
    </row>
    <row r="50" spans="1:7" x14ac:dyDescent="0.25">
      <c r="A50" s="8">
        <v>42687.258194444446</v>
      </c>
      <c r="B50" s="21" t="s">
        <v>279</v>
      </c>
      <c r="C50" s="21" t="s">
        <v>484</v>
      </c>
      <c r="D50" s="21">
        <v>2150000</v>
      </c>
      <c r="E50" s="21" t="s">
        <v>342</v>
      </c>
      <c r="F50" s="21" t="str">
        <f t="shared" si="0"/>
        <v>rtdc.l.rtdc.4022:itc</v>
      </c>
      <c r="G50" s="8">
        <f t="shared" si="1"/>
        <v>42687.258194444446</v>
      </c>
    </row>
    <row r="51" spans="1:7" x14ac:dyDescent="0.25">
      <c r="A51" s="8">
        <v>42687.260983796295</v>
      </c>
      <c r="B51" s="21" t="s">
        <v>189</v>
      </c>
      <c r="C51" s="21" t="s">
        <v>444</v>
      </c>
      <c r="D51" s="21">
        <v>1990000</v>
      </c>
      <c r="E51" s="21" t="s">
        <v>339</v>
      </c>
      <c r="F51" s="21" t="str">
        <f t="shared" si="0"/>
        <v>rtdc.l.rtdc.4044:itc</v>
      </c>
      <c r="G51" s="8">
        <f t="shared" si="1"/>
        <v>42687.260983796295</v>
      </c>
    </row>
    <row r="52" spans="1:7" x14ac:dyDescent="0.25">
      <c r="A52" s="8">
        <v>42687.267754629633</v>
      </c>
      <c r="B52" s="21" t="s">
        <v>281</v>
      </c>
      <c r="C52" s="21" t="s">
        <v>490</v>
      </c>
      <c r="D52" s="21">
        <v>2150000</v>
      </c>
      <c r="E52" s="21" t="s">
        <v>342</v>
      </c>
      <c r="F52" s="21" t="str">
        <f t="shared" si="0"/>
        <v>rtdc.l.rtdc.4021:itc</v>
      </c>
      <c r="G52" s="8">
        <f t="shared" si="1"/>
        <v>42687.267754629633</v>
      </c>
    </row>
    <row r="53" spans="1:7" x14ac:dyDescent="0.25">
      <c r="A53" s="8">
        <v>42687.272962962961</v>
      </c>
      <c r="B53" s="21" t="s">
        <v>217</v>
      </c>
      <c r="C53" s="21" t="s">
        <v>491</v>
      </c>
      <c r="D53" s="21">
        <v>2090000</v>
      </c>
      <c r="E53" s="21" t="s">
        <v>474</v>
      </c>
      <c r="F53" s="21" t="str">
        <f t="shared" si="0"/>
        <v>rtdc.l.rtdc.4029:itc</v>
      </c>
      <c r="G53" s="8">
        <f t="shared" si="1"/>
        <v>42687.272962962961</v>
      </c>
    </row>
    <row r="54" spans="1:7" x14ac:dyDescent="0.25">
      <c r="A54" s="8">
        <v>42687.27579861111</v>
      </c>
      <c r="B54" s="21" t="s">
        <v>242</v>
      </c>
      <c r="C54" s="21" t="s">
        <v>492</v>
      </c>
      <c r="D54" s="21">
        <v>1110000</v>
      </c>
      <c r="E54" s="21" t="s">
        <v>482</v>
      </c>
      <c r="F54" s="21" t="str">
        <f t="shared" si="0"/>
        <v>rtdc.l.rtdc.4041:itc</v>
      </c>
      <c r="G54" s="8">
        <f t="shared" si="1"/>
        <v>42687.27579861111</v>
      </c>
    </row>
    <row r="55" spans="1:7" x14ac:dyDescent="0.25">
      <c r="A55" s="8">
        <v>42687.27716435185</v>
      </c>
      <c r="B55" s="21" t="s">
        <v>257</v>
      </c>
      <c r="C55" s="21" t="s">
        <v>445</v>
      </c>
      <c r="D55" s="21">
        <v>1260000</v>
      </c>
      <c r="E55" s="21" t="s">
        <v>376</v>
      </c>
      <c r="F55" s="21" t="str">
        <f t="shared" si="0"/>
        <v>rtdc.l.rtdc.4001:itc</v>
      </c>
      <c r="G55" s="8">
        <f t="shared" si="1"/>
        <v>42687.27716435185</v>
      </c>
    </row>
    <row r="56" spans="1:7" x14ac:dyDescent="0.25">
      <c r="A56" s="8">
        <v>42687.282627314817</v>
      </c>
      <c r="B56" s="21" t="s">
        <v>373</v>
      </c>
      <c r="C56" s="21" t="s">
        <v>487</v>
      </c>
      <c r="D56" s="21">
        <v>2110000</v>
      </c>
      <c r="E56" s="21" t="s">
        <v>381</v>
      </c>
      <c r="F56" s="21" t="str">
        <f t="shared" si="0"/>
        <v>rtdc.l.rtdc.4014:itc</v>
      </c>
      <c r="G56" s="8">
        <f t="shared" si="1"/>
        <v>42687.282627314817</v>
      </c>
    </row>
    <row r="57" spans="1:7" x14ac:dyDescent="0.25">
      <c r="A57" s="8">
        <v>42687.283993055556</v>
      </c>
      <c r="B57" s="21" t="s">
        <v>248</v>
      </c>
      <c r="C57" s="21" t="s">
        <v>493</v>
      </c>
      <c r="D57" s="21">
        <v>1760000</v>
      </c>
      <c r="E57" s="21" t="s">
        <v>340</v>
      </c>
      <c r="F57" s="21" t="str">
        <f t="shared" si="0"/>
        <v>rtdc.l.rtdc.4031:itc</v>
      </c>
      <c r="G57" s="8">
        <f t="shared" si="1"/>
        <v>42687.283993055556</v>
      </c>
    </row>
    <row r="58" spans="1:7" x14ac:dyDescent="0.25">
      <c r="A58" s="8">
        <v>42687.287905092591</v>
      </c>
      <c r="B58" s="21" t="s">
        <v>479</v>
      </c>
      <c r="C58" s="21" t="s">
        <v>494</v>
      </c>
      <c r="D58" s="21">
        <v>2030000</v>
      </c>
      <c r="E58" s="21" t="s">
        <v>377</v>
      </c>
      <c r="F58" s="21" t="str">
        <f t="shared" si="0"/>
        <v>rtdc.l.rtdc.4007:itc</v>
      </c>
      <c r="G58" s="8">
        <f t="shared" si="1"/>
        <v>42687.287905092591</v>
      </c>
    </row>
    <row r="59" spans="1:7" x14ac:dyDescent="0.25">
      <c r="A59" s="8">
        <v>42687.290324074071</v>
      </c>
      <c r="B59" s="21" t="s">
        <v>243</v>
      </c>
      <c r="C59" s="21" t="s">
        <v>495</v>
      </c>
      <c r="D59" s="21">
        <v>1110000</v>
      </c>
      <c r="E59" s="21" t="s">
        <v>482</v>
      </c>
      <c r="F59" s="21" t="str">
        <f t="shared" si="0"/>
        <v>rtdc.l.rtdc.4042:itc</v>
      </c>
      <c r="G59" s="8">
        <f t="shared" si="1"/>
        <v>42687.290324074071</v>
      </c>
    </row>
    <row r="60" spans="1:7" x14ac:dyDescent="0.25">
      <c r="A60" s="8">
        <v>42687.294479166667</v>
      </c>
      <c r="B60" s="21" t="s">
        <v>374</v>
      </c>
      <c r="C60" s="21" t="s">
        <v>496</v>
      </c>
      <c r="D60" s="21">
        <v>2110000</v>
      </c>
      <c r="E60" s="21" t="s">
        <v>381</v>
      </c>
      <c r="F60" s="21" t="str">
        <f t="shared" si="0"/>
        <v>rtdc.l.rtdc.4013:itc</v>
      </c>
      <c r="G60" s="8">
        <f t="shared" si="1"/>
        <v>42687.294479166667</v>
      </c>
    </row>
    <row r="61" spans="1:7" x14ac:dyDescent="0.25">
      <c r="A61" s="8">
        <v>42687.297303240739</v>
      </c>
      <c r="B61" s="21" t="s">
        <v>269</v>
      </c>
      <c r="C61" s="21" t="s">
        <v>497</v>
      </c>
      <c r="D61" s="21">
        <v>1990000</v>
      </c>
      <c r="E61" s="21" t="s">
        <v>339</v>
      </c>
      <c r="F61" s="21" t="str">
        <f t="shared" si="0"/>
        <v>rtdc.l.rtdc.4043:itc</v>
      </c>
      <c r="G61" s="8">
        <f t="shared" si="1"/>
        <v>42687.297303240739</v>
      </c>
    </row>
    <row r="62" spans="1:7" x14ac:dyDescent="0.25">
      <c r="A62" s="8">
        <v>42687.301701388889</v>
      </c>
      <c r="B62" s="21" t="s">
        <v>279</v>
      </c>
      <c r="C62" s="21" t="s">
        <v>498</v>
      </c>
      <c r="D62" s="21">
        <v>2150000</v>
      </c>
      <c r="E62" s="21" t="s">
        <v>342</v>
      </c>
      <c r="F62" s="21" t="str">
        <f t="shared" si="0"/>
        <v>rtdc.l.rtdc.4022:itc</v>
      </c>
      <c r="G62" s="8">
        <f t="shared" si="1"/>
        <v>42687.301701388889</v>
      </c>
    </row>
    <row r="63" spans="1:7" x14ac:dyDescent="0.25">
      <c r="A63" s="8">
        <v>42687.307314814818</v>
      </c>
      <c r="B63" s="21" t="s">
        <v>258</v>
      </c>
      <c r="C63" s="21" t="s">
        <v>499</v>
      </c>
      <c r="D63" s="21">
        <v>1260000</v>
      </c>
      <c r="E63" s="21" t="s">
        <v>376</v>
      </c>
      <c r="F63" s="21" t="str">
        <f t="shared" si="0"/>
        <v>rtdc.l.rtdc.4002:itc</v>
      </c>
      <c r="G63" s="8">
        <f t="shared" si="1"/>
        <v>42687.307314814818</v>
      </c>
    </row>
    <row r="64" spans="1:7" x14ac:dyDescent="0.25">
      <c r="A64" s="27">
        <v>42687.307627314818</v>
      </c>
      <c r="B64" s="21" t="s">
        <v>218</v>
      </c>
      <c r="C64" s="21" t="s">
        <v>500</v>
      </c>
      <c r="D64" s="21">
        <v>2090000</v>
      </c>
      <c r="E64" s="21" t="s">
        <v>474</v>
      </c>
      <c r="F64" s="21" t="str">
        <f t="shared" si="0"/>
        <v>rtdc.l.rtdc.4030:itc</v>
      </c>
      <c r="G64" s="8">
        <f t="shared" si="1"/>
        <v>42687.307627314818</v>
      </c>
    </row>
    <row r="65" spans="1:7" x14ac:dyDescent="0.25">
      <c r="A65" s="8">
        <v>42687.314375000002</v>
      </c>
      <c r="B65" s="21" t="s">
        <v>266</v>
      </c>
      <c r="C65" s="21" t="s">
        <v>501</v>
      </c>
      <c r="D65" s="21">
        <v>1780000</v>
      </c>
      <c r="E65" s="21" t="s">
        <v>375</v>
      </c>
      <c r="F65" s="21" t="str">
        <f t="shared" si="0"/>
        <v>rtdc.l.rtdc.4016:itc</v>
      </c>
      <c r="G65" s="8">
        <f t="shared" si="1"/>
        <v>42687.314375000002</v>
      </c>
    </row>
    <row r="66" spans="1:7" x14ac:dyDescent="0.25">
      <c r="A66" s="8">
        <v>42687.317164351851</v>
      </c>
      <c r="B66" s="21" t="s">
        <v>235</v>
      </c>
      <c r="C66" s="21" t="s">
        <v>502</v>
      </c>
      <c r="D66" s="21">
        <v>1760000</v>
      </c>
      <c r="E66" s="21" t="s">
        <v>340</v>
      </c>
      <c r="F66" s="21" t="str">
        <f t="shared" ref="F66:F129" si="2">B66</f>
        <v>rtdc.l.rtdc.4032:itc</v>
      </c>
      <c r="G66" s="8">
        <f t="shared" ref="G66:G129" si="3">A66</f>
        <v>42687.317164351851</v>
      </c>
    </row>
    <row r="67" spans="1:7" x14ac:dyDescent="0.25">
      <c r="A67" s="8">
        <v>42687.317488425928</v>
      </c>
      <c r="B67" s="21" t="s">
        <v>242</v>
      </c>
      <c r="C67" s="21" t="s">
        <v>446</v>
      </c>
      <c r="D67" s="21">
        <v>1110000</v>
      </c>
      <c r="E67" s="21" t="s">
        <v>482</v>
      </c>
      <c r="F67" s="21" t="str">
        <f t="shared" si="2"/>
        <v>rtdc.l.rtdc.4041:itc</v>
      </c>
      <c r="G67" s="8">
        <f t="shared" si="3"/>
        <v>42687.317488425928</v>
      </c>
    </row>
    <row r="68" spans="1:7" x14ac:dyDescent="0.25">
      <c r="A68" s="8">
        <v>42687.325983796298</v>
      </c>
      <c r="B68" s="21" t="s">
        <v>439</v>
      </c>
      <c r="C68" s="21" t="s">
        <v>503</v>
      </c>
      <c r="D68" s="21">
        <v>2030000</v>
      </c>
      <c r="E68" s="21" t="s">
        <v>377</v>
      </c>
      <c r="F68" s="21" t="str">
        <f t="shared" si="2"/>
        <v>rtdc.l.rtdc.4008:itc</v>
      </c>
      <c r="G68" s="8">
        <f t="shared" si="3"/>
        <v>42687.325983796298</v>
      </c>
    </row>
    <row r="69" spans="1:7" x14ac:dyDescent="0.25">
      <c r="A69" s="8">
        <v>42687.330694444441</v>
      </c>
      <c r="B69" s="21" t="s">
        <v>189</v>
      </c>
      <c r="C69" s="21" t="s">
        <v>504</v>
      </c>
      <c r="D69" s="21">
        <v>1990000</v>
      </c>
      <c r="E69" s="21" t="s">
        <v>339</v>
      </c>
      <c r="F69" s="21" t="str">
        <f t="shared" si="2"/>
        <v>rtdc.l.rtdc.4044:itc</v>
      </c>
      <c r="G69" s="8">
        <f t="shared" si="3"/>
        <v>42687.330694444441</v>
      </c>
    </row>
    <row r="70" spans="1:7" x14ac:dyDescent="0.25">
      <c r="A70" s="8">
        <v>42687.331863425927</v>
      </c>
      <c r="B70" s="21" t="s">
        <v>281</v>
      </c>
      <c r="C70" s="21" t="s">
        <v>505</v>
      </c>
      <c r="D70" s="21">
        <v>2150000</v>
      </c>
      <c r="E70" s="21" t="s">
        <v>342</v>
      </c>
      <c r="F70" s="21" t="str">
        <f t="shared" si="2"/>
        <v>rtdc.l.rtdc.4021:itc</v>
      </c>
      <c r="G70" s="8">
        <f t="shared" si="3"/>
        <v>42687.331863425927</v>
      </c>
    </row>
    <row r="71" spans="1:7" x14ac:dyDescent="0.25">
      <c r="A71" s="8">
        <v>42687.332743055558</v>
      </c>
      <c r="B71" s="21" t="s">
        <v>243</v>
      </c>
      <c r="C71" s="21" t="s">
        <v>506</v>
      </c>
      <c r="D71" s="21">
        <v>1110000</v>
      </c>
      <c r="E71" s="21" t="s">
        <v>482</v>
      </c>
      <c r="F71" s="21" t="str">
        <f t="shared" si="2"/>
        <v>rtdc.l.rtdc.4042:itc</v>
      </c>
      <c r="G71" s="8">
        <f t="shared" si="3"/>
        <v>42687.332743055558</v>
      </c>
    </row>
    <row r="72" spans="1:7" x14ac:dyDescent="0.25">
      <c r="A72" s="8">
        <v>42687.341249999998</v>
      </c>
      <c r="B72" s="21" t="s">
        <v>217</v>
      </c>
      <c r="C72" s="21" t="s">
        <v>507</v>
      </c>
      <c r="D72" s="21">
        <v>2090000</v>
      </c>
      <c r="E72" s="21" t="s">
        <v>474</v>
      </c>
      <c r="F72" s="21" t="str">
        <f t="shared" si="2"/>
        <v>rtdc.l.rtdc.4029:itc</v>
      </c>
      <c r="G72" s="8">
        <f t="shared" si="3"/>
        <v>42687.341249999998</v>
      </c>
    </row>
    <row r="73" spans="1:7" x14ac:dyDescent="0.25">
      <c r="A73" s="8">
        <v>42687.34579861111</v>
      </c>
      <c r="B73" s="21" t="s">
        <v>257</v>
      </c>
      <c r="C73" s="21" t="s">
        <v>508</v>
      </c>
      <c r="D73" s="21">
        <v>1260000</v>
      </c>
      <c r="E73" s="21" t="s">
        <v>376</v>
      </c>
      <c r="F73" s="21" t="str">
        <f t="shared" si="2"/>
        <v>rtdc.l.rtdc.4001:itc</v>
      </c>
      <c r="G73" s="8">
        <f t="shared" si="3"/>
        <v>42687.34579861111</v>
      </c>
    </row>
    <row r="74" spans="1:7" x14ac:dyDescent="0.25">
      <c r="A74" s="8">
        <v>42687.351273148146</v>
      </c>
      <c r="B74" s="21" t="s">
        <v>248</v>
      </c>
      <c r="C74" s="21" t="s">
        <v>509</v>
      </c>
      <c r="D74" s="21">
        <v>1760000</v>
      </c>
      <c r="E74" s="21" t="s">
        <v>340</v>
      </c>
      <c r="F74" s="21" t="str">
        <f t="shared" si="2"/>
        <v>rtdc.l.rtdc.4031:itc</v>
      </c>
      <c r="G74" s="8">
        <f t="shared" si="3"/>
        <v>42687.351273148146</v>
      </c>
    </row>
    <row r="75" spans="1:7" x14ac:dyDescent="0.25">
      <c r="A75" s="8">
        <v>42687.358935185184</v>
      </c>
      <c r="B75" s="21" t="s">
        <v>268</v>
      </c>
      <c r="C75" s="21" t="s">
        <v>510</v>
      </c>
      <c r="D75" s="21">
        <v>1780000</v>
      </c>
      <c r="E75" s="21" t="s">
        <v>375</v>
      </c>
      <c r="F75" s="21" t="str">
        <f t="shared" si="2"/>
        <v>rtdc.l.rtdc.4015:itc</v>
      </c>
      <c r="G75" s="8">
        <f t="shared" si="3"/>
        <v>42687.358935185184</v>
      </c>
    </row>
    <row r="76" spans="1:7" x14ac:dyDescent="0.25">
      <c r="A76" s="8">
        <v>42687.358935185184</v>
      </c>
      <c r="B76" s="21" t="s">
        <v>479</v>
      </c>
      <c r="C76" s="21" t="s">
        <v>511</v>
      </c>
      <c r="D76" s="21">
        <v>2030000</v>
      </c>
      <c r="E76" s="21" t="s">
        <v>377</v>
      </c>
      <c r="F76" s="21" t="str">
        <f t="shared" si="2"/>
        <v>rtdc.l.rtdc.4007:itc</v>
      </c>
      <c r="G76" s="8">
        <f t="shared" si="3"/>
        <v>42687.358935185184</v>
      </c>
    </row>
    <row r="77" spans="1:7" x14ac:dyDescent="0.25">
      <c r="A77" s="8">
        <v>42687.3593287037</v>
      </c>
      <c r="B77" s="21" t="s">
        <v>242</v>
      </c>
      <c r="C77" s="21" t="s">
        <v>512</v>
      </c>
      <c r="D77" s="21">
        <v>1110000</v>
      </c>
      <c r="E77" s="21" t="s">
        <v>482</v>
      </c>
      <c r="F77" s="21" t="str">
        <f t="shared" si="2"/>
        <v>rtdc.l.rtdc.4041:itc</v>
      </c>
      <c r="G77" s="8">
        <f t="shared" si="3"/>
        <v>42687.3593287037</v>
      </c>
    </row>
    <row r="78" spans="1:7" x14ac:dyDescent="0.25">
      <c r="A78" s="8">
        <v>42687.369745370372</v>
      </c>
      <c r="B78" s="21" t="s">
        <v>279</v>
      </c>
      <c r="C78" s="21" t="s">
        <v>513</v>
      </c>
      <c r="D78" s="21">
        <v>2150000</v>
      </c>
      <c r="E78" s="21" t="s">
        <v>342</v>
      </c>
      <c r="F78" s="21" t="str">
        <f t="shared" si="2"/>
        <v>rtdc.l.rtdc.4022:itc</v>
      </c>
      <c r="G78" s="8">
        <f t="shared" si="3"/>
        <v>42687.369745370372</v>
      </c>
    </row>
    <row r="79" spans="1:7" x14ac:dyDescent="0.25">
      <c r="A79" s="8">
        <v>42687.36986111111</v>
      </c>
      <c r="B79" s="21" t="s">
        <v>269</v>
      </c>
      <c r="C79" s="21" t="s">
        <v>514</v>
      </c>
      <c r="D79" s="21">
        <v>1990000</v>
      </c>
      <c r="E79" s="21" t="s">
        <v>339</v>
      </c>
      <c r="F79" s="21" t="str">
        <f t="shared" si="2"/>
        <v>rtdc.l.rtdc.4043:itc</v>
      </c>
      <c r="G79" s="8">
        <f t="shared" si="3"/>
        <v>42687.36986111111</v>
      </c>
    </row>
    <row r="80" spans="1:7" x14ac:dyDescent="0.25">
      <c r="A80" s="8">
        <v>42687.379166666666</v>
      </c>
      <c r="B80" s="21" t="s">
        <v>218</v>
      </c>
      <c r="C80" s="21" t="s">
        <v>515</v>
      </c>
      <c r="D80" s="21">
        <v>2090000</v>
      </c>
      <c r="E80" s="21" t="s">
        <v>474</v>
      </c>
      <c r="F80" s="21" t="str">
        <f t="shared" si="2"/>
        <v>rtdc.l.rtdc.4030:itc</v>
      </c>
      <c r="G80" s="8">
        <f t="shared" si="3"/>
        <v>42687.379166666666</v>
      </c>
    </row>
    <row r="81" spans="1:7" x14ac:dyDescent="0.25">
      <c r="A81" s="8">
        <v>42687.380162037036</v>
      </c>
      <c r="B81" s="21" t="s">
        <v>258</v>
      </c>
      <c r="C81" s="21" t="s">
        <v>516</v>
      </c>
      <c r="D81" s="21">
        <v>1260000</v>
      </c>
      <c r="E81" s="21" t="s">
        <v>376</v>
      </c>
      <c r="F81" s="21" t="str">
        <f t="shared" si="2"/>
        <v>rtdc.l.rtdc.4002:itc</v>
      </c>
      <c r="G81" s="8">
        <f t="shared" si="3"/>
        <v>42687.380162037036</v>
      </c>
    </row>
    <row r="82" spans="1:7" x14ac:dyDescent="0.25">
      <c r="A82" s="8">
        <v>42687.388009259259</v>
      </c>
      <c r="B82" s="21" t="s">
        <v>243</v>
      </c>
      <c r="C82" s="21" t="s">
        <v>517</v>
      </c>
      <c r="D82" s="21">
        <v>1110000</v>
      </c>
      <c r="E82" s="21" t="s">
        <v>482</v>
      </c>
      <c r="F82" s="21" t="str">
        <f t="shared" si="2"/>
        <v>rtdc.l.rtdc.4042:itc</v>
      </c>
      <c r="G82" s="8">
        <f t="shared" si="3"/>
        <v>42687.388009259259</v>
      </c>
    </row>
    <row r="83" spans="1:7" x14ac:dyDescent="0.25">
      <c r="A83" s="8">
        <v>42687.390046296299</v>
      </c>
      <c r="B83" s="21" t="s">
        <v>235</v>
      </c>
      <c r="C83" s="21" t="s">
        <v>447</v>
      </c>
      <c r="D83" s="21">
        <v>1760000</v>
      </c>
      <c r="E83" s="21" t="s">
        <v>340</v>
      </c>
      <c r="F83" s="21" t="str">
        <f t="shared" si="2"/>
        <v>rtdc.l.rtdc.4032:itc</v>
      </c>
      <c r="G83" s="8">
        <f t="shared" si="3"/>
        <v>42687.390046296299</v>
      </c>
    </row>
    <row r="84" spans="1:7" x14ac:dyDescent="0.25">
      <c r="A84" s="8">
        <v>42687.390960648147</v>
      </c>
      <c r="B84" s="21" t="s">
        <v>266</v>
      </c>
      <c r="C84" s="21" t="s">
        <v>518</v>
      </c>
      <c r="D84" s="21">
        <v>2110000</v>
      </c>
      <c r="E84" s="21" t="s">
        <v>381</v>
      </c>
      <c r="F84" s="21" t="str">
        <f t="shared" si="2"/>
        <v>rtdc.l.rtdc.4016:itc</v>
      </c>
      <c r="G84" s="8">
        <f t="shared" si="3"/>
        <v>42687.390960648147</v>
      </c>
    </row>
    <row r="85" spans="1:7" x14ac:dyDescent="0.25">
      <c r="A85" s="8">
        <v>42687.395219907405</v>
      </c>
      <c r="B85" s="21" t="s">
        <v>439</v>
      </c>
      <c r="C85" s="21" t="s">
        <v>519</v>
      </c>
      <c r="D85" s="21">
        <v>2030000</v>
      </c>
      <c r="E85" s="21" t="s">
        <v>377</v>
      </c>
      <c r="F85" s="21" t="str">
        <f t="shared" si="2"/>
        <v>rtdc.l.rtdc.4008:itc</v>
      </c>
      <c r="G85" s="8">
        <f t="shared" si="3"/>
        <v>42687.395219907405</v>
      </c>
    </row>
    <row r="86" spans="1:7" x14ac:dyDescent="0.25">
      <c r="A86" s="8">
        <v>42687.402094907404</v>
      </c>
      <c r="B86" s="21" t="s">
        <v>242</v>
      </c>
      <c r="C86" s="21" t="s">
        <v>520</v>
      </c>
      <c r="D86" s="21">
        <v>1110000</v>
      </c>
      <c r="E86" s="21" t="s">
        <v>482</v>
      </c>
      <c r="F86" s="21" t="str">
        <f t="shared" si="2"/>
        <v>rtdc.l.rtdc.4041:itc</v>
      </c>
      <c r="G86" s="8">
        <f t="shared" si="3"/>
        <v>42687.402094907404</v>
      </c>
    </row>
    <row r="87" spans="1:7" x14ac:dyDescent="0.25">
      <c r="A87" s="8">
        <v>42687.403171296297</v>
      </c>
      <c r="B87" s="21" t="s">
        <v>189</v>
      </c>
      <c r="C87" s="21" t="s">
        <v>521</v>
      </c>
      <c r="D87" s="21">
        <v>1990000</v>
      </c>
      <c r="E87" s="21" t="s">
        <v>339</v>
      </c>
      <c r="F87" s="21" t="str">
        <f t="shared" si="2"/>
        <v>rtdc.l.rtdc.4044:itc</v>
      </c>
      <c r="G87" s="8">
        <f t="shared" si="3"/>
        <v>42687.403171296297</v>
      </c>
    </row>
    <row r="88" spans="1:7" x14ac:dyDescent="0.25">
      <c r="A88" s="8">
        <v>42687.410995370374</v>
      </c>
      <c r="B88" s="21" t="s">
        <v>281</v>
      </c>
      <c r="C88" s="21" t="s">
        <v>522</v>
      </c>
      <c r="D88" s="21">
        <v>2150000</v>
      </c>
      <c r="E88" s="21" t="s">
        <v>342</v>
      </c>
      <c r="F88" s="21" t="str">
        <f t="shared" si="2"/>
        <v>rtdc.l.rtdc.4021:itc</v>
      </c>
      <c r="G88" s="8">
        <f t="shared" si="3"/>
        <v>42687.410995370374</v>
      </c>
    </row>
    <row r="89" spans="1:7" x14ac:dyDescent="0.25">
      <c r="A89" s="8">
        <v>42687.411249999997</v>
      </c>
      <c r="B89" s="21" t="s">
        <v>217</v>
      </c>
      <c r="C89" s="21" t="s">
        <v>448</v>
      </c>
      <c r="D89" s="21">
        <v>2090000</v>
      </c>
      <c r="E89" s="21" t="s">
        <v>474</v>
      </c>
      <c r="F89" s="21" t="str">
        <f t="shared" si="2"/>
        <v>rtdc.l.rtdc.4029:itc</v>
      </c>
      <c r="G89" s="8">
        <f t="shared" si="3"/>
        <v>42687.411249999997</v>
      </c>
    </row>
    <row r="90" spans="1:7" x14ac:dyDescent="0.25">
      <c r="A90" s="8">
        <v>42687.419062499997</v>
      </c>
      <c r="B90" s="21" t="s">
        <v>257</v>
      </c>
      <c r="C90" s="21" t="s">
        <v>523</v>
      </c>
      <c r="D90" s="21">
        <v>1260000</v>
      </c>
      <c r="E90" s="21" t="s">
        <v>376</v>
      </c>
      <c r="F90" s="21" t="str">
        <f t="shared" si="2"/>
        <v>rtdc.l.rtdc.4001:itc</v>
      </c>
      <c r="G90" s="8">
        <f t="shared" si="3"/>
        <v>42687.419062499997</v>
      </c>
    </row>
    <row r="91" spans="1:7" x14ac:dyDescent="0.25">
      <c r="A91" s="8">
        <v>42687.423182870371</v>
      </c>
      <c r="B91" s="21" t="s">
        <v>248</v>
      </c>
      <c r="C91" s="21" t="s">
        <v>449</v>
      </c>
      <c r="D91" s="21">
        <v>1760000</v>
      </c>
      <c r="E91" s="21" t="s">
        <v>340</v>
      </c>
      <c r="F91" s="21" t="str">
        <f t="shared" si="2"/>
        <v>rtdc.l.rtdc.4031:itc</v>
      </c>
      <c r="G91" s="8">
        <f t="shared" si="3"/>
        <v>42687.423182870371</v>
      </c>
    </row>
    <row r="92" spans="1:7" x14ac:dyDescent="0.25">
      <c r="A92" s="8">
        <v>42687.429652777777</v>
      </c>
      <c r="B92" s="21" t="s">
        <v>268</v>
      </c>
      <c r="C92" s="21" t="s">
        <v>524</v>
      </c>
      <c r="D92" s="21">
        <v>2110000</v>
      </c>
      <c r="E92" s="21" t="s">
        <v>381</v>
      </c>
      <c r="F92" s="21" t="str">
        <f t="shared" si="2"/>
        <v>rtdc.l.rtdc.4015:itc</v>
      </c>
      <c r="G92" s="8">
        <f t="shared" si="3"/>
        <v>42687.429652777777</v>
      </c>
    </row>
    <row r="93" spans="1:7" x14ac:dyDescent="0.25">
      <c r="A93" s="8">
        <v>42687.430428240739</v>
      </c>
      <c r="B93" s="21" t="s">
        <v>243</v>
      </c>
      <c r="C93" s="21" t="s">
        <v>525</v>
      </c>
      <c r="D93" s="21">
        <v>1110000</v>
      </c>
      <c r="E93" s="21" t="s">
        <v>482</v>
      </c>
      <c r="F93" s="21" t="str">
        <f t="shared" si="2"/>
        <v>rtdc.l.rtdc.4042:itc</v>
      </c>
      <c r="G93" s="8">
        <f t="shared" si="3"/>
        <v>42687.430428240739</v>
      </c>
    </row>
    <row r="94" spans="1:7" x14ac:dyDescent="0.25">
      <c r="A94" s="8">
        <v>42687.432638888888</v>
      </c>
      <c r="B94" s="21" t="s">
        <v>479</v>
      </c>
      <c r="C94" s="21" t="s">
        <v>526</v>
      </c>
      <c r="D94" s="21">
        <v>930000</v>
      </c>
      <c r="E94" s="21" t="s">
        <v>341</v>
      </c>
      <c r="F94" s="21" t="str">
        <f t="shared" si="2"/>
        <v>rtdc.l.rtdc.4007:itc</v>
      </c>
      <c r="G94" s="8">
        <f t="shared" si="3"/>
        <v>42687.432638888888</v>
      </c>
    </row>
    <row r="95" spans="1:7" x14ac:dyDescent="0.25">
      <c r="A95" s="8">
        <v>42687.44190972222</v>
      </c>
      <c r="B95" s="21" t="s">
        <v>269</v>
      </c>
      <c r="C95" s="21" t="s">
        <v>527</v>
      </c>
      <c r="D95" s="21">
        <v>1990000</v>
      </c>
      <c r="E95" s="21" t="s">
        <v>339</v>
      </c>
      <c r="F95" s="21" t="str">
        <f t="shared" si="2"/>
        <v>rtdc.l.rtdc.4043:itc</v>
      </c>
      <c r="G95" s="8">
        <f t="shared" si="3"/>
        <v>42687.44190972222</v>
      </c>
    </row>
    <row r="96" spans="1:7" x14ac:dyDescent="0.25">
      <c r="A96" s="8">
        <v>42687.442754629628</v>
      </c>
      <c r="B96" s="21" t="s">
        <v>242</v>
      </c>
      <c r="C96" s="21" t="s">
        <v>525</v>
      </c>
      <c r="D96" s="21">
        <v>1110000</v>
      </c>
      <c r="E96" s="21" t="s">
        <v>482</v>
      </c>
      <c r="F96" s="21" t="str">
        <f t="shared" si="2"/>
        <v>rtdc.l.rtdc.4041:itc</v>
      </c>
      <c r="G96" s="8">
        <f t="shared" si="3"/>
        <v>42687.442754629628</v>
      </c>
    </row>
    <row r="97" spans="1:7" x14ac:dyDescent="0.25">
      <c r="A97" s="8">
        <v>42687.443749999999</v>
      </c>
      <c r="B97" s="21" t="s">
        <v>279</v>
      </c>
      <c r="C97" s="21" t="s">
        <v>528</v>
      </c>
      <c r="D97" s="21">
        <v>2150000</v>
      </c>
      <c r="E97" s="21" t="s">
        <v>342</v>
      </c>
      <c r="F97" s="21" t="str">
        <f t="shared" si="2"/>
        <v>rtdc.l.rtdc.4022:itc</v>
      </c>
      <c r="G97" s="8">
        <f t="shared" si="3"/>
        <v>42687.443749999999</v>
      </c>
    </row>
    <row r="98" spans="1:7" x14ac:dyDescent="0.25">
      <c r="A98" s="8">
        <v>42687.443784722222</v>
      </c>
      <c r="B98" s="21" t="s">
        <v>242</v>
      </c>
      <c r="C98" s="21" t="s">
        <v>529</v>
      </c>
      <c r="D98" s="21">
        <v>1110000</v>
      </c>
      <c r="E98" s="21" t="s">
        <v>482</v>
      </c>
      <c r="F98" s="21" t="str">
        <f t="shared" si="2"/>
        <v>rtdc.l.rtdc.4041:itc</v>
      </c>
      <c r="G98" s="8">
        <f t="shared" si="3"/>
        <v>42687.443784722222</v>
      </c>
    </row>
    <row r="99" spans="1:7" x14ac:dyDescent="0.25">
      <c r="A99" s="8">
        <v>42687.452314814815</v>
      </c>
      <c r="B99" s="21" t="s">
        <v>218</v>
      </c>
      <c r="C99" s="21" t="s">
        <v>451</v>
      </c>
      <c r="D99" s="21">
        <v>2090000</v>
      </c>
      <c r="E99" s="21" t="s">
        <v>474</v>
      </c>
      <c r="F99" s="21" t="str">
        <f t="shared" si="2"/>
        <v>rtdc.l.rtdc.4030:itc</v>
      </c>
      <c r="G99" s="8">
        <f t="shared" si="3"/>
        <v>42687.452314814815</v>
      </c>
    </row>
    <row r="100" spans="1:7" x14ac:dyDescent="0.25">
      <c r="A100" s="8">
        <v>42687.453750000001</v>
      </c>
      <c r="B100" s="21" t="s">
        <v>258</v>
      </c>
      <c r="C100" s="21" t="s">
        <v>530</v>
      </c>
      <c r="D100" s="21">
        <v>880000</v>
      </c>
      <c r="E100" s="21" t="s">
        <v>378</v>
      </c>
      <c r="F100" s="21" t="str">
        <f t="shared" si="2"/>
        <v>rtdc.l.rtdc.4002:itc</v>
      </c>
      <c r="G100" s="8">
        <f t="shared" si="3"/>
        <v>42687.453750000001</v>
      </c>
    </row>
    <row r="101" spans="1:7" x14ac:dyDescent="0.25">
      <c r="A101" s="8">
        <v>42687.462569444448</v>
      </c>
      <c r="B101" s="21" t="s">
        <v>235</v>
      </c>
      <c r="C101" s="21" t="s">
        <v>450</v>
      </c>
      <c r="D101" s="21">
        <v>1760000</v>
      </c>
      <c r="E101" s="21" t="s">
        <v>340</v>
      </c>
      <c r="F101" s="21" t="str">
        <f t="shared" si="2"/>
        <v>rtdc.l.rtdc.4032:itc</v>
      </c>
      <c r="G101" s="8">
        <f t="shared" si="3"/>
        <v>42687.462569444448</v>
      </c>
    </row>
    <row r="102" spans="1:7" x14ac:dyDescent="0.25">
      <c r="A102" s="8">
        <v>42687.465567129628</v>
      </c>
      <c r="B102" s="21" t="s">
        <v>266</v>
      </c>
      <c r="C102" s="21" t="s">
        <v>452</v>
      </c>
      <c r="D102" s="21">
        <v>1280000</v>
      </c>
      <c r="E102" s="21" t="s">
        <v>379</v>
      </c>
      <c r="F102" s="21" t="str">
        <f t="shared" si="2"/>
        <v>rtdc.l.rtdc.4016:itc</v>
      </c>
      <c r="G102" s="8">
        <f t="shared" si="3"/>
        <v>42687.465567129628</v>
      </c>
    </row>
    <row r="103" spans="1:7" x14ac:dyDescent="0.25">
      <c r="A103" s="8">
        <v>42687.470902777779</v>
      </c>
      <c r="B103" s="21" t="s">
        <v>439</v>
      </c>
      <c r="C103" s="21" t="s">
        <v>453</v>
      </c>
      <c r="D103" s="21">
        <v>930000</v>
      </c>
      <c r="E103" s="21" t="s">
        <v>341</v>
      </c>
      <c r="F103" s="21" t="str">
        <f t="shared" si="2"/>
        <v>rtdc.l.rtdc.4008:itc</v>
      </c>
      <c r="G103" s="8">
        <f t="shared" si="3"/>
        <v>42687.470902777779</v>
      </c>
    </row>
    <row r="104" spans="1:7" x14ac:dyDescent="0.25">
      <c r="A104" s="8">
        <v>42687.471655092595</v>
      </c>
      <c r="B104" s="21" t="s">
        <v>243</v>
      </c>
      <c r="C104" s="21" t="s">
        <v>531</v>
      </c>
      <c r="D104" s="21">
        <v>1110000</v>
      </c>
      <c r="E104" s="21" t="s">
        <v>482</v>
      </c>
      <c r="F104" s="21" t="str">
        <f t="shared" si="2"/>
        <v>rtdc.l.rtdc.4042:itc</v>
      </c>
      <c r="G104" s="8">
        <f t="shared" si="3"/>
        <v>42687.471655092595</v>
      </c>
    </row>
    <row r="105" spans="1:7" x14ac:dyDescent="0.25">
      <c r="A105" s="8">
        <v>42687.476018518515</v>
      </c>
      <c r="B105" s="21" t="s">
        <v>189</v>
      </c>
      <c r="C105" s="21" t="s">
        <v>532</v>
      </c>
      <c r="D105" s="21">
        <v>1770000</v>
      </c>
      <c r="E105" s="21" t="s">
        <v>380</v>
      </c>
      <c r="F105" s="21" t="str">
        <f t="shared" si="2"/>
        <v>rtdc.l.rtdc.4044:itc</v>
      </c>
      <c r="G105" s="8">
        <f t="shared" si="3"/>
        <v>42687.476018518515</v>
      </c>
    </row>
    <row r="106" spans="1:7" x14ac:dyDescent="0.25">
      <c r="A106" s="8">
        <v>42687.477789351855</v>
      </c>
      <c r="B106" s="21" t="s">
        <v>281</v>
      </c>
      <c r="C106" s="21" t="s">
        <v>533</v>
      </c>
      <c r="D106" s="21">
        <v>2150000</v>
      </c>
      <c r="E106" s="21" t="s">
        <v>342</v>
      </c>
      <c r="F106" s="21" t="str">
        <f t="shared" si="2"/>
        <v>rtdc.l.rtdc.4021:itc</v>
      </c>
      <c r="G106" s="8">
        <f t="shared" si="3"/>
        <v>42687.477789351855</v>
      </c>
    </row>
    <row r="107" spans="1:7" x14ac:dyDescent="0.25">
      <c r="A107" s="8">
        <v>42687.483506944445</v>
      </c>
      <c r="B107" s="21" t="s">
        <v>242</v>
      </c>
      <c r="C107" s="21" t="s">
        <v>534</v>
      </c>
      <c r="D107" s="21">
        <v>1110000</v>
      </c>
      <c r="E107" s="21" t="s">
        <v>482</v>
      </c>
      <c r="F107" s="21" t="str">
        <f t="shared" si="2"/>
        <v>rtdc.l.rtdc.4041:itc</v>
      </c>
      <c r="G107" s="8">
        <f t="shared" si="3"/>
        <v>42687.483506944445</v>
      </c>
    </row>
    <row r="108" spans="1:7" x14ac:dyDescent="0.25">
      <c r="A108" s="8">
        <v>42687.486597222225</v>
      </c>
      <c r="B108" s="21" t="s">
        <v>217</v>
      </c>
      <c r="C108" s="21" t="s">
        <v>535</v>
      </c>
      <c r="D108" s="21">
        <v>2040000</v>
      </c>
      <c r="E108" s="21" t="s">
        <v>282</v>
      </c>
      <c r="F108" s="21" t="str">
        <f t="shared" si="2"/>
        <v>rtdc.l.rtdc.4029:itc</v>
      </c>
      <c r="G108" s="8">
        <f t="shared" si="3"/>
        <v>42687.486597222225</v>
      </c>
    </row>
    <row r="109" spans="1:7" x14ac:dyDescent="0.25">
      <c r="A109" s="8">
        <v>42687.495034722226</v>
      </c>
      <c r="B109" s="21" t="s">
        <v>257</v>
      </c>
      <c r="C109" s="21" t="s">
        <v>536</v>
      </c>
      <c r="D109" s="21">
        <v>880000</v>
      </c>
      <c r="E109" s="21" t="s">
        <v>378</v>
      </c>
      <c r="F109" s="21" t="str">
        <f t="shared" si="2"/>
        <v>rtdc.l.rtdc.4001:itc</v>
      </c>
      <c r="G109" s="8">
        <f t="shared" si="3"/>
        <v>42687.495034722226</v>
      </c>
    </row>
    <row r="110" spans="1:7" x14ac:dyDescent="0.25">
      <c r="A110" s="8">
        <v>42687.498506944445</v>
      </c>
      <c r="B110" s="21" t="s">
        <v>268</v>
      </c>
      <c r="C110" s="21" t="s">
        <v>537</v>
      </c>
      <c r="D110" s="21">
        <v>1280000</v>
      </c>
      <c r="E110" s="21" t="s">
        <v>379</v>
      </c>
      <c r="F110" s="21" t="str">
        <f t="shared" si="2"/>
        <v>rtdc.l.rtdc.4015:itc</v>
      </c>
      <c r="G110" s="8">
        <f t="shared" si="3"/>
        <v>42687.498506944445</v>
      </c>
    </row>
    <row r="111" spans="1:7" x14ac:dyDescent="0.25">
      <c r="A111" s="8">
        <v>42687.498553240737</v>
      </c>
      <c r="B111" s="21" t="s">
        <v>248</v>
      </c>
      <c r="C111" s="21" t="s">
        <v>538</v>
      </c>
      <c r="D111" s="21">
        <v>1140000</v>
      </c>
      <c r="E111" s="21" t="s">
        <v>539</v>
      </c>
      <c r="F111" s="21" t="str">
        <f t="shared" si="2"/>
        <v>rtdc.l.rtdc.4031:itc</v>
      </c>
      <c r="G111" s="8">
        <f t="shared" si="3"/>
        <v>42687.498553240737</v>
      </c>
    </row>
    <row r="112" spans="1:7" x14ac:dyDescent="0.25">
      <c r="A112" s="8">
        <v>42687.507106481484</v>
      </c>
      <c r="B112" s="21" t="s">
        <v>479</v>
      </c>
      <c r="C112" s="21" t="s">
        <v>540</v>
      </c>
      <c r="D112" s="21">
        <v>930000</v>
      </c>
      <c r="E112" s="21" t="s">
        <v>341</v>
      </c>
      <c r="F112" s="21" t="str">
        <f t="shared" si="2"/>
        <v>rtdc.l.rtdc.4007:itc</v>
      </c>
      <c r="G112" s="8">
        <f t="shared" si="3"/>
        <v>42687.507106481484</v>
      </c>
    </row>
    <row r="113" spans="1:7" x14ac:dyDescent="0.25">
      <c r="A113" s="8">
        <v>42687.512800925928</v>
      </c>
      <c r="B113" s="21" t="s">
        <v>269</v>
      </c>
      <c r="C113" s="21" t="s">
        <v>541</v>
      </c>
      <c r="D113" s="21">
        <v>1770000</v>
      </c>
      <c r="E113" s="21" t="s">
        <v>380</v>
      </c>
      <c r="F113" s="21" t="str">
        <f t="shared" si="2"/>
        <v>rtdc.l.rtdc.4043:itc</v>
      </c>
      <c r="G113" s="8">
        <f t="shared" si="3"/>
        <v>42687.512800925928</v>
      </c>
    </row>
    <row r="114" spans="1:7" x14ac:dyDescent="0.25">
      <c r="A114" s="8">
        <v>42687.512916666667</v>
      </c>
      <c r="B114" s="21" t="s">
        <v>243</v>
      </c>
      <c r="C114" s="21" t="s">
        <v>542</v>
      </c>
      <c r="D114" s="21">
        <v>1110000</v>
      </c>
      <c r="E114" s="21" t="s">
        <v>482</v>
      </c>
      <c r="F114" s="21" t="str">
        <f t="shared" si="2"/>
        <v>rtdc.l.rtdc.4042:itc</v>
      </c>
      <c r="G114" s="8">
        <f t="shared" si="3"/>
        <v>42687.512916666667</v>
      </c>
    </row>
    <row r="115" spans="1:7" x14ac:dyDescent="0.25">
      <c r="A115" s="8">
        <v>42687.51699074074</v>
      </c>
      <c r="B115" s="21" t="s">
        <v>279</v>
      </c>
      <c r="C115" s="21" t="s">
        <v>543</v>
      </c>
      <c r="D115" s="21">
        <v>2020000</v>
      </c>
      <c r="E115" s="21" t="s">
        <v>303</v>
      </c>
      <c r="F115" s="21" t="str">
        <f t="shared" si="2"/>
        <v>rtdc.l.rtdc.4022:itc</v>
      </c>
      <c r="G115" s="8">
        <f t="shared" si="3"/>
        <v>42687.51699074074</v>
      </c>
    </row>
    <row r="116" spans="1:7" x14ac:dyDescent="0.25">
      <c r="A116" s="8">
        <v>42687.525081018517</v>
      </c>
      <c r="B116" s="21" t="s">
        <v>218</v>
      </c>
      <c r="C116" s="21" t="s">
        <v>544</v>
      </c>
      <c r="D116" s="21">
        <v>2040000</v>
      </c>
      <c r="E116" s="21" t="s">
        <v>282</v>
      </c>
      <c r="F116" s="21" t="str">
        <f t="shared" si="2"/>
        <v>rtdc.l.rtdc.4030:itc</v>
      </c>
      <c r="G116" s="8">
        <f t="shared" si="3"/>
        <v>42687.525081018517</v>
      </c>
    </row>
    <row r="117" spans="1:7" x14ac:dyDescent="0.25">
      <c r="A117" s="8">
        <v>42687.525949074072</v>
      </c>
      <c r="B117" s="21" t="s">
        <v>242</v>
      </c>
      <c r="C117" s="21" t="s">
        <v>545</v>
      </c>
      <c r="D117" s="21">
        <v>1110000</v>
      </c>
      <c r="E117" s="21" t="s">
        <v>482</v>
      </c>
      <c r="F117" s="21" t="str">
        <f t="shared" si="2"/>
        <v>rtdc.l.rtdc.4041:itc</v>
      </c>
      <c r="G117" s="8">
        <f t="shared" si="3"/>
        <v>42687.525949074072</v>
      </c>
    </row>
    <row r="118" spans="1:7" x14ac:dyDescent="0.25">
      <c r="A118" s="8">
        <v>42687.52784722222</v>
      </c>
      <c r="B118" s="21" t="s">
        <v>258</v>
      </c>
      <c r="C118" s="21" t="s">
        <v>546</v>
      </c>
      <c r="D118" s="21">
        <v>2260000</v>
      </c>
      <c r="E118" s="21" t="s">
        <v>547</v>
      </c>
      <c r="F118" s="21" t="str">
        <f t="shared" si="2"/>
        <v>rtdc.l.rtdc.4002:itc</v>
      </c>
      <c r="G118" s="8">
        <f t="shared" si="3"/>
        <v>42687.52784722222</v>
      </c>
    </row>
    <row r="119" spans="1:7" x14ac:dyDescent="0.25">
      <c r="A119" s="8">
        <v>42687.531041666669</v>
      </c>
      <c r="B119" s="21" t="s">
        <v>235</v>
      </c>
      <c r="C119" s="21" t="s">
        <v>548</v>
      </c>
      <c r="D119" s="21">
        <v>1140000</v>
      </c>
      <c r="E119" s="21" t="s">
        <v>539</v>
      </c>
      <c r="F119" s="21" t="str">
        <f t="shared" si="2"/>
        <v>rtdc.l.rtdc.4032:itc</v>
      </c>
      <c r="G119" s="8">
        <f t="shared" si="3"/>
        <v>42687.531041666669</v>
      </c>
    </row>
    <row r="120" spans="1:7" x14ac:dyDescent="0.25">
      <c r="A120" s="8">
        <v>42687.540729166663</v>
      </c>
      <c r="B120" s="21" t="s">
        <v>373</v>
      </c>
      <c r="C120" s="21" t="s">
        <v>454</v>
      </c>
      <c r="D120" s="21">
        <v>1280000</v>
      </c>
      <c r="E120" s="21" t="s">
        <v>379</v>
      </c>
      <c r="F120" s="21" t="str">
        <f t="shared" si="2"/>
        <v>rtdc.l.rtdc.4014:itc</v>
      </c>
      <c r="G120" s="8">
        <f t="shared" si="3"/>
        <v>42687.540729166663</v>
      </c>
    </row>
    <row r="121" spans="1:7" x14ac:dyDescent="0.25">
      <c r="A121" s="8">
        <v>42687.545763888891</v>
      </c>
      <c r="B121" s="21" t="s">
        <v>189</v>
      </c>
      <c r="C121" s="21" t="s">
        <v>549</v>
      </c>
      <c r="D121" s="21">
        <v>1770000</v>
      </c>
      <c r="E121" s="21" t="s">
        <v>380</v>
      </c>
      <c r="F121" s="21" t="str">
        <f t="shared" si="2"/>
        <v>rtdc.l.rtdc.4044:itc</v>
      </c>
      <c r="G121" s="8">
        <f t="shared" si="3"/>
        <v>42687.545763888891</v>
      </c>
    </row>
    <row r="122" spans="1:7" x14ac:dyDescent="0.25">
      <c r="A122" s="8">
        <v>42687.546030092592</v>
      </c>
      <c r="B122" s="26" t="s">
        <v>439</v>
      </c>
      <c r="C122" s="21" t="s">
        <v>550</v>
      </c>
      <c r="D122" s="21">
        <v>930000</v>
      </c>
      <c r="E122" s="21" t="s">
        <v>341</v>
      </c>
      <c r="F122" s="21" t="str">
        <f t="shared" si="2"/>
        <v>rtdc.l.rtdc.4008:itc</v>
      </c>
      <c r="G122" s="8">
        <f t="shared" si="3"/>
        <v>42687.546030092592</v>
      </c>
    </row>
    <row r="123" spans="1:7" x14ac:dyDescent="0.25">
      <c r="A123" s="8">
        <v>42687.554189814815</v>
      </c>
      <c r="B123" s="21" t="s">
        <v>243</v>
      </c>
      <c r="C123" s="21" t="s">
        <v>551</v>
      </c>
      <c r="D123" s="21">
        <v>1110000</v>
      </c>
      <c r="E123" s="21" t="s">
        <v>482</v>
      </c>
      <c r="F123" s="21" t="str">
        <f t="shared" si="2"/>
        <v>rtdc.l.rtdc.4042:itc</v>
      </c>
      <c r="G123" s="8">
        <f t="shared" si="3"/>
        <v>42687.554189814815</v>
      </c>
    </row>
    <row r="124" spans="1:7" x14ac:dyDescent="0.25">
      <c r="A124" s="8">
        <v>42687.554861111108</v>
      </c>
      <c r="B124" s="21" t="s">
        <v>281</v>
      </c>
      <c r="C124" s="21" t="s">
        <v>552</v>
      </c>
      <c r="D124" s="21">
        <v>2020000</v>
      </c>
      <c r="E124" s="21" t="s">
        <v>303</v>
      </c>
      <c r="F124" s="21" t="str">
        <f t="shared" si="2"/>
        <v>rtdc.l.rtdc.4021:itc</v>
      </c>
      <c r="G124" s="8">
        <f t="shared" si="3"/>
        <v>42687.554861111108</v>
      </c>
    </row>
    <row r="125" spans="1:7" x14ac:dyDescent="0.25">
      <c r="A125" s="8">
        <v>42687.560787037037</v>
      </c>
      <c r="B125" s="21" t="s">
        <v>217</v>
      </c>
      <c r="C125" s="21" t="s">
        <v>553</v>
      </c>
      <c r="D125" s="21">
        <v>2040000</v>
      </c>
      <c r="E125" s="21" t="s">
        <v>282</v>
      </c>
      <c r="F125" s="21" t="str">
        <f t="shared" si="2"/>
        <v>rtdc.l.rtdc.4029:itc</v>
      </c>
      <c r="G125" s="8">
        <f t="shared" si="3"/>
        <v>42687.560787037037</v>
      </c>
    </row>
    <row r="126" spans="1:7" x14ac:dyDescent="0.25">
      <c r="A126" s="8">
        <v>42687.566793981481</v>
      </c>
      <c r="B126" s="21" t="s">
        <v>257</v>
      </c>
      <c r="C126" s="21" t="s">
        <v>554</v>
      </c>
      <c r="D126" s="21">
        <v>2260000</v>
      </c>
      <c r="E126" s="21" t="s">
        <v>547</v>
      </c>
      <c r="F126" s="21" t="str">
        <f t="shared" si="2"/>
        <v>rtdc.l.rtdc.4001:itc</v>
      </c>
      <c r="G126" s="8">
        <f t="shared" si="3"/>
        <v>42687.566793981481</v>
      </c>
    </row>
    <row r="127" spans="1:7" x14ac:dyDescent="0.25">
      <c r="A127" s="8">
        <v>42687.567152777781</v>
      </c>
      <c r="B127" s="21" t="s">
        <v>242</v>
      </c>
      <c r="C127" s="21" t="s">
        <v>455</v>
      </c>
      <c r="D127" s="21">
        <v>1110000</v>
      </c>
      <c r="E127" s="21" t="s">
        <v>482</v>
      </c>
      <c r="F127" s="21" t="str">
        <f t="shared" si="2"/>
        <v>rtdc.l.rtdc.4041:itc</v>
      </c>
      <c r="G127" s="8">
        <f t="shared" si="3"/>
        <v>42687.567152777781</v>
      </c>
    </row>
    <row r="128" spans="1:7" x14ac:dyDescent="0.25">
      <c r="A128" s="8">
        <v>42687.570405092592</v>
      </c>
      <c r="B128" s="21" t="s">
        <v>374</v>
      </c>
      <c r="C128" s="21" t="s">
        <v>555</v>
      </c>
      <c r="D128" s="21">
        <v>1280000</v>
      </c>
      <c r="E128" s="21" t="s">
        <v>379</v>
      </c>
      <c r="F128" s="21" t="str">
        <f t="shared" si="2"/>
        <v>rtdc.l.rtdc.4013:itc</v>
      </c>
      <c r="G128" s="8">
        <f t="shared" si="3"/>
        <v>42687.570405092592</v>
      </c>
    </row>
    <row r="129" spans="1:7" x14ac:dyDescent="0.25">
      <c r="A129" s="8">
        <v>42687.571030092593</v>
      </c>
      <c r="B129" s="21" t="s">
        <v>248</v>
      </c>
      <c r="C129" s="21" t="s">
        <v>556</v>
      </c>
      <c r="D129" s="21">
        <v>1140000</v>
      </c>
      <c r="E129" s="21" t="s">
        <v>539</v>
      </c>
      <c r="F129" s="21" t="str">
        <f t="shared" si="2"/>
        <v>rtdc.l.rtdc.4031:itc</v>
      </c>
      <c r="G129" s="8">
        <f t="shared" si="3"/>
        <v>42687.571030092593</v>
      </c>
    </row>
    <row r="130" spans="1:7" x14ac:dyDescent="0.25">
      <c r="A130" s="8">
        <v>42687.581041666665</v>
      </c>
      <c r="B130" s="21" t="s">
        <v>479</v>
      </c>
      <c r="C130" s="21" t="s">
        <v>557</v>
      </c>
      <c r="D130" s="21">
        <v>930000</v>
      </c>
      <c r="E130" s="21" t="s">
        <v>341</v>
      </c>
      <c r="F130" s="21" t="str">
        <f t="shared" ref="F130:F193" si="4">B130</f>
        <v>rtdc.l.rtdc.4007:itc</v>
      </c>
      <c r="G130" s="8">
        <f t="shared" ref="G130:G193" si="5">A130</f>
        <v>42687.581041666665</v>
      </c>
    </row>
    <row r="131" spans="1:7" x14ac:dyDescent="0.25">
      <c r="A131" s="8">
        <v>42687.585509259261</v>
      </c>
      <c r="B131" s="21" t="s">
        <v>269</v>
      </c>
      <c r="C131" s="21" t="s">
        <v>558</v>
      </c>
      <c r="D131" s="21">
        <v>1770000</v>
      </c>
      <c r="E131" s="21" t="s">
        <v>380</v>
      </c>
      <c r="F131" s="21" t="str">
        <f t="shared" si="4"/>
        <v>rtdc.l.rtdc.4043:itc</v>
      </c>
      <c r="G131" s="8">
        <f t="shared" si="5"/>
        <v>42687.585509259261</v>
      </c>
    </row>
    <row r="132" spans="1:7" x14ac:dyDescent="0.25">
      <c r="A132" s="8">
        <v>42687.589942129627</v>
      </c>
      <c r="B132" s="21" t="s">
        <v>279</v>
      </c>
      <c r="C132" s="21" t="s">
        <v>559</v>
      </c>
      <c r="D132" s="21">
        <v>2020000</v>
      </c>
      <c r="E132" s="21" t="s">
        <v>303</v>
      </c>
      <c r="F132" s="21" t="str">
        <f t="shared" si="4"/>
        <v>rtdc.l.rtdc.4022:itc</v>
      </c>
      <c r="G132" s="8">
        <f t="shared" si="5"/>
        <v>42687.589942129627</v>
      </c>
    </row>
    <row r="133" spans="1:7" x14ac:dyDescent="0.25">
      <c r="A133" s="8">
        <v>42687.591828703706</v>
      </c>
      <c r="B133" s="21" t="s">
        <v>243</v>
      </c>
      <c r="C133" s="21" t="s">
        <v>560</v>
      </c>
      <c r="D133" s="21">
        <v>1820000</v>
      </c>
      <c r="E133" s="21" t="s">
        <v>561</v>
      </c>
      <c r="F133" s="21" t="str">
        <f t="shared" si="4"/>
        <v>rtdc.l.rtdc.4042:itc</v>
      </c>
      <c r="G133" s="8">
        <f t="shared" si="5"/>
        <v>42687.591828703706</v>
      </c>
    </row>
    <row r="134" spans="1:7" x14ac:dyDescent="0.25">
      <c r="A134" s="8">
        <v>42687.598946759259</v>
      </c>
      <c r="B134" s="21" t="s">
        <v>218</v>
      </c>
      <c r="C134" s="21" t="s">
        <v>562</v>
      </c>
      <c r="D134" s="21">
        <v>2040000</v>
      </c>
      <c r="E134" s="21" t="s">
        <v>282</v>
      </c>
      <c r="F134" s="21" t="str">
        <f t="shared" si="4"/>
        <v>rtdc.l.rtdc.4030:itc</v>
      </c>
      <c r="G134" s="8">
        <f t="shared" si="5"/>
        <v>42687.598946759259</v>
      </c>
    </row>
    <row r="135" spans="1:7" x14ac:dyDescent="0.25">
      <c r="A135" s="8">
        <v>42687.59983796296</v>
      </c>
      <c r="B135" s="21" t="s">
        <v>258</v>
      </c>
      <c r="C135" s="21" t="s">
        <v>563</v>
      </c>
      <c r="D135" s="21">
        <v>880000</v>
      </c>
      <c r="E135" s="21" t="s">
        <v>378</v>
      </c>
      <c r="F135" s="21" t="str">
        <f t="shared" si="4"/>
        <v>rtdc.l.rtdc.4002:itc</v>
      </c>
      <c r="G135" s="8">
        <f t="shared" si="5"/>
        <v>42687.59983796296</v>
      </c>
    </row>
    <row r="136" spans="1:7" x14ac:dyDescent="0.25">
      <c r="A136" s="8">
        <v>42687.607766203706</v>
      </c>
      <c r="B136" s="21" t="s">
        <v>235</v>
      </c>
      <c r="C136" s="21" t="s">
        <v>564</v>
      </c>
      <c r="D136" s="21">
        <v>1140000</v>
      </c>
      <c r="E136" s="21" t="s">
        <v>539</v>
      </c>
      <c r="F136" s="21" t="str">
        <f t="shared" si="4"/>
        <v>rtdc.l.rtdc.4032:itc</v>
      </c>
      <c r="G136" s="8">
        <f t="shared" si="5"/>
        <v>42687.607766203706</v>
      </c>
    </row>
    <row r="137" spans="1:7" x14ac:dyDescent="0.25">
      <c r="A137" s="8">
        <v>42687.609456018516</v>
      </c>
      <c r="B137" s="21" t="s">
        <v>373</v>
      </c>
      <c r="C137" s="21" t="s">
        <v>565</v>
      </c>
      <c r="D137" s="21">
        <v>1280000</v>
      </c>
      <c r="E137" s="21" t="s">
        <v>379</v>
      </c>
      <c r="F137" s="21" t="str">
        <f t="shared" si="4"/>
        <v>rtdc.l.rtdc.4014:itc</v>
      </c>
      <c r="G137" s="8">
        <f t="shared" si="5"/>
        <v>42687.609456018516</v>
      </c>
    </row>
    <row r="138" spans="1:7" x14ac:dyDescent="0.25">
      <c r="A138" s="8">
        <v>42687.609884259262</v>
      </c>
      <c r="B138" s="21" t="s">
        <v>242</v>
      </c>
      <c r="C138" s="21" t="s">
        <v>566</v>
      </c>
      <c r="D138" s="21">
        <v>1820000</v>
      </c>
      <c r="E138" s="21" t="s">
        <v>561</v>
      </c>
      <c r="F138" s="21" t="str">
        <f t="shared" si="4"/>
        <v>rtdc.l.rtdc.4041:itc</v>
      </c>
      <c r="G138" s="8">
        <f t="shared" si="5"/>
        <v>42687.609884259262</v>
      </c>
    </row>
    <row r="139" spans="1:7" x14ac:dyDescent="0.25">
      <c r="A139" s="8">
        <v>42687.618807870371</v>
      </c>
      <c r="B139" s="21" t="s">
        <v>439</v>
      </c>
      <c r="C139" s="21" t="s">
        <v>567</v>
      </c>
      <c r="D139" s="21">
        <v>930000</v>
      </c>
      <c r="E139" s="21" t="s">
        <v>341</v>
      </c>
      <c r="F139" s="21" t="str">
        <f t="shared" si="4"/>
        <v>rtdc.l.rtdc.4008:itc</v>
      </c>
      <c r="G139" s="8">
        <f t="shared" si="5"/>
        <v>42687.618807870371</v>
      </c>
    </row>
    <row r="140" spans="1:7" x14ac:dyDescent="0.25">
      <c r="A140" s="8">
        <v>42687.619386574072</v>
      </c>
      <c r="B140" s="21" t="s">
        <v>189</v>
      </c>
      <c r="C140" s="21" t="s">
        <v>568</v>
      </c>
      <c r="D140" s="21">
        <v>1770000</v>
      </c>
      <c r="E140" s="21" t="s">
        <v>380</v>
      </c>
      <c r="F140" s="21" t="str">
        <f t="shared" si="4"/>
        <v>rtdc.l.rtdc.4044:itc</v>
      </c>
      <c r="G140" s="8">
        <f t="shared" si="5"/>
        <v>42687.619386574072</v>
      </c>
    </row>
    <row r="141" spans="1:7" x14ac:dyDescent="0.25">
      <c r="A141" s="8">
        <v>42687.630532407406</v>
      </c>
      <c r="B141" s="21" t="s">
        <v>281</v>
      </c>
      <c r="C141" s="21" t="s">
        <v>569</v>
      </c>
      <c r="D141" s="21">
        <v>2020000</v>
      </c>
      <c r="E141" s="21" t="s">
        <v>303</v>
      </c>
      <c r="F141" s="21" t="str">
        <f t="shared" si="4"/>
        <v>rtdc.l.rtdc.4021:itc</v>
      </c>
      <c r="G141" s="8">
        <f t="shared" si="5"/>
        <v>42687.630532407406</v>
      </c>
    </row>
    <row r="142" spans="1:7" x14ac:dyDescent="0.25">
      <c r="A142" s="8">
        <v>42687.632430555554</v>
      </c>
      <c r="B142" s="21" t="s">
        <v>217</v>
      </c>
      <c r="C142" s="21" t="s">
        <v>570</v>
      </c>
      <c r="D142" s="21">
        <v>2040000</v>
      </c>
      <c r="E142" s="21" t="s">
        <v>282</v>
      </c>
      <c r="F142" s="21" t="str">
        <f t="shared" si="4"/>
        <v>rtdc.l.rtdc.4029:itc</v>
      </c>
      <c r="G142" s="8">
        <f t="shared" si="5"/>
        <v>42687.632430555554</v>
      </c>
    </row>
    <row r="143" spans="1:7" x14ac:dyDescent="0.25">
      <c r="A143" s="8">
        <v>42687.638912037037</v>
      </c>
      <c r="B143" s="21" t="s">
        <v>243</v>
      </c>
      <c r="C143" s="21" t="s">
        <v>571</v>
      </c>
      <c r="D143" s="21">
        <v>1820000</v>
      </c>
      <c r="E143" s="21" t="s">
        <v>561</v>
      </c>
      <c r="F143" s="21" t="str">
        <f t="shared" si="4"/>
        <v>rtdc.l.rtdc.4042:itc</v>
      </c>
      <c r="G143" s="8">
        <f t="shared" si="5"/>
        <v>42687.638912037037</v>
      </c>
    </row>
    <row r="144" spans="1:7" x14ac:dyDescent="0.25">
      <c r="A144" s="8">
        <v>42687.641840277778</v>
      </c>
      <c r="B144" s="21" t="s">
        <v>257</v>
      </c>
      <c r="C144" s="21" t="s">
        <v>572</v>
      </c>
      <c r="D144" s="21">
        <v>880000</v>
      </c>
      <c r="E144" s="21" t="s">
        <v>378</v>
      </c>
      <c r="F144" s="21" t="str">
        <f t="shared" si="4"/>
        <v>rtdc.l.rtdc.4001:itc</v>
      </c>
      <c r="G144" s="8">
        <f t="shared" si="5"/>
        <v>42687.641840277778</v>
      </c>
    </row>
    <row r="145" spans="1:7" x14ac:dyDescent="0.25">
      <c r="A145" s="8">
        <v>42687.642627314817</v>
      </c>
      <c r="B145" s="21" t="s">
        <v>374</v>
      </c>
      <c r="C145" s="21" t="s">
        <v>573</v>
      </c>
      <c r="D145" s="21">
        <v>1280000</v>
      </c>
      <c r="E145" s="21" t="s">
        <v>379</v>
      </c>
      <c r="F145" s="21" t="str">
        <f t="shared" si="4"/>
        <v>rtdc.l.rtdc.4013:itc</v>
      </c>
      <c r="G145" s="8">
        <f t="shared" si="5"/>
        <v>42687.642627314817</v>
      </c>
    </row>
    <row r="146" spans="1:7" x14ac:dyDescent="0.25">
      <c r="A146" s="8">
        <v>42687.642847222225</v>
      </c>
      <c r="B146" s="21" t="s">
        <v>248</v>
      </c>
      <c r="C146" s="21" t="s">
        <v>574</v>
      </c>
      <c r="D146" s="21">
        <v>1140000</v>
      </c>
      <c r="E146" s="21" t="s">
        <v>539</v>
      </c>
      <c r="F146" s="21" t="str">
        <f t="shared" si="4"/>
        <v>rtdc.l.rtdc.4031:itc</v>
      </c>
      <c r="G146" s="8">
        <f t="shared" si="5"/>
        <v>42687.642847222225</v>
      </c>
    </row>
    <row r="147" spans="1:7" x14ac:dyDescent="0.25">
      <c r="A147" s="8">
        <v>42687.651006944441</v>
      </c>
      <c r="B147" s="21" t="s">
        <v>242</v>
      </c>
      <c r="C147" s="21" t="s">
        <v>456</v>
      </c>
      <c r="D147" s="21">
        <v>1820000</v>
      </c>
      <c r="E147" s="21" t="s">
        <v>561</v>
      </c>
      <c r="F147" s="21" t="str">
        <f t="shared" si="4"/>
        <v>rtdc.l.rtdc.4041:itc</v>
      </c>
      <c r="G147" s="8">
        <f t="shared" si="5"/>
        <v>42687.651006944441</v>
      </c>
    </row>
    <row r="148" spans="1:7" x14ac:dyDescent="0.25">
      <c r="A148" s="8">
        <v>42687.65415509259</v>
      </c>
      <c r="B148" s="21" t="s">
        <v>479</v>
      </c>
      <c r="C148" s="21" t="s">
        <v>575</v>
      </c>
      <c r="D148" s="21">
        <v>930000</v>
      </c>
      <c r="E148" s="21" t="s">
        <v>341</v>
      </c>
      <c r="F148" s="21" t="str">
        <f t="shared" si="4"/>
        <v>rtdc.l.rtdc.4007:itc</v>
      </c>
      <c r="G148" s="8">
        <f t="shared" si="5"/>
        <v>42687.65415509259</v>
      </c>
    </row>
    <row r="149" spans="1:7" x14ac:dyDescent="0.25">
      <c r="A149" s="8">
        <v>42687.659733796296</v>
      </c>
      <c r="B149" s="21" t="s">
        <v>269</v>
      </c>
      <c r="C149" s="21" t="s">
        <v>576</v>
      </c>
      <c r="D149" s="21">
        <v>1770000</v>
      </c>
      <c r="E149" s="21" t="s">
        <v>380</v>
      </c>
      <c r="F149" s="21" t="str">
        <f t="shared" si="4"/>
        <v>rtdc.l.rtdc.4043:itc</v>
      </c>
      <c r="G149" s="8">
        <f t="shared" si="5"/>
        <v>42687.659733796296</v>
      </c>
    </row>
    <row r="150" spans="1:7" x14ac:dyDescent="0.25">
      <c r="A150" s="8">
        <v>42687.66097222222</v>
      </c>
      <c r="B150" s="21" t="s">
        <v>279</v>
      </c>
      <c r="C150" s="21" t="s">
        <v>577</v>
      </c>
      <c r="D150" s="21">
        <v>2020000</v>
      </c>
      <c r="E150" s="21" t="s">
        <v>303</v>
      </c>
      <c r="F150" s="21" t="str">
        <f t="shared" si="4"/>
        <v>rtdc.l.rtdc.4022:itc</v>
      </c>
      <c r="G150" s="8">
        <f t="shared" si="5"/>
        <v>42687.66097222222</v>
      </c>
    </row>
    <row r="151" spans="1:7" x14ac:dyDescent="0.25">
      <c r="A151" s="8">
        <v>42687.671875</v>
      </c>
      <c r="B151" s="21" t="s">
        <v>258</v>
      </c>
      <c r="C151" s="21" t="s">
        <v>578</v>
      </c>
      <c r="D151" s="21">
        <v>880000</v>
      </c>
      <c r="E151" s="21" t="s">
        <v>378</v>
      </c>
      <c r="F151" s="21" t="str">
        <f t="shared" si="4"/>
        <v>rtdc.l.rtdc.4002:itc</v>
      </c>
      <c r="G151" s="8">
        <f t="shared" si="5"/>
        <v>42687.671875</v>
      </c>
    </row>
    <row r="152" spans="1:7" x14ac:dyDescent="0.25">
      <c r="A152" s="8">
        <v>42687.672013888892</v>
      </c>
      <c r="B152" s="21" t="s">
        <v>218</v>
      </c>
      <c r="C152" s="21" t="s">
        <v>579</v>
      </c>
      <c r="D152" s="21">
        <v>2040000</v>
      </c>
      <c r="E152" s="21" t="s">
        <v>282</v>
      </c>
      <c r="F152" s="21" t="str">
        <f t="shared" si="4"/>
        <v>rtdc.l.rtdc.4030:itc</v>
      </c>
      <c r="G152" s="8">
        <f t="shared" si="5"/>
        <v>42687.672013888892</v>
      </c>
    </row>
    <row r="153" spans="1:7" x14ac:dyDescent="0.25">
      <c r="A153" s="8">
        <v>42687.676828703705</v>
      </c>
      <c r="B153" s="21" t="s">
        <v>243</v>
      </c>
      <c r="C153" s="21" t="s">
        <v>580</v>
      </c>
      <c r="D153" s="21">
        <v>1820000</v>
      </c>
      <c r="E153" s="21" t="s">
        <v>561</v>
      </c>
      <c r="F153" s="21" t="str">
        <f t="shared" si="4"/>
        <v>rtdc.l.rtdc.4042:itc</v>
      </c>
      <c r="G153" s="8">
        <f t="shared" si="5"/>
        <v>42687.676828703705</v>
      </c>
    </row>
    <row r="154" spans="1:7" x14ac:dyDescent="0.25">
      <c r="A154" s="8">
        <v>42687.677453703705</v>
      </c>
      <c r="B154" s="21" t="s">
        <v>235</v>
      </c>
      <c r="C154" s="21" t="s">
        <v>457</v>
      </c>
      <c r="D154" s="21">
        <v>1140000</v>
      </c>
      <c r="E154" s="21" t="s">
        <v>539</v>
      </c>
      <c r="F154" s="21" t="str">
        <f t="shared" si="4"/>
        <v>rtdc.l.rtdc.4032:itc</v>
      </c>
      <c r="G154" s="8">
        <f t="shared" si="5"/>
        <v>42687.677453703705</v>
      </c>
    </row>
    <row r="155" spans="1:7" x14ac:dyDescent="0.25">
      <c r="A155" s="8">
        <v>42687.683206018519</v>
      </c>
      <c r="B155" s="21" t="s">
        <v>373</v>
      </c>
      <c r="C155" s="21" t="s">
        <v>581</v>
      </c>
      <c r="D155" s="21">
        <v>1280000</v>
      </c>
      <c r="E155" s="21" t="s">
        <v>379</v>
      </c>
      <c r="F155" s="21" t="str">
        <f t="shared" si="4"/>
        <v>rtdc.l.rtdc.4014:itc</v>
      </c>
      <c r="G155" s="8">
        <f t="shared" si="5"/>
        <v>42687.683206018519</v>
      </c>
    </row>
    <row r="156" spans="1:7" x14ac:dyDescent="0.25">
      <c r="A156" s="8">
        <v>42687.690844907411</v>
      </c>
      <c r="B156" s="21" t="s">
        <v>439</v>
      </c>
      <c r="C156" s="21" t="s">
        <v>582</v>
      </c>
      <c r="D156" s="21">
        <v>930000</v>
      </c>
      <c r="E156" s="21" t="s">
        <v>341</v>
      </c>
      <c r="F156" s="21" t="str">
        <f t="shared" si="4"/>
        <v>rtdc.l.rtdc.4008:itc</v>
      </c>
      <c r="G156" s="8">
        <f t="shared" si="5"/>
        <v>42687.690844907411</v>
      </c>
    </row>
    <row r="157" spans="1:7" x14ac:dyDescent="0.25">
      <c r="A157" s="8">
        <v>42687.691724537035</v>
      </c>
      <c r="B157" s="21" t="s">
        <v>189</v>
      </c>
      <c r="C157" s="21" t="s">
        <v>583</v>
      </c>
      <c r="D157" s="21">
        <v>1770000</v>
      </c>
      <c r="E157" s="21" t="s">
        <v>380</v>
      </c>
      <c r="F157" s="21" t="str">
        <f t="shared" si="4"/>
        <v>rtdc.l.rtdc.4044:itc</v>
      </c>
      <c r="G157" s="8">
        <f t="shared" si="5"/>
        <v>42687.691724537035</v>
      </c>
    </row>
    <row r="158" spans="1:7" x14ac:dyDescent="0.25">
      <c r="A158" s="8">
        <v>42687.694340277776</v>
      </c>
      <c r="B158" s="21" t="s">
        <v>242</v>
      </c>
      <c r="C158" s="21" t="s">
        <v>584</v>
      </c>
      <c r="D158" s="21">
        <v>1820000</v>
      </c>
      <c r="E158" s="21" t="s">
        <v>561</v>
      </c>
      <c r="F158" s="21" t="str">
        <f t="shared" si="4"/>
        <v>rtdc.l.rtdc.4041:itc</v>
      </c>
      <c r="G158" s="8">
        <f t="shared" si="5"/>
        <v>42687.694340277776</v>
      </c>
    </row>
    <row r="159" spans="1:7" x14ac:dyDescent="0.25">
      <c r="A159" s="8">
        <v>42687.701122685183</v>
      </c>
      <c r="B159" s="21" t="s">
        <v>281</v>
      </c>
      <c r="C159" s="21" t="s">
        <v>585</v>
      </c>
      <c r="D159" s="21">
        <v>2020000</v>
      </c>
      <c r="E159" s="21" t="s">
        <v>303</v>
      </c>
      <c r="F159" s="21" t="str">
        <f t="shared" si="4"/>
        <v>rtdc.l.rtdc.4021:itc</v>
      </c>
      <c r="G159" s="8">
        <f t="shared" si="5"/>
        <v>42687.701122685183</v>
      </c>
    </row>
    <row r="160" spans="1:7" x14ac:dyDescent="0.25">
      <c r="A160" s="8">
        <v>42687.706134259257</v>
      </c>
      <c r="B160" s="21" t="s">
        <v>217</v>
      </c>
      <c r="C160" s="21" t="s">
        <v>586</v>
      </c>
      <c r="D160" s="21">
        <v>2040000</v>
      </c>
      <c r="E160" s="21" t="s">
        <v>282</v>
      </c>
      <c r="F160" s="21" t="str">
        <f t="shared" si="4"/>
        <v>rtdc.l.rtdc.4029:itc</v>
      </c>
      <c r="G160" s="8">
        <f t="shared" si="5"/>
        <v>42687.706134259257</v>
      </c>
    </row>
    <row r="161" spans="1:7" x14ac:dyDescent="0.25">
      <c r="A161" s="8">
        <v>42687.711516203701</v>
      </c>
      <c r="B161" s="21" t="s">
        <v>278</v>
      </c>
      <c r="C161" s="21" t="s">
        <v>458</v>
      </c>
      <c r="D161" s="21">
        <v>2250000</v>
      </c>
      <c r="E161" s="21" t="s">
        <v>587</v>
      </c>
      <c r="F161" s="21" t="str">
        <f t="shared" si="4"/>
        <v>rtdc.l.rtdc.4010:itc</v>
      </c>
      <c r="G161" s="8">
        <f t="shared" si="5"/>
        <v>42687.711516203701</v>
      </c>
    </row>
    <row r="162" spans="1:7" x14ac:dyDescent="0.25">
      <c r="A162" s="8">
        <v>42687.71366898148</v>
      </c>
      <c r="B162" s="21" t="s">
        <v>266</v>
      </c>
      <c r="C162" s="21" t="s">
        <v>588</v>
      </c>
      <c r="D162" s="21">
        <v>2230000</v>
      </c>
      <c r="E162" s="21" t="s">
        <v>589</v>
      </c>
      <c r="F162" s="21" t="str">
        <f t="shared" si="4"/>
        <v>rtdc.l.rtdc.4016:itc</v>
      </c>
      <c r="G162" s="8">
        <f t="shared" si="5"/>
        <v>42687.71366898148</v>
      </c>
    </row>
    <row r="163" spans="1:7" x14ac:dyDescent="0.25">
      <c r="A163" s="8">
        <v>42687.714328703703</v>
      </c>
      <c r="B163" s="21" t="s">
        <v>257</v>
      </c>
      <c r="C163" s="21" t="s">
        <v>459</v>
      </c>
      <c r="D163" s="21">
        <v>880000</v>
      </c>
      <c r="E163" s="21" t="s">
        <v>378</v>
      </c>
      <c r="F163" s="21" t="str">
        <f t="shared" si="4"/>
        <v>rtdc.l.rtdc.4001:itc</v>
      </c>
      <c r="G163" s="8">
        <f t="shared" si="5"/>
        <v>42687.714328703703</v>
      </c>
    </row>
    <row r="164" spans="1:7" x14ac:dyDescent="0.25">
      <c r="A164" s="8">
        <v>42687.715127314812</v>
      </c>
      <c r="B164" s="21" t="s">
        <v>266</v>
      </c>
      <c r="C164" s="21" t="s">
        <v>588</v>
      </c>
      <c r="D164" s="21">
        <v>2230000</v>
      </c>
      <c r="E164" s="21" t="s">
        <v>589</v>
      </c>
      <c r="F164" s="21" t="str">
        <f t="shared" si="4"/>
        <v>rtdc.l.rtdc.4016:itc</v>
      </c>
      <c r="G164" s="8">
        <f t="shared" si="5"/>
        <v>42687.715127314812</v>
      </c>
    </row>
    <row r="165" spans="1:7" x14ac:dyDescent="0.25">
      <c r="A165" s="8">
        <v>42687.715624999997</v>
      </c>
      <c r="B165" s="21" t="s">
        <v>248</v>
      </c>
      <c r="C165" s="21" t="s">
        <v>590</v>
      </c>
      <c r="D165" s="21">
        <v>1180000</v>
      </c>
      <c r="E165" s="21" t="s">
        <v>591</v>
      </c>
      <c r="F165" s="21" t="str">
        <f t="shared" si="4"/>
        <v>rtdc.l.rtdc.4031:itc</v>
      </c>
      <c r="G165" s="8">
        <f t="shared" si="5"/>
        <v>42687.715624999997</v>
      </c>
    </row>
    <row r="166" spans="1:7" x14ac:dyDescent="0.25">
      <c r="A166" s="8">
        <v>42687.715844907405</v>
      </c>
      <c r="B166" s="21" t="s">
        <v>266</v>
      </c>
      <c r="C166" s="21" t="s">
        <v>588</v>
      </c>
      <c r="D166" s="21">
        <v>2230000</v>
      </c>
      <c r="E166" s="21" t="s">
        <v>589</v>
      </c>
      <c r="F166" s="21" t="str">
        <f t="shared" si="4"/>
        <v>rtdc.l.rtdc.4016:itc</v>
      </c>
      <c r="G166" s="8">
        <f t="shared" si="5"/>
        <v>42687.715844907405</v>
      </c>
    </row>
    <row r="167" spans="1:7" x14ac:dyDescent="0.25">
      <c r="A167" s="8">
        <v>42687.716354166667</v>
      </c>
      <c r="B167" s="21" t="s">
        <v>374</v>
      </c>
      <c r="C167" s="21" t="s">
        <v>592</v>
      </c>
      <c r="D167" s="21">
        <v>1280000</v>
      </c>
      <c r="E167" s="21" t="s">
        <v>379</v>
      </c>
      <c r="F167" s="21" t="str">
        <f t="shared" si="4"/>
        <v>rtdc.l.rtdc.4013:itc</v>
      </c>
      <c r="G167" s="8">
        <f t="shared" si="5"/>
        <v>42687.716354166667</v>
      </c>
    </row>
    <row r="168" spans="1:7" x14ac:dyDescent="0.25">
      <c r="A168" s="8">
        <v>42687.717314814814</v>
      </c>
      <c r="B168" s="21" t="s">
        <v>266</v>
      </c>
      <c r="C168" s="21" t="s">
        <v>588</v>
      </c>
      <c r="D168" s="21">
        <v>2230000</v>
      </c>
      <c r="E168" s="21" t="s">
        <v>589</v>
      </c>
      <c r="F168" s="21" t="str">
        <f t="shared" si="4"/>
        <v>rtdc.l.rtdc.4016:itc</v>
      </c>
      <c r="G168" s="8">
        <f t="shared" si="5"/>
        <v>42687.717314814814</v>
      </c>
    </row>
    <row r="169" spans="1:7" x14ac:dyDescent="0.25">
      <c r="A169" s="8">
        <v>42687.722048611111</v>
      </c>
      <c r="B169" s="21" t="s">
        <v>243</v>
      </c>
      <c r="C169" s="21" t="s">
        <v>593</v>
      </c>
      <c r="D169" s="21">
        <v>1820000</v>
      </c>
      <c r="E169" s="21" t="s">
        <v>561</v>
      </c>
      <c r="F169" s="21" t="str">
        <f t="shared" si="4"/>
        <v>rtdc.l.rtdc.4042:itc</v>
      </c>
      <c r="G169" s="8">
        <f t="shared" si="5"/>
        <v>42687.722048611111</v>
      </c>
    </row>
    <row r="170" spans="1:7" x14ac:dyDescent="0.25">
      <c r="A170" s="8">
        <v>42687.725578703707</v>
      </c>
      <c r="B170" s="21" t="s">
        <v>479</v>
      </c>
      <c r="C170" s="21" t="s">
        <v>594</v>
      </c>
      <c r="D170" s="21">
        <v>1140000</v>
      </c>
      <c r="E170" s="21" t="s">
        <v>539</v>
      </c>
      <c r="F170" s="21" t="str">
        <f t="shared" si="4"/>
        <v>rtdc.l.rtdc.4007:itc</v>
      </c>
      <c r="G170" s="8">
        <f t="shared" si="5"/>
        <v>42687.725578703707</v>
      </c>
    </row>
    <row r="171" spans="1:7" x14ac:dyDescent="0.25">
      <c r="A171" s="8">
        <v>42687.732499999998</v>
      </c>
      <c r="B171" s="21" t="s">
        <v>269</v>
      </c>
      <c r="C171" s="21" t="s">
        <v>595</v>
      </c>
      <c r="D171" s="21">
        <v>1770000</v>
      </c>
      <c r="E171" s="21" t="s">
        <v>380</v>
      </c>
      <c r="F171" s="21" t="str">
        <f t="shared" si="4"/>
        <v>rtdc.l.rtdc.4043:itc</v>
      </c>
      <c r="G171" s="8">
        <f t="shared" si="5"/>
        <v>42687.732499999998</v>
      </c>
    </row>
    <row r="172" spans="1:7" x14ac:dyDescent="0.25">
      <c r="A172" s="8">
        <v>42687.735092592593</v>
      </c>
      <c r="B172" s="21" t="s">
        <v>279</v>
      </c>
      <c r="C172" s="21" t="s">
        <v>596</v>
      </c>
      <c r="D172" s="21">
        <v>2250000</v>
      </c>
      <c r="E172" s="21" t="s">
        <v>587</v>
      </c>
      <c r="F172" s="21" t="str">
        <f t="shared" si="4"/>
        <v>rtdc.l.rtdc.4022:itc</v>
      </c>
      <c r="G172" s="8">
        <f t="shared" si="5"/>
        <v>42687.735092592593</v>
      </c>
    </row>
    <row r="173" spans="1:7" x14ac:dyDescent="0.25">
      <c r="A173" s="8">
        <v>42687.736724537041</v>
      </c>
      <c r="B173" s="21" t="s">
        <v>242</v>
      </c>
      <c r="C173" s="21" t="s">
        <v>597</v>
      </c>
      <c r="D173" s="21">
        <v>1820000</v>
      </c>
      <c r="E173" s="21" t="s">
        <v>561</v>
      </c>
      <c r="F173" s="21" t="str">
        <f t="shared" si="4"/>
        <v>rtdc.l.rtdc.4041:itc</v>
      </c>
      <c r="G173" s="8">
        <f t="shared" si="5"/>
        <v>42687.736724537041</v>
      </c>
    </row>
    <row r="174" spans="1:7" x14ac:dyDescent="0.25">
      <c r="A174" s="8">
        <v>42687.745081018518</v>
      </c>
      <c r="B174" s="21" t="s">
        <v>218</v>
      </c>
      <c r="C174" s="21" t="s">
        <v>462</v>
      </c>
      <c r="D174" s="21">
        <v>2040000</v>
      </c>
      <c r="E174" s="21" t="s">
        <v>282</v>
      </c>
      <c r="F174" s="21" t="str">
        <f t="shared" si="4"/>
        <v>rtdc.l.rtdc.4030:itc</v>
      </c>
      <c r="G174" s="8">
        <f t="shared" si="5"/>
        <v>42687.745081018518</v>
      </c>
    </row>
    <row r="175" spans="1:7" x14ac:dyDescent="0.25">
      <c r="A175" s="8">
        <v>42687.745648148149</v>
      </c>
      <c r="B175" s="21" t="s">
        <v>258</v>
      </c>
      <c r="C175" s="21" t="s">
        <v>598</v>
      </c>
      <c r="D175" s="21">
        <v>2020000</v>
      </c>
      <c r="E175" s="21" t="s">
        <v>303</v>
      </c>
      <c r="F175" s="21" t="str">
        <f t="shared" si="4"/>
        <v>rtdc.l.rtdc.4002:itc</v>
      </c>
      <c r="G175" s="8">
        <f t="shared" si="5"/>
        <v>42687.745648148149</v>
      </c>
    </row>
    <row r="176" spans="1:7" x14ac:dyDescent="0.25">
      <c r="A176" s="8">
        <v>42687.747337962966</v>
      </c>
      <c r="B176" s="21" t="s">
        <v>599</v>
      </c>
      <c r="C176" s="21" t="s">
        <v>600</v>
      </c>
      <c r="D176" s="21">
        <v>2480000</v>
      </c>
      <c r="E176" s="21" t="s">
        <v>601</v>
      </c>
      <c r="F176" s="21" t="str">
        <f t="shared" si="4"/>
        <v>rtdc.l.rtdc.4017:itc</v>
      </c>
      <c r="G176" s="8">
        <f t="shared" si="5"/>
        <v>42687.747337962966</v>
      </c>
    </row>
    <row r="177" spans="1:7" x14ac:dyDescent="0.25">
      <c r="A177" s="8">
        <v>42687.752743055556</v>
      </c>
      <c r="B177" s="21" t="s">
        <v>243</v>
      </c>
      <c r="C177" s="21" t="s">
        <v>461</v>
      </c>
      <c r="D177" s="21">
        <v>2420000</v>
      </c>
      <c r="E177" s="21" t="s">
        <v>283</v>
      </c>
      <c r="F177" s="21" t="str">
        <f t="shared" si="4"/>
        <v>rtdc.l.rtdc.4042:itc</v>
      </c>
      <c r="G177" s="8">
        <f t="shared" si="5"/>
        <v>42687.752743055556</v>
      </c>
    </row>
    <row r="178" spans="1:7" x14ac:dyDescent="0.25">
      <c r="A178" s="8">
        <v>42687.753831018519</v>
      </c>
      <c r="B178" s="21" t="s">
        <v>187</v>
      </c>
      <c r="C178" s="21" t="s">
        <v>602</v>
      </c>
      <c r="D178" s="21">
        <v>880000</v>
      </c>
      <c r="E178" s="21" t="s">
        <v>378</v>
      </c>
      <c r="F178" s="21" t="str">
        <f t="shared" si="4"/>
        <v>rtdc.l.rtdc.4009:itc</v>
      </c>
      <c r="G178" s="8">
        <f t="shared" si="5"/>
        <v>42687.753831018519</v>
      </c>
    </row>
    <row r="179" spans="1:7" x14ac:dyDescent="0.25">
      <c r="A179" s="8">
        <v>42687.754131944443</v>
      </c>
      <c r="B179" s="21" t="s">
        <v>235</v>
      </c>
      <c r="C179" s="21" t="s">
        <v>603</v>
      </c>
      <c r="D179" s="21">
        <v>1180000</v>
      </c>
      <c r="E179" s="21" t="s">
        <v>591</v>
      </c>
      <c r="F179" s="21" t="str">
        <f t="shared" si="4"/>
        <v>rtdc.l.rtdc.4032:itc</v>
      </c>
      <c r="G179" s="8">
        <f t="shared" si="5"/>
        <v>42687.754131944443</v>
      </c>
    </row>
    <row r="180" spans="1:7" x14ac:dyDescent="0.25">
      <c r="A180" s="8">
        <v>42687.75439814815</v>
      </c>
      <c r="B180" s="21" t="s">
        <v>187</v>
      </c>
      <c r="C180" s="21" t="s">
        <v>602</v>
      </c>
      <c r="D180" s="21">
        <v>880000</v>
      </c>
      <c r="E180" s="21" t="s">
        <v>378</v>
      </c>
      <c r="F180" s="21" t="str">
        <f t="shared" si="4"/>
        <v>rtdc.l.rtdc.4009:itc</v>
      </c>
      <c r="G180" s="8">
        <f t="shared" si="5"/>
        <v>42687.75439814815</v>
      </c>
    </row>
    <row r="181" spans="1:7" x14ac:dyDescent="0.25">
      <c r="A181" s="8">
        <v>42687.756458333337</v>
      </c>
      <c r="B181" s="21" t="s">
        <v>373</v>
      </c>
      <c r="C181" s="21" t="s">
        <v>460</v>
      </c>
      <c r="D181" s="21">
        <v>1810000</v>
      </c>
      <c r="E181" s="21" t="s">
        <v>382</v>
      </c>
      <c r="F181" s="21" t="str">
        <f t="shared" si="4"/>
        <v>rtdc.l.rtdc.4014:itc</v>
      </c>
      <c r="G181" s="8">
        <f t="shared" si="5"/>
        <v>42687.756458333337</v>
      </c>
    </row>
    <row r="182" spans="1:7" x14ac:dyDescent="0.25">
      <c r="A182" s="8">
        <v>42687.761145833334</v>
      </c>
      <c r="B182" s="21" t="s">
        <v>439</v>
      </c>
      <c r="C182" s="21" t="s">
        <v>463</v>
      </c>
      <c r="D182" s="21">
        <v>1140000</v>
      </c>
      <c r="E182" s="21" t="s">
        <v>539</v>
      </c>
      <c r="F182" s="21" t="str">
        <f t="shared" si="4"/>
        <v>rtdc.l.rtdc.4008:itc</v>
      </c>
      <c r="G182" s="8">
        <f t="shared" si="5"/>
        <v>42687.761145833334</v>
      </c>
    </row>
    <row r="183" spans="1:7" x14ac:dyDescent="0.25">
      <c r="A183" s="8">
        <v>42687.768576388888</v>
      </c>
      <c r="B183" s="21" t="s">
        <v>189</v>
      </c>
      <c r="C183" s="21" t="s">
        <v>604</v>
      </c>
      <c r="D183" s="21">
        <v>1800000</v>
      </c>
      <c r="E183" s="21" t="s">
        <v>344</v>
      </c>
      <c r="F183" s="21" t="str">
        <f t="shared" si="4"/>
        <v>rtdc.l.rtdc.4044:itc</v>
      </c>
      <c r="G183" s="8">
        <f t="shared" si="5"/>
        <v>42687.768576388888</v>
      </c>
    </row>
    <row r="184" spans="1:7" x14ac:dyDescent="0.25">
      <c r="A184" s="8">
        <v>42687.772430555553</v>
      </c>
      <c r="B184" s="21" t="s">
        <v>281</v>
      </c>
      <c r="C184" s="21" t="s">
        <v>605</v>
      </c>
      <c r="D184" s="21">
        <v>2250000</v>
      </c>
      <c r="E184" s="21" t="s">
        <v>587</v>
      </c>
      <c r="F184" s="21" t="str">
        <f t="shared" si="4"/>
        <v>rtdc.l.rtdc.4021:itc</v>
      </c>
      <c r="G184" s="8">
        <f t="shared" si="5"/>
        <v>42687.772430555553</v>
      </c>
    </row>
    <row r="185" spans="1:7" x14ac:dyDescent="0.25">
      <c r="A185" s="8">
        <v>42687.778275462966</v>
      </c>
      <c r="B185" s="21" t="s">
        <v>217</v>
      </c>
      <c r="C185" s="21" t="s">
        <v>606</v>
      </c>
      <c r="D185" s="21">
        <v>2040000</v>
      </c>
      <c r="E185" s="21" t="s">
        <v>282</v>
      </c>
      <c r="F185" s="21" t="str">
        <f t="shared" si="4"/>
        <v>rtdc.l.rtdc.4029:itc</v>
      </c>
      <c r="G185" s="8">
        <f t="shared" si="5"/>
        <v>42687.778275462966</v>
      </c>
    </row>
    <row r="186" spans="1:7" x14ac:dyDescent="0.25">
      <c r="A186" s="8">
        <v>42687.783182870371</v>
      </c>
      <c r="B186" s="21" t="s">
        <v>242</v>
      </c>
      <c r="C186" s="21" t="s">
        <v>607</v>
      </c>
      <c r="D186" s="21">
        <v>2420000</v>
      </c>
      <c r="E186" s="21" t="s">
        <v>283</v>
      </c>
      <c r="F186" s="21" t="str">
        <f t="shared" si="4"/>
        <v>rtdc.l.rtdc.4041:itc</v>
      </c>
      <c r="G186" s="8">
        <f t="shared" si="5"/>
        <v>42687.783182870371</v>
      </c>
    </row>
    <row r="187" spans="1:7" x14ac:dyDescent="0.25">
      <c r="A187" s="8">
        <v>42687.785219907404</v>
      </c>
      <c r="B187" s="21" t="s">
        <v>257</v>
      </c>
      <c r="C187" s="21" t="s">
        <v>608</v>
      </c>
      <c r="D187" s="21">
        <v>2020000</v>
      </c>
      <c r="E187" s="21" t="s">
        <v>303</v>
      </c>
      <c r="F187" s="21" t="str">
        <f t="shared" si="4"/>
        <v>rtdc.l.rtdc.4001:itc</v>
      </c>
      <c r="G187" s="8">
        <f t="shared" si="5"/>
        <v>42687.785219907404</v>
      </c>
    </row>
    <row r="188" spans="1:7" x14ac:dyDescent="0.25">
      <c r="A188" s="8">
        <v>42687.788136574076</v>
      </c>
      <c r="B188" s="21" t="s">
        <v>248</v>
      </c>
      <c r="C188" s="21" t="s">
        <v>609</v>
      </c>
      <c r="D188" s="21">
        <v>2470000</v>
      </c>
      <c r="E188" s="21" t="s">
        <v>610</v>
      </c>
      <c r="F188" s="21" t="str">
        <f t="shared" si="4"/>
        <v>rtdc.l.rtdc.4031:itc</v>
      </c>
      <c r="G188" s="8">
        <f t="shared" si="5"/>
        <v>42687.788136574076</v>
      </c>
    </row>
    <row r="189" spans="1:7" x14ac:dyDescent="0.25">
      <c r="A189" s="8">
        <v>42687.78943287037</v>
      </c>
      <c r="B189" s="21" t="s">
        <v>374</v>
      </c>
      <c r="C189" s="21" t="s">
        <v>611</v>
      </c>
      <c r="D189" s="21">
        <v>1810000</v>
      </c>
      <c r="E189" s="21" t="s">
        <v>382</v>
      </c>
      <c r="F189" s="21" t="str">
        <f t="shared" si="4"/>
        <v>rtdc.l.rtdc.4013:itc</v>
      </c>
      <c r="G189" s="8">
        <f t="shared" si="5"/>
        <v>42687.78943287037</v>
      </c>
    </row>
    <row r="190" spans="1:7" x14ac:dyDescent="0.25">
      <c r="A190" s="8">
        <v>42687.79960648148</v>
      </c>
      <c r="B190" s="21" t="s">
        <v>243</v>
      </c>
      <c r="C190" s="21" t="s">
        <v>464</v>
      </c>
      <c r="D190" s="21">
        <v>2420000</v>
      </c>
      <c r="E190" s="21" t="s">
        <v>283</v>
      </c>
      <c r="F190" s="21" t="str">
        <f t="shared" si="4"/>
        <v>rtdc.l.rtdc.4042:itc</v>
      </c>
      <c r="G190" s="8">
        <f t="shared" si="5"/>
        <v>42687.79960648148</v>
      </c>
    </row>
    <row r="191" spans="1:7" x14ac:dyDescent="0.25">
      <c r="A191" s="8">
        <v>42687.807928240742</v>
      </c>
      <c r="B191" s="21" t="s">
        <v>269</v>
      </c>
      <c r="C191" s="21" t="s">
        <v>612</v>
      </c>
      <c r="D191" s="21">
        <v>1800000</v>
      </c>
      <c r="E191" s="21" t="s">
        <v>344</v>
      </c>
      <c r="F191" s="21" t="str">
        <f t="shared" si="4"/>
        <v>rtdc.l.rtdc.4043:itc</v>
      </c>
      <c r="G191" s="8">
        <f t="shared" si="5"/>
        <v>42687.807928240742</v>
      </c>
    </row>
    <row r="192" spans="1:7" x14ac:dyDescent="0.25">
      <c r="A192" s="8">
        <v>42687.809259259258</v>
      </c>
      <c r="B192" s="21" t="s">
        <v>479</v>
      </c>
      <c r="C192" s="21" t="s">
        <v>613</v>
      </c>
      <c r="D192" s="21">
        <v>2250000</v>
      </c>
      <c r="E192" s="21" t="s">
        <v>587</v>
      </c>
      <c r="F192" s="21" t="str">
        <f t="shared" si="4"/>
        <v>rtdc.l.rtdc.4007:itc</v>
      </c>
      <c r="G192" s="8">
        <f t="shared" si="5"/>
        <v>42687.809259259258</v>
      </c>
    </row>
    <row r="193" spans="1:7" x14ac:dyDescent="0.25">
      <c r="A193" s="8">
        <v>42687.811956018515</v>
      </c>
      <c r="B193" s="21" t="s">
        <v>279</v>
      </c>
      <c r="C193" s="21" t="s">
        <v>614</v>
      </c>
      <c r="D193" s="21">
        <v>2420000</v>
      </c>
      <c r="E193" s="21" t="s">
        <v>283</v>
      </c>
      <c r="F193" s="21" t="str">
        <f t="shared" si="4"/>
        <v>rtdc.l.rtdc.4022:itc</v>
      </c>
      <c r="G193" s="8">
        <f t="shared" si="5"/>
        <v>42687.811956018515</v>
      </c>
    </row>
    <row r="194" spans="1:7" x14ac:dyDescent="0.25">
      <c r="A194" s="8">
        <v>42687.818807870368</v>
      </c>
      <c r="B194" s="21" t="s">
        <v>242</v>
      </c>
      <c r="C194" s="21" t="s">
        <v>465</v>
      </c>
      <c r="D194" s="21">
        <v>1820000</v>
      </c>
      <c r="E194" s="21" t="s">
        <v>561</v>
      </c>
      <c r="F194" s="21" t="str">
        <f t="shared" ref="F194:F235" si="6">B194</f>
        <v>rtdc.l.rtdc.4041:itc</v>
      </c>
      <c r="G194" s="8">
        <f t="shared" ref="G194:G235" si="7">A194</f>
        <v>42687.818807870368</v>
      </c>
    </row>
    <row r="195" spans="1:7" x14ac:dyDescent="0.25">
      <c r="A195" s="8">
        <v>42687.819143518522</v>
      </c>
      <c r="B195" s="21" t="s">
        <v>258</v>
      </c>
      <c r="C195" s="21" t="s">
        <v>615</v>
      </c>
      <c r="D195" s="21">
        <v>2020000</v>
      </c>
      <c r="E195" s="21" t="s">
        <v>303</v>
      </c>
      <c r="F195" s="21" t="str">
        <f t="shared" si="6"/>
        <v>rtdc.l.rtdc.4002:itc</v>
      </c>
      <c r="G195" s="8">
        <f t="shared" si="7"/>
        <v>42687.819143518522</v>
      </c>
    </row>
    <row r="196" spans="1:7" x14ac:dyDescent="0.25">
      <c r="A196" s="8">
        <v>42687.826666666668</v>
      </c>
      <c r="B196" s="21" t="s">
        <v>235</v>
      </c>
      <c r="C196" s="21" t="s">
        <v>616</v>
      </c>
      <c r="D196" s="21">
        <v>2470000</v>
      </c>
      <c r="E196" s="21" t="s">
        <v>610</v>
      </c>
      <c r="F196" s="21" t="str">
        <f t="shared" si="6"/>
        <v>rtdc.l.rtdc.4032:itc</v>
      </c>
      <c r="G196" s="8">
        <f t="shared" si="7"/>
        <v>42687.826666666668</v>
      </c>
    </row>
    <row r="197" spans="1:7" x14ac:dyDescent="0.25">
      <c r="A197" s="8">
        <v>42687.827499999999</v>
      </c>
      <c r="B197" s="21" t="s">
        <v>373</v>
      </c>
      <c r="C197" s="21" t="s">
        <v>617</v>
      </c>
      <c r="D197" s="21">
        <v>2440000</v>
      </c>
      <c r="E197" s="21" t="s">
        <v>618</v>
      </c>
      <c r="F197" s="21" t="str">
        <f t="shared" si="6"/>
        <v>rtdc.l.rtdc.4014:itc</v>
      </c>
      <c r="G197" s="8">
        <f t="shared" si="7"/>
        <v>42687.827499999999</v>
      </c>
    </row>
    <row r="198" spans="1:7" x14ac:dyDescent="0.25">
      <c r="A198" s="8">
        <v>42687.833437499998</v>
      </c>
      <c r="B198" s="21" t="s">
        <v>243</v>
      </c>
      <c r="C198" s="21" t="s">
        <v>619</v>
      </c>
      <c r="D198" s="21">
        <v>1820000</v>
      </c>
      <c r="E198" s="21" t="s">
        <v>561</v>
      </c>
      <c r="F198" s="21" t="str">
        <f t="shared" si="6"/>
        <v>rtdc.l.rtdc.4042:itc</v>
      </c>
      <c r="G198" s="8">
        <f t="shared" si="7"/>
        <v>42687.833437499998</v>
      </c>
    </row>
    <row r="199" spans="1:7" x14ac:dyDescent="0.25">
      <c r="A199" s="8">
        <v>42687.843333333331</v>
      </c>
      <c r="B199" s="21" t="s">
        <v>439</v>
      </c>
      <c r="C199" s="21" t="s">
        <v>620</v>
      </c>
      <c r="D199" s="21">
        <v>2250000</v>
      </c>
      <c r="E199" s="21" t="s">
        <v>587</v>
      </c>
      <c r="F199" s="21" t="str">
        <f t="shared" si="6"/>
        <v>rtdc.l.rtdc.4008:itc</v>
      </c>
      <c r="G199" s="8">
        <f t="shared" si="7"/>
        <v>42687.843333333331</v>
      </c>
    </row>
    <row r="200" spans="1:7" x14ac:dyDescent="0.25">
      <c r="A200" s="8">
        <v>42687.852175925924</v>
      </c>
      <c r="B200" s="21" t="s">
        <v>189</v>
      </c>
      <c r="C200" s="21" t="s">
        <v>621</v>
      </c>
      <c r="D200" s="21">
        <v>1800000</v>
      </c>
      <c r="E200" s="21" t="s">
        <v>344</v>
      </c>
      <c r="F200" s="21" t="str">
        <f t="shared" si="6"/>
        <v>rtdc.l.rtdc.4044:itc</v>
      </c>
      <c r="G200" s="8">
        <f t="shared" si="7"/>
        <v>42687.852175925924</v>
      </c>
    </row>
    <row r="201" spans="1:7" x14ac:dyDescent="0.25">
      <c r="A201" s="8">
        <v>42687.859837962962</v>
      </c>
      <c r="B201" s="21" t="s">
        <v>242</v>
      </c>
      <c r="C201" s="21" t="s">
        <v>622</v>
      </c>
      <c r="D201" s="21">
        <v>1820000</v>
      </c>
      <c r="E201" s="21" t="s">
        <v>561</v>
      </c>
      <c r="F201" s="21" t="str">
        <f t="shared" si="6"/>
        <v>rtdc.l.rtdc.4041:itc</v>
      </c>
      <c r="G201" s="8">
        <f t="shared" si="7"/>
        <v>42687.859837962962</v>
      </c>
    </row>
    <row r="202" spans="1:7" x14ac:dyDescent="0.25">
      <c r="A202" s="27">
        <v>42687.860578703701</v>
      </c>
      <c r="B202" s="21" t="s">
        <v>374</v>
      </c>
      <c r="C202" s="21" t="s">
        <v>623</v>
      </c>
      <c r="D202" s="21">
        <v>2440000</v>
      </c>
      <c r="E202" s="21" t="s">
        <v>618</v>
      </c>
      <c r="F202" s="21" t="str">
        <f t="shared" si="6"/>
        <v>rtdc.l.rtdc.4013:itc</v>
      </c>
      <c r="G202" s="8">
        <f t="shared" si="7"/>
        <v>42687.860578703701</v>
      </c>
    </row>
    <row r="203" spans="1:7" x14ac:dyDescent="0.25">
      <c r="A203" s="8">
        <v>42687.870694444442</v>
      </c>
      <c r="B203" s="21" t="s">
        <v>248</v>
      </c>
      <c r="C203" s="21" t="s">
        <v>624</v>
      </c>
      <c r="D203" s="21">
        <v>1180000</v>
      </c>
      <c r="E203" s="21" t="s">
        <v>591</v>
      </c>
      <c r="F203" s="21" t="str">
        <f t="shared" si="6"/>
        <v>rtdc.l.rtdc.4031:itc</v>
      </c>
      <c r="G203" s="8">
        <f t="shared" si="7"/>
        <v>42687.870694444442</v>
      </c>
    </row>
    <row r="204" spans="1:7" x14ac:dyDescent="0.25">
      <c r="A204" s="8">
        <v>42687.87290509259</v>
      </c>
      <c r="B204" s="21" t="s">
        <v>243</v>
      </c>
      <c r="C204" s="21" t="s">
        <v>466</v>
      </c>
      <c r="D204" s="21">
        <v>1820000</v>
      </c>
      <c r="E204" s="21" t="s">
        <v>561</v>
      </c>
      <c r="F204" s="21" t="str">
        <f t="shared" si="6"/>
        <v>rtdc.l.rtdc.4042:itc</v>
      </c>
      <c r="G204" s="8">
        <f t="shared" si="7"/>
        <v>42687.87290509259</v>
      </c>
    </row>
    <row r="205" spans="1:7" x14ac:dyDescent="0.25">
      <c r="A205" s="8">
        <v>42687.888229166667</v>
      </c>
      <c r="B205" s="21" t="s">
        <v>479</v>
      </c>
      <c r="C205" s="21" t="s">
        <v>625</v>
      </c>
      <c r="D205" s="21">
        <v>2480000</v>
      </c>
      <c r="E205" s="21" t="s">
        <v>601</v>
      </c>
      <c r="F205" s="21" t="str">
        <f t="shared" si="6"/>
        <v>rtdc.l.rtdc.4007:itc</v>
      </c>
      <c r="G205" s="8">
        <f t="shared" si="7"/>
        <v>42687.888229166667</v>
      </c>
    </row>
    <row r="206" spans="1:7" x14ac:dyDescent="0.25">
      <c r="A206" s="8">
        <v>42687.890659722223</v>
      </c>
      <c r="B206" s="21" t="s">
        <v>269</v>
      </c>
      <c r="C206" s="21" t="s">
        <v>626</v>
      </c>
      <c r="D206" s="21">
        <v>1800000</v>
      </c>
      <c r="E206" s="21" t="s">
        <v>344</v>
      </c>
      <c r="F206" s="21" t="str">
        <f t="shared" si="6"/>
        <v>rtdc.l.rtdc.4043:itc</v>
      </c>
      <c r="G206" s="8">
        <f t="shared" si="7"/>
        <v>42687.890659722223</v>
      </c>
    </row>
    <row r="207" spans="1:7" x14ac:dyDescent="0.25">
      <c r="A207" s="8">
        <v>42687.902997685182</v>
      </c>
      <c r="B207" s="21" t="s">
        <v>242</v>
      </c>
      <c r="C207" s="21" t="s">
        <v>627</v>
      </c>
      <c r="D207" s="21">
        <v>1820000</v>
      </c>
      <c r="E207" s="21" t="s">
        <v>561</v>
      </c>
      <c r="F207" s="21" t="str">
        <f t="shared" si="6"/>
        <v>rtdc.l.rtdc.4041:itc</v>
      </c>
      <c r="G207" s="8">
        <f t="shared" si="7"/>
        <v>42687.902997685182</v>
      </c>
    </row>
    <row r="208" spans="1:7" x14ac:dyDescent="0.25">
      <c r="A208" s="8">
        <v>42687.904502314814</v>
      </c>
      <c r="B208" s="21" t="s">
        <v>373</v>
      </c>
      <c r="C208" s="21" t="s">
        <v>628</v>
      </c>
      <c r="D208" s="21">
        <v>1810000</v>
      </c>
      <c r="E208" s="21" t="s">
        <v>382</v>
      </c>
      <c r="F208" s="21" t="str">
        <f t="shared" si="6"/>
        <v>rtdc.l.rtdc.4014:itc</v>
      </c>
      <c r="G208" s="8">
        <f t="shared" si="7"/>
        <v>42687.904502314814</v>
      </c>
    </row>
    <row r="209" spans="1:7" x14ac:dyDescent="0.25">
      <c r="A209" s="8">
        <v>42687.907824074071</v>
      </c>
      <c r="B209" s="21" t="s">
        <v>235</v>
      </c>
      <c r="C209" s="21" t="s">
        <v>629</v>
      </c>
      <c r="D209" s="21">
        <v>1180000</v>
      </c>
      <c r="E209" s="21" t="s">
        <v>591</v>
      </c>
      <c r="F209" s="21" t="str">
        <f t="shared" si="6"/>
        <v>rtdc.l.rtdc.4032:itc</v>
      </c>
      <c r="G209" s="8">
        <f t="shared" si="7"/>
        <v>42687.907824074071</v>
      </c>
    </row>
    <row r="210" spans="1:7" x14ac:dyDescent="0.25">
      <c r="A210" s="8">
        <v>42687.927314814813</v>
      </c>
      <c r="B210" s="21" t="s">
        <v>243</v>
      </c>
      <c r="C210" s="21" t="s">
        <v>630</v>
      </c>
      <c r="D210" s="21">
        <v>1820000</v>
      </c>
      <c r="E210" s="21" t="s">
        <v>561</v>
      </c>
      <c r="F210" s="21" t="str">
        <f t="shared" si="6"/>
        <v>rtdc.l.rtdc.4042:itc</v>
      </c>
      <c r="G210" s="8">
        <f t="shared" si="7"/>
        <v>42687.927314814813</v>
      </c>
    </row>
    <row r="211" spans="1:7" x14ac:dyDescent="0.25">
      <c r="A211" s="8">
        <v>42687.930277777778</v>
      </c>
      <c r="B211" s="21" t="s">
        <v>439</v>
      </c>
      <c r="C211" s="21" t="s">
        <v>631</v>
      </c>
      <c r="D211" s="21">
        <v>2480000</v>
      </c>
      <c r="E211" s="21" t="s">
        <v>601</v>
      </c>
      <c r="F211" s="21" t="str">
        <f t="shared" si="6"/>
        <v>rtdc.l.rtdc.4008:itc</v>
      </c>
      <c r="G211" s="8">
        <f t="shared" si="7"/>
        <v>42687.930277777778</v>
      </c>
    </row>
    <row r="212" spans="1:7" x14ac:dyDescent="0.25">
      <c r="A212" s="8">
        <v>42687.936655092592</v>
      </c>
      <c r="B212" s="21" t="s">
        <v>189</v>
      </c>
      <c r="C212" s="21" t="s">
        <v>632</v>
      </c>
      <c r="D212" s="21">
        <v>1800000</v>
      </c>
      <c r="E212" s="21" t="s">
        <v>344</v>
      </c>
      <c r="F212" s="21" t="str">
        <f t="shared" si="6"/>
        <v>rtdc.l.rtdc.4044:itc</v>
      </c>
      <c r="G212" s="8">
        <f t="shared" si="7"/>
        <v>42687.936655092592</v>
      </c>
    </row>
    <row r="213" spans="1:7" x14ac:dyDescent="0.25">
      <c r="A213" s="8">
        <v>42687.942719907405</v>
      </c>
      <c r="B213" s="21" t="s">
        <v>242</v>
      </c>
      <c r="C213" s="21" t="s">
        <v>633</v>
      </c>
      <c r="D213" s="21">
        <v>1820000</v>
      </c>
      <c r="E213" s="21" t="s">
        <v>561</v>
      </c>
      <c r="F213" s="21" t="str">
        <f t="shared" si="6"/>
        <v>rtdc.l.rtdc.4041:itc</v>
      </c>
      <c r="G213" s="8">
        <f t="shared" si="7"/>
        <v>42687.942719907405</v>
      </c>
    </row>
    <row r="214" spans="1:7" x14ac:dyDescent="0.25">
      <c r="A214" s="8">
        <v>42687.9450462963</v>
      </c>
      <c r="B214" s="21" t="s">
        <v>374</v>
      </c>
      <c r="C214" s="21" t="s">
        <v>634</v>
      </c>
      <c r="D214" s="21">
        <v>1810000</v>
      </c>
      <c r="E214" s="21" t="s">
        <v>382</v>
      </c>
      <c r="F214" s="21" t="str">
        <f t="shared" si="6"/>
        <v>rtdc.l.rtdc.4013:itc</v>
      </c>
      <c r="G214" s="8">
        <f t="shared" si="7"/>
        <v>42687.9450462963</v>
      </c>
    </row>
    <row r="215" spans="1:7" x14ac:dyDescent="0.25">
      <c r="A215" s="8">
        <v>42687.950497685182</v>
      </c>
      <c r="B215" s="21" t="s">
        <v>248</v>
      </c>
      <c r="C215" s="21" t="s">
        <v>635</v>
      </c>
      <c r="D215" s="21">
        <v>1180000</v>
      </c>
      <c r="E215" s="21" t="s">
        <v>591</v>
      </c>
      <c r="F215" s="21" t="str">
        <f t="shared" si="6"/>
        <v>rtdc.l.rtdc.4031:itc</v>
      </c>
      <c r="G215" s="8">
        <f t="shared" si="7"/>
        <v>42687.950497685182</v>
      </c>
    </row>
    <row r="216" spans="1:7" x14ac:dyDescent="0.25">
      <c r="A216" s="8">
        <v>42687.966400462959</v>
      </c>
      <c r="B216" s="21" t="s">
        <v>479</v>
      </c>
      <c r="C216" s="21" t="s">
        <v>636</v>
      </c>
      <c r="D216" s="21">
        <v>2250000</v>
      </c>
      <c r="E216" s="21" t="s">
        <v>587</v>
      </c>
      <c r="F216" s="21" t="str">
        <f t="shared" si="6"/>
        <v>rtdc.l.rtdc.4007:itc</v>
      </c>
      <c r="G216" s="8">
        <f t="shared" si="7"/>
        <v>42687.966400462959</v>
      </c>
    </row>
    <row r="217" spans="1:7" x14ac:dyDescent="0.25">
      <c r="A217" s="8">
        <v>42687.974814814814</v>
      </c>
      <c r="B217" s="21" t="s">
        <v>269</v>
      </c>
      <c r="C217" s="21" t="s">
        <v>637</v>
      </c>
      <c r="D217" s="21">
        <v>1800000</v>
      </c>
      <c r="E217" s="21" t="s">
        <v>344</v>
      </c>
      <c r="F217" s="21" t="str">
        <f t="shared" si="6"/>
        <v>rtdc.l.rtdc.4043:itc</v>
      </c>
      <c r="G217" s="8">
        <f t="shared" si="7"/>
        <v>42687.974814814814</v>
      </c>
    </row>
    <row r="218" spans="1:7" x14ac:dyDescent="0.25">
      <c r="A218" s="8">
        <v>42687.983599537038</v>
      </c>
      <c r="B218" s="21" t="s">
        <v>373</v>
      </c>
      <c r="C218" s="21" t="s">
        <v>638</v>
      </c>
      <c r="D218" s="21">
        <v>1810000</v>
      </c>
      <c r="E218" s="21" t="s">
        <v>382</v>
      </c>
      <c r="F218" s="21" t="str">
        <f t="shared" si="6"/>
        <v>rtdc.l.rtdc.4014:itc</v>
      </c>
      <c r="G218" s="8">
        <f t="shared" si="7"/>
        <v>42687.983599537038</v>
      </c>
    </row>
    <row r="219" spans="1:7" x14ac:dyDescent="0.25">
      <c r="A219" s="8">
        <v>42687.991689814815</v>
      </c>
      <c r="B219" s="21" t="s">
        <v>235</v>
      </c>
      <c r="C219" s="21" t="s">
        <v>639</v>
      </c>
      <c r="D219" s="21">
        <v>1180000</v>
      </c>
      <c r="E219" s="21" t="s">
        <v>591</v>
      </c>
      <c r="F219" s="21" t="str">
        <f t="shared" si="6"/>
        <v>rtdc.l.rtdc.4032:itc</v>
      </c>
      <c r="G219" s="8">
        <f t="shared" si="7"/>
        <v>42687.991689814815</v>
      </c>
    </row>
    <row r="220" spans="1:7" x14ac:dyDescent="0.25">
      <c r="A220" s="8">
        <v>42688.011562500003</v>
      </c>
      <c r="B220" s="21" t="s">
        <v>439</v>
      </c>
      <c r="C220" s="21" t="s">
        <v>640</v>
      </c>
      <c r="D220" s="21">
        <v>2250000</v>
      </c>
      <c r="E220" s="21" t="s">
        <v>587</v>
      </c>
      <c r="F220" s="21" t="str">
        <f t="shared" si="6"/>
        <v>rtdc.l.rtdc.4008:itc</v>
      </c>
      <c r="G220" s="8">
        <f t="shared" si="7"/>
        <v>42688.011562500003</v>
      </c>
    </row>
    <row r="221" spans="1:7" x14ac:dyDescent="0.25">
      <c r="A221" s="8">
        <v>42688.020138888889</v>
      </c>
      <c r="B221" s="21" t="s">
        <v>189</v>
      </c>
      <c r="C221" s="21" t="s">
        <v>641</v>
      </c>
      <c r="D221" s="21">
        <v>1800000</v>
      </c>
      <c r="E221" s="21" t="s">
        <v>344</v>
      </c>
      <c r="F221" s="21" t="str">
        <f t="shared" si="6"/>
        <v>rtdc.l.rtdc.4044:itc</v>
      </c>
      <c r="G221" s="8">
        <f t="shared" si="7"/>
        <v>42688.020138888889</v>
      </c>
    </row>
    <row r="222" spans="1:7" x14ac:dyDescent="0.25">
      <c r="A222" s="8">
        <v>42688.027141203704</v>
      </c>
      <c r="B222" s="21" t="s">
        <v>248</v>
      </c>
      <c r="C222" s="21" t="s">
        <v>642</v>
      </c>
      <c r="D222" s="21">
        <v>1180000</v>
      </c>
      <c r="E222" s="21" t="s">
        <v>591</v>
      </c>
      <c r="F222" s="21" t="str">
        <f t="shared" si="6"/>
        <v>rtdc.l.rtdc.4031:itc</v>
      </c>
      <c r="G222" s="8">
        <f t="shared" si="7"/>
        <v>42688.027141203704</v>
      </c>
    </row>
    <row r="223" spans="1:7" x14ac:dyDescent="0.25">
      <c r="A223" s="8">
        <v>42688.028749999998</v>
      </c>
      <c r="B223" s="21" t="s">
        <v>248</v>
      </c>
      <c r="C223" s="21" t="s">
        <v>642</v>
      </c>
      <c r="D223" s="21">
        <v>1180000</v>
      </c>
      <c r="E223" s="21" t="s">
        <v>591</v>
      </c>
      <c r="F223" s="21" t="str">
        <f t="shared" si="6"/>
        <v>rtdc.l.rtdc.4031:itc</v>
      </c>
      <c r="G223" s="8">
        <f t="shared" si="7"/>
        <v>42688.028749999998</v>
      </c>
    </row>
    <row r="224" spans="1:7" x14ac:dyDescent="0.25">
      <c r="A224" s="8">
        <v>42688.033252314817</v>
      </c>
      <c r="B224" t="s">
        <v>374</v>
      </c>
      <c r="C224" t="s">
        <v>643</v>
      </c>
      <c r="D224">
        <v>1810000</v>
      </c>
      <c r="E224" t="s">
        <v>382</v>
      </c>
      <c r="F224" s="21" t="str">
        <f t="shared" si="6"/>
        <v>rtdc.l.rtdc.4013:itc</v>
      </c>
      <c r="G224" s="8">
        <f t="shared" si="7"/>
        <v>42688.033252314817</v>
      </c>
    </row>
    <row r="225" spans="1:7" x14ac:dyDescent="0.25">
      <c r="A225" s="8">
        <v>42688.047210648147</v>
      </c>
      <c r="B225" t="s">
        <v>479</v>
      </c>
      <c r="C225" t="s">
        <v>644</v>
      </c>
      <c r="D225">
        <v>2250000</v>
      </c>
      <c r="E225" t="s">
        <v>587</v>
      </c>
      <c r="F225" s="21" t="str">
        <f t="shared" si="6"/>
        <v>rtdc.l.rtdc.4007:itc</v>
      </c>
      <c r="G225" s="8">
        <f t="shared" si="7"/>
        <v>42688.047210648147</v>
      </c>
    </row>
    <row r="226" spans="1:7" x14ac:dyDescent="0.25">
      <c r="A226" s="8">
        <v>42688.050729166665</v>
      </c>
      <c r="B226" t="s">
        <v>269</v>
      </c>
      <c r="C226" t="s">
        <v>645</v>
      </c>
      <c r="D226">
        <v>1800000</v>
      </c>
      <c r="E226" t="s">
        <v>344</v>
      </c>
      <c r="F226" s="21" t="str">
        <f t="shared" si="6"/>
        <v>rtdc.l.rtdc.4043:itc</v>
      </c>
      <c r="G226" s="8">
        <f t="shared" si="7"/>
        <v>42688.050729166665</v>
      </c>
    </row>
    <row r="227" spans="1:7" x14ac:dyDescent="0.25">
      <c r="A227" s="8">
        <v>42688.068715277775</v>
      </c>
      <c r="B227" t="s">
        <v>373</v>
      </c>
      <c r="C227" t="s">
        <v>646</v>
      </c>
      <c r="D227">
        <v>1810000</v>
      </c>
      <c r="E227" t="s">
        <v>382</v>
      </c>
      <c r="F227" s="21" t="str">
        <f t="shared" si="6"/>
        <v>rtdc.l.rtdc.4014:itc</v>
      </c>
      <c r="G227" s="8">
        <f t="shared" si="7"/>
        <v>42688.068715277775</v>
      </c>
    </row>
    <row r="228" spans="1:7" x14ac:dyDescent="0.25">
      <c r="A228" s="8">
        <v>42685.92732638889</v>
      </c>
      <c r="B228" t="s">
        <v>187</v>
      </c>
      <c r="C228" t="s">
        <v>345</v>
      </c>
      <c r="D228">
        <v>2000000</v>
      </c>
      <c r="E228" t="s">
        <v>244</v>
      </c>
      <c r="F228" s="21" t="str">
        <f t="shared" si="6"/>
        <v>rtdc.l.rtdc.4009:itc</v>
      </c>
      <c r="G228" s="8">
        <f t="shared" si="7"/>
        <v>42685.92732638889</v>
      </c>
    </row>
    <row r="229" spans="1:7" x14ac:dyDescent="0.25">
      <c r="A229" s="8">
        <v>42685.930254629631</v>
      </c>
      <c r="B229" t="s">
        <v>235</v>
      </c>
      <c r="C229" t="s">
        <v>346</v>
      </c>
      <c r="D229">
        <v>1230000</v>
      </c>
      <c r="E229" t="s">
        <v>261</v>
      </c>
      <c r="F229" s="21" t="str">
        <f t="shared" si="6"/>
        <v>rtdc.l.rtdc.4032:itc</v>
      </c>
      <c r="G229" s="8">
        <f t="shared" si="7"/>
        <v>42685.930254629631</v>
      </c>
    </row>
    <row r="230" spans="1:7" x14ac:dyDescent="0.25">
      <c r="A230" s="8">
        <v>42685.942291666666</v>
      </c>
      <c r="B230" t="s">
        <v>242</v>
      </c>
      <c r="C230" t="s">
        <v>347</v>
      </c>
      <c r="D230">
        <v>2630000</v>
      </c>
      <c r="E230" t="s">
        <v>343</v>
      </c>
      <c r="F230" s="21" t="str">
        <f t="shared" si="6"/>
        <v>rtdc.l.rtdc.4041:itc</v>
      </c>
      <c r="G230" s="8">
        <f t="shared" si="7"/>
        <v>42685.942291666666</v>
      </c>
    </row>
    <row r="231" spans="1:7" x14ac:dyDescent="0.25">
      <c r="A231" s="8">
        <v>42685.954340277778</v>
      </c>
      <c r="B231" t="s">
        <v>231</v>
      </c>
      <c r="C231" t="s">
        <v>348</v>
      </c>
      <c r="D231">
        <v>1300000</v>
      </c>
      <c r="E231" t="s">
        <v>113</v>
      </c>
      <c r="F231" s="21" t="str">
        <f t="shared" si="6"/>
        <v>rtdc.l.rtdc.4003:itc</v>
      </c>
      <c r="G231" s="8">
        <f t="shared" si="7"/>
        <v>42685.954340277778</v>
      </c>
    </row>
    <row r="232" spans="1:7" x14ac:dyDescent="0.25">
      <c r="A232" s="8">
        <v>42685.954467592594</v>
      </c>
      <c r="B232" t="s">
        <v>234</v>
      </c>
      <c r="C232" t="s">
        <v>349</v>
      </c>
      <c r="D232">
        <v>1800000</v>
      </c>
      <c r="E232" t="s">
        <v>344</v>
      </c>
      <c r="F232" s="21" t="str">
        <f t="shared" si="6"/>
        <v>rtdc.l.rtdc.4039:itc</v>
      </c>
      <c r="G232" s="8">
        <f t="shared" si="7"/>
        <v>42685.954467592594</v>
      </c>
    </row>
    <row r="233" spans="1:7" x14ac:dyDescent="0.25">
      <c r="A233" s="8">
        <v>42685.962743055556</v>
      </c>
      <c r="B233" t="s">
        <v>248</v>
      </c>
      <c r="C233" t="s">
        <v>350</v>
      </c>
      <c r="D233">
        <v>1230000</v>
      </c>
      <c r="E233" t="s">
        <v>261</v>
      </c>
      <c r="F233" s="21" t="str">
        <f t="shared" si="6"/>
        <v>rtdc.l.rtdc.4031:itc</v>
      </c>
      <c r="G233" s="8">
        <f t="shared" si="7"/>
        <v>42685.962743055556</v>
      </c>
    </row>
    <row r="234" spans="1:7" x14ac:dyDescent="0.25">
      <c r="A234" s="8">
        <v>42685.972893518519</v>
      </c>
      <c r="B234" t="s">
        <v>278</v>
      </c>
      <c r="C234" t="s">
        <v>351</v>
      </c>
      <c r="D234">
        <v>2000000</v>
      </c>
      <c r="E234" t="s">
        <v>244</v>
      </c>
      <c r="F234" s="21" t="str">
        <f t="shared" si="6"/>
        <v>rtdc.l.rtdc.4010:itc</v>
      </c>
      <c r="G234" s="8">
        <f t="shared" si="7"/>
        <v>42685.972893518519</v>
      </c>
    </row>
    <row r="235" spans="1:7" x14ac:dyDescent="0.25">
      <c r="A235" s="8">
        <v>42685.993368055555</v>
      </c>
      <c r="B235" t="s">
        <v>237</v>
      </c>
      <c r="C235" t="s">
        <v>352</v>
      </c>
      <c r="D235">
        <v>1300000</v>
      </c>
      <c r="E235" t="s">
        <v>113</v>
      </c>
      <c r="F235" s="21" t="str">
        <f t="shared" si="6"/>
        <v>rtdc.l.rtdc.4004:itc</v>
      </c>
      <c r="G235" s="8">
        <f t="shared" si="7"/>
        <v>42685.993368055555</v>
      </c>
    </row>
    <row r="236" spans="1:7" x14ac:dyDescent="0.25">
      <c r="A236" s="8">
        <v>42685.997523148151</v>
      </c>
      <c r="B236" t="s">
        <v>226</v>
      </c>
      <c r="C236" t="s">
        <v>353</v>
      </c>
      <c r="D236">
        <v>1800000</v>
      </c>
      <c r="E236" t="s">
        <v>344</v>
      </c>
      <c r="F236" s="21" t="str">
        <f t="shared" ref="F236:F265" si="8">B236</f>
        <v>rtdc.l.rtdc.4040:itc</v>
      </c>
      <c r="G236" s="8">
        <f t="shared" ref="G236:G265" si="9">A236</f>
        <v>42685.997523148151</v>
      </c>
    </row>
    <row r="237" spans="1:7" x14ac:dyDescent="0.25">
      <c r="A237" s="8">
        <v>42686.003379629627</v>
      </c>
      <c r="B237" t="s">
        <v>187</v>
      </c>
      <c r="C237" t="s">
        <v>354</v>
      </c>
      <c r="D237">
        <v>2000000</v>
      </c>
      <c r="E237" t="s">
        <v>244</v>
      </c>
      <c r="F237" s="21" t="str">
        <f t="shared" si="8"/>
        <v>rtdc.l.rtdc.4009:itc</v>
      </c>
      <c r="G237" s="8">
        <f t="shared" si="9"/>
        <v>42686.003379629627</v>
      </c>
    </row>
    <row r="238" spans="1:7" x14ac:dyDescent="0.25">
      <c r="A238" s="8">
        <v>42686.013796296298</v>
      </c>
      <c r="B238" t="s">
        <v>235</v>
      </c>
      <c r="C238" t="s">
        <v>355</v>
      </c>
      <c r="D238">
        <v>1230000</v>
      </c>
      <c r="E238" t="s">
        <v>261</v>
      </c>
      <c r="F238" s="21" t="str">
        <f t="shared" si="8"/>
        <v>rtdc.l.rtdc.4032:itc</v>
      </c>
      <c r="G238" s="8">
        <f t="shared" si="9"/>
        <v>42686.013796296298</v>
      </c>
    </row>
    <row r="239" spans="1:7" x14ac:dyDescent="0.25">
      <c r="A239" s="8">
        <v>42686.033252314817</v>
      </c>
      <c r="B239" t="s">
        <v>234</v>
      </c>
      <c r="C239" t="s">
        <v>356</v>
      </c>
      <c r="D239">
        <v>1800000</v>
      </c>
      <c r="E239" t="s">
        <v>344</v>
      </c>
      <c r="F239" s="21" t="str">
        <f t="shared" si="8"/>
        <v>rtdc.l.rtdc.4039:itc</v>
      </c>
      <c r="G239" s="8">
        <f t="shared" si="9"/>
        <v>42686.033252314817</v>
      </c>
    </row>
    <row r="240" spans="1:7" x14ac:dyDescent="0.25">
      <c r="A240" s="8">
        <v>42686.037164351852</v>
      </c>
      <c r="B240" t="s">
        <v>231</v>
      </c>
      <c r="C240" t="s">
        <v>357</v>
      </c>
      <c r="D240">
        <v>1300000</v>
      </c>
      <c r="E240" t="s">
        <v>113</v>
      </c>
      <c r="F240" s="21" t="str">
        <f t="shared" si="8"/>
        <v>rtdc.l.rtdc.4003:itc</v>
      </c>
      <c r="G240" s="8">
        <f t="shared" si="9"/>
        <v>42686.037164351852</v>
      </c>
    </row>
    <row r="241" spans="1:7" x14ac:dyDescent="0.25">
      <c r="A241" s="8">
        <v>42686.045624999999</v>
      </c>
      <c r="B241" t="s">
        <v>248</v>
      </c>
      <c r="C241" t="s">
        <v>358</v>
      </c>
      <c r="D241">
        <v>1230000</v>
      </c>
      <c r="E241" t="s">
        <v>261</v>
      </c>
      <c r="F241" s="21" t="str">
        <f t="shared" si="8"/>
        <v>rtdc.l.rtdc.4031:itc</v>
      </c>
      <c r="G241" s="8">
        <f t="shared" si="9"/>
        <v>42686.045624999999</v>
      </c>
    </row>
    <row r="242" spans="1:7" x14ac:dyDescent="0.25">
      <c r="A242" s="8">
        <v>42686.052118055559</v>
      </c>
      <c r="B242" t="s">
        <v>278</v>
      </c>
      <c r="C242" t="s">
        <v>359</v>
      </c>
      <c r="D242">
        <v>2000000</v>
      </c>
      <c r="E242" t="s">
        <v>244</v>
      </c>
      <c r="F242" s="21" t="str">
        <f t="shared" si="8"/>
        <v>rtdc.l.rtdc.4010:itc</v>
      </c>
      <c r="G242" s="8">
        <f t="shared" si="9"/>
        <v>42686.052118055559</v>
      </c>
    </row>
    <row r="243" spans="1:7" x14ac:dyDescent="0.25">
      <c r="A243" s="8">
        <v>42686.068854166668</v>
      </c>
      <c r="B243" t="s">
        <v>226</v>
      </c>
      <c r="C243" t="s">
        <v>360</v>
      </c>
      <c r="D243">
        <v>1800000</v>
      </c>
      <c r="E243" t="s">
        <v>344</v>
      </c>
      <c r="F243" s="21" t="str">
        <f t="shared" si="8"/>
        <v>rtdc.l.rtdc.4040:itc</v>
      </c>
      <c r="G243" s="8">
        <f t="shared" si="9"/>
        <v>42686.068854166668</v>
      </c>
    </row>
    <row r="244" spans="1:7" x14ac:dyDescent="0.25">
      <c r="A244" s="8">
        <v>42684.868055555555</v>
      </c>
      <c r="B244" t="s">
        <v>279</v>
      </c>
      <c r="C244" t="s">
        <v>304</v>
      </c>
      <c r="D244">
        <v>2550000</v>
      </c>
      <c r="E244" t="s">
        <v>259</v>
      </c>
      <c r="F244" s="21" t="str">
        <f t="shared" si="8"/>
        <v>rtdc.l.rtdc.4022:itc</v>
      </c>
      <c r="G244" s="8">
        <f t="shared" si="9"/>
        <v>42684.868055555555</v>
      </c>
    </row>
    <row r="245" spans="1:7" x14ac:dyDescent="0.25">
      <c r="A245" s="8">
        <v>42684.870162037034</v>
      </c>
      <c r="B245" t="s">
        <v>302</v>
      </c>
      <c r="C245" t="s">
        <v>305</v>
      </c>
      <c r="D245">
        <v>1300000</v>
      </c>
      <c r="E245" t="s">
        <v>113</v>
      </c>
      <c r="F245" s="21" t="str">
        <f t="shared" si="8"/>
        <v>rtdc.l.rtdc.4037:itc</v>
      </c>
      <c r="G245" s="8">
        <f t="shared" si="9"/>
        <v>42684.870162037034</v>
      </c>
    </row>
    <row r="246" spans="1:7" x14ac:dyDescent="0.25">
      <c r="A246" s="8">
        <v>42684.880972222221</v>
      </c>
      <c r="B246" t="s">
        <v>189</v>
      </c>
      <c r="C246" t="s">
        <v>298</v>
      </c>
      <c r="D246">
        <v>2610000</v>
      </c>
      <c r="E246" t="s">
        <v>260</v>
      </c>
      <c r="F246" s="21" t="str">
        <f t="shared" si="8"/>
        <v>rtdc.l.rtdc.4044:itc</v>
      </c>
      <c r="G246" s="8">
        <f t="shared" si="9"/>
        <v>42684.880972222221</v>
      </c>
    </row>
    <row r="247" spans="1:7" x14ac:dyDescent="0.25">
      <c r="A247" s="8">
        <v>42684.88553240741</v>
      </c>
      <c r="B247" t="s">
        <v>258</v>
      </c>
      <c r="C247" t="s">
        <v>306</v>
      </c>
      <c r="D247">
        <v>2420000</v>
      </c>
      <c r="E247" t="s">
        <v>283</v>
      </c>
      <c r="F247" s="21" t="str">
        <f t="shared" si="8"/>
        <v>rtdc.l.rtdc.4002:itc</v>
      </c>
      <c r="G247" s="8">
        <f t="shared" si="9"/>
        <v>42684.88553240741</v>
      </c>
    </row>
    <row r="248" spans="1:7" x14ac:dyDescent="0.25">
      <c r="A248" s="8">
        <v>42684.889027777775</v>
      </c>
      <c r="B248" t="s">
        <v>250</v>
      </c>
      <c r="C248" t="s">
        <v>307</v>
      </c>
      <c r="D248">
        <v>2000000</v>
      </c>
      <c r="E248" t="s">
        <v>244</v>
      </c>
      <c r="F248" s="21" t="str">
        <f t="shared" si="8"/>
        <v>rtdc.l.rtdc.4012:itc</v>
      </c>
      <c r="G248" s="8">
        <f t="shared" si="9"/>
        <v>42684.889027777775</v>
      </c>
    </row>
    <row r="249" spans="1:7" x14ac:dyDescent="0.25">
      <c r="A249" s="8">
        <v>42684.900092592594</v>
      </c>
      <c r="B249" t="s">
        <v>269</v>
      </c>
      <c r="C249" t="s">
        <v>308</v>
      </c>
      <c r="D249">
        <v>2610000</v>
      </c>
      <c r="E249" t="s">
        <v>260</v>
      </c>
      <c r="F249" s="21" t="str">
        <f t="shared" si="8"/>
        <v>rtdc.l.rtdc.4043:itc</v>
      </c>
      <c r="G249" s="8">
        <f t="shared" si="9"/>
        <v>42684.900092592594</v>
      </c>
    </row>
    <row r="250" spans="1:7" x14ac:dyDescent="0.25">
      <c r="A250" s="8">
        <v>42684.910300925927</v>
      </c>
      <c r="B250" t="s">
        <v>281</v>
      </c>
      <c r="C250" t="s">
        <v>309</v>
      </c>
      <c r="D250">
        <v>2550000</v>
      </c>
      <c r="E250" t="s">
        <v>259</v>
      </c>
      <c r="F250" s="21" t="str">
        <f t="shared" si="8"/>
        <v>rtdc.l.rtdc.4021:itc</v>
      </c>
      <c r="G250" s="8">
        <f t="shared" si="9"/>
        <v>42684.910300925927</v>
      </c>
    </row>
    <row r="251" spans="1:7" x14ac:dyDescent="0.25">
      <c r="A251" s="8">
        <v>42684.913923611108</v>
      </c>
      <c r="B251" t="s">
        <v>297</v>
      </c>
      <c r="C251" t="s">
        <v>310</v>
      </c>
      <c r="D251">
        <v>1300000</v>
      </c>
      <c r="E251" t="s">
        <v>113</v>
      </c>
      <c r="F251" s="21" t="str">
        <f t="shared" si="8"/>
        <v>rtdc.l.rtdc.4038:itc</v>
      </c>
      <c r="G251" s="8">
        <f t="shared" si="9"/>
        <v>42684.913923611108</v>
      </c>
    </row>
    <row r="252" spans="1:7" x14ac:dyDescent="0.25">
      <c r="A252" s="8">
        <v>42684.914409722223</v>
      </c>
      <c r="B252" t="s">
        <v>189</v>
      </c>
      <c r="C252" t="s">
        <v>311</v>
      </c>
      <c r="D252">
        <v>2610000</v>
      </c>
      <c r="E252" t="s">
        <v>260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257</v>
      </c>
      <c r="C253" t="s">
        <v>299</v>
      </c>
      <c r="D253">
        <v>2420000</v>
      </c>
      <c r="E253" t="s">
        <v>283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221</v>
      </c>
      <c r="C254" t="s">
        <v>312</v>
      </c>
      <c r="D254">
        <v>2000000</v>
      </c>
      <c r="E254" t="s">
        <v>244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269</v>
      </c>
      <c r="C255" t="s">
        <v>313</v>
      </c>
      <c r="D255">
        <v>2610000</v>
      </c>
      <c r="E255" t="s">
        <v>260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302</v>
      </c>
      <c r="C256" t="s">
        <v>314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279</v>
      </c>
      <c r="C257" t="s">
        <v>315</v>
      </c>
      <c r="D257">
        <v>2550000</v>
      </c>
      <c r="E257" t="s">
        <v>259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258</v>
      </c>
      <c r="C258" t="s">
        <v>301</v>
      </c>
      <c r="D258">
        <v>2420000</v>
      </c>
      <c r="E258" t="s">
        <v>283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250</v>
      </c>
      <c r="C259" t="s">
        <v>300</v>
      </c>
      <c r="D259">
        <v>2000000</v>
      </c>
      <c r="E259" t="s">
        <v>244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281</v>
      </c>
      <c r="C260" t="s">
        <v>316</v>
      </c>
      <c r="D260">
        <v>2550000</v>
      </c>
      <c r="E260" t="s">
        <v>259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297</v>
      </c>
      <c r="C261" t="s">
        <v>317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257</v>
      </c>
      <c r="C262" t="s">
        <v>318</v>
      </c>
      <c r="D262">
        <v>2420000</v>
      </c>
      <c r="E262" t="s">
        <v>283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221</v>
      </c>
      <c r="C263" t="s">
        <v>319</v>
      </c>
      <c r="D263">
        <v>2000000</v>
      </c>
      <c r="E263" t="s">
        <v>244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279</v>
      </c>
      <c r="C264" t="s">
        <v>320</v>
      </c>
      <c r="D264">
        <v>2550000</v>
      </c>
      <c r="E264" t="s">
        <v>259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302</v>
      </c>
      <c r="C265" t="s">
        <v>321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258</v>
      </c>
      <c r="C266" t="s">
        <v>322</v>
      </c>
      <c r="D266">
        <v>2420000</v>
      </c>
      <c r="E266" t="s">
        <v>283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250</v>
      </c>
      <c r="C267" t="s">
        <v>323</v>
      </c>
      <c r="D267">
        <v>2000000</v>
      </c>
      <c r="E267" t="s">
        <v>244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297</v>
      </c>
      <c r="C268" t="s">
        <v>324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190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187</v>
      </c>
      <c r="C270" t="s">
        <v>191</v>
      </c>
      <c r="D270">
        <v>1480000</v>
      </c>
      <c r="E270" t="s">
        <v>185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190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190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190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7" s="134" customFormat="1" x14ac:dyDescent="0.25">
      <c r="A1" s="164" t="s">
        <v>167</v>
      </c>
      <c r="B1" s="164" t="s">
        <v>170</v>
      </c>
      <c r="C1" s="164" t="s">
        <v>163</v>
      </c>
      <c r="D1" s="159" t="s">
        <v>177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</row>
    <row r="2" spans="1:17" x14ac:dyDescent="0.25">
      <c r="A2" s="165">
        <v>42.17</v>
      </c>
      <c r="B2" s="165">
        <v>0.11</v>
      </c>
      <c r="C2" s="165">
        <v>25.95</v>
      </c>
      <c r="D2" s="8">
        <v>42687</v>
      </c>
      <c r="E2" s="165">
        <v>0.49</v>
      </c>
      <c r="F2" s="165" t="s">
        <v>232</v>
      </c>
      <c r="G2" s="165">
        <v>257.48</v>
      </c>
      <c r="H2" s="165">
        <v>0</v>
      </c>
      <c r="I2" s="165">
        <v>0</v>
      </c>
      <c r="J2" s="165">
        <v>1018.47</v>
      </c>
      <c r="K2" s="165" t="s">
        <v>233</v>
      </c>
      <c r="L2" s="165">
        <v>43.78</v>
      </c>
      <c r="M2" s="165">
        <v>1479020400</v>
      </c>
      <c r="N2" s="165">
        <v>8.89</v>
      </c>
      <c r="O2" s="165">
        <v>243</v>
      </c>
      <c r="P2" s="165">
        <v>3.46</v>
      </c>
      <c r="Q2"/>
    </row>
    <row r="3" spans="1:17" x14ac:dyDescent="0.25">
      <c r="A3" s="165">
        <v>41.37</v>
      </c>
      <c r="B3" s="165">
        <v>0.05</v>
      </c>
      <c r="C3" s="165">
        <v>25.99</v>
      </c>
      <c r="D3" s="8">
        <v>42687.041666666664</v>
      </c>
      <c r="E3" s="165">
        <v>0.5</v>
      </c>
      <c r="F3" s="165" t="s">
        <v>232</v>
      </c>
      <c r="G3" s="165">
        <v>257.04000000000002</v>
      </c>
      <c r="H3" s="165">
        <v>0</v>
      </c>
      <c r="I3" s="165">
        <v>0</v>
      </c>
      <c r="J3" s="165">
        <v>1018.64</v>
      </c>
      <c r="K3" s="165" t="s">
        <v>233</v>
      </c>
      <c r="L3" s="165">
        <v>43.39</v>
      </c>
      <c r="M3" s="165">
        <v>1479024000</v>
      </c>
      <c r="N3" s="165">
        <v>8.77</v>
      </c>
      <c r="O3" s="165">
        <v>243</v>
      </c>
      <c r="P3" s="165">
        <v>3.84</v>
      </c>
      <c r="Q3"/>
    </row>
    <row r="4" spans="1:17" x14ac:dyDescent="0.25">
      <c r="A4" s="165">
        <v>38.18</v>
      </c>
      <c r="B4" s="165">
        <v>7.0000000000000007E-2</v>
      </c>
      <c r="C4" s="165">
        <v>24.49</v>
      </c>
      <c r="D4" s="8">
        <v>42687.083333333336</v>
      </c>
      <c r="E4" s="165">
        <v>0.51</v>
      </c>
      <c r="F4" s="165" t="s">
        <v>232</v>
      </c>
      <c r="G4" s="165">
        <v>256.58999999999997</v>
      </c>
      <c r="H4" s="165">
        <v>0</v>
      </c>
      <c r="I4" s="165">
        <v>0</v>
      </c>
      <c r="J4" s="165">
        <v>1018.79</v>
      </c>
      <c r="K4" s="165" t="s">
        <v>233</v>
      </c>
      <c r="L4" s="165">
        <v>41.08</v>
      </c>
      <c r="M4" s="165">
        <v>1479027600</v>
      </c>
      <c r="N4" s="165">
        <v>8.23</v>
      </c>
      <c r="O4" s="165">
        <v>238</v>
      </c>
      <c r="P4" s="165">
        <v>4.4400000000000004</v>
      </c>
      <c r="Q4"/>
    </row>
    <row r="5" spans="1:17" x14ac:dyDescent="0.25">
      <c r="A5" s="165">
        <v>37.450000000000003</v>
      </c>
      <c r="B5" s="165">
        <v>0.1</v>
      </c>
      <c r="C5" s="165">
        <v>24</v>
      </c>
      <c r="D5" s="8">
        <v>42687.125</v>
      </c>
      <c r="E5" s="165">
        <v>0.52</v>
      </c>
      <c r="F5" s="165" t="s">
        <v>232</v>
      </c>
      <c r="G5" s="165">
        <v>255.44</v>
      </c>
      <c r="H5" s="165">
        <v>0</v>
      </c>
      <c r="I5" s="165">
        <v>0</v>
      </c>
      <c r="J5" s="165">
        <v>1018.81</v>
      </c>
      <c r="K5" s="165" t="s">
        <v>233</v>
      </c>
      <c r="L5" s="165">
        <v>40.18</v>
      </c>
      <c r="M5" s="165">
        <v>1479031200</v>
      </c>
      <c r="N5" s="165">
        <v>7.85</v>
      </c>
      <c r="O5" s="165">
        <v>241</v>
      </c>
      <c r="P5" s="165">
        <v>4.08</v>
      </c>
      <c r="Q5"/>
    </row>
    <row r="6" spans="1:17" x14ac:dyDescent="0.25">
      <c r="A6" s="165">
        <v>38.28</v>
      </c>
      <c r="B6" s="165">
        <v>0.16</v>
      </c>
      <c r="C6" s="165">
        <v>24.69</v>
      </c>
      <c r="D6" s="8">
        <v>42687.166666666664</v>
      </c>
      <c r="E6" s="165">
        <v>0.52</v>
      </c>
      <c r="F6" s="165" t="s">
        <v>232</v>
      </c>
      <c r="G6" s="165">
        <v>254.02</v>
      </c>
      <c r="H6" s="165">
        <v>0</v>
      </c>
      <c r="I6" s="165">
        <v>0</v>
      </c>
      <c r="J6" s="165">
        <v>1018.77</v>
      </c>
      <c r="K6" s="165" t="s">
        <v>233</v>
      </c>
      <c r="L6" s="165">
        <v>40.81</v>
      </c>
      <c r="M6" s="165">
        <v>1479034800</v>
      </c>
      <c r="N6" s="165">
        <v>8.18</v>
      </c>
      <c r="O6" s="165">
        <v>233</v>
      </c>
      <c r="P6" s="165">
        <v>3.97</v>
      </c>
      <c r="Q6"/>
    </row>
    <row r="7" spans="1:17" x14ac:dyDescent="0.25">
      <c r="A7" s="165">
        <v>38.4</v>
      </c>
      <c r="B7" s="165">
        <v>0.21</v>
      </c>
      <c r="C7" s="165">
        <v>24.24</v>
      </c>
      <c r="D7" s="8">
        <v>42687.208333333336</v>
      </c>
      <c r="E7" s="165">
        <v>0.52</v>
      </c>
      <c r="F7" s="165" t="s">
        <v>232</v>
      </c>
      <c r="G7" s="165">
        <v>252.79</v>
      </c>
      <c r="H7" s="165">
        <v>0</v>
      </c>
      <c r="I7" s="165">
        <v>0</v>
      </c>
      <c r="J7" s="165">
        <v>1018.76</v>
      </c>
      <c r="K7" s="165" t="s">
        <v>233</v>
      </c>
      <c r="L7" s="165">
        <v>40.49</v>
      </c>
      <c r="M7" s="165">
        <v>1479038400</v>
      </c>
      <c r="N7" s="165">
        <v>8.6999999999999993</v>
      </c>
      <c r="O7" s="165">
        <v>238</v>
      </c>
      <c r="P7" s="165">
        <v>3.47</v>
      </c>
      <c r="Q7"/>
    </row>
    <row r="8" spans="1:17" x14ac:dyDescent="0.25">
      <c r="A8" s="165">
        <v>37.78</v>
      </c>
      <c r="B8" s="165">
        <v>0.28999999999999998</v>
      </c>
      <c r="C8" s="165">
        <v>23.74</v>
      </c>
      <c r="D8" s="8">
        <v>42687.25</v>
      </c>
      <c r="E8" s="165">
        <v>0.51</v>
      </c>
      <c r="F8" s="165" t="s">
        <v>228</v>
      </c>
      <c r="G8" s="165">
        <v>251.75</v>
      </c>
      <c r="H8" s="165">
        <v>0</v>
      </c>
      <c r="I8" s="165">
        <v>0</v>
      </c>
      <c r="J8" s="165">
        <v>1018.88</v>
      </c>
      <c r="K8" s="165" t="s">
        <v>229</v>
      </c>
      <c r="L8" s="165">
        <v>40.26</v>
      </c>
      <c r="M8" s="165">
        <v>1479042000</v>
      </c>
      <c r="N8" s="165">
        <v>7.73</v>
      </c>
      <c r="O8" s="165">
        <v>232</v>
      </c>
      <c r="P8" s="165">
        <v>3.82</v>
      </c>
      <c r="Q8"/>
    </row>
    <row r="9" spans="1:17" x14ac:dyDescent="0.25">
      <c r="A9" s="165">
        <v>39.46</v>
      </c>
      <c r="B9" s="165">
        <v>0.42</v>
      </c>
      <c r="C9" s="165">
        <v>23.98</v>
      </c>
      <c r="D9" s="8">
        <v>42687.291666666664</v>
      </c>
      <c r="E9" s="165">
        <v>0.5</v>
      </c>
      <c r="F9" s="165" t="s">
        <v>361</v>
      </c>
      <c r="G9" s="165">
        <v>250.89</v>
      </c>
      <c r="H9" s="165">
        <v>0</v>
      </c>
      <c r="I9" s="165">
        <v>0</v>
      </c>
      <c r="J9" s="165">
        <v>1019.02</v>
      </c>
      <c r="K9" s="165" t="s">
        <v>229</v>
      </c>
      <c r="L9" s="165">
        <v>41.41</v>
      </c>
      <c r="M9" s="165">
        <v>1479045600</v>
      </c>
      <c r="N9" s="165">
        <v>7.17</v>
      </c>
      <c r="O9" s="165">
        <v>240</v>
      </c>
      <c r="P9" s="165">
        <v>3.47</v>
      </c>
      <c r="Q9"/>
    </row>
    <row r="10" spans="1:17" x14ac:dyDescent="0.25">
      <c r="A10" s="165">
        <v>44.42</v>
      </c>
      <c r="B10" s="165">
        <v>0.51</v>
      </c>
      <c r="C10" s="165">
        <v>25.69</v>
      </c>
      <c r="D10" s="8">
        <v>42687.333333333336</v>
      </c>
      <c r="E10" s="165">
        <v>0.47</v>
      </c>
      <c r="F10" s="165" t="s">
        <v>361</v>
      </c>
      <c r="G10" s="165">
        <v>250.7</v>
      </c>
      <c r="H10" s="165">
        <v>0</v>
      </c>
      <c r="I10" s="165">
        <v>0</v>
      </c>
      <c r="J10" s="165">
        <v>1018.98</v>
      </c>
      <c r="K10" s="165" t="s">
        <v>229</v>
      </c>
      <c r="L10" s="165">
        <v>44.42</v>
      </c>
      <c r="M10" s="165">
        <v>1479049200</v>
      </c>
      <c r="N10" s="165">
        <v>6.89</v>
      </c>
      <c r="O10" s="165">
        <v>241</v>
      </c>
      <c r="P10" s="165">
        <v>2.81</v>
      </c>
      <c r="Q10"/>
    </row>
    <row r="11" spans="1:17" x14ac:dyDescent="0.25">
      <c r="A11" s="165">
        <v>49.22</v>
      </c>
      <c r="B11" s="165">
        <v>0.56999999999999995</v>
      </c>
      <c r="C11" s="165">
        <v>28.64</v>
      </c>
      <c r="D11" s="8">
        <v>42687.375</v>
      </c>
      <c r="E11" s="165">
        <v>0.45</v>
      </c>
      <c r="F11" s="165" t="s">
        <v>361</v>
      </c>
      <c r="G11" s="165">
        <v>251.61</v>
      </c>
      <c r="H11" s="165">
        <v>0</v>
      </c>
      <c r="I11" s="165">
        <v>0</v>
      </c>
      <c r="J11" s="165">
        <v>1018.49</v>
      </c>
      <c r="K11" s="165" t="s">
        <v>229</v>
      </c>
      <c r="L11" s="165">
        <v>49.22</v>
      </c>
      <c r="M11" s="165">
        <v>1479052800</v>
      </c>
      <c r="N11" s="165">
        <v>6.79</v>
      </c>
      <c r="O11" s="165">
        <v>253</v>
      </c>
      <c r="P11" s="165">
        <v>2.93</v>
      </c>
      <c r="Q11"/>
    </row>
    <row r="12" spans="1:17" x14ac:dyDescent="0.25">
      <c r="A12" s="165">
        <v>54.68</v>
      </c>
      <c r="B12" s="165">
        <v>0.75</v>
      </c>
      <c r="C12" s="165">
        <v>30.74</v>
      </c>
      <c r="D12" s="8">
        <v>42687.416666666664</v>
      </c>
      <c r="E12" s="165">
        <v>0.4</v>
      </c>
      <c r="F12" s="165" t="s">
        <v>361</v>
      </c>
      <c r="G12" s="165">
        <v>253.18</v>
      </c>
      <c r="H12" s="165">
        <v>0</v>
      </c>
      <c r="I12" s="165">
        <v>0</v>
      </c>
      <c r="J12" s="165">
        <v>1017.84</v>
      </c>
      <c r="K12" s="165" t="s">
        <v>647</v>
      </c>
      <c r="L12" s="165">
        <v>54.68</v>
      </c>
      <c r="M12" s="165">
        <v>1479056400</v>
      </c>
      <c r="N12" s="165">
        <v>6.79</v>
      </c>
      <c r="O12" s="165">
        <v>297</v>
      </c>
      <c r="P12" s="165">
        <v>2.57</v>
      </c>
      <c r="Q12"/>
    </row>
    <row r="13" spans="1:17" x14ac:dyDescent="0.25">
      <c r="A13" s="165">
        <v>58.74</v>
      </c>
      <c r="B13" s="165">
        <v>0.78</v>
      </c>
      <c r="C13" s="165">
        <v>31.9</v>
      </c>
      <c r="D13" s="8">
        <v>42687.458333333336</v>
      </c>
      <c r="E13" s="165">
        <v>0.36</v>
      </c>
      <c r="F13" s="165" t="s">
        <v>361</v>
      </c>
      <c r="G13" s="165">
        <v>254.66</v>
      </c>
      <c r="H13" s="165">
        <v>0</v>
      </c>
      <c r="I13" s="165">
        <v>0</v>
      </c>
      <c r="J13" s="165">
        <v>1017.35</v>
      </c>
      <c r="K13" s="165" t="s">
        <v>647</v>
      </c>
      <c r="L13" s="165">
        <v>58.74</v>
      </c>
      <c r="M13" s="165">
        <v>1479060000</v>
      </c>
      <c r="N13" s="165">
        <v>6.83</v>
      </c>
      <c r="O13" s="165">
        <v>334</v>
      </c>
      <c r="P13" s="165">
        <v>3.38</v>
      </c>
      <c r="Q13"/>
    </row>
    <row r="14" spans="1:17" x14ac:dyDescent="0.25">
      <c r="A14" s="165">
        <v>63.15</v>
      </c>
      <c r="B14" s="165">
        <v>0.66</v>
      </c>
      <c r="C14" s="165">
        <v>32.53</v>
      </c>
      <c r="D14" s="8">
        <v>42687.5</v>
      </c>
      <c r="E14" s="165">
        <v>0.32</v>
      </c>
      <c r="F14" s="165" t="s">
        <v>361</v>
      </c>
      <c r="G14" s="165">
        <v>255.97</v>
      </c>
      <c r="H14" s="165">
        <v>0</v>
      </c>
      <c r="I14" s="165">
        <v>0</v>
      </c>
      <c r="J14" s="165">
        <v>1016.98</v>
      </c>
      <c r="K14" s="165" t="s">
        <v>647</v>
      </c>
      <c r="L14" s="165">
        <v>63.15</v>
      </c>
      <c r="M14" s="165">
        <v>1479063600</v>
      </c>
      <c r="N14" s="165">
        <v>6.87</v>
      </c>
      <c r="O14" s="165">
        <v>354</v>
      </c>
      <c r="P14" s="165">
        <v>4.2300000000000004</v>
      </c>
      <c r="Q14"/>
    </row>
    <row r="15" spans="1:17" x14ac:dyDescent="0.25">
      <c r="A15" s="165">
        <v>64.510000000000005</v>
      </c>
      <c r="B15" s="165">
        <v>0.46</v>
      </c>
      <c r="C15" s="165">
        <v>30.74</v>
      </c>
      <c r="D15" s="8">
        <v>42687.541666666664</v>
      </c>
      <c r="E15" s="165">
        <v>0.28000000000000003</v>
      </c>
      <c r="F15" s="165" t="s">
        <v>361</v>
      </c>
      <c r="G15" s="165">
        <v>257.19</v>
      </c>
      <c r="H15" s="165">
        <v>0</v>
      </c>
      <c r="I15" s="165">
        <v>0</v>
      </c>
      <c r="J15" s="165">
        <v>1016.69</v>
      </c>
      <c r="K15" s="165" t="s">
        <v>229</v>
      </c>
      <c r="L15" s="165">
        <v>64.510000000000005</v>
      </c>
      <c r="M15" s="165">
        <v>1479067200</v>
      </c>
      <c r="N15" s="165">
        <v>6.91</v>
      </c>
      <c r="O15" s="165">
        <v>353</v>
      </c>
      <c r="P15" s="165">
        <v>4.6500000000000004</v>
      </c>
      <c r="Q15"/>
    </row>
    <row r="16" spans="1:17" x14ac:dyDescent="0.25">
      <c r="A16" s="165">
        <v>64.41</v>
      </c>
      <c r="B16" s="165">
        <v>0.32</v>
      </c>
      <c r="C16" s="165">
        <v>30</v>
      </c>
      <c r="D16" s="8">
        <v>42687.583333333336</v>
      </c>
      <c r="E16" s="165">
        <v>0.27</v>
      </c>
      <c r="F16" s="165" t="s">
        <v>361</v>
      </c>
      <c r="G16" s="165">
        <v>257.76</v>
      </c>
      <c r="H16" s="165">
        <v>0</v>
      </c>
      <c r="I16" s="165">
        <v>0</v>
      </c>
      <c r="J16" s="165">
        <v>1016.59</v>
      </c>
      <c r="K16" s="165" t="s">
        <v>229</v>
      </c>
      <c r="L16" s="165">
        <v>64.41</v>
      </c>
      <c r="M16" s="165">
        <v>1479070800</v>
      </c>
      <c r="N16" s="165">
        <v>6.11</v>
      </c>
      <c r="O16" s="165">
        <v>345</v>
      </c>
      <c r="P16" s="165">
        <v>5.31</v>
      </c>
      <c r="Q16"/>
    </row>
    <row r="17" spans="1:17" x14ac:dyDescent="0.25">
      <c r="A17" s="165">
        <v>64.459999999999994</v>
      </c>
      <c r="B17" s="165">
        <v>0.37</v>
      </c>
      <c r="C17" s="165">
        <v>30.75</v>
      </c>
      <c r="D17" s="8">
        <v>42687.625</v>
      </c>
      <c r="E17" s="165">
        <v>0.28000000000000003</v>
      </c>
      <c r="F17" s="165" t="s">
        <v>361</v>
      </c>
      <c r="G17" s="165">
        <v>257.32</v>
      </c>
      <c r="H17" s="165">
        <v>0</v>
      </c>
      <c r="I17" s="165">
        <v>0</v>
      </c>
      <c r="J17" s="165">
        <v>1016.74</v>
      </c>
      <c r="K17" s="165" t="s">
        <v>229</v>
      </c>
      <c r="L17" s="165">
        <v>64.459999999999994</v>
      </c>
      <c r="M17" s="165">
        <v>1479074400</v>
      </c>
      <c r="N17" s="165">
        <v>6.19</v>
      </c>
      <c r="O17" s="165">
        <v>342</v>
      </c>
      <c r="P17" s="165">
        <v>5.32</v>
      </c>
      <c r="Q17"/>
    </row>
    <row r="18" spans="1:17" x14ac:dyDescent="0.25">
      <c r="A18" s="165">
        <v>61.06</v>
      </c>
      <c r="B18" s="165">
        <v>0.47</v>
      </c>
      <c r="C18" s="165">
        <v>28.08</v>
      </c>
      <c r="D18" s="8">
        <v>42687.666666666664</v>
      </c>
      <c r="E18" s="165">
        <v>0.28000000000000003</v>
      </c>
      <c r="F18" s="165" t="s">
        <v>361</v>
      </c>
      <c r="G18" s="165">
        <v>256.23</v>
      </c>
      <c r="H18" s="165">
        <v>0</v>
      </c>
      <c r="I18" s="165">
        <v>0</v>
      </c>
      <c r="J18" s="165">
        <v>1017.08</v>
      </c>
      <c r="K18" s="165" t="s">
        <v>229</v>
      </c>
      <c r="L18" s="165">
        <v>61.06</v>
      </c>
      <c r="M18" s="165">
        <v>1479078000</v>
      </c>
      <c r="N18" s="165">
        <v>8.39</v>
      </c>
      <c r="O18" s="165">
        <v>333</v>
      </c>
      <c r="P18" s="165">
        <v>4.99</v>
      </c>
      <c r="Q18"/>
    </row>
    <row r="19" spans="1:17" x14ac:dyDescent="0.25">
      <c r="A19" s="165">
        <v>56.89</v>
      </c>
      <c r="B19" s="165">
        <v>0.54</v>
      </c>
      <c r="C19" s="165">
        <v>26.47</v>
      </c>
      <c r="D19" s="8">
        <v>42687.708333333336</v>
      </c>
      <c r="E19" s="165">
        <v>0.31</v>
      </c>
      <c r="F19" s="165" t="s">
        <v>228</v>
      </c>
      <c r="G19" s="165">
        <v>255</v>
      </c>
      <c r="H19" s="165">
        <v>0</v>
      </c>
      <c r="I19" s="165">
        <v>0</v>
      </c>
      <c r="J19" s="165">
        <v>1017.58</v>
      </c>
      <c r="K19" s="165" t="s">
        <v>229</v>
      </c>
      <c r="L19" s="165">
        <v>56.89</v>
      </c>
      <c r="M19" s="165">
        <v>1479081600</v>
      </c>
      <c r="N19" s="165">
        <v>8.6</v>
      </c>
      <c r="O19" s="165">
        <v>329</v>
      </c>
      <c r="P19" s="165">
        <v>3.99</v>
      </c>
      <c r="Q19"/>
    </row>
    <row r="20" spans="1:17" x14ac:dyDescent="0.25">
      <c r="A20" s="165">
        <v>53.03</v>
      </c>
      <c r="B20" s="165">
        <v>0.37</v>
      </c>
      <c r="C20" s="165">
        <v>25.11</v>
      </c>
      <c r="D20" s="8">
        <v>42687.75</v>
      </c>
      <c r="E20" s="165">
        <v>0.34</v>
      </c>
      <c r="F20" s="165" t="s">
        <v>228</v>
      </c>
      <c r="G20" s="165">
        <v>253.82</v>
      </c>
      <c r="H20" s="165">
        <v>0</v>
      </c>
      <c r="I20" s="165">
        <v>0</v>
      </c>
      <c r="J20" s="165">
        <v>1018.17</v>
      </c>
      <c r="K20" s="165" t="s">
        <v>229</v>
      </c>
      <c r="L20" s="165">
        <v>53.03</v>
      </c>
      <c r="M20" s="165">
        <v>1479085200</v>
      </c>
      <c r="N20" s="165">
        <v>8.92</v>
      </c>
      <c r="O20" s="165">
        <v>299</v>
      </c>
      <c r="P20" s="165">
        <v>3.16</v>
      </c>
      <c r="Q20"/>
    </row>
    <row r="21" spans="1:17" x14ac:dyDescent="0.25">
      <c r="A21" s="165">
        <v>51.61</v>
      </c>
      <c r="B21" s="165">
        <v>0.2</v>
      </c>
      <c r="C21" s="165">
        <v>25.43</v>
      </c>
      <c r="D21" s="8">
        <v>42687.791666666664</v>
      </c>
      <c r="E21" s="165">
        <v>0.36</v>
      </c>
      <c r="F21" s="165" t="s">
        <v>232</v>
      </c>
      <c r="G21" s="165">
        <v>252.51</v>
      </c>
      <c r="H21" s="165">
        <v>0</v>
      </c>
      <c r="I21" s="165">
        <v>0</v>
      </c>
      <c r="J21" s="165">
        <v>1019.31</v>
      </c>
      <c r="K21" s="165" t="s">
        <v>233</v>
      </c>
      <c r="L21" s="165">
        <v>51.61</v>
      </c>
      <c r="M21" s="165">
        <v>1479088800</v>
      </c>
      <c r="N21" s="165">
        <v>9.3000000000000007</v>
      </c>
      <c r="O21" s="165">
        <v>264</v>
      </c>
      <c r="P21" s="165">
        <v>2.61</v>
      </c>
      <c r="Q21"/>
    </row>
    <row r="22" spans="1:17" x14ac:dyDescent="0.25">
      <c r="A22" s="165">
        <v>48.99</v>
      </c>
      <c r="B22" s="165">
        <v>0.06</v>
      </c>
      <c r="C22" s="165">
        <v>25.24</v>
      </c>
      <c r="D22" s="8">
        <v>42687.833333333336</v>
      </c>
      <c r="E22" s="165">
        <v>0.39</v>
      </c>
      <c r="F22" s="165" t="s">
        <v>232</v>
      </c>
      <c r="G22" s="165">
        <v>251.04</v>
      </c>
      <c r="H22" s="165">
        <v>0</v>
      </c>
      <c r="I22" s="165">
        <v>0</v>
      </c>
      <c r="J22" s="165">
        <v>1020.32</v>
      </c>
      <c r="K22" s="165" t="s">
        <v>233</v>
      </c>
      <c r="L22" s="165">
        <v>48.99</v>
      </c>
      <c r="M22" s="165">
        <v>1479092400</v>
      </c>
      <c r="N22" s="165">
        <v>9.3800000000000008</v>
      </c>
      <c r="O22" s="165">
        <v>241</v>
      </c>
      <c r="P22" s="165">
        <v>2.38</v>
      </c>
      <c r="Q22"/>
    </row>
    <row r="23" spans="1:17" x14ac:dyDescent="0.25">
      <c r="A23" s="165">
        <v>47.2</v>
      </c>
      <c r="B23" s="165">
        <v>0.05</v>
      </c>
      <c r="C23" s="165">
        <v>24.57</v>
      </c>
      <c r="D23" s="8">
        <v>42687.875</v>
      </c>
      <c r="E23" s="165">
        <v>0.41</v>
      </c>
      <c r="F23" s="165" t="s">
        <v>232</v>
      </c>
      <c r="G23" s="165">
        <v>249.42</v>
      </c>
      <c r="H23" s="165">
        <v>0</v>
      </c>
      <c r="I23" s="165">
        <v>0</v>
      </c>
      <c r="J23" s="165">
        <v>1020.65</v>
      </c>
      <c r="K23" s="165" t="s">
        <v>233</v>
      </c>
      <c r="L23" s="165">
        <v>47.2</v>
      </c>
      <c r="M23" s="165">
        <v>1479096000</v>
      </c>
      <c r="N23" s="165">
        <v>9.0399999999999991</v>
      </c>
      <c r="O23" s="165">
        <v>239</v>
      </c>
      <c r="P23" s="165">
        <v>1.89</v>
      </c>
      <c r="Q23"/>
    </row>
    <row r="24" spans="1:17" x14ac:dyDescent="0.25">
      <c r="A24" s="165">
        <v>45.16</v>
      </c>
      <c r="B24" s="165">
        <v>7.0000000000000007E-2</v>
      </c>
      <c r="C24" s="165">
        <v>24.05</v>
      </c>
      <c r="D24" s="8">
        <v>42687.916666666664</v>
      </c>
      <c r="E24" s="165">
        <v>0.43</v>
      </c>
      <c r="F24" s="165" t="s">
        <v>232</v>
      </c>
      <c r="G24" s="165">
        <v>247.65</v>
      </c>
      <c r="H24" s="165">
        <v>0</v>
      </c>
      <c r="I24" s="165">
        <v>0</v>
      </c>
      <c r="J24" s="165">
        <v>1020.67</v>
      </c>
      <c r="K24" s="165" t="s">
        <v>233</v>
      </c>
      <c r="L24" s="165">
        <v>45.16</v>
      </c>
      <c r="M24" s="165">
        <v>1479099600</v>
      </c>
      <c r="N24" s="165">
        <v>9.06</v>
      </c>
      <c r="O24" s="165">
        <v>225</v>
      </c>
      <c r="P24" s="165">
        <v>1.92</v>
      </c>
      <c r="Q24"/>
    </row>
    <row r="25" spans="1:17" x14ac:dyDescent="0.25">
      <c r="A25" s="165">
        <v>43.11</v>
      </c>
      <c r="B25" s="165">
        <v>0.03</v>
      </c>
      <c r="C25" s="165">
        <v>22.78</v>
      </c>
      <c r="D25" s="8">
        <v>42687.958333333336</v>
      </c>
      <c r="E25" s="165">
        <v>0.44</v>
      </c>
      <c r="F25" s="165" t="s">
        <v>232</v>
      </c>
      <c r="G25" s="165">
        <v>245.75</v>
      </c>
      <c r="H25" s="165">
        <v>0</v>
      </c>
      <c r="I25" s="165">
        <v>0</v>
      </c>
      <c r="J25" s="165">
        <v>1020.87</v>
      </c>
      <c r="K25" s="165" t="s">
        <v>233</v>
      </c>
      <c r="L25" s="165">
        <v>43.11</v>
      </c>
      <c r="M25" s="165">
        <v>1479103200</v>
      </c>
      <c r="N25" s="165">
        <v>9.25</v>
      </c>
      <c r="O25" s="165">
        <v>212</v>
      </c>
      <c r="P25" s="165">
        <v>2.79</v>
      </c>
      <c r="Q25"/>
    </row>
    <row r="26" spans="1:17" x14ac:dyDescent="0.25">
      <c r="A26" s="165">
        <v>38.28</v>
      </c>
      <c r="B26" s="165">
        <v>0</v>
      </c>
      <c r="C26" s="165">
        <v>22.44</v>
      </c>
      <c r="D26" s="8">
        <v>42688</v>
      </c>
      <c r="E26" s="165">
        <v>0.48</v>
      </c>
      <c r="F26" s="165" t="s">
        <v>232</v>
      </c>
      <c r="G26" s="165">
        <v>243.62</v>
      </c>
      <c r="H26" s="165">
        <v>0</v>
      </c>
      <c r="I26" s="165">
        <v>0</v>
      </c>
      <c r="J26" s="165">
        <v>1021.62</v>
      </c>
      <c r="K26" s="165" t="s">
        <v>233</v>
      </c>
      <c r="L26" s="165">
        <v>40.380000000000003</v>
      </c>
      <c r="M26" s="165">
        <v>1479106800</v>
      </c>
      <c r="N26" s="165">
        <v>9.3800000000000008</v>
      </c>
      <c r="O26" s="165">
        <v>228</v>
      </c>
      <c r="P26" s="165">
        <v>3.47</v>
      </c>
      <c r="Q26"/>
    </row>
    <row r="27" spans="1:17" x14ac:dyDescent="0.25">
      <c r="A27" s="165">
        <v>37.619999999999997</v>
      </c>
      <c r="B27" s="165">
        <v>0.01</v>
      </c>
      <c r="C27" s="165">
        <v>21.81</v>
      </c>
      <c r="D27" s="8">
        <v>42688.041666666664</v>
      </c>
      <c r="E27" s="165">
        <v>0.49</v>
      </c>
      <c r="F27" s="165" t="s">
        <v>232</v>
      </c>
      <c r="G27" s="165">
        <v>241.49</v>
      </c>
      <c r="H27" s="165">
        <v>0</v>
      </c>
      <c r="I27" s="165">
        <v>0</v>
      </c>
      <c r="J27" s="165">
        <v>1022.27</v>
      </c>
      <c r="K27" s="165" t="s">
        <v>233</v>
      </c>
      <c r="L27" s="165">
        <v>39.56</v>
      </c>
      <c r="M27" s="165">
        <v>1479110400</v>
      </c>
      <c r="N27" s="165">
        <v>9.2899999999999991</v>
      </c>
      <c r="O27" s="165">
        <v>220</v>
      </c>
      <c r="P27" s="165">
        <v>3.22</v>
      </c>
      <c r="Q27"/>
    </row>
    <row r="28" spans="1:17" x14ac:dyDescent="0.25">
      <c r="A28" s="165">
        <v>37.450000000000003</v>
      </c>
      <c r="B28" s="165">
        <v>0.01</v>
      </c>
      <c r="C28" s="165">
        <v>22.32</v>
      </c>
      <c r="D28" s="8">
        <v>42688.083333333336</v>
      </c>
      <c r="E28" s="165">
        <v>0.5</v>
      </c>
      <c r="F28" s="165" t="s">
        <v>232</v>
      </c>
      <c r="G28" s="165">
        <v>239.36</v>
      </c>
      <c r="H28" s="165">
        <v>0</v>
      </c>
      <c r="I28" s="165">
        <v>0</v>
      </c>
      <c r="J28" s="165">
        <v>1022.79</v>
      </c>
      <c r="K28" s="165" t="s">
        <v>233</v>
      </c>
      <c r="L28" s="165">
        <v>39.229999999999997</v>
      </c>
      <c r="M28" s="165">
        <v>1479114000</v>
      </c>
      <c r="N28" s="165">
        <v>8.36</v>
      </c>
      <c r="O28" s="165">
        <v>223</v>
      </c>
      <c r="P28" s="165">
        <v>3.04</v>
      </c>
      <c r="Q28"/>
    </row>
    <row r="29" spans="1:17" x14ac:dyDescent="0.25">
      <c r="A29" s="165">
        <v>35.799999999999997</v>
      </c>
      <c r="B29" s="165">
        <v>0.02</v>
      </c>
      <c r="C29" s="165">
        <v>20.83</v>
      </c>
      <c r="D29" s="8">
        <v>42688.125</v>
      </c>
      <c r="E29" s="165">
        <v>0.5</v>
      </c>
      <c r="F29" s="165" t="s">
        <v>232</v>
      </c>
      <c r="G29" s="165">
        <v>238.53</v>
      </c>
      <c r="H29" s="165">
        <v>0</v>
      </c>
      <c r="I29" s="165">
        <v>0</v>
      </c>
      <c r="J29" s="165">
        <v>1022.99</v>
      </c>
      <c r="K29" s="165" t="s">
        <v>233</v>
      </c>
      <c r="L29" s="165">
        <v>37.840000000000003</v>
      </c>
      <c r="M29" s="165">
        <v>1479117600</v>
      </c>
      <c r="N29" s="165">
        <v>8.98</v>
      </c>
      <c r="O29" s="165">
        <v>223</v>
      </c>
      <c r="P29" s="165">
        <v>3.1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3" t="s">
        <v>213</v>
      </c>
    </row>
    <row r="33" spans="1:1" x14ac:dyDescent="0.25">
      <c r="A33" s="133" t="s"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7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42687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215</v>
      </c>
      <c r="J17" s="33"/>
      <c r="K17" s="34"/>
      <c r="L17" s="34"/>
    </row>
    <row r="18" spans="3:13" x14ac:dyDescent="0.25">
      <c r="C18" t="s">
        <v>780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781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782</v>
      </c>
      <c r="J20" t="s">
        <v>87</v>
      </c>
      <c r="M20" s="68" t="s">
        <v>276</v>
      </c>
    </row>
    <row r="21" spans="3:13" x14ac:dyDescent="0.25">
      <c r="C21" t="s">
        <v>783</v>
      </c>
      <c r="J21" s="21" t="s">
        <v>90</v>
      </c>
      <c r="K21" s="21" t="s">
        <v>91</v>
      </c>
      <c r="M21" s="68" t="s">
        <v>186</v>
      </c>
    </row>
    <row r="22" spans="3:13" x14ac:dyDescent="0.25">
      <c r="C22" t="s">
        <v>784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785</v>
      </c>
      <c r="J23" s="29" t="s">
        <v>95</v>
      </c>
      <c r="K23" s="21"/>
      <c r="M23" s="69">
        <v>-7</v>
      </c>
    </row>
    <row r="24" spans="3:13" x14ac:dyDescent="0.25">
      <c r="C24" t="s">
        <v>786</v>
      </c>
      <c r="J24" s="21" t="s">
        <v>108</v>
      </c>
      <c r="K24" s="21"/>
      <c r="M24" s="68" t="s">
        <v>110</v>
      </c>
    </row>
    <row r="25" spans="3:13" x14ac:dyDescent="0.25">
      <c r="C25" t="s">
        <v>787</v>
      </c>
      <c r="J25" t="s">
        <v>151</v>
      </c>
      <c r="M25" s="68" t="b">
        <v>1</v>
      </c>
    </row>
    <row r="26" spans="3:13" x14ac:dyDescent="0.25">
      <c r="C26" t="s">
        <v>788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C:\Users\stu\Documents\GitHub\eaglep3-reporting\EC\2016-11-13-refined-times.txt</v>
      </c>
    </row>
    <row r="27" spans="3:13" x14ac:dyDescent="0.25">
      <c r="C27" t="s">
        <v>789</v>
      </c>
      <c r="J27" t="s">
        <v>193</v>
      </c>
      <c r="M27" s="68" t="str">
        <f>"C:\Users\stu\Documents\GitHub\eaglep3-reporting\EC\"&amp;TEXT(A2,"YYYY-MM-DD")&amp;"-Enforcements.txt"</f>
        <v>C:\Users\stu\Documents\GitHub\eaglep3-reporting\EC\2016-11-13-Enforcements.txt</v>
      </c>
    </row>
    <row r="28" spans="3:13" x14ac:dyDescent="0.25">
      <c r="J28" t="s">
        <v>194</v>
      </c>
      <c r="M28" s="106" t="str">
        <f>"C:\Users\stu\Documents\GitHub\eaglep3-reporting\EC\"&amp;TEXT(A2,"YYYY-MM-DD")&amp;"-Runs-Refined.txt"</f>
        <v>C:\Users\stu\Documents\GitHub\eaglep3-reporting\EC\2016-11-13-Runs-Refined.txt</v>
      </c>
    </row>
    <row r="29" spans="3:13" x14ac:dyDescent="0.25">
      <c r="J29" t="s">
        <v>195</v>
      </c>
      <c r="M29" s="106" t="str">
        <f>"C:\Users\stu\Documents\GitHub\eaglep3-reporting\EC\"&amp;TEXT(A2,"YYYY-MM-DD")&amp;"-Trips.txt"</f>
        <v>C:\Users\stu\Documents\GitHub\eaglep3-reporting\EC\2016-11-13-Trips.txt</v>
      </c>
    </row>
    <row r="30" spans="3:13" x14ac:dyDescent="0.25">
      <c r="J30" t="s">
        <v>196</v>
      </c>
      <c r="M30" s="106" t="str">
        <f>"C:\Users\stu\Documents\GitHub\eaglep3-reporting\EC\"&amp;TEXT(A2,"YYYY-MM-DD")&amp;"-Weather.txt"</f>
        <v>C:\Users\stu\Documents\GitHub\eaglep3-reporting\EC\2016-11-13-Weather.txt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178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179</v>
      </c>
    </row>
    <row r="15" spans="1:11" x14ac:dyDescent="0.25">
      <c r="C15" s="116" t="s">
        <v>241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2016-11-15T18:53:34Z</dcterms:modified>
</cp:coreProperties>
</file>