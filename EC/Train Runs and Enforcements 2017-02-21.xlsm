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Enforcements!$A$6:$AC$56</definedName>
    <definedName name="_xlnm._FilterDatabase" localSheetId="2" hidden="1">'Missing Trips'!$A$2:$J$116</definedName>
    <definedName name="_xlnm._FilterDatabase" localSheetId="0" hidden="1">'Train Runs'!$A$12:$AG$252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Runs'!$A$12:$J$51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63" i="1" l="1"/>
  <c r="K62" i="1"/>
  <c r="L62" i="1"/>
  <c r="M62" i="1"/>
  <c r="V62" i="1"/>
  <c r="Y62" i="1"/>
  <c r="Z62" i="1"/>
  <c r="AA62" i="1" s="1"/>
  <c r="AB62" i="1"/>
  <c r="AC62" i="1"/>
  <c r="AD62" i="1"/>
  <c r="T62" i="1" s="1"/>
  <c r="AE62" i="1"/>
  <c r="AF62" i="1"/>
  <c r="AH62" i="1"/>
  <c r="AM62" i="1"/>
  <c r="AN62" i="1"/>
  <c r="X15" i="1"/>
  <c r="K14" i="1"/>
  <c r="L14" i="1"/>
  <c r="M14" i="1"/>
  <c r="V14" i="1"/>
  <c r="AA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S23" i="3" s="1"/>
  <c r="Y16" i="1"/>
  <c r="Z16" i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P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V21" i="1"/>
  <c r="Y21" i="1"/>
  <c r="Z21" i="1"/>
  <c r="AA21" i="1" s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S16" i="3" s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R24" i="3" s="1"/>
  <c r="AF23" i="1"/>
  <c r="AG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R8" i="3" s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R17" i="3" s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AM41" i="1"/>
  <c r="AN41" i="1"/>
  <c r="K42" i="1"/>
  <c r="L42" i="1"/>
  <c r="M42" i="1"/>
  <c r="N42" i="1" s="1"/>
  <c r="V42" i="1"/>
  <c r="S19" i="3" s="1"/>
  <c r="Y42" i="1"/>
  <c r="Z42" i="1"/>
  <c r="AB42" i="1"/>
  <c r="AC42" i="1"/>
  <c r="AD42" i="1"/>
  <c r="AE42" i="1"/>
  <c r="R19" i="3" s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AM46" i="1"/>
  <c r="AN46" i="1"/>
  <c r="K47" i="1"/>
  <c r="L47" i="1"/>
  <c r="M47" i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V65" i="1"/>
  <c r="S22" i="3" s="1"/>
  <c r="Y65" i="1"/>
  <c r="Z65" i="1"/>
  <c r="AB65" i="1"/>
  <c r="AC65" i="1"/>
  <c r="AD65" i="1"/>
  <c r="AG65" i="1" s="1"/>
  <c r="AE65" i="1"/>
  <c r="R22" i="3" s="1"/>
  <c r="AF65" i="1"/>
  <c r="AH65" i="1"/>
  <c r="AM65" i="1"/>
  <c r="AN65" i="1"/>
  <c r="K66" i="1"/>
  <c r="L66" i="1"/>
  <c r="M66" i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P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 s="1"/>
  <c r="V70" i="1"/>
  <c r="S20" i="3" s="1"/>
  <c r="Y70" i="1"/>
  <c r="Z70" i="1"/>
  <c r="AB70" i="1"/>
  <c r="AC70" i="1"/>
  <c r="AD70" i="1"/>
  <c r="AE70" i="1"/>
  <c r="R20" i="3" s="1"/>
  <c r="AF70" i="1"/>
  <c r="AH70" i="1"/>
  <c r="AM70" i="1"/>
  <c r="AN70" i="1"/>
  <c r="K71" i="1"/>
  <c r="L71" i="1"/>
  <c r="M71" i="1"/>
  <c r="N71" i="1" s="1"/>
  <c r="V71" i="1"/>
  <c r="S26" i="3" s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S28" i="3" s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X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S18" i="3" s="1"/>
  <c r="Y113" i="1"/>
  <c r="Z113" i="1"/>
  <c r="AB113" i="1"/>
  <c r="AC113" i="1"/>
  <c r="AD113" i="1"/>
  <c r="AE113" i="1"/>
  <c r="R18" i="3" s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30" i="1"/>
  <c r="AM130" i="1"/>
  <c r="AN130" i="1"/>
  <c r="K131" i="1"/>
  <c r="L131" i="1"/>
  <c r="M131" i="1"/>
  <c r="N131" i="1" s="1"/>
  <c r="V131" i="1"/>
  <c r="S13" i="3" s="1"/>
  <c r="Y131" i="1"/>
  <c r="Z131" i="1"/>
  <c r="AB131" i="1"/>
  <c r="AC131" i="1"/>
  <c r="AD131" i="1"/>
  <c r="AE131" i="1"/>
  <c r="R13" i="3" s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A141" i="1" s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AM148" i="1"/>
  <c r="AN148" i="1"/>
  <c r="K149" i="1"/>
  <c r="L149" i="1"/>
  <c r="M149" i="1"/>
  <c r="N149" i="1" s="1"/>
  <c r="V149" i="1"/>
  <c r="S14" i="3" s="1"/>
  <c r="Y149" i="1"/>
  <c r="Z149" i="1"/>
  <c r="AB149" i="1"/>
  <c r="AC149" i="1"/>
  <c r="AD149" i="1"/>
  <c r="T149" i="1" s="1"/>
  <c r="AE149" i="1"/>
  <c r="R14" i="3" s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S10" i="3" s="1"/>
  <c r="Y152" i="1"/>
  <c r="Z152" i="1"/>
  <c r="AB152" i="1"/>
  <c r="AC152" i="1"/>
  <c r="AD152" i="1"/>
  <c r="AE152" i="1"/>
  <c r="R10" i="3" s="1"/>
  <c r="AF152" i="1"/>
  <c r="AH152" i="1"/>
  <c r="AM152" i="1"/>
  <c r="AN152" i="1"/>
  <c r="K153" i="1"/>
  <c r="L153" i="1"/>
  <c r="M153" i="1"/>
  <c r="N153" i="1" s="1"/>
  <c r="V153" i="1"/>
  <c r="S27" i="3" s="1"/>
  <c r="Y153" i="1"/>
  <c r="Z153" i="1"/>
  <c r="AB153" i="1"/>
  <c r="AC153" i="1"/>
  <c r="AD153" i="1"/>
  <c r="AE153" i="1"/>
  <c r="R27" i="3" s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157" i="1"/>
  <c r="L157" i="1"/>
  <c r="M157" i="1"/>
  <c r="N157" i="1" s="1"/>
  <c r="V157" i="1"/>
  <c r="S15" i="3" s="1"/>
  <c r="Y157" i="1"/>
  <c r="Z157" i="1"/>
  <c r="AB157" i="1"/>
  <c r="AC157" i="1"/>
  <c r="AD157" i="1"/>
  <c r="T157" i="1" s="1"/>
  <c r="AE157" i="1"/>
  <c r="R15" i="3" s="1"/>
  <c r="AF157" i="1"/>
  <c r="AH157" i="1"/>
  <c r="AM157" i="1"/>
  <c r="AN157" i="1"/>
  <c r="K158" i="1"/>
  <c r="L158" i="1"/>
  <c r="M158" i="1"/>
  <c r="N158" i="1" s="1"/>
  <c r="V158" i="1"/>
  <c r="S11" i="3" s="1"/>
  <c r="Y158" i="1"/>
  <c r="Z158" i="1"/>
  <c r="AB158" i="1"/>
  <c r="AC158" i="1"/>
  <c r="AD158" i="1"/>
  <c r="AG158" i="1" s="1"/>
  <c r="AE158" i="1"/>
  <c r="AF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/>
  <c r="V213" i="1"/>
  <c r="Y213" i="1"/>
  <c r="Z213" i="1"/>
  <c r="AB213" i="1"/>
  <c r="AC213" i="1"/>
  <c r="AD213" i="1"/>
  <c r="AG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X215" i="1" s="1"/>
  <c r="AE214" i="1"/>
  <c r="AF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7" i="1"/>
  <c r="AM167" i="1"/>
  <c r="AN167" i="1"/>
  <c r="K216" i="1"/>
  <c r="L216" i="1"/>
  <c r="M216" i="1"/>
  <c r="N216" i="1" s="1"/>
  <c r="V216" i="1"/>
  <c r="Y216" i="1"/>
  <c r="Z216" i="1"/>
  <c r="AB216" i="1"/>
  <c r="AC216" i="1"/>
  <c r="AD216" i="1"/>
  <c r="X216" i="1" s="1"/>
  <c r="AE216" i="1"/>
  <c r="AF216" i="1"/>
  <c r="AH168" i="1"/>
  <c r="AM168" i="1"/>
  <c r="AN168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G217" i="1"/>
  <c r="AH169" i="1"/>
  <c r="AM169" i="1"/>
  <c r="AN169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0" i="1"/>
  <c r="AM170" i="1"/>
  <c r="AN170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171" i="1"/>
  <c r="AM171" i="1"/>
  <c r="AN171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2" i="1"/>
  <c r="AM172" i="1"/>
  <c r="AN172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6" i="1"/>
  <c r="AM176" i="1"/>
  <c r="AN176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7" i="1"/>
  <c r="AM177" i="1"/>
  <c r="AN177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8" i="1"/>
  <c r="AM178" i="1"/>
  <c r="AN178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79" i="1"/>
  <c r="AM179" i="1"/>
  <c r="AN179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80" i="1"/>
  <c r="AM180" i="1"/>
  <c r="AN180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81" i="1"/>
  <c r="AM181" i="1"/>
  <c r="AN181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82" i="1"/>
  <c r="AM182" i="1"/>
  <c r="AN182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3" i="1"/>
  <c r="AM183" i="1"/>
  <c r="AN183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4" i="1"/>
  <c r="AM184" i="1"/>
  <c r="AN184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85" i="1"/>
  <c r="AM185" i="1"/>
  <c r="AN185" i="1"/>
  <c r="AH186" i="1"/>
  <c r="AM186" i="1"/>
  <c r="AN186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87" i="1"/>
  <c r="AM187" i="1"/>
  <c r="AN187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88" i="1"/>
  <c r="AM188" i="1"/>
  <c r="AN188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89" i="1"/>
  <c r="AM189" i="1"/>
  <c r="AN189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90" i="1"/>
  <c r="AM190" i="1"/>
  <c r="AN190" i="1"/>
  <c r="K171" i="1"/>
  <c r="L171" i="1"/>
  <c r="M171" i="1"/>
  <c r="N171" i="1" s="1"/>
  <c r="V171" i="1"/>
  <c r="S44" i="3" s="1"/>
  <c r="Y171" i="1"/>
  <c r="Z171" i="1"/>
  <c r="AB171" i="1"/>
  <c r="AC171" i="1"/>
  <c r="AD171" i="1"/>
  <c r="AG171" i="1" s="1"/>
  <c r="AE171" i="1"/>
  <c r="AF171" i="1"/>
  <c r="AH191" i="1"/>
  <c r="AM191" i="1"/>
  <c r="AN191" i="1"/>
  <c r="K172" i="1"/>
  <c r="L172" i="1"/>
  <c r="M172" i="1"/>
  <c r="N172" i="1" s="1"/>
  <c r="V172" i="1"/>
  <c r="S37" i="3" s="1"/>
  <c r="Y172" i="1"/>
  <c r="Z172" i="1"/>
  <c r="AB172" i="1"/>
  <c r="AC172" i="1"/>
  <c r="AD172" i="1"/>
  <c r="T172" i="1" s="1"/>
  <c r="AE172" i="1"/>
  <c r="R37" i="3" s="1"/>
  <c r="AF172" i="1"/>
  <c r="AH192" i="1"/>
  <c r="AM192" i="1"/>
  <c r="AN192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3" i="1"/>
  <c r="AM193" i="1"/>
  <c r="AN193" i="1"/>
  <c r="K174" i="1"/>
  <c r="L174" i="1"/>
  <c r="M174" i="1"/>
  <c r="N174" i="1" s="1"/>
  <c r="V174" i="1"/>
  <c r="S39" i="3" s="1"/>
  <c r="Y174" i="1"/>
  <c r="Z174" i="1"/>
  <c r="AB174" i="1"/>
  <c r="AC174" i="1"/>
  <c r="AD174" i="1"/>
  <c r="AE174" i="1"/>
  <c r="R38" i="3" s="1"/>
  <c r="AF174" i="1"/>
  <c r="AH194" i="1"/>
  <c r="AM194" i="1"/>
  <c r="AN194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195" i="1"/>
  <c r="AM195" i="1"/>
  <c r="AN195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96" i="1"/>
  <c r="AM196" i="1"/>
  <c r="AN196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7" i="1"/>
  <c r="AM197" i="1"/>
  <c r="AN197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98" i="1"/>
  <c r="AM198" i="1"/>
  <c r="AN198" i="1"/>
  <c r="K179" i="1"/>
  <c r="L179" i="1"/>
  <c r="M179" i="1"/>
  <c r="N179" i="1" s="1"/>
  <c r="V179" i="1"/>
  <c r="S33" i="3" s="1"/>
  <c r="Y179" i="1"/>
  <c r="Z179" i="1"/>
  <c r="AB179" i="1"/>
  <c r="AC179" i="1"/>
  <c r="AD179" i="1"/>
  <c r="AG179" i="1" s="1"/>
  <c r="AE179" i="1"/>
  <c r="R33" i="3" s="1"/>
  <c r="AF179" i="1"/>
  <c r="AH199" i="1"/>
  <c r="AM199" i="1"/>
  <c r="AN199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00" i="1"/>
  <c r="AM200" i="1"/>
  <c r="AN20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1" i="1"/>
  <c r="AM201" i="1"/>
  <c r="AN201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02" i="1"/>
  <c r="AM202" i="1"/>
  <c r="AN202" i="1"/>
  <c r="K183" i="1"/>
  <c r="L183" i="1"/>
  <c r="M183" i="1"/>
  <c r="N183" i="1" s="1"/>
  <c r="V183" i="1"/>
  <c r="S34" i="3" s="1"/>
  <c r="Y183" i="1"/>
  <c r="Z183" i="1"/>
  <c r="AB183" i="1"/>
  <c r="AC183" i="1"/>
  <c r="AD183" i="1"/>
  <c r="AG183" i="1" s="1"/>
  <c r="AE183" i="1"/>
  <c r="R34" i="3" s="1"/>
  <c r="AF183" i="1"/>
  <c r="AH203" i="1"/>
  <c r="AM203" i="1"/>
  <c r="AN20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4" i="1"/>
  <c r="AM204" i="1"/>
  <c r="AN204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05" i="1"/>
  <c r="AM205" i="1"/>
  <c r="AN205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06" i="1"/>
  <c r="AM206" i="1"/>
  <c r="AN206" i="1"/>
  <c r="K187" i="1"/>
  <c r="L187" i="1"/>
  <c r="M187" i="1"/>
  <c r="N187" i="1" s="1"/>
  <c r="V187" i="1"/>
  <c r="S45" i="3" s="1"/>
  <c r="Y187" i="1"/>
  <c r="Z187" i="1"/>
  <c r="AB187" i="1"/>
  <c r="AC187" i="1"/>
  <c r="AD187" i="1"/>
  <c r="AG187" i="1" s="1"/>
  <c r="AE187" i="1"/>
  <c r="R32" i="3" s="1"/>
  <c r="AF187" i="1"/>
  <c r="AH207" i="1"/>
  <c r="AM207" i="1"/>
  <c r="AN207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08" i="1"/>
  <c r="AM208" i="1"/>
  <c r="AN208" i="1"/>
  <c r="K189" i="1"/>
  <c r="L189" i="1"/>
  <c r="M189" i="1"/>
  <c r="N189" i="1" s="1"/>
  <c r="V189" i="1"/>
  <c r="S31" i="3" s="1"/>
  <c r="Y189" i="1"/>
  <c r="Z189" i="1"/>
  <c r="AB189" i="1"/>
  <c r="AC189" i="1"/>
  <c r="AD189" i="1"/>
  <c r="T189" i="1" s="1"/>
  <c r="AE189" i="1"/>
  <c r="R31" i="3" s="1"/>
  <c r="AF189" i="1"/>
  <c r="AH209" i="1"/>
  <c r="AM209" i="1"/>
  <c r="AN209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10" i="1"/>
  <c r="AM210" i="1"/>
  <c r="AN210" i="1"/>
  <c r="K191" i="1"/>
  <c r="L191" i="1"/>
  <c r="M191" i="1"/>
  <c r="N191" i="1" s="1"/>
  <c r="V191" i="1"/>
  <c r="S46" i="3" s="1"/>
  <c r="Y191" i="1"/>
  <c r="Z191" i="1"/>
  <c r="AB191" i="1"/>
  <c r="AC191" i="1"/>
  <c r="AD191" i="1"/>
  <c r="AG191" i="1" s="1"/>
  <c r="AE191" i="1"/>
  <c r="R46" i="3" s="1"/>
  <c r="AF191" i="1"/>
  <c r="AH211" i="1"/>
  <c r="AM211" i="1"/>
  <c r="AN211" i="1"/>
  <c r="K192" i="1"/>
  <c r="L192" i="1"/>
  <c r="M192" i="1"/>
  <c r="N192" i="1" s="1"/>
  <c r="V192" i="1"/>
  <c r="S40" i="3" s="1"/>
  <c r="Y192" i="1"/>
  <c r="Z192" i="1"/>
  <c r="AB192" i="1"/>
  <c r="AC192" i="1"/>
  <c r="AD192" i="1"/>
  <c r="T192" i="1" s="1"/>
  <c r="AE192" i="1"/>
  <c r="R36" i="3" s="1"/>
  <c r="AF192" i="1"/>
  <c r="AH212" i="1"/>
  <c r="AM212" i="1"/>
  <c r="AN212" i="1"/>
  <c r="K193" i="1"/>
  <c r="L193" i="1"/>
  <c r="M193" i="1"/>
  <c r="N193" i="1" s="1"/>
  <c r="V193" i="1"/>
  <c r="S49" i="3" s="1"/>
  <c r="Y193" i="1"/>
  <c r="Z193" i="1"/>
  <c r="AB193" i="1"/>
  <c r="AC193" i="1"/>
  <c r="AD193" i="1"/>
  <c r="AE193" i="1"/>
  <c r="R35" i="3" s="1"/>
  <c r="AF193" i="1"/>
  <c r="AH213" i="1"/>
  <c r="AM213" i="1"/>
  <c r="AN21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4" i="1"/>
  <c r="AM214" i="1"/>
  <c r="AN214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5" i="1"/>
  <c r="AM215" i="1"/>
  <c r="AN215" i="1"/>
  <c r="K196" i="1"/>
  <c r="L196" i="1"/>
  <c r="M196" i="1"/>
  <c r="N196" i="1" s="1"/>
  <c r="V196" i="1"/>
  <c r="S41" i="3" s="1"/>
  <c r="Y196" i="1"/>
  <c r="Z196" i="1"/>
  <c r="AB196" i="1"/>
  <c r="AC196" i="1"/>
  <c r="AD196" i="1"/>
  <c r="T196" i="1" s="1"/>
  <c r="AE196" i="1"/>
  <c r="R41" i="3" s="1"/>
  <c r="AF196" i="1"/>
  <c r="AH216" i="1"/>
  <c r="AM216" i="1"/>
  <c r="AN216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17" i="1"/>
  <c r="AM217" i="1"/>
  <c r="AN217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18" i="1"/>
  <c r="AM218" i="1"/>
  <c r="AN218" i="1"/>
  <c r="K199" i="1"/>
  <c r="L199" i="1"/>
  <c r="M199" i="1"/>
  <c r="N199" i="1" s="1"/>
  <c r="V199" i="1"/>
  <c r="S30" i="3" s="1"/>
  <c r="Y199" i="1"/>
  <c r="Z199" i="1"/>
  <c r="AB199" i="1"/>
  <c r="AC199" i="1"/>
  <c r="AD199" i="1"/>
  <c r="T199" i="1" s="1"/>
  <c r="AE199" i="1"/>
  <c r="R30" i="3" s="1"/>
  <c r="AF199" i="1"/>
  <c r="AH219" i="1"/>
  <c r="AM219" i="1"/>
  <c r="AN219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20" i="1"/>
  <c r="AM220" i="1"/>
  <c r="AN220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21" i="1"/>
  <c r="AM221" i="1"/>
  <c r="AN221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22" i="1"/>
  <c r="AM222" i="1"/>
  <c r="AN222" i="1"/>
  <c r="K203" i="1"/>
  <c r="L203" i="1"/>
  <c r="M203" i="1"/>
  <c r="N203" i="1" s="1"/>
  <c r="V203" i="1"/>
  <c r="Y203" i="1"/>
  <c r="Z203" i="1"/>
  <c r="AA203" i="1" s="1"/>
  <c r="AB203" i="1"/>
  <c r="AC203" i="1"/>
  <c r="AD203" i="1"/>
  <c r="T203" i="1" s="1"/>
  <c r="AE203" i="1"/>
  <c r="AF203" i="1"/>
  <c r="AH223" i="1"/>
  <c r="AM223" i="1"/>
  <c r="AN223" i="1"/>
  <c r="K204" i="1"/>
  <c r="L204" i="1"/>
  <c r="M204" i="1"/>
  <c r="N204" i="1" s="1"/>
  <c r="V204" i="1"/>
  <c r="S43" i="3" s="1"/>
  <c r="Y204" i="1"/>
  <c r="Z204" i="1"/>
  <c r="AB204" i="1"/>
  <c r="AC204" i="1"/>
  <c r="AD204" i="1"/>
  <c r="AE204" i="1"/>
  <c r="R43" i="3" s="1"/>
  <c r="AF204" i="1"/>
  <c r="AH224" i="1"/>
  <c r="AM224" i="1"/>
  <c r="AN224" i="1"/>
  <c r="K205" i="1"/>
  <c r="L205" i="1"/>
  <c r="M205" i="1"/>
  <c r="N205" i="1" s="1"/>
  <c r="V205" i="1"/>
  <c r="S50" i="3" s="1"/>
  <c r="Y205" i="1"/>
  <c r="Z205" i="1"/>
  <c r="AB205" i="1"/>
  <c r="AC205" i="1"/>
  <c r="AD205" i="1"/>
  <c r="T205" i="1" s="1"/>
  <c r="AE205" i="1"/>
  <c r="R50" i="3" s="1"/>
  <c r="AF205" i="1"/>
  <c r="AH225" i="1"/>
  <c r="AM225" i="1"/>
  <c r="AN225" i="1"/>
  <c r="K206" i="1"/>
  <c r="L206" i="1"/>
  <c r="M206" i="1"/>
  <c r="N206" i="1" s="1"/>
  <c r="V206" i="1"/>
  <c r="S51" i="3" s="1"/>
  <c r="Y206" i="1"/>
  <c r="Z206" i="1"/>
  <c r="AB206" i="1"/>
  <c r="AC206" i="1"/>
  <c r="AD206" i="1"/>
  <c r="T206" i="1" s="1"/>
  <c r="AE206" i="1"/>
  <c r="R51" i="3" s="1"/>
  <c r="AF206" i="1"/>
  <c r="AH226" i="1"/>
  <c r="AM226" i="1"/>
  <c r="AN226" i="1"/>
  <c r="K219" i="1"/>
  <c r="L219" i="1"/>
  <c r="M219" i="1"/>
  <c r="N219" i="1" s="1"/>
  <c r="V219" i="1"/>
  <c r="Y219" i="1"/>
  <c r="Z219" i="1"/>
  <c r="AA219" i="1" s="1"/>
  <c r="AB219" i="1"/>
  <c r="AC219" i="1"/>
  <c r="AD219" i="1"/>
  <c r="T219" i="1" s="1"/>
  <c r="AE219" i="1"/>
  <c r="AF219" i="1"/>
  <c r="AH227" i="1"/>
  <c r="AM227" i="1"/>
  <c r="AN227" i="1"/>
  <c r="K220" i="1"/>
  <c r="L220" i="1"/>
  <c r="M220" i="1"/>
  <c r="N220" i="1" s="1"/>
  <c r="V220" i="1"/>
  <c r="Y220" i="1"/>
  <c r="Z220" i="1"/>
  <c r="AA220" i="1" s="1"/>
  <c r="AB220" i="1"/>
  <c r="AC220" i="1"/>
  <c r="AD220" i="1"/>
  <c r="T220" i="1" s="1"/>
  <c r="AE220" i="1"/>
  <c r="AF220" i="1"/>
  <c r="AG220" i="1"/>
  <c r="AH228" i="1"/>
  <c r="AM228" i="1"/>
  <c r="AN228" i="1"/>
  <c r="K221" i="1"/>
  <c r="L221" i="1"/>
  <c r="M221" i="1"/>
  <c r="N221" i="1" s="1"/>
  <c r="V221" i="1"/>
  <c r="Y221" i="1"/>
  <c r="Z221" i="1"/>
  <c r="AB221" i="1"/>
  <c r="AC221" i="1"/>
  <c r="AD221" i="1"/>
  <c r="X221" i="1" s="1"/>
  <c r="AE221" i="1"/>
  <c r="AF221" i="1"/>
  <c r="AH229" i="1"/>
  <c r="AM229" i="1"/>
  <c r="AN229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30" i="1"/>
  <c r="AM230" i="1"/>
  <c r="AN230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31" i="1"/>
  <c r="AM231" i="1"/>
  <c r="AN231" i="1"/>
  <c r="K232" i="1"/>
  <c r="L232" i="1"/>
  <c r="M232" i="1"/>
  <c r="N232" i="1" s="1"/>
  <c r="V232" i="1"/>
  <c r="S52" i="3" s="1"/>
  <c r="Y232" i="1"/>
  <c r="Z232" i="1"/>
  <c r="AB232" i="1"/>
  <c r="AC232" i="1"/>
  <c r="AD232" i="1"/>
  <c r="T232" i="1" s="1"/>
  <c r="AE232" i="1"/>
  <c r="R52" i="3" s="1"/>
  <c r="AF232" i="1"/>
  <c r="AH232" i="1"/>
  <c r="AM232" i="1"/>
  <c r="AN232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233" i="1"/>
  <c r="AM233" i="1"/>
  <c r="AN233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234" i="1"/>
  <c r="AM234" i="1"/>
  <c r="AN234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235" i="1"/>
  <c r="AM235" i="1"/>
  <c r="AN235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236" i="1"/>
  <c r="AM236" i="1"/>
  <c r="AN236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237" i="1"/>
  <c r="AM237" i="1"/>
  <c r="AN237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238" i="1"/>
  <c r="AM238" i="1"/>
  <c r="AN238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239" i="1"/>
  <c r="AM239" i="1"/>
  <c r="AN239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240" i="1"/>
  <c r="AM240" i="1"/>
  <c r="AN240" i="1"/>
  <c r="K241" i="1"/>
  <c r="L241" i="1"/>
  <c r="M241" i="1"/>
  <c r="N241" i="1" s="1"/>
  <c r="V241" i="1"/>
  <c r="Y241" i="1"/>
  <c r="Z241" i="1"/>
  <c r="AB241" i="1"/>
  <c r="AC241" i="1"/>
  <c r="AD241" i="1"/>
  <c r="AE241" i="1"/>
  <c r="AF241" i="1"/>
  <c r="AH241" i="1"/>
  <c r="AM241" i="1"/>
  <c r="AN241" i="1"/>
  <c r="K242" i="1"/>
  <c r="L242" i="1"/>
  <c r="M242" i="1"/>
  <c r="N242" i="1" s="1"/>
  <c r="V242" i="1"/>
  <c r="Y242" i="1"/>
  <c r="Z242" i="1"/>
  <c r="AB242" i="1"/>
  <c r="AC242" i="1"/>
  <c r="AD242" i="1"/>
  <c r="AE242" i="1"/>
  <c r="AF242" i="1"/>
  <c r="AH242" i="1"/>
  <c r="AM242" i="1"/>
  <c r="AN242" i="1"/>
  <c r="K243" i="1"/>
  <c r="L243" i="1"/>
  <c r="M243" i="1"/>
  <c r="N243" i="1" s="1"/>
  <c r="V243" i="1"/>
  <c r="S54" i="3" s="1"/>
  <c r="Y243" i="1"/>
  <c r="Z243" i="1"/>
  <c r="AB243" i="1"/>
  <c r="AC243" i="1"/>
  <c r="AD243" i="1"/>
  <c r="T243" i="1" s="1"/>
  <c r="AE243" i="1"/>
  <c r="R54" i="3" s="1"/>
  <c r="AF243" i="1"/>
  <c r="AH243" i="1"/>
  <c r="AM243" i="1"/>
  <c r="AN243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244" i="1"/>
  <c r="AM244" i="1"/>
  <c r="AN244" i="1"/>
  <c r="K245" i="1"/>
  <c r="L245" i="1"/>
  <c r="M245" i="1"/>
  <c r="N245" i="1" s="1"/>
  <c r="V245" i="1"/>
  <c r="Y245" i="1"/>
  <c r="Z245" i="1"/>
  <c r="AB245" i="1"/>
  <c r="AC245" i="1"/>
  <c r="AD245" i="1"/>
  <c r="AG245" i="1" s="1"/>
  <c r="AE245" i="1"/>
  <c r="AF245" i="1"/>
  <c r="AH245" i="1"/>
  <c r="AM245" i="1"/>
  <c r="AN245" i="1"/>
  <c r="K246" i="1"/>
  <c r="L246" i="1"/>
  <c r="M246" i="1"/>
  <c r="N246" i="1" s="1"/>
  <c r="V246" i="1"/>
  <c r="Y246" i="1"/>
  <c r="Z246" i="1"/>
  <c r="AB246" i="1"/>
  <c r="AC246" i="1"/>
  <c r="AD246" i="1"/>
  <c r="AE246" i="1"/>
  <c r="AF246" i="1"/>
  <c r="AH246" i="1"/>
  <c r="AM246" i="1"/>
  <c r="AN246" i="1"/>
  <c r="K247" i="1"/>
  <c r="L247" i="1"/>
  <c r="M247" i="1"/>
  <c r="N247" i="1" s="1"/>
  <c r="V247" i="1"/>
  <c r="Y247" i="1"/>
  <c r="Z247" i="1"/>
  <c r="AB247" i="1"/>
  <c r="AC247" i="1"/>
  <c r="AD247" i="1"/>
  <c r="T247" i="1" s="1"/>
  <c r="AE247" i="1"/>
  <c r="AF247" i="1"/>
  <c r="AH247" i="1"/>
  <c r="AM247" i="1"/>
  <c r="AN247" i="1"/>
  <c r="K248" i="1"/>
  <c r="L248" i="1"/>
  <c r="M248" i="1"/>
  <c r="N248" i="1" s="1"/>
  <c r="V248" i="1"/>
  <c r="Y248" i="1"/>
  <c r="Z248" i="1"/>
  <c r="AB248" i="1"/>
  <c r="AC248" i="1"/>
  <c r="AD248" i="1"/>
  <c r="T248" i="1" s="1"/>
  <c r="AE248" i="1"/>
  <c r="AF248" i="1"/>
  <c r="AH248" i="1"/>
  <c r="AM248" i="1"/>
  <c r="AN248" i="1"/>
  <c r="K249" i="1"/>
  <c r="L249" i="1"/>
  <c r="M249" i="1"/>
  <c r="N249" i="1" s="1"/>
  <c r="V249" i="1"/>
  <c r="Y249" i="1"/>
  <c r="Z249" i="1"/>
  <c r="AB249" i="1"/>
  <c r="AC249" i="1"/>
  <c r="AD249" i="1"/>
  <c r="AG249" i="1" s="1"/>
  <c r="AE249" i="1"/>
  <c r="AF249" i="1"/>
  <c r="AH249" i="1"/>
  <c r="AM249" i="1"/>
  <c r="AN249" i="1"/>
  <c r="K250" i="1"/>
  <c r="L250" i="1"/>
  <c r="M250" i="1"/>
  <c r="N250" i="1" s="1"/>
  <c r="V250" i="1"/>
  <c r="Y250" i="1"/>
  <c r="Z250" i="1"/>
  <c r="AB250" i="1"/>
  <c r="AC250" i="1"/>
  <c r="AD250" i="1"/>
  <c r="AG250" i="1" s="1"/>
  <c r="AE250" i="1"/>
  <c r="AF250" i="1"/>
  <c r="AH250" i="1"/>
  <c r="AM250" i="1"/>
  <c r="AN250" i="1"/>
  <c r="K251" i="1"/>
  <c r="L251" i="1"/>
  <c r="M251" i="1"/>
  <c r="N251" i="1" s="1"/>
  <c r="V251" i="1"/>
  <c r="Y251" i="1"/>
  <c r="Z251" i="1"/>
  <c r="AB251" i="1"/>
  <c r="AC251" i="1"/>
  <c r="AD251" i="1"/>
  <c r="AE251" i="1"/>
  <c r="AF251" i="1"/>
  <c r="AH251" i="1"/>
  <c r="AM251" i="1"/>
  <c r="AN251" i="1"/>
  <c r="K252" i="1"/>
  <c r="L252" i="1"/>
  <c r="M252" i="1"/>
  <c r="N252" i="1" s="1"/>
  <c r="V252" i="1"/>
  <c r="Y252" i="1"/>
  <c r="Z252" i="1"/>
  <c r="AB252" i="1"/>
  <c r="AC252" i="1"/>
  <c r="AD252" i="1"/>
  <c r="T252" i="1" s="1"/>
  <c r="AE252" i="1"/>
  <c r="AF252" i="1"/>
  <c r="AH252" i="1"/>
  <c r="AM252" i="1"/>
  <c r="AN252" i="1"/>
  <c r="M16" i="3"/>
  <c r="R16" i="3"/>
  <c r="U16" i="3"/>
  <c r="T16" i="3" s="1"/>
  <c r="V16" i="3"/>
  <c r="W16" i="3"/>
  <c r="X16" i="3"/>
  <c r="AC16" i="3"/>
  <c r="M23" i="3"/>
  <c r="R23" i="3"/>
  <c r="U23" i="3"/>
  <c r="V23" i="3"/>
  <c r="W23" i="3"/>
  <c r="X23" i="3"/>
  <c r="AC23" i="3"/>
  <c r="M24" i="3"/>
  <c r="S24" i="3"/>
  <c r="U24" i="3"/>
  <c r="AC24" i="3" s="1"/>
  <c r="V24" i="3"/>
  <c r="W24" i="3"/>
  <c r="X24" i="3"/>
  <c r="M17" i="3"/>
  <c r="S17" i="3"/>
  <c r="U17" i="3"/>
  <c r="AC17" i="3" s="1"/>
  <c r="V17" i="3"/>
  <c r="W17" i="3"/>
  <c r="X17" i="3"/>
  <c r="M7" i="3"/>
  <c r="R7" i="3"/>
  <c r="S7" i="3"/>
  <c r="U7" i="3"/>
  <c r="T7" i="3" s="1"/>
  <c r="V7" i="3"/>
  <c r="W7" i="3"/>
  <c r="X7" i="3"/>
  <c r="AC7" i="3"/>
  <c r="M8" i="3"/>
  <c r="S8" i="3"/>
  <c r="U8" i="3"/>
  <c r="V8" i="3"/>
  <c r="W8" i="3"/>
  <c r="X8" i="3"/>
  <c r="M19" i="3"/>
  <c r="U19" i="3"/>
  <c r="AC19" i="3" s="1"/>
  <c r="V19" i="3"/>
  <c r="W19" i="3"/>
  <c r="X19" i="3"/>
  <c r="M25" i="3"/>
  <c r="R25" i="3"/>
  <c r="S25" i="3"/>
  <c r="U25" i="3"/>
  <c r="AC25" i="3" s="1"/>
  <c r="V25" i="3"/>
  <c r="W25" i="3"/>
  <c r="X25" i="3"/>
  <c r="M44" i="3"/>
  <c r="R44" i="3"/>
  <c r="U44" i="3"/>
  <c r="T44" i="3" s="1"/>
  <c r="V44" i="3"/>
  <c r="W44" i="3"/>
  <c r="X44" i="3"/>
  <c r="AC44" i="3"/>
  <c r="M21" i="3"/>
  <c r="R21" i="3"/>
  <c r="S21" i="3"/>
  <c r="U21" i="3"/>
  <c r="V21" i="3"/>
  <c r="W21" i="3"/>
  <c r="X21" i="3"/>
  <c r="M37" i="3"/>
  <c r="U37" i="3"/>
  <c r="AC37" i="3" s="1"/>
  <c r="V37" i="3"/>
  <c r="W37" i="3"/>
  <c r="X37" i="3"/>
  <c r="M38" i="3"/>
  <c r="U38" i="3"/>
  <c r="AC38" i="3" s="1"/>
  <c r="V38" i="3"/>
  <c r="W38" i="3"/>
  <c r="X38" i="3"/>
  <c r="M39" i="3"/>
  <c r="R39" i="3"/>
  <c r="U39" i="3"/>
  <c r="V39" i="3"/>
  <c r="W39" i="3"/>
  <c r="X39" i="3"/>
  <c r="AC39" i="3"/>
  <c r="M22" i="3"/>
  <c r="U22" i="3"/>
  <c r="V22" i="3"/>
  <c r="W22" i="3"/>
  <c r="X22" i="3"/>
  <c r="AC22" i="3"/>
  <c r="M20" i="3"/>
  <c r="U20" i="3"/>
  <c r="AC20" i="3" s="1"/>
  <c r="V20" i="3"/>
  <c r="W20" i="3"/>
  <c r="X20" i="3"/>
  <c r="M28" i="3"/>
  <c r="R28" i="3"/>
  <c r="U28" i="3"/>
  <c r="V28" i="3"/>
  <c r="W28" i="3"/>
  <c r="X28" i="3"/>
  <c r="M26" i="3"/>
  <c r="R26" i="3"/>
  <c r="U26" i="3"/>
  <c r="V26" i="3"/>
  <c r="W26" i="3"/>
  <c r="X26" i="3"/>
  <c r="AC26" i="3"/>
  <c r="M29" i="3"/>
  <c r="U29" i="3"/>
  <c r="V29" i="3"/>
  <c r="W29" i="3"/>
  <c r="X29" i="3"/>
  <c r="M33" i="3"/>
  <c r="U33" i="3"/>
  <c r="AC33" i="3" s="1"/>
  <c r="V33" i="3"/>
  <c r="W33" i="3"/>
  <c r="X33" i="3"/>
  <c r="M34" i="3"/>
  <c r="U34" i="3"/>
  <c r="AC34" i="3" s="1"/>
  <c r="V34" i="3"/>
  <c r="W34" i="3"/>
  <c r="X34" i="3"/>
  <c r="M32" i="3"/>
  <c r="U32" i="3"/>
  <c r="V32" i="3"/>
  <c r="W32" i="3"/>
  <c r="X32" i="3"/>
  <c r="AC32" i="3"/>
  <c r="M45" i="3"/>
  <c r="R45" i="3"/>
  <c r="U45" i="3"/>
  <c r="V45" i="3"/>
  <c r="W45" i="3"/>
  <c r="X45" i="3"/>
  <c r="M31" i="3"/>
  <c r="U31" i="3"/>
  <c r="V31" i="3"/>
  <c r="W31" i="3"/>
  <c r="X31" i="3"/>
  <c r="M18" i="3"/>
  <c r="U18" i="3"/>
  <c r="AC18" i="3" s="1"/>
  <c r="V18" i="3"/>
  <c r="W18" i="3"/>
  <c r="X18" i="3"/>
  <c r="M46" i="3"/>
  <c r="U46" i="3"/>
  <c r="T46" i="3" s="1"/>
  <c r="V46" i="3"/>
  <c r="W46" i="3"/>
  <c r="X46" i="3"/>
  <c r="M47" i="3"/>
  <c r="U47" i="3"/>
  <c r="V47" i="3"/>
  <c r="W47" i="3"/>
  <c r="X47" i="3"/>
  <c r="M48" i="3"/>
  <c r="U48" i="3"/>
  <c r="AC48" i="3" s="1"/>
  <c r="V48" i="3"/>
  <c r="W48" i="3"/>
  <c r="X48" i="3"/>
  <c r="M36" i="3"/>
  <c r="U36" i="3"/>
  <c r="AC36" i="3" s="1"/>
  <c r="V36" i="3"/>
  <c r="W36" i="3"/>
  <c r="X36" i="3"/>
  <c r="M40" i="3"/>
  <c r="U40" i="3"/>
  <c r="V40" i="3"/>
  <c r="W40" i="3"/>
  <c r="X40" i="3"/>
  <c r="AC40" i="3"/>
  <c r="M35" i="3"/>
  <c r="U35" i="3"/>
  <c r="V35" i="3"/>
  <c r="W35" i="3"/>
  <c r="X35" i="3"/>
  <c r="M49" i="3"/>
  <c r="U49" i="3"/>
  <c r="AC49" i="3" s="1"/>
  <c r="V49" i="3"/>
  <c r="W49" i="3"/>
  <c r="X49" i="3"/>
  <c r="M41" i="3"/>
  <c r="U41" i="3"/>
  <c r="AC41" i="3" s="1"/>
  <c r="V41" i="3"/>
  <c r="W41" i="3"/>
  <c r="X41" i="3"/>
  <c r="M42" i="3"/>
  <c r="U42" i="3"/>
  <c r="T42" i="3" s="1"/>
  <c r="V42" i="3"/>
  <c r="W42" i="3"/>
  <c r="X42" i="3"/>
  <c r="AC42" i="3"/>
  <c r="M30" i="3"/>
  <c r="U30" i="3"/>
  <c r="V30" i="3"/>
  <c r="W30" i="3"/>
  <c r="X30" i="3"/>
  <c r="AC30" i="3"/>
  <c r="M13" i="3"/>
  <c r="U13" i="3"/>
  <c r="AC13" i="3" s="1"/>
  <c r="V13" i="3"/>
  <c r="W13" i="3"/>
  <c r="X13" i="3"/>
  <c r="M50" i="3"/>
  <c r="U50" i="3"/>
  <c r="AC50" i="3" s="1"/>
  <c r="V50" i="3"/>
  <c r="W50" i="3"/>
  <c r="X50" i="3"/>
  <c r="M43" i="3"/>
  <c r="U43" i="3"/>
  <c r="V43" i="3"/>
  <c r="W43" i="3"/>
  <c r="X43" i="3"/>
  <c r="AC43" i="3"/>
  <c r="M51" i="3"/>
  <c r="U51" i="3"/>
  <c r="V51" i="3"/>
  <c r="W51" i="3"/>
  <c r="X51" i="3"/>
  <c r="M53" i="3"/>
  <c r="R53" i="3"/>
  <c r="S53" i="3"/>
  <c r="U53" i="3"/>
  <c r="AC53" i="3" s="1"/>
  <c r="V53" i="3"/>
  <c r="W53" i="3"/>
  <c r="X53" i="3"/>
  <c r="M10" i="3"/>
  <c r="U10" i="3"/>
  <c r="AC10" i="3" s="1"/>
  <c r="V10" i="3"/>
  <c r="W10" i="3"/>
  <c r="X10" i="3"/>
  <c r="M54" i="3"/>
  <c r="U54" i="3"/>
  <c r="T54" i="3" s="1"/>
  <c r="V54" i="3"/>
  <c r="W54" i="3"/>
  <c r="X54" i="3"/>
  <c r="M14" i="3"/>
  <c r="U14" i="3"/>
  <c r="V14" i="3"/>
  <c r="W14" i="3"/>
  <c r="X14" i="3"/>
  <c r="M52" i="3"/>
  <c r="U52" i="3"/>
  <c r="AC52" i="3" s="1"/>
  <c r="V52" i="3"/>
  <c r="W52" i="3"/>
  <c r="X52" i="3"/>
  <c r="M55" i="3"/>
  <c r="U55" i="3"/>
  <c r="AC55" i="3" s="1"/>
  <c r="V55" i="3"/>
  <c r="W55" i="3"/>
  <c r="X55" i="3"/>
  <c r="M27" i="3"/>
  <c r="U27" i="3"/>
  <c r="V27" i="3"/>
  <c r="W27" i="3"/>
  <c r="X27" i="3"/>
  <c r="AC27" i="3"/>
  <c r="M9" i="3"/>
  <c r="U9" i="3"/>
  <c r="V9" i="3"/>
  <c r="W9" i="3"/>
  <c r="X9" i="3"/>
  <c r="AC9" i="3"/>
  <c r="M11" i="3"/>
  <c r="U11" i="3"/>
  <c r="AC11" i="3" s="1"/>
  <c r="V11" i="3"/>
  <c r="W11" i="3"/>
  <c r="X11" i="3"/>
  <c r="M15" i="3"/>
  <c r="U15" i="3"/>
  <c r="AC15" i="3" s="1"/>
  <c r="V15" i="3"/>
  <c r="W15" i="3"/>
  <c r="X15" i="3"/>
  <c r="AG62" i="1" l="1"/>
  <c r="W62" i="1" s="1"/>
  <c r="X62" i="1"/>
  <c r="AD33" i="3"/>
  <c r="AD50" i="3"/>
  <c r="AD23" i="3"/>
  <c r="AD36" i="3"/>
  <c r="AD45" i="3"/>
  <c r="AE30" i="3"/>
  <c r="AG14" i="1"/>
  <c r="X14" i="1"/>
  <c r="R40" i="3"/>
  <c r="R48" i="3"/>
  <c r="AA86" i="1"/>
  <c r="S36" i="3"/>
  <c r="R29" i="3"/>
  <c r="AA99" i="1"/>
  <c r="R47" i="3"/>
  <c r="X236" i="1"/>
  <c r="W220" i="1"/>
  <c r="X229" i="1"/>
  <c r="X25" i="1"/>
  <c r="R42" i="3"/>
  <c r="S48" i="3"/>
  <c r="AG165" i="1"/>
  <c r="U165" i="1" s="1"/>
  <c r="S165" i="1" s="1"/>
  <c r="X165" i="1"/>
  <c r="AA109" i="1"/>
  <c r="T109" i="1"/>
  <c r="AG18" i="1"/>
  <c r="X18" i="1"/>
  <c r="X169" i="1"/>
  <c r="X168" i="1"/>
  <c r="S9" i="3"/>
  <c r="AA244" i="1"/>
  <c r="AI187" i="1"/>
  <c r="AA183" i="1"/>
  <c r="W183" i="1" s="1"/>
  <c r="AA175" i="1"/>
  <c r="AG229" i="1"/>
  <c r="AG109" i="1"/>
  <c r="AA105" i="1"/>
  <c r="AA103" i="1"/>
  <c r="W103" i="1" s="1"/>
  <c r="AA49" i="1"/>
  <c r="AA18" i="1"/>
  <c r="AA15" i="1"/>
  <c r="X167" i="1"/>
  <c r="Y33" i="3"/>
  <c r="AC46" i="3"/>
  <c r="Y36" i="3"/>
  <c r="AE50" i="3"/>
  <c r="Y45" i="3"/>
  <c r="AE32" i="3"/>
  <c r="Y53" i="3"/>
  <c r="AD52" i="3"/>
  <c r="Y49" i="3"/>
  <c r="Y21" i="3"/>
  <c r="AD32" i="3"/>
  <c r="AD15" i="3"/>
  <c r="Y48" i="3"/>
  <c r="Y14" i="3"/>
  <c r="S35" i="3"/>
  <c r="AD20" i="3"/>
  <c r="Y37" i="3"/>
  <c r="X241" i="1"/>
  <c r="X204" i="1"/>
  <c r="AA192" i="1"/>
  <c r="AA188" i="1"/>
  <c r="X185" i="1"/>
  <c r="X176" i="1"/>
  <c r="X116" i="1"/>
  <c r="AG101" i="1"/>
  <c r="P47" i="1"/>
  <c r="T150" i="1"/>
  <c r="X101" i="1"/>
  <c r="X86" i="1"/>
  <c r="X128" i="1"/>
  <c r="AC35" i="3"/>
  <c r="T36" i="3"/>
  <c r="AA247" i="1"/>
  <c r="AG181" i="1"/>
  <c r="U181" i="1" s="1"/>
  <c r="S181" i="1" s="1"/>
  <c r="X181" i="1"/>
  <c r="AA226" i="1"/>
  <c r="AA224" i="1"/>
  <c r="AG212" i="1"/>
  <c r="AI212" i="1" s="1"/>
  <c r="AA211" i="1"/>
  <c r="X113" i="1"/>
  <c r="AG112" i="1"/>
  <c r="AI85" i="1"/>
  <c r="AG47" i="1"/>
  <c r="X47" i="1"/>
  <c r="AG26" i="1"/>
  <c r="AG19" i="1"/>
  <c r="AI19" i="1" s="1"/>
  <c r="X127" i="1"/>
  <c r="S42" i="3"/>
  <c r="T41" i="3"/>
  <c r="AG180" i="1"/>
  <c r="AI180" i="1" s="1"/>
  <c r="X180" i="1"/>
  <c r="AG169" i="1"/>
  <c r="AG164" i="1"/>
  <c r="AG97" i="1"/>
  <c r="U97" i="1" s="1"/>
  <c r="S97" i="1" s="1"/>
  <c r="AG83" i="1"/>
  <c r="AA70" i="1"/>
  <c r="S38" i="3"/>
  <c r="AG184" i="1"/>
  <c r="U184" i="1" s="1"/>
  <c r="S184" i="1" s="1"/>
  <c r="AG157" i="1"/>
  <c r="AG121" i="1"/>
  <c r="AI121" i="1" s="1"/>
  <c r="X66" i="1"/>
  <c r="AI34" i="1"/>
  <c r="AA34" i="1"/>
  <c r="X30" i="1"/>
  <c r="X118" i="1"/>
  <c r="Y41" i="3"/>
  <c r="S29" i="3"/>
  <c r="Y20" i="3"/>
  <c r="AD43" i="3"/>
  <c r="AG247" i="1"/>
  <c r="AI247" i="1" s="1"/>
  <c r="AA235" i="1"/>
  <c r="X232" i="1"/>
  <c r="AA202" i="1"/>
  <c r="T185" i="1"/>
  <c r="AA181" i="1"/>
  <c r="AA177" i="1"/>
  <c r="T175" i="1"/>
  <c r="AA174" i="1"/>
  <c r="AA165" i="1"/>
  <c r="AA228" i="1"/>
  <c r="AA217" i="1"/>
  <c r="AA215" i="1"/>
  <c r="AG210" i="1"/>
  <c r="X141" i="1"/>
  <c r="X133" i="1"/>
  <c r="X129" i="1"/>
  <c r="AA129" i="1"/>
  <c r="AA108" i="1"/>
  <c r="AG105" i="1"/>
  <c r="U105" i="1" s="1"/>
  <c r="AA85" i="1"/>
  <c r="W85" i="1" s="1"/>
  <c r="AA82" i="1"/>
  <c r="AA73" i="1"/>
  <c r="P65" i="1"/>
  <c r="X65" i="1"/>
  <c r="AG57" i="1"/>
  <c r="AI57" i="1" s="1"/>
  <c r="X57" i="1"/>
  <c r="X117" i="1"/>
  <c r="X119" i="1"/>
  <c r="X193" i="1"/>
  <c r="AG172" i="1"/>
  <c r="U172" i="1" s="1"/>
  <c r="S172" i="1" s="1"/>
  <c r="X172" i="1"/>
  <c r="S55" i="3"/>
  <c r="AD31" i="3"/>
  <c r="S47" i="3"/>
  <c r="Y29" i="3"/>
  <c r="Y23" i="3"/>
  <c r="Y16" i="3"/>
  <c r="AA246" i="1"/>
  <c r="X240" i="1"/>
  <c r="AA238" i="1"/>
  <c r="AA236" i="1"/>
  <c r="X233" i="1"/>
  <c r="AA185" i="1"/>
  <c r="AA227" i="1"/>
  <c r="T208" i="1"/>
  <c r="AA158" i="1"/>
  <c r="W158" i="1" s="1"/>
  <c r="AA130" i="1"/>
  <c r="W130" i="1" s="1"/>
  <c r="AA107" i="1"/>
  <c r="W107" i="1" s="1"/>
  <c r="AA97" i="1"/>
  <c r="AI89" i="1"/>
  <c r="X85" i="1"/>
  <c r="AA83" i="1"/>
  <c r="W83" i="1" s="1"/>
  <c r="T66" i="1"/>
  <c r="AA59" i="1"/>
  <c r="AA56" i="1"/>
  <c r="X46" i="1"/>
  <c r="T30" i="1"/>
  <c r="AI18" i="1"/>
  <c r="T246" i="1"/>
  <c r="AG246" i="1"/>
  <c r="AI246" i="1" s="1"/>
  <c r="T162" i="1"/>
  <c r="AG162" i="1"/>
  <c r="W162" i="1" s="1"/>
  <c r="X120" i="1"/>
  <c r="T120" i="1"/>
  <c r="U120" i="1" s="1"/>
  <c r="S120" i="1" s="1"/>
  <c r="X247" i="1"/>
  <c r="X201" i="1"/>
  <c r="T201" i="1"/>
  <c r="T123" i="1"/>
  <c r="X123" i="1"/>
  <c r="AG123" i="1"/>
  <c r="AI123" i="1" s="1"/>
  <c r="T58" i="1"/>
  <c r="AG58" i="1"/>
  <c r="U58" i="1" s="1"/>
  <c r="S58" i="1" s="1"/>
  <c r="T15" i="3"/>
  <c r="AD53" i="3"/>
  <c r="T32" i="3"/>
  <c r="AD34" i="3"/>
  <c r="AE48" i="3"/>
  <c r="Y52" i="3"/>
  <c r="AC31" i="3"/>
  <c r="AD37" i="3"/>
  <c r="AD51" i="3"/>
  <c r="S32" i="3"/>
  <c r="Y19" i="3"/>
  <c r="T228" i="1"/>
  <c r="U228" i="1" s="1"/>
  <c r="S228" i="1" s="1"/>
  <c r="AG228" i="1"/>
  <c r="AI228" i="1" s="1"/>
  <c r="AG152" i="1"/>
  <c r="U152" i="1" s="1"/>
  <c r="S152" i="1" s="1"/>
  <c r="T152" i="1"/>
  <c r="T131" i="1"/>
  <c r="U131" i="1" s="1"/>
  <c r="S131" i="1" s="1"/>
  <c r="AG131" i="1"/>
  <c r="AI131" i="1" s="1"/>
  <c r="T104" i="1"/>
  <c r="X105" i="1"/>
  <c r="X104" i="1"/>
  <c r="AG104" i="1"/>
  <c r="AI104" i="1" s="1"/>
  <c r="W99" i="1"/>
  <c r="AG138" i="1"/>
  <c r="T138" i="1"/>
  <c r="U138" i="1" s="1"/>
  <c r="S138" i="1" s="1"/>
  <c r="X138" i="1"/>
  <c r="T100" i="1"/>
  <c r="X100" i="1"/>
  <c r="AG100" i="1"/>
  <c r="AI100" i="1" s="1"/>
  <c r="T87" i="1"/>
  <c r="X87" i="1"/>
  <c r="AG87" i="1"/>
  <c r="T27" i="1"/>
  <c r="U27" i="1" s="1"/>
  <c r="S27" i="1" s="1"/>
  <c r="AG27" i="1"/>
  <c r="Y51" i="3"/>
  <c r="AD13" i="3"/>
  <c r="R49" i="3"/>
  <c r="Y32" i="3"/>
  <c r="AC28" i="3"/>
  <c r="T28" i="3"/>
  <c r="Y22" i="3"/>
  <c r="AD41" i="3"/>
  <c r="AD30" i="3"/>
  <c r="AD49" i="3"/>
  <c r="X251" i="1"/>
  <c r="T200" i="1"/>
  <c r="AG200" i="1"/>
  <c r="AI200" i="1" s="1"/>
  <c r="R9" i="3"/>
  <c r="R11" i="3"/>
  <c r="AA140" i="1"/>
  <c r="AA136" i="1"/>
  <c r="W136" i="1" s="1"/>
  <c r="T52" i="1"/>
  <c r="AG52" i="1"/>
  <c r="AI52" i="1" s="1"/>
  <c r="AI183" i="1"/>
  <c r="X126" i="1"/>
  <c r="AA124" i="1"/>
  <c r="X78" i="1"/>
  <c r="AA45" i="1"/>
  <c r="W45" i="1" s="1"/>
  <c r="AA29" i="1"/>
  <c r="W29" i="1" s="1"/>
  <c r="Y11" i="3"/>
  <c r="Y9" i="3"/>
  <c r="R55" i="3"/>
  <c r="AD19" i="3"/>
  <c r="Y30" i="3"/>
  <c r="Y42" i="3"/>
  <c r="AD10" i="3"/>
  <c r="AD22" i="3"/>
  <c r="AE43" i="3"/>
  <c r="Y8" i="3"/>
  <c r="AA240" i="1"/>
  <c r="AA239" i="1"/>
  <c r="X196" i="1"/>
  <c r="AA194" i="1"/>
  <c r="AG192" i="1"/>
  <c r="AI192" i="1" s="1"/>
  <c r="AG189" i="1"/>
  <c r="U189" i="1" s="1"/>
  <c r="S189" i="1" s="1"/>
  <c r="X189" i="1"/>
  <c r="AG185" i="1"/>
  <c r="W185" i="1" s="1"/>
  <c r="AI179" i="1"/>
  <c r="AA179" i="1"/>
  <c r="AA171" i="1"/>
  <c r="W171" i="1" s="1"/>
  <c r="AA169" i="1"/>
  <c r="AA167" i="1"/>
  <c r="W167" i="1" s="1"/>
  <c r="AA164" i="1"/>
  <c r="W164" i="1" s="1"/>
  <c r="X161" i="1"/>
  <c r="AA229" i="1"/>
  <c r="AG226" i="1"/>
  <c r="U226" i="1" s="1"/>
  <c r="S226" i="1" s="1"/>
  <c r="AA210" i="1"/>
  <c r="AA159" i="1"/>
  <c r="X153" i="1"/>
  <c r="AG151" i="1"/>
  <c r="AI151" i="1" s="1"/>
  <c r="AA150" i="1"/>
  <c r="W150" i="1" s="1"/>
  <c r="AA147" i="1"/>
  <c r="AA145" i="1"/>
  <c r="W145" i="1" s="1"/>
  <c r="AA143" i="1"/>
  <c r="T141" i="1"/>
  <c r="AA125" i="1"/>
  <c r="AI122" i="1"/>
  <c r="AA101" i="1"/>
  <c r="W101" i="1" s="1"/>
  <c r="AA98" i="1"/>
  <c r="W98" i="1" s="1"/>
  <c r="AG66" i="1"/>
  <c r="AI66" i="1" s="1"/>
  <c r="X54" i="1"/>
  <c r="AA54" i="1"/>
  <c r="W54" i="1" s="1"/>
  <c r="X51" i="1"/>
  <c r="AA46" i="1"/>
  <c r="X38" i="1"/>
  <c r="AG30" i="1"/>
  <c r="AI30" i="1" s="1"/>
  <c r="X29" i="1"/>
  <c r="X21" i="1"/>
  <c r="AA17" i="1"/>
  <c r="AA222" i="1"/>
  <c r="AA201" i="1"/>
  <c r="X197" i="1"/>
  <c r="AA191" i="1"/>
  <c r="X184" i="1"/>
  <c r="AA178" i="1"/>
  <c r="AA162" i="1"/>
  <c r="AA160" i="1"/>
  <c r="T158" i="1"/>
  <c r="U158" i="1" s="1"/>
  <c r="S158" i="1" s="1"/>
  <c r="AA152" i="1"/>
  <c r="AA138" i="1"/>
  <c r="AA131" i="1"/>
  <c r="W131" i="1" s="1"/>
  <c r="AA120" i="1"/>
  <c r="AA119" i="1"/>
  <c r="AA102" i="1"/>
  <c r="W102" i="1" s="1"/>
  <c r="AA77" i="1"/>
  <c r="W77" i="1" s="1"/>
  <c r="AA68" i="1"/>
  <c r="AA53" i="1"/>
  <c r="W53" i="1" s="1"/>
  <c r="AA44" i="1"/>
  <c r="AA42" i="1"/>
  <c r="AA37" i="1"/>
  <c r="W37" i="1" s="1"/>
  <c r="AI23" i="1"/>
  <c r="AA20" i="1"/>
  <c r="U208" i="1"/>
  <c r="S208" i="1" s="1"/>
  <c r="AI208" i="1"/>
  <c r="AA234" i="1"/>
  <c r="AA232" i="1"/>
  <c r="AA223" i="1"/>
  <c r="AG201" i="1"/>
  <c r="U201" i="1" s="1"/>
  <c r="S201" i="1" s="1"/>
  <c r="AA200" i="1"/>
  <c r="AA196" i="1"/>
  <c r="AA195" i="1"/>
  <c r="AA189" i="1"/>
  <c r="W189" i="1" s="1"/>
  <c r="AG188" i="1"/>
  <c r="W188" i="1" s="1"/>
  <c r="AA186" i="1"/>
  <c r="T183" i="1"/>
  <c r="AA182" i="1"/>
  <c r="AG177" i="1"/>
  <c r="AA172" i="1"/>
  <c r="T171" i="1"/>
  <c r="U171" i="1" s="1"/>
  <c r="S171" i="1" s="1"/>
  <c r="AA170" i="1"/>
  <c r="AA163" i="1"/>
  <c r="AA218" i="1"/>
  <c r="AA213" i="1"/>
  <c r="W213" i="1" s="1"/>
  <c r="X212" i="1"/>
  <c r="AA157" i="1"/>
  <c r="W157" i="1" s="1"/>
  <c r="AG155" i="1"/>
  <c r="U155" i="1" s="1"/>
  <c r="AA154" i="1"/>
  <c r="W154" i="1" s="1"/>
  <c r="AA151" i="1"/>
  <c r="X150" i="1"/>
  <c r="T148" i="1"/>
  <c r="X145" i="1"/>
  <c r="AG143" i="1"/>
  <c r="AA142" i="1"/>
  <c r="W142" i="1" s="1"/>
  <c r="T142" i="1"/>
  <c r="AG141" i="1"/>
  <c r="AI141" i="1" s="1"/>
  <c r="X137" i="1"/>
  <c r="AA134" i="1"/>
  <c r="T130" i="1"/>
  <c r="T126" i="1"/>
  <c r="AA123" i="1"/>
  <c r="AG120" i="1"/>
  <c r="X112" i="1"/>
  <c r="U109" i="1"/>
  <c r="S109" i="1" s="1"/>
  <c r="X107" i="1"/>
  <c r="U101" i="1"/>
  <c r="AA91" i="1"/>
  <c r="W91" i="1" s="1"/>
  <c r="U83" i="1"/>
  <c r="S83" i="1" s="1"/>
  <c r="AA81" i="1"/>
  <c r="W81" i="1" s="1"/>
  <c r="X77" i="1"/>
  <c r="X70" i="1"/>
  <c r="U66" i="1"/>
  <c r="AA60" i="1"/>
  <c r="W60" i="1" s="1"/>
  <c r="AG54" i="1"/>
  <c r="AI54" i="1" s="1"/>
  <c r="X50" i="1"/>
  <c r="AA36" i="1"/>
  <c r="AA35" i="1"/>
  <c r="X33" i="1"/>
  <c r="X250" i="1"/>
  <c r="AA248" i="1"/>
  <c r="AA245" i="1"/>
  <c r="W245" i="1" s="1"/>
  <c r="AG243" i="1"/>
  <c r="U243" i="1" s="1"/>
  <c r="X243" i="1"/>
  <c r="AA237" i="1"/>
  <c r="W237" i="1" s="1"/>
  <c r="AA221" i="1"/>
  <c r="T221" i="1"/>
  <c r="AA204" i="1"/>
  <c r="AA199" i="1"/>
  <c r="AA193" i="1"/>
  <c r="T193" i="1"/>
  <c r="AA190" i="1"/>
  <c r="AA187" i="1"/>
  <c r="W187" i="1" s="1"/>
  <c r="AA176" i="1"/>
  <c r="T176" i="1"/>
  <c r="AA173" i="1"/>
  <c r="W228" i="1"/>
  <c r="W210" i="1"/>
  <c r="AA207" i="1"/>
  <c r="AA148" i="1"/>
  <c r="W148" i="1" s="1"/>
  <c r="AA144" i="1"/>
  <c r="W144" i="1" s="1"/>
  <c r="T144" i="1"/>
  <c r="AA117" i="1"/>
  <c r="AA115" i="1"/>
  <c r="AA114" i="1"/>
  <c r="AA111" i="1"/>
  <c r="AG96" i="1"/>
  <c r="AI96" i="1" s="1"/>
  <c r="X96" i="1"/>
  <c r="X95" i="1"/>
  <c r="AA88" i="1"/>
  <c r="AA79" i="1"/>
  <c r="AA69" i="1"/>
  <c r="W69" i="1" s="1"/>
  <c r="AG67" i="1"/>
  <c r="U67" i="1" s="1"/>
  <c r="S67" i="1" s="1"/>
  <c r="T65" i="1"/>
  <c r="U65" i="1" s="1"/>
  <c r="AG43" i="1"/>
  <c r="X43" i="1"/>
  <c r="X42" i="1"/>
  <c r="AA24" i="1"/>
  <c r="AG22" i="1"/>
  <c r="AI22" i="1" s="1"/>
  <c r="X22" i="1"/>
  <c r="AA19" i="1"/>
  <c r="W19" i="1" s="1"/>
  <c r="X17" i="1"/>
  <c r="X16" i="1"/>
  <c r="W175" i="1"/>
  <c r="X142" i="1"/>
  <c r="AA128" i="1"/>
  <c r="W128" i="1" s="1"/>
  <c r="AA127" i="1"/>
  <c r="W127" i="1" s="1"/>
  <c r="AA58" i="1"/>
  <c r="W58" i="1" s="1"/>
  <c r="T56" i="1"/>
  <c r="AA55" i="1"/>
  <c r="AI53" i="1"/>
  <c r="AA52" i="1"/>
  <c r="AA50" i="1"/>
  <c r="W50" i="1" s="1"/>
  <c r="AG42" i="1"/>
  <c r="AA41" i="1"/>
  <c r="W41" i="1" s="1"/>
  <c r="AA38" i="1"/>
  <c r="AG35" i="1"/>
  <c r="X35" i="1"/>
  <c r="AA33" i="1"/>
  <c r="W33" i="1" s="1"/>
  <c r="AG31" i="1"/>
  <c r="AI31" i="1" s="1"/>
  <c r="X31" i="1"/>
  <c r="AI26" i="1"/>
  <c r="X26" i="1"/>
  <c r="AA250" i="1"/>
  <c r="W250" i="1" s="1"/>
  <c r="AA249" i="1"/>
  <c r="W249" i="1" s="1"/>
  <c r="AA243" i="1"/>
  <c r="AA241" i="1"/>
  <c r="AG221" i="1"/>
  <c r="AG193" i="1"/>
  <c r="AI193" i="1" s="1"/>
  <c r="AI191" i="1"/>
  <c r="W181" i="1"/>
  <c r="T179" i="1"/>
  <c r="U179" i="1" s="1"/>
  <c r="S179" i="1" s="1"/>
  <c r="AG176" i="1"/>
  <c r="AI176" i="1" s="1"/>
  <c r="AG173" i="1"/>
  <c r="AI173" i="1" s="1"/>
  <c r="W229" i="1"/>
  <c r="X224" i="1"/>
  <c r="W217" i="1"/>
  <c r="AA208" i="1"/>
  <c r="W208" i="1" s="1"/>
  <c r="AA155" i="1"/>
  <c r="T154" i="1"/>
  <c r="U154" i="1" s="1"/>
  <c r="S154" i="1" s="1"/>
  <c r="T153" i="1"/>
  <c r="X149" i="1"/>
  <c r="X144" i="1"/>
  <c r="AA135" i="1"/>
  <c r="W135" i="1" s="1"/>
  <c r="T134" i="1"/>
  <c r="T133" i="1"/>
  <c r="X125" i="1"/>
  <c r="W119" i="1"/>
  <c r="AG117" i="1"/>
  <c r="AI117" i="1" s="1"/>
  <c r="AG114" i="1"/>
  <c r="AI114" i="1" s="1"/>
  <c r="AA112" i="1"/>
  <c r="W112" i="1" s="1"/>
  <c r="X108" i="1"/>
  <c r="AA95" i="1"/>
  <c r="W95" i="1" s="1"/>
  <c r="X92" i="1"/>
  <c r="AA92" i="1"/>
  <c r="AA84" i="1"/>
  <c r="AG82" i="1"/>
  <c r="W82" i="1" s="1"/>
  <c r="X82" i="1"/>
  <c r="AA80" i="1"/>
  <c r="AA74" i="1"/>
  <c r="AA67" i="1"/>
  <c r="AA65" i="1"/>
  <c r="W65" i="1" s="1"/>
  <c r="AA61" i="1"/>
  <c r="AA43" i="1"/>
  <c r="AA25" i="1"/>
  <c r="AA16" i="1"/>
  <c r="AI250" i="1"/>
  <c r="AI167" i="1"/>
  <c r="AI145" i="1"/>
  <c r="T250" i="1"/>
  <c r="U250" i="1" s="1"/>
  <c r="S250" i="1" s="1"/>
  <c r="AA252" i="1"/>
  <c r="AA251" i="1"/>
  <c r="T251" i="1"/>
  <c r="X246" i="1"/>
  <c r="AA242" i="1"/>
  <c r="T241" i="1"/>
  <c r="AG240" i="1"/>
  <c r="AG237" i="1"/>
  <c r="U237" i="1" s="1"/>
  <c r="S237" i="1" s="1"/>
  <c r="X237" i="1"/>
  <c r="AA233" i="1"/>
  <c r="T233" i="1"/>
  <c r="AG232" i="1"/>
  <c r="W232" i="1" s="1"/>
  <c r="X220" i="1"/>
  <c r="AG205" i="1"/>
  <c r="U205" i="1" s="1"/>
  <c r="S205" i="1" s="1"/>
  <c r="X205" i="1"/>
  <c r="AA198" i="1"/>
  <c r="AA197" i="1"/>
  <c r="T197" i="1"/>
  <c r="AG196" i="1"/>
  <c r="X192" i="1"/>
  <c r="X191" i="1"/>
  <c r="X188" i="1"/>
  <c r="X187" i="1"/>
  <c r="AA180" i="1"/>
  <c r="X179" i="1"/>
  <c r="X171" i="1"/>
  <c r="AG168" i="1"/>
  <c r="U168" i="1" s="1"/>
  <c r="T167" i="1"/>
  <c r="U167" i="1" s="1"/>
  <c r="S167" i="1" s="1"/>
  <c r="AA166" i="1"/>
  <c r="AA161" i="1"/>
  <c r="T161" i="1"/>
  <c r="AG160" i="1"/>
  <c r="U160" i="1" s="1"/>
  <c r="S160" i="1" s="1"/>
  <c r="AG230" i="1"/>
  <c r="U230" i="1" s="1"/>
  <c r="S230" i="1" s="1"/>
  <c r="X228" i="1"/>
  <c r="AG225" i="1"/>
  <c r="U225" i="1" s="1"/>
  <c r="X225" i="1"/>
  <c r="AI171" i="1"/>
  <c r="AA216" i="1"/>
  <c r="T216" i="1"/>
  <c r="AG215" i="1"/>
  <c r="U215" i="1" s="1"/>
  <c r="S215" i="1" s="1"/>
  <c r="X207" i="1"/>
  <c r="X157" i="1"/>
  <c r="AA139" i="1"/>
  <c r="W139" i="1" s="1"/>
  <c r="T236" i="1"/>
  <c r="T204" i="1"/>
  <c r="T224" i="1"/>
  <c r="X209" i="1"/>
  <c r="U157" i="1"/>
  <c r="S157" i="1" s="1"/>
  <c r="X156" i="1"/>
  <c r="AA153" i="1"/>
  <c r="X146" i="1"/>
  <c r="AG140" i="1"/>
  <c r="AI140" i="1" s="1"/>
  <c r="T140" i="1"/>
  <c r="AG251" i="1"/>
  <c r="T245" i="1"/>
  <c r="AG241" i="1"/>
  <c r="U241" i="1" s="1"/>
  <c r="S241" i="1" s="1"/>
  <c r="AG236" i="1"/>
  <c r="W236" i="1" s="1"/>
  <c r="AG233" i="1"/>
  <c r="AI233" i="1" s="1"/>
  <c r="AA206" i="1"/>
  <c r="AA205" i="1"/>
  <c r="AG204" i="1"/>
  <c r="X200" i="1"/>
  <c r="AG197" i="1"/>
  <c r="T191" i="1"/>
  <c r="U191" i="1" s="1"/>
  <c r="S191" i="1" s="1"/>
  <c r="T187" i="1"/>
  <c r="U187" i="1" s="1"/>
  <c r="S187" i="1" s="1"/>
  <c r="AA184" i="1"/>
  <c r="X183" i="1"/>
  <c r="X175" i="1"/>
  <c r="AA168" i="1"/>
  <c r="AG166" i="1"/>
  <c r="AI166" i="1" s="1"/>
  <c r="X164" i="1"/>
  <c r="AG161" i="1"/>
  <c r="AA231" i="1"/>
  <c r="AA230" i="1"/>
  <c r="AA225" i="1"/>
  <c r="AG224" i="1"/>
  <c r="AG216" i="1"/>
  <c r="X158" i="1"/>
  <c r="AI155" i="1"/>
  <c r="AG153" i="1"/>
  <c r="AI153" i="1" s="1"/>
  <c r="X152" i="1"/>
  <c r="AA149" i="1"/>
  <c r="AG147" i="1"/>
  <c r="AI147" i="1" s="1"/>
  <c r="T145" i="1"/>
  <c r="U145" i="1" s="1"/>
  <c r="S145" i="1" s="1"/>
  <c r="AI46" i="1"/>
  <c r="U220" i="1"/>
  <c r="S220" i="1" s="1"/>
  <c r="AI220" i="1"/>
  <c r="U188" i="1"/>
  <c r="S188" i="1" s="1"/>
  <c r="U175" i="1"/>
  <c r="S175" i="1" s="1"/>
  <c r="U164" i="1"/>
  <c r="S164" i="1" s="1"/>
  <c r="X160" i="1"/>
  <c r="U229" i="1"/>
  <c r="S229" i="1" s="1"/>
  <c r="AI175" i="1"/>
  <c r="W226" i="1"/>
  <c r="AA214" i="1"/>
  <c r="AA212" i="1"/>
  <c r="X211" i="1"/>
  <c r="AA209" i="1"/>
  <c r="W209" i="1" s="1"/>
  <c r="T209" i="1"/>
  <c r="X208" i="1"/>
  <c r="AG159" i="1"/>
  <c r="AI157" i="1"/>
  <c r="AA156" i="1"/>
  <c r="T156" i="1"/>
  <c r="X154" i="1"/>
  <c r="AG149" i="1"/>
  <c r="AI149" i="1" s="1"/>
  <c r="X148" i="1"/>
  <c r="AA146" i="1"/>
  <c r="W146" i="1" s="1"/>
  <c r="T146" i="1"/>
  <c r="U146" i="1" s="1"/>
  <c r="S146" i="1" s="1"/>
  <c r="X140" i="1"/>
  <c r="AI50" i="1"/>
  <c r="AA132" i="1"/>
  <c r="W132" i="1" s="1"/>
  <c r="T132" i="1"/>
  <c r="X130" i="1"/>
  <c r="T129" i="1"/>
  <c r="AA122" i="1"/>
  <c r="W122" i="1" s="1"/>
  <c r="T119" i="1"/>
  <c r="AA118" i="1"/>
  <c r="AA116" i="1"/>
  <c r="T116" i="1"/>
  <c r="AA113" i="1"/>
  <c r="T113" i="1"/>
  <c r="U112" i="1"/>
  <c r="S112" i="1" s="1"/>
  <c r="AA94" i="1"/>
  <c r="W94" i="1" s="1"/>
  <c r="AA93" i="1"/>
  <c r="T92" i="1"/>
  <c r="X89" i="1"/>
  <c r="T86" i="1"/>
  <c r="T81" i="1"/>
  <c r="U81" i="1" s="1"/>
  <c r="S81" i="1" s="1"/>
  <c r="T73" i="1"/>
  <c r="T50" i="1"/>
  <c r="U50" i="1" s="1"/>
  <c r="S50" i="1" s="1"/>
  <c r="AA48" i="1"/>
  <c r="T42" i="1"/>
  <c r="U42" i="1" s="1"/>
  <c r="S42" i="1" s="1"/>
  <c r="AG39" i="1"/>
  <c r="U39" i="1" s="1"/>
  <c r="S39" i="1" s="1"/>
  <c r="X39" i="1"/>
  <c r="X37" i="1"/>
  <c r="X34" i="1"/>
  <c r="AA137" i="1"/>
  <c r="T136" i="1"/>
  <c r="U136" i="1" s="1"/>
  <c r="S136" i="1" s="1"/>
  <c r="AA133" i="1"/>
  <c r="T128" i="1"/>
  <c r="U128" i="1" s="1"/>
  <c r="S128" i="1" s="1"/>
  <c r="U119" i="1"/>
  <c r="S119" i="1" s="1"/>
  <c r="T108" i="1"/>
  <c r="AA104" i="1"/>
  <c r="W104" i="1" s="1"/>
  <c r="T103" i="1"/>
  <c r="AA100" i="1"/>
  <c r="T99" i="1"/>
  <c r="U99" i="1" s="1"/>
  <c r="S99" i="1" s="1"/>
  <c r="T91" i="1"/>
  <c r="U82" i="1"/>
  <c r="S82" i="1" s="1"/>
  <c r="AG75" i="1"/>
  <c r="U75" i="1" s="1"/>
  <c r="AG74" i="1"/>
  <c r="X74" i="1"/>
  <c r="AA72" i="1"/>
  <c r="AA71" i="1"/>
  <c r="T70" i="1"/>
  <c r="T69" i="1"/>
  <c r="AG63" i="1"/>
  <c r="U63" i="1" s="1"/>
  <c r="AG61" i="1"/>
  <c r="W61" i="1" s="1"/>
  <c r="X61" i="1"/>
  <c r="X60" i="1"/>
  <c r="AA57" i="1"/>
  <c r="W57" i="1" s="1"/>
  <c r="X56" i="1"/>
  <c r="T54" i="1"/>
  <c r="U54" i="1" s="1"/>
  <c r="S54" i="1" s="1"/>
  <c r="AA51" i="1"/>
  <c r="T51" i="1"/>
  <c r="W46" i="1"/>
  <c r="T41" i="1"/>
  <c r="T38" i="1"/>
  <c r="W34" i="1"/>
  <c r="T25" i="1"/>
  <c r="T21" i="1"/>
  <c r="T17" i="1"/>
  <c r="AG137" i="1"/>
  <c r="AI137" i="1" s="1"/>
  <c r="AG133" i="1"/>
  <c r="AI133" i="1" s="1"/>
  <c r="X132" i="1"/>
  <c r="AG129" i="1"/>
  <c r="AI129" i="1" s="1"/>
  <c r="AA126" i="1"/>
  <c r="T125" i="1"/>
  <c r="U125" i="1" s="1"/>
  <c r="S125" i="1" s="1"/>
  <c r="AG116" i="1"/>
  <c r="AI116" i="1" s="1"/>
  <c r="AG113" i="1"/>
  <c r="AI112" i="1"/>
  <c r="W109" i="1"/>
  <c r="AG108" i="1"/>
  <c r="T107" i="1"/>
  <c r="W105" i="1"/>
  <c r="AG93" i="1"/>
  <c r="U93" i="1" s="1"/>
  <c r="AG92" i="1"/>
  <c r="AI92" i="1" s="1"/>
  <c r="AA90" i="1"/>
  <c r="W90" i="1" s="1"/>
  <c r="AA89" i="1"/>
  <c r="W89" i="1" s="1"/>
  <c r="T89" i="1"/>
  <c r="AG86" i="1"/>
  <c r="T85" i="1"/>
  <c r="U85" i="1" s="1"/>
  <c r="S85" i="1" s="1"/>
  <c r="X81" i="1"/>
  <c r="AA78" i="1"/>
  <c r="T77" i="1"/>
  <c r="X73" i="1"/>
  <c r="U57" i="1"/>
  <c r="W52" i="1"/>
  <c r="T46" i="1"/>
  <c r="U46" i="1" s="1"/>
  <c r="S46" i="1" s="1"/>
  <c r="AA40" i="1"/>
  <c r="AA39" i="1"/>
  <c r="W39" i="1" s="1"/>
  <c r="AG38" i="1"/>
  <c r="T37" i="1"/>
  <c r="T34" i="1"/>
  <c r="AA30" i="1"/>
  <c r="W30" i="1" s="1"/>
  <c r="T29" i="1"/>
  <c r="U29" i="1" s="1"/>
  <c r="S29" i="1" s="1"/>
  <c r="AA28" i="1"/>
  <c r="AA27" i="1"/>
  <c r="W27" i="1" s="1"/>
  <c r="AA26" i="1"/>
  <c r="W26" i="1" s="1"/>
  <c r="AG25" i="1"/>
  <c r="AA23" i="1"/>
  <c r="W23" i="1" s="1"/>
  <c r="AA22" i="1"/>
  <c r="AG21" i="1"/>
  <c r="AG17" i="1"/>
  <c r="T16" i="1"/>
  <c r="X136" i="1"/>
  <c r="X134" i="1"/>
  <c r="AG126" i="1"/>
  <c r="AI126" i="1" s="1"/>
  <c r="AI119" i="1"/>
  <c r="AA110" i="1"/>
  <c r="AA106" i="1"/>
  <c r="W106" i="1" s="1"/>
  <c r="X103" i="1"/>
  <c r="X99" i="1"/>
  <c r="AA96" i="1"/>
  <c r="W96" i="1" s="1"/>
  <c r="T95" i="1"/>
  <c r="U95" i="1" s="1"/>
  <c r="S95" i="1" s="1"/>
  <c r="X91" i="1"/>
  <c r="AG79" i="1"/>
  <c r="U79" i="1" s="1"/>
  <c r="S79" i="1" s="1"/>
  <c r="AG78" i="1"/>
  <c r="AA76" i="1"/>
  <c r="AA75" i="1"/>
  <c r="AG71" i="1"/>
  <c r="U71" i="1" s="1"/>
  <c r="S71" i="1" s="1"/>
  <c r="AG70" i="1"/>
  <c r="X69" i="1"/>
  <c r="AA66" i="1"/>
  <c r="W66" i="1" s="1"/>
  <c r="AA64" i="1"/>
  <c r="AA63" i="1"/>
  <c r="T60" i="1"/>
  <c r="AG51" i="1"/>
  <c r="AA47" i="1"/>
  <c r="W47" i="1" s="1"/>
  <c r="AI42" i="1"/>
  <c r="X41" i="1"/>
  <c r="T33" i="1"/>
  <c r="U33" i="1" s="1"/>
  <c r="S33" i="1" s="1"/>
  <c r="AA32" i="1"/>
  <c r="AA31" i="1"/>
  <c r="W31" i="1" s="1"/>
  <c r="U245" i="1"/>
  <c r="S245" i="1" s="1"/>
  <c r="AI245" i="1"/>
  <c r="AI249" i="1"/>
  <c r="X249" i="1"/>
  <c r="T249" i="1"/>
  <c r="U249" i="1" s="1"/>
  <c r="S249" i="1" s="1"/>
  <c r="X245" i="1"/>
  <c r="W191" i="1"/>
  <c r="U183" i="1"/>
  <c r="S183" i="1" s="1"/>
  <c r="W179" i="1"/>
  <c r="AG252" i="1"/>
  <c r="AG248" i="1"/>
  <c r="W248" i="1" s="1"/>
  <c r="AG244" i="1"/>
  <c r="W244" i="1" s="1"/>
  <c r="S243" i="1"/>
  <c r="T242" i="1"/>
  <c r="X242" i="1"/>
  <c r="X252" i="1"/>
  <c r="X248" i="1"/>
  <c r="X244" i="1"/>
  <c r="AI243" i="1"/>
  <c r="AG242" i="1"/>
  <c r="U221" i="1"/>
  <c r="S221" i="1" s="1"/>
  <c r="U193" i="1"/>
  <c r="S193" i="1" s="1"/>
  <c r="U177" i="1"/>
  <c r="S177" i="1" s="1"/>
  <c r="U173" i="1"/>
  <c r="S173" i="1" s="1"/>
  <c r="U169" i="1"/>
  <c r="S169" i="1" s="1"/>
  <c r="U217" i="1"/>
  <c r="S217" i="1" s="1"/>
  <c r="T214" i="1"/>
  <c r="X214" i="1"/>
  <c r="U210" i="1"/>
  <c r="S210" i="1" s="1"/>
  <c r="AI154" i="1"/>
  <c r="AI148" i="1"/>
  <c r="U148" i="1"/>
  <c r="S148" i="1" s="1"/>
  <c r="U147" i="1"/>
  <c r="S147" i="1" s="1"/>
  <c r="AI139" i="1"/>
  <c r="AG238" i="1"/>
  <c r="AG234" i="1"/>
  <c r="W234" i="1" s="1"/>
  <c r="AG222" i="1"/>
  <c r="AG206" i="1"/>
  <c r="AG202" i="1"/>
  <c r="AG198" i="1"/>
  <c r="AG194" i="1"/>
  <c r="AG190" i="1"/>
  <c r="AG186" i="1"/>
  <c r="AG182" i="1"/>
  <c r="AG178" i="1"/>
  <c r="X177" i="1"/>
  <c r="AG174" i="1"/>
  <c r="X173" i="1"/>
  <c r="AG170" i="1"/>
  <c r="AI188" i="1"/>
  <c r="S168" i="1"/>
  <c r="X166" i="1"/>
  <c r="AG163" i="1"/>
  <c r="AI163" i="1" s="1"/>
  <c r="X162" i="1"/>
  <c r="AG231" i="1"/>
  <c r="W231" i="1" s="1"/>
  <c r="X230" i="1"/>
  <c r="AG227" i="1"/>
  <c r="X226" i="1"/>
  <c r="S225" i="1"/>
  <c r="AG218" i="1"/>
  <c r="W218" i="1" s="1"/>
  <c r="X217" i="1"/>
  <c r="AG214" i="1"/>
  <c r="T213" i="1"/>
  <c r="U213" i="1" s="1"/>
  <c r="S213" i="1" s="1"/>
  <c r="U212" i="1"/>
  <c r="S212" i="1" s="1"/>
  <c r="U150" i="1"/>
  <c r="S150" i="1" s="1"/>
  <c r="AI150" i="1"/>
  <c r="AI144" i="1"/>
  <c r="U144" i="1"/>
  <c r="S144" i="1" s="1"/>
  <c r="AI136" i="1"/>
  <c r="W134" i="1"/>
  <c r="AI132" i="1"/>
  <c r="U132" i="1"/>
  <c r="S132" i="1" s="1"/>
  <c r="AI128" i="1"/>
  <c r="W125" i="1"/>
  <c r="AG239" i="1"/>
  <c r="X238" i="1"/>
  <c r="AG235" i="1"/>
  <c r="X234" i="1"/>
  <c r="AG223" i="1"/>
  <c r="X222" i="1"/>
  <c r="AI229" i="1"/>
  <c r="AG219" i="1"/>
  <c r="W219" i="1" s="1"/>
  <c r="X206" i="1"/>
  <c r="AI225" i="1"/>
  <c r="AG203" i="1"/>
  <c r="AI203" i="1" s="1"/>
  <c r="X202" i="1"/>
  <c r="AI221" i="1"/>
  <c r="AG199" i="1"/>
  <c r="AI199" i="1" s="1"/>
  <c r="X198" i="1"/>
  <c r="AI217" i="1"/>
  <c r="AG195" i="1"/>
  <c r="AI195" i="1" s="1"/>
  <c r="X194" i="1"/>
  <c r="AI213" i="1"/>
  <c r="X190" i="1"/>
  <c r="T190" i="1"/>
  <c r="AI209" i="1"/>
  <c r="X186" i="1"/>
  <c r="T186" i="1"/>
  <c r="X182" i="1"/>
  <c r="T182" i="1"/>
  <c r="X178" i="1"/>
  <c r="T178" i="1"/>
  <c r="AI197" i="1"/>
  <c r="X174" i="1"/>
  <c r="T174" i="1"/>
  <c r="X170" i="1"/>
  <c r="T170" i="1"/>
  <c r="X163" i="1"/>
  <c r="T163" i="1"/>
  <c r="AI181" i="1"/>
  <c r="X231" i="1"/>
  <c r="T231" i="1"/>
  <c r="AI177" i="1"/>
  <c r="X227" i="1"/>
  <c r="T227" i="1"/>
  <c r="X218" i="1"/>
  <c r="AI169" i="1"/>
  <c r="U209" i="1"/>
  <c r="S209" i="1" s="1"/>
  <c r="AI146" i="1"/>
  <c r="U134" i="1"/>
  <c r="S134" i="1" s="1"/>
  <c r="AI134" i="1"/>
  <c r="AI125" i="1"/>
  <c r="X239" i="1"/>
  <c r="X235" i="1"/>
  <c r="X223" i="1"/>
  <c r="X219" i="1"/>
  <c r="X203" i="1"/>
  <c r="X199" i="1"/>
  <c r="X195" i="1"/>
  <c r="X213" i="1"/>
  <c r="AI158" i="1"/>
  <c r="AI152" i="1"/>
  <c r="U142" i="1"/>
  <c r="S142" i="1" s="1"/>
  <c r="AI142" i="1"/>
  <c r="AI138" i="1"/>
  <c r="AI135" i="1"/>
  <c r="U130" i="1"/>
  <c r="S130" i="1" s="1"/>
  <c r="AI130" i="1"/>
  <c r="AI127" i="1"/>
  <c r="AG211" i="1"/>
  <c r="AI211" i="1" s="1"/>
  <c r="X210" i="1"/>
  <c r="AG207" i="1"/>
  <c r="AI207" i="1" s="1"/>
  <c r="X159" i="1"/>
  <c r="AG156" i="1"/>
  <c r="X155" i="1"/>
  <c r="X151" i="1"/>
  <c r="X147" i="1"/>
  <c r="X143" i="1"/>
  <c r="X139" i="1"/>
  <c r="T139" i="1"/>
  <c r="U139" i="1" s="1"/>
  <c r="S139" i="1" s="1"/>
  <c r="X135" i="1"/>
  <c r="T135" i="1"/>
  <c r="U135" i="1" s="1"/>
  <c r="S135" i="1" s="1"/>
  <c r="X131" i="1"/>
  <c r="T127" i="1"/>
  <c r="U127" i="1" s="1"/>
  <c r="S127" i="1" s="1"/>
  <c r="X124" i="1"/>
  <c r="AI110" i="1"/>
  <c r="AI106" i="1"/>
  <c r="S155" i="1"/>
  <c r="U137" i="1"/>
  <c r="S137" i="1" s="1"/>
  <c r="T122" i="1"/>
  <c r="U122" i="1" s="1"/>
  <c r="S122" i="1" s="1"/>
  <c r="AA121" i="1"/>
  <c r="W121" i="1" s="1"/>
  <c r="AI103" i="1"/>
  <c r="U103" i="1"/>
  <c r="S103" i="1" s="1"/>
  <c r="AI99" i="1"/>
  <c r="AI94" i="1"/>
  <c r="AI91" i="1"/>
  <c r="U91" i="1"/>
  <c r="S91" i="1" s="1"/>
  <c r="U87" i="1"/>
  <c r="S87" i="1" s="1"/>
  <c r="X122" i="1"/>
  <c r="AI107" i="1"/>
  <c r="U107" i="1"/>
  <c r="S107" i="1" s="1"/>
  <c r="AG124" i="1"/>
  <c r="U117" i="1"/>
  <c r="S117" i="1" s="1"/>
  <c r="U114" i="1"/>
  <c r="S114" i="1" s="1"/>
  <c r="W110" i="1"/>
  <c r="AI102" i="1"/>
  <c r="AI98" i="1"/>
  <c r="AI95" i="1"/>
  <c r="AI90" i="1"/>
  <c r="X121" i="1"/>
  <c r="AI120" i="1"/>
  <c r="AG118" i="1"/>
  <c r="AG115" i="1"/>
  <c r="X114" i="1"/>
  <c r="AG111" i="1"/>
  <c r="X110" i="1"/>
  <c r="T110" i="1"/>
  <c r="U110" i="1" s="1"/>
  <c r="S110" i="1" s="1"/>
  <c r="AI109" i="1"/>
  <c r="X106" i="1"/>
  <c r="T106" i="1"/>
  <c r="U106" i="1" s="1"/>
  <c r="S106" i="1" s="1"/>
  <c r="AI105" i="1"/>
  <c r="S105" i="1"/>
  <c r="X102" i="1"/>
  <c r="T102" i="1"/>
  <c r="U102" i="1" s="1"/>
  <c r="S102" i="1" s="1"/>
  <c r="AI101" i="1"/>
  <c r="S101" i="1"/>
  <c r="X98" i="1"/>
  <c r="T98" i="1"/>
  <c r="U98" i="1" s="1"/>
  <c r="S98" i="1" s="1"/>
  <c r="X94" i="1"/>
  <c r="T94" i="1"/>
  <c r="U94" i="1" s="1"/>
  <c r="S94" i="1" s="1"/>
  <c r="AI93" i="1"/>
  <c r="S93" i="1"/>
  <c r="X90" i="1"/>
  <c r="T90" i="1"/>
  <c r="U90" i="1" s="1"/>
  <c r="S90" i="1" s="1"/>
  <c r="U89" i="1"/>
  <c r="S89" i="1" s="1"/>
  <c r="AI81" i="1"/>
  <c r="AI73" i="1"/>
  <c r="U73" i="1"/>
  <c r="S73" i="1" s="1"/>
  <c r="AI60" i="1"/>
  <c r="U60" i="1"/>
  <c r="S60" i="1" s="1"/>
  <c r="W56" i="1"/>
  <c r="X115" i="1"/>
  <c r="X111" i="1"/>
  <c r="U96" i="1"/>
  <c r="S96" i="1" s="1"/>
  <c r="AA87" i="1"/>
  <c r="W87" i="1" s="1"/>
  <c r="AI56" i="1"/>
  <c r="U56" i="1"/>
  <c r="S56" i="1" s="1"/>
  <c r="T88" i="1"/>
  <c r="X88" i="1"/>
  <c r="AI77" i="1"/>
  <c r="U77" i="1"/>
  <c r="S77" i="1" s="1"/>
  <c r="AI69" i="1"/>
  <c r="U69" i="1"/>
  <c r="S69" i="1" s="1"/>
  <c r="X97" i="1"/>
  <c r="X93" i="1"/>
  <c r="AG88" i="1"/>
  <c r="AI87" i="1"/>
  <c r="W73" i="1"/>
  <c r="AI65" i="1"/>
  <c r="AG84" i="1"/>
  <c r="X83" i="1"/>
  <c r="AG80" i="1"/>
  <c r="X79" i="1"/>
  <c r="AG76" i="1"/>
  <c r="X75" i="1"/>
  <c r="AG72" i="1"/>
  <c r="W72" i="1" s="1"/>
  <c r="X71" i="1"/>
  <c r="AG68" i="1"/>
  <c r="X67" i="1"/>
  <c r="AG64" i="1"/>
  <c r="AG59" i="1"/>
  <c r="X58" i="1"/>
  <c r="S57" i="1"/>
  <c r="AG55" i="1"/>
  <c r="W55" i="1" s="1"/>
  <c r="T55" i="1"/>
  <c r="W49" i="1"/>
  <c r="X84" i="1"/>
  <c r="AI83" i="1"/>
  <c r="X80" i="1"/>
  <c r="AI79" i="1"/>
  <c r="X76" i="1"/>
  <c r="S75" i="1"/>
  <c r="X72" i="1"/>
  <c r="X68" i="1"/>
  <c r="T68" i="1"/>
  <c r="X64" i="1"/>
  <c r="T64" i="1"/>
  <c r="S63" i="1"/>
  <c r="X59" i="1"/>
  <c r="T59" i="1"/>
  <c r="X55" i="1"/>
  <c r="AI49" i="1"/>
  <c r="U41" i="1"/>
  <c r="S41" i="1" s="1"/>
  <c r="AI41" i="1"/>
  <c r="W16" i="1"/>
  <c r="U37" i="1"/>
  <c r="S37" i="1" s="1"/>
  <c r="AI37" i="1"/>
  <c r="AI29" i="1"/>
  <c r="U16" i="1"/>
  <c r="S16" i="1" s="1"/>
  <c r="AI16" i="1"/>
  <c r="AI45" i="1"/>
  <c r="AI33" i="1"/>
  <c r="X53" i="1"/>
  <c r="T53" i="1"/>
  <c r="U53" i="1" s="1"/>
  <c r="S53" i="1" s="1"/>
  <c r="X49" i="1"/>
  <c r="T49" i="1"/>
  <c r="U49" i="1" s="1"/>
  <c r="S49" i="1" s="1"/>
  <c r="X45" i="1"/>
  <c r="T45" i="1"/>
  <c r="U45" i="1" s="1"/>
  <c r="S45" i="1" s="1"/>
  <c r="U34" i="1"/>
  <c r="S34" i="1" s="1"/>
  <c r="U26" i="1"/>
  <c r="S26" i="1" s="1"/>
  <c r="U22" i="1"/>
  <c r="S22" i="1" s="1"/>
  <c r="U51" i="1"/>
  <c r="S51" i="1" s="1"/>
  <c r="U47" i="1"/>
  <c r="U43" i="1"/>
  <c r="S43" i="1" s="1"/>
  <c r="U35" i="1"/>
  <c r="S35" i="1" s="1"/>
  <c r="U31" i="1"/>
  <c r="S31" i="1" s="1"/>
  <c r="U23" i="1"/>
  <c r="S23" i="1" s="1"/>
  <c r="U19" i="1"/>
  <c r="S19" i="1" s="1"/>
  <c r="AG15" i="1"/>
  <c r="W15" i="1" s="1"/>
  <c r="AG48" i="1"/>
  <c r="W48" i="1" s="1"/>
  <c r="AG44" i="1"/>
  <c r="AG40" i="1"/>
  <c r="AG36" i="1"/>
  <c r="AG32" i="1"/>
  <c r="AG28" i="1"/>
  <c r="X27" i="1"/>
  <c r="AG24" i="1"/>
  <c r="W24" i="1" s="1"/>
  <c r="X23" i="1"/>
  <c r="AG20" i="1"/>
  <c r="X19" i="1"/>
  <c r="X52" i="1"/>
  <c r="AI51" i="1"/>
  <c r="X48" i="1"/>
  <c r="AI47" i="1"/>
  <c r="X44" i="1"/>
  <c r="AI43" i="1"/>
  <c r="X40" i="1"/>
  <c r="X36" i="1"/>
  <c r="AI35" i="1"/>
  <c r="X32" i="1"/>
  <c r="X28" i="1"/>
  <c r="AI27" i="1"/>
  <c r="X24" i="1"/>
  <c r="X20" i="1"/>
  <c r="AC54" i="3"/>
  <c r="Y15" i="3"/>
  <c r="T55" i="3"/>
  <c r="AD24" i="3"/>
  <c r="T43" i="3"/>
  <c r="Y13" i="3"/>
  <c r="AD42" i="3"/>
  <c r="AE53" i="3"/>
  <c r="Y31" i="3"/>
  <c r="AD46" i="3"/>
  <c r="AE46" i="3"/>
  <c r="AD48" i="3"/>
  <c r="T26" i="3"/>
  <c r="Y28" i="3"/>
  <c r="T38" i="3"/>
  <c r="AD29" i="3"/>
  <c r="Y24" i="3"/>
  <c r="AD28" i="3"/>
  <c r="AE25" i="3"/>
  <c r="Y55" i="3"/>
  <c r="AD55" i="3"/>
  <c r="Y43" i="3"/>
  <c r="AE52" i="3"/>
  <c r="Y35" i="3"/>
  <c r="AD40" i="3"/>
  <c r="Y47" i="3"/>
  <c r="AC29" i="3"/>
  <c r="Y26" i="3"/>
  <c r="Y38" i="3"/>
  <c r="AD16" i="3"/>
  <c r="Y7" i="3"/>
  <c r="AE21" i="3"/>
  <c r="AD44" i="3"/>
  <c r="AD25" i="3"/>
  <c r="AD11" i="3"/>
  <c r="AE11" i="3"/>
  <c r="AD21" i="3"/>
  <c r="T27" i="3"/>
  <c r="T10" i="3"/>
  <c r="T40" i="3"/>
  <c r="T39" i="3"/>
  <c r="Y27" i="3"/>
  <c r="AE15" i="3"/>
  <c r="AC14" i="3"/>
  <c r="Y10" i="3"/>
  <c r="T50" i="3"/>
  <c r="AE13" i="3"/>
  <c r="Y40" i="3"/>
  <c r="AE40" i="3"/>
  <c r="AC47" i="3"/>
  <c r="Y18" i="3"/>
  <c r="T34" i="3"/>
  <c r="AE33" i="3"/>
  <c r="Y39" i="3"/>
  <c r="AE49" i="3"/>
  <c r="AC21" i="3"/>
  <c r="Y25" i="3"/>
  <c r="T17" i="3"/>
  <c r="T18" i="3"/>
  <c r="T25" i="3"/>
  <c r="AE34" i="3"/>
  <c r="Y54" i="3"/>
  <c r="AE24" i="3"/>
  <c r="AC51" i="3"/>
  <c r="Y50" i="3"/>
  <c r="AE42" i="3"/>
  <c r="Y46" i="3"/>
  <c r="AE37" i="3"/>
  <c r="AC45" i="3"/>
  <c r="Y34" i="3"/>
  <c r="AE41" i="3"/>
  <c r="Y44" i="3"/>
  <c r="AE29" i="3"/>
  <c r="AC8" i="3"/>
  <c r="Y17" i="3"/>
  <c r="AE17" i="3"/>
  <c r="T11" i="3"/>
  <c r="AE8" i="3"/>
  <c r="T13" i="3"/>
  <c r="AE14" i="3"/>
  <c r="T49" i="3"/>
  <c r="AE39" i="3"/>
  <c r="T20" i="3"/>
  <c r="AE35" i="3"/>
  <c r="T37" i="3"/>
  <c r="AE38" i="3"/>
  <c r="T19" i="3"/>
  <c r="AE26" i="3"/>
  <c r="T24" i="3"/>
  <c r="AE27" i="3"/>
  <c r="T52" i="3"/>
  <c r="AE9" i="3"/>
  <c r="T53" i="3"/>
  <c r="AE54" i="3"/>
  <c r="T48" i="3"/>
  <c r="AE18" i="3"/>
  <c r="T31" i="3"/>
  <c r="AE47" i="3"/>
  <c r="T33" i="3"/>
  <c r="AD17" i="3"/>
  <c r="AE23" i="3"/>
  <c r="T9" i="3"/>
  <c r="AD27" i="3"/>
  <c r="AE19" i="3"/>
  <c r="T14" i="3"/>
  <c r="AD9" i="3"/>
  <c r="AE55" i="3"/>
  <c r="T51" i="3"/>
  <c r="AD8" i="3"/>
  <c r="AE31" i="3"/>
  <c r="T30" i="3"/>
  <c r="AD14" i="3"/>
  <c r="AE36" i="3"/>
  <c r="T35" i="3"/>
  <c r="AD54" i="3"/>
  <c r="AE10" i="3"/>
  <c r="T47" i="3"/>
  <c r="AD18" i="3"/>
  <c r="AE51" i="3"/>
  <c r="T45" i="3"/>
  <c r="AD47" i="3"/>
  <c r="AE45" i="3"/>
  <c r="T29" i="3"/>
  <c r="AD39" i="3"/>
  <c r="AE20" i="3"/>
  <c r="T22" i="3"/>
  <c r="AD35" i="3"/>
  <c r="AE22" i="3"/>
  <c r="T21" i="3"/>
  <c r="AD38" i="3"/>
  <c r="AE16" i="3"/>
  <c r="T8" i="3"/>
  <c r="AD26" i="3"/>
  <c r="AE28" i="3"/>
  <c r="T23" i="3"/>
  <c r="AE44" i="3"/>
  <c r="B63" i="9"/>
  <c r="C64" i="9" s="1"/>
  <c r="B64" i="9"/>
  <c r="B65" i="9"/>
  <c r="B66" i="9"/>
  <c r="C67" i="9" s="1"/>
  <c r="B67" i="9"/>
  <c r="B68" i="9"/>
  <c r="C68" i="9"/>
  <c r="B69" i="9"/>
  <c r="B70" i="9"/>
  <c r="B71" i="9"/>
  <c r="B72" i="9"/>
  <c r="B73" i="9"/>
  <c r="B74" i="9"/>
  <c r="B75" i="9"/>
  <c r="B76" i="9"/>
  <c r="C77" i="9" s="1"/>
  <c r="C76" i="9"/>
  <c r="B77" i="9"/>
  <c r="B78" i="9"/>
  <c r="C78" i="9"/>
  <c r="B79" i="9"/>
  <c r="C80" i="9" s="1"/>
  <c r="B80" i="9"/>
  <c r="B81" i="9"/>
  <c r="B82" i="9"/>
  <c r="B83" i="9"/>
  <c r="C84" i="9" s="1"/>
  <c r="B84" i="9"/>
  <c r="B85" i="9"/>
  <c r="B86" i="9"/>
  <c r="C86" i="9" s="1"/>
  <c r="B87" i="9"/>
  <c r="B88" i="9"/>
  <c r="B89" i="9"/>
  <c r="B90" i="9"/>
  <c r="B91" i="9"/>
  <c r="B92" i="9"/>
  <c r="C93" i="9" s="1"/>
  <c r="C92" i="9"/>
  <c r="B93" i="9"/>
  <c r="B94" i="9"/>
  <c r="C94" i="9"/>
  <c r="B95" i="9"/>
  <c r="C96" i="9" s="1"/>
  <c r="B96" i="9"/>
  <c r="B97" i="9"/>
  <c r="B98" i="9"/>
  <c r="B99" i="9"/>
  <c r="C100" i="9" s="1"/>
  <c r="B100" i="9"/>
  <c r="B101" i="9"/>
  <c r="B102" i="9"/>
  <c r="C102" i="9" s="1"/>
  <c r="B103" i="9"/>
  <c r="B104" i="9"/>
  <c r="B105" i="9"/>
  <c r="B106" i="9"/>
  <c r="B107" i="9"/>
  <c r="B108" i="9"/>
  <c r="C109" i="9" s="1"/>
  <c r="C108" i="9"/>
  <c r="B109" i="9"/>
  <c r="B110" i="9"/>
  <c r="C110" i="9"/>
  <c r="B111" i="9"/>
  <c r="C112" i="9" s="1"/>
  <c r="B112" i="9"/>
  <c r="B113" i="9"/>
  <c r="B114" i="9"/>
  <c r="B115" i="9"/>
  <c r="C116" i="9" s="1"/>
  <c r="B116" i="9"/>
  <c r="B117" i="9"/>
  <c r="B118" i="9"/>
  <c r="C118" i="9" s="1"/>
  <c r="B119" i="9"/>
  <c r="AI62" i="1" l="1"/>
  <c r="U62" i="1"/>
  <c r="S62" i="1" s="1"/>
  <c r="C115" i="9"/>
  <c r="C99" i="9"/>
  <c r="C83" i="9"/>
  <c r="C104" i="9"/>
  <c r="C88" i="9"/>
  <c r="C72" i="9"/>
  <c r="C69" i="9"/>
  <c r="C117" i="9"/>
  <c r="C107" i="9"/>
  <c r="C101" i="9"/>
  <c r="C91" i="9"/>
  <c r="C85" i="9"/>
  <c r="C75" i="9"/>
  <c r="AI14" i="1"/>
  <c r="U14" i="1"/>
  <c r="S14" i="1" s="1"/>
  <c r="W14" i="1"/>
  <c r="U126" i="1"/>
  <c r="S126" i="1" s="1"/>
  <c r="U30" i="1"/>
  <c r="S30" i="1" s="1"/>
  <c r="AI58" i="1"/>
  <c r="AI75" i="1"/>
  <c r="U149" i="1"/>
  <c r="S149" i="1" s="1"/>
  <c r="U140" i="1"/>
  <c r="S140" i="1" s="1"/>
  <c r="AI82" i="1"/>
  <c r="U113" i="1"/>
  <c r="S113" i="1" s="1"/>
  <c r="W240" i="1"/>
  <c r="W243" i="1"/>
  <c r="U180" i="1"/>
  <c r="S180" i="1" s="1"/>
  <c r="U52" i="1"/>
  <c r="S52" i="1" s="1"/>
  <c r="AI185" i="1"/>
  <c r="AI237" i="1"/>
  <c r="W198" i="1"/>
  <c r="W212" i="1"/>
  <c r="W177" i="1"/>
  <c r="W169" i="1"/>
  <c r="W18" i="1"/>
  <c r="AI39" i="1"/>
  <c r="U18" i="1"/>
  <c r="S18" i="1" s="1"/>
  <c r="AI63" i="1"/>
  <c r="AI67" i="1"/>
  <c r="AI71" i="1"/>
  <c r="AI113" i="1"/>
  <c r="U153" i="1"/>
  <c r="S153" i="1" s="1"/>
  <c r="U123" i="1"/>
  <c r="S123" i="1" s="1"/>
  <c r="W156" i="1"/>
  <c r="U151" i="1"/>
  <c r="S151" i="1" s="1"/>
  <c r="AI162" i="1"/>
  <c r="W214" i="1"/>
  <c r="AI172" i="1"/>
  <c r="W206" i="1"/>
  <c r="W22" i="1"/>
  <c r="W108" i="1"/>
  <c r="W159" i="1"/>
  <c r="W165" i="1"/>
  <c r="U192" i="1"/>
  <c r="S192" i="1" s="1"/>
  <c r="AI165" i="1"/>
  <c r="W141" i="1"/>
  <c r="W172" i="1"/>
  <c r="W138" i="1"/>
  <c r="U92" i="1"/>
  <c r="S92" i="1" s="1"/>
  <c r="U129" i="1"/>
  <c r="S129" i="1" s="1"/>
  <c r="W222" i="1"/>
  <c r="U162" i="1"/>
  <c r="S162" i="1" s="1"/>
  <c r="W67" i="1"/>
  <c r="W200" i="1"/>
  <c r="U121" i="1"/>
  <c r="S121" i="1" s="1"/>
  <c r="W42" i="1"/>
  <c r="W123" i="1"/>
  <c r="W151" i="1"/>
  <c r="S65" i="1"/>
  <c r="W176" i="1"/>
  <c r="W193" i="1"/>
  <c r="W221" i="1"/>
  <c r="W35" i="1"/>
  <c r="W143" i="1"/>
  <c r="W120" i="1"/>
  <c r="W201" i="1"/>
  <c r="U141" i="1"/>
  <c r="S141" i="1" s="1"/>
  <c r="W63" i="1"/>
  <c r="U185" i="1"/>
  <c r="S185" i="1" s="1"/>
  <c r="W88" i="1"/>
  <c r="AI189" i="1"/>
  <c r="W140" i="1"/>
  <c r="U247" i="1"/>
  <c r="S247" i="1" s="1"/>
  <c r="AI241" i="1"/>
  <c r="W97" i="1"/>
  <c r="W247" i="1"/>
  <c r="W168" i="1"/>
  <c r="W180" i="1"/>
  <c r="U246" i="1"/>
  <c r="S246" i="1" s="1"/>
  <c r="W246" i="1"/>
  <c r="W241" i="1"/>
  <c r="U133" i="1"/>
  <c r="S133" i="1" s="1"/>
  <c r="AI184" i="1"/>
  <c r="W100" i="1"/>
  <c r="U197" i="1"/>
  <c r="S197" i="1" s="1"/>
  <c r="AI97" i="1"/>
  <c r="AI168" i="1"/>
  <c r="W75" i="1"/>
  <c r="AI143" i="1"/>
  <c r="W184" i="1"/>
  <c r="U251" i="1"/>
  <c r="S251" i="1" s="1"/>
  <c r="U200" i="1"/>
  <c r="S200" i="1" s="1"/>
  <c r="U100" i="1"/>
  <c r="S100" i="1" s="1"/>
  <c r="U104" i="1"/>
  <c r="S104" i="1" s="1"/>
  <c r="AI205" i="1"/>
  <c r="U166" i="1"/>
  <c r="S166" i="1" s="1"/>
  <c r="U233" i="1"/>
  <c r="S233" i="1" s="1"/>
  <c r="AI251" i="1"/>
  <c r="W204" i="1"/>
  <c r="AI201" i="1"/>
  <c r="U143" i="1"/>
  <c r="S143" i="1" s="1"/>
  <c r="W170" i="1"/>
  <c r="W205" i="1"/>
  <c r="U176" i="1"/>
  <c r="S176" i="1" s="1"/>
  <c r="W192" i="1"/>
  <c r="W84" i="1"/>
  <c r="U116" i="1"/>
  <c r="S116" i="1" s="1"/>
  <c r="W43" i="1"/>
  <c r="W155" i="1"/>
  <c r="W152" i="1"/>
  <c r="W225" i="1"/>
  <c r="W230" i="1"/>
  <c r="W114" i="1"/>
  <c r="W173" i="1"/>
  <c r="W117" i="1"/>
  <c r="U70" i="1"/>
  <c r="S70" i="1" s="1"/>
  <c r="AI70" i="1"/>
  <c r="U78" i="1"/>
  <c r="S78" i="1" s="1"/>
  <c r="AI78" i="1"/>
  <c r="U25" i="1"/>
  <c r="S25" i="1" s="1"/>
  <c r="AI25" i="1"/>
  <c r="U38" i="1"/>
  <c r="S38" i="1" s="1"/>
  <c r="AI38" i="1"/>
  <c r="U86" i="1"/>
  <c r="S86" i="1" s="1"/>
  <c r="AI86" i="1"/>
  <c r="U74" i="1"/>
  <c r="S74" i="1" s="1"/>
  <c r="AI74" i="1"/>
  <c r="W86" i="1"/>
  <c r="W74" i="1"/>
  <c r="U224" i="1"/>
  <c r="S224" i="1" s="1"/>
  <c r="AI224" i="1"/>
  <c r="U161" i="1"/>
  <c r="S161" i="1" s="1"/>
  <c r="AI161" i="1"/>
  <c r="W233" i="1"/>
  <c r="W251" i="1"/>
  <c r="W160" i="1"/>
  <c r="U21" i="1"/>
  <c r="S21" i="1" s="1"/>
  <c r="AI21" i="1"/>
  <c r="W78" i="1"/>
  <c r="W126" i="1"/>
  <c r="U61" i="1"/>
  <c r="S61" i="1" s="1"/>
  <c r="AI61" i="1"/>
  <c r="W71" i="1"/>
  <c r="W137" i="1"/>
  <c r="W21" i="1"/>
  <c r="W149" i="1"/>
  <c r="W147" i="1"/>
  <c r="W197" i="1"/>
  <c r="U17" i="1"/>
  <c r="S17" i="1" s="1"/>
  <c r="AI17" i="1"/>
  <c r="W70" i="1"/>
  <c r="U108" i="1"/>
  <c r="S108" i="1" s="1"/>
  <c r="AI108" i="1"/>
  <c r="W79" i="1"/>
  <c r="W92" i="1"/>
  <c r="W129" i="1"/>
  <c r="W17" i="1"/>
  <c r="W93" i="1"/>
  <c r="W116" i="1"/>
  <c r="W38" i="1"/>
  <c r="W153" i="1"/>
  <c r="W216" i="1"/>
  <c r="W161" i="1"/>
  <c r="U232" i="1"/>
  <c r="S232" i="1" s="1"/>
  <c r="AI232" i="1"/>
  <c r="W51" i="1"/>
  <c r="W133" i="1"/>
  <c r="W113" i="1"/>
  <c r="W25" i="1"/>
  <c r="U159" i="1"/>
  <c r="S159" i="1" s="1"/>
  <c r="AI159" i="1"/>
  <c r="U216" i="1"/>
  <c r="S216" i="1" s="1"/>
  <c r="AI216" i="1"/>
  <c r="U204" i="1"/>
  <c r="S204" i="1" s="1"/>
  <c r="AI204" i="1"/>
  <c r="U236" i="1"/>
  <c r="S236" i="1" s="1"/>
  <c r="AI236" i="1"/>
  <c r="W166" i="1"/>
  <c r="U196" i="1"/>
  <c r="S196" i="1" s="1"/>
  <c r="AI196" i="1"/>
  <c r="U240" i="1"/>
  <c r="S240" i="1" s="1"/>
  <c r="AI240" i="1"/>
  <c r="W215" i="1"/>
  <c r="W224" i="1"/>
  <c r="W196" i="1"/>
  <c r="U20" i="1"/>
  <c r="S20" i="1" s="1"/>
  <c r="AI20" i="1"/>
  <c r="U44" i="1"/>
  <c r="S44" i="1"/>
  <c r="AI44" i="1"/>
  <c r="U40" i="1"/>
  <c r="S40" i="1" s="1"/>
  <c r="AI40" i="1"/>
  <c r="W40" i="1"/>
  <c r="AI64" i="1"/>
  <c r="U64" i="1"/>
  <c r="S64" i="1" s="1"/>
  <c r="AI80" i="1"/>
  <c r="U80" i="1"/>
  <c r="S80" i="1" s="1"/>
  <c r="AI111" i="1"/>
  <c r="U111" i="1"/>
  <c r="S111" i="1" s="1"/>
  <c r="AI115" i="1"/>
  <c r="U115" i="1"/>
  <c r="S115" i="1" s="1"/>
  <c r="AI118" i="1"/>
  <c r="U118" i="1"/>
  <c r="S118" i="1" s="1"/>
  <c r="U124" i="1"/>
  <c r="S124" i="1" s="1"/>
  <c r="AI124" i="1"/>
  <c r="AI160" i="1"/>
  <c r="U207" i="1"/>
  <c r="S207" i="1" s="1"/>
  <c r="U203" i="1"/>
  <c r="S203" i="1" s="1"/>
  <c r="AI223" i="1"/>
  <c r="U239" i="1"/>
  <c r="S239" i="1" s="1"/>
  <c r="AI239" i="1"/>
  <c r="AI198" i="1"/>
  <c r="U178" i="1"/>
  <c r="S178" i="1" s="1"/>
  <c r="AI206" i="1"/>
  <c r="U186" i="1"/>
  <c r="S186" i="1" s="1"/>
  <c r="AI222" i="1"/>
  <c r="U202" i="1"/>
  <c r="S202" i="1" s="1"/>
  <c r="AI238" i="1"/>
  <c r="U238" i="1"/>
  <c r="S238" i="1" s="1"/>
  <c r="W203" i="1"/>
  <c r="U252" i="1"/>
  <c r="S252" i="1" s="1"/>
  <c r="AI252" i="1"/>
  <c r="W239" i="1"/>
  <c r="W252" i="1"/>
  <c r="W44" i="1"/>
  <c r="AI59" i="1"/>
  <c r="U59" i="1"/>
  <c r="S59" i="1" s="1"/>
  <c r="AI76" i="1"/>
  <c r="U76" i="1"/>
  <c r="S76" i="1" s="1"/>
  <c r="W115" i="1"/>
  <c r="U199" i="1"/>
  <c r="S199" i="1" s="1"/>
  <c r="AI219" i="1"/>
  <c r="U235" i="1"/>
  <c r="S235" i="1" s="1"/>
  <c r="AI235" i="1"/>
  <c r="AI194" i="1"/>
  <c r="U174" i="1"/>
  <c r="S174" i="1" s="1"/>
  <c r="AI210" i="1"/>
  <c r="U190" i="1"/>
  <c r="S190" i="1" s="1"/>
  <c r="AI226" i="1"/>
  <c r="U206" i="1"/>
  <c r="S206" i="1" s="1"/>
  <c r="W174" i="1"/>
  <c r="AI242" i="1"/>
  <c r="U242" i="1"/>
  <c r="S242" i="1" s="1"/>
  <c r="W242" i="1"/>
  <c r="U55" i="1"/>
  <c r="S55" i="1" s="1"/>
  <c r="AI55" i="1"/>
  <c r="AI72" i="1"/>
  <c r="U72" i="1"/>
  <c r="S72" i="1" s="1"/>
  <c r="W64" i="1"/>
  <c r="W80" i="1"/>
  <c r="AI156" i="1"/>
  <c r="U156" i="1"/>
  <c r="S156" i="1" s="1"/>
  <c r="AI164" i="1"/>
  <c r="U211" i="1"/>
  <c r="S211" i="1" s="1"/>
  <c r="W211" i="1"/>
  <c r="U195" i="1"/>
  <c r="S195" i="1" s="1"/>
  <c r="AI215" i="1"/>
  <c r="U223" i="1"/>
  <c r="S223" i="1" s="1"/>
  <c r="AI231" i="1"/>
  <c r="U214" i="1"/>
  <c r="S214" i="1" s="1"/>
  <c r="AI170" i="1"/>
  <c r="U218" i="1"/>
  <c r="S218" i="1" s="1"/>
  <c r="AI174" i="1"/>
  <c r="U227" i="1"/>
  <c r="S227" i="1" s="1"/>
  <c r="AI178" i="1"/>
  <c r="U231" i="1"/>
  <c r="S231" i="1" s="1"/>
  <c r="AI182" i="1"/>
  <c r="U163" i="1"/>
  <c r="S163" i="1" s="1"/>
  <c r="AI186" i="1"/>
  <c r="AI190" i="1"/>
  <c r="U170" i="1"/>
  <c r="S170" i="1" s="1"/>
  <c r="AI202" i="1"/>
  <c r="U182" i="1"/>
  <c r="S182" i="1" s="1"/>
  <c r="AI214" i="1"/>
  <c r="U194" i="1"/>
  <c r="S194" i="1" s="1"/>
  <c r="AI230" i="1"/>
  <c r="U222" i="1"/>
  <c r="S222" i="1" s="1"/>
  <c r="U244" i="1"/>
  <c r="S244" i="1" s="1"/>
  <c r="AI244" i="1"/>
  <c r="W186" i="1"/>
  <c r="W190" i="1"/>
  <c r="W194" i="1"/>
  <c r="W223" i="1"/>
  <c r="U28" i="1"/>
  <c r="S28" i="1" s="1"/>
  <c r="AI28" i="1"/>
  <c r="W28" i="1"/>
  <c r="U32" i="1"/>
  <c r="S32" i="1" s="1"/>
  <c r="AI32" i="1"/>
  <c r="U48" i="1"/>
  <c r="S47" i="1" s="1"/>
  <c r="AI48" i="1"/>
  <c r="W32" i="1"/>
  <c r="U24" i="1"/>
  <c r="S24" i="1" s="1"/>
  <c r="AI24" i="1"/>
  <c r="U36" i="1"/>
  <c r="S36" i="1" s="1"/>
  <c r="AI36" i="1"/>
  <c r="AI15" i="1"/>
  <c r="U15" i="1"/>
  <c r="S15" i="1" s="1"/>
  <c r="W36" i="1"/>
  <c r="W20" i="1"/>
  <c r="AI68" i="1"/>
  <c r="U68" i="1"/>
  <c r="S68" i="1" s="1"/>
  <c r="AI84" i="1"/>
  <c r="U84" i="1"/>
  <c r="S84" i="1" s="1"/>
  <c r="W76" i="1"/>
  <c r="U88" i="1"/>
  <c r="S88" i="1" s="1"/>
  <c r="AI88" i="1"/>
  <c r="W68" i="1"/>
  <c r="W59" i="1"/>
  <c r="W111" i="1"/>
  <c r="W124" i="1"/>
  <c r="W118" i="1"/>
  <c r="U219" i="1"/>
  <c r="S219" i="1" s="1"/>
  <c r="AI227" i="1"/>
  <c r="AI218" i="1"/>
  <c r="U198" i="1"/>
  <c r="S198" i="1" s="1"/>
  <c r="AI234" i="1"/>
  <c r="U234" i="1"/>
  <c r="S234" i="1" s="1"/>
  <c r="W207" i="1"/>
  <c r="W163" i="1"/>
  <c r="W182" i="1"/>
  <c r="W202" i="1"/>
  <c r="W235" i="1"/>
  <c r="W199" i="1"/>
  <c r="U248" i="1"/>
  <c r="S248" i="1" s="1"/>
  <c r="AI248" i="1"/>
  <c r="W227" i="1"/>
  <c r="W178" i="1"/>
  <c r="W195" i="1"/>
  <c r="W238" i="1"/>
  <c r="C119" i="9"/>
  <c r="C111" i="9"/>
  <c r="C103" i="9"/>
  <c r="C95" i="9"/>
  <c r="C87" i="9"/>
  <c r="C79" i="9"/>
  <c r="C71" i="9"/>
  <c r="C114" i="9"/>
  <c r="C113" i="9"/>
  <c r="C106" i="9"/>
  <c r="C105" i="9"/>
  <c r="C98" i="9"/>
  <c r="C97" i="9"/>
  <c r="C90" i="9"/>
  <c r="C89" i="9"/>
  <c r="C82" i="9"/>
  <c r="C81" i="9"/>
  <c r="C74" i="9"/>
  <c r="C73" i="9"/>
  <c r="C66" i="9"/>
  <c r="C65" i="9"/>
  <c r="C70" i="9"/>
  <c r="K13" i="1"/>
  <c r="L13" i="1"/>
  <c r="M13" i="1"/>
  <c r="N13" i="1" s="1"/>
  <c r="V13" i="1"/>
  <c r="Y13" i="1"/>
  <c r="Z13" i="1"/>
  <c r="AB13" i="1"/>
  <c r="AC13" i="1"/>
  <c r="AD13" i="1"/>
  <c r="AE13" i="1"/>
  <c r="AF13" i="1"/>
  <c r="AM13" i="1"/>
  <c r="AN13" i="1"/>
  <c r="S12" i="3"/>
  <c r="R12" i="3"/>
  <c r="M12" i="3"/>
  <c r="U12" i="3"/>
  <c r="V12" i="3"/>
  <c r="W12" i="3"/>
  <c r="X12" i="3"/>
  <c r="AG13" i="1" l="1"/>
  <c r="X13" i="1"/>
  <c r="AC12" i="3"/>
  <c r="AD12" i="3"/>
  <c r="AE12" i="3"/>
  <c r="Y12" i="3"/>
  <c r="AA13" i="1"/>
  <c r="T13" i="1"/>
  <c r="AI13" i="1"/>
  <c r="AE7" i="3"/>
  <c r="T12" i="3"/>
  <c r="AD7" i="3"/>
  <c r="U13" i="1" l="1"/>
  <c r="S13" i="1" s="1"/>
  <c r="W13" i="1"/>
  <c r="B7" i="6"/>
  <c r="G7" i="6" s="1"/>
  <c r="F7" i="6" l="1"/>
  <c r="J7" i="6"/>
  <c r="I7" i="6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M28" i="5" l="1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M23" i="5" l="1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N23" i="3" s="1"/>
  <c r="G22" i="4"/>
  <c r="N16" i="3" s="1"/>
  <c r="G23" i="4"/>
  <c r="G24" i="4"/>
  <c r="G25" i="4"/>
  <c r="G26" i="4"/>
  <c r="G27" i="4"/>
  <c r="G28" i="4"/>
  <c r="G29" i="4"/>
  <c r="G30" i="4"/>
  <c r="G31" i="4"/>
  <c r="N24" i="3" s="1"/>
  <c r="G32" i="4"/>
  <c r="G33" i="4"/>
  <c r="G34" i="4"/>
  <c r="G35" i="4"/>
  <c r="G36" i="4"/>
  <c r="G37" i="4"/>
  <c r="G38" i="4"/>
  <c r="G39" i="4"/>
  <c r="G40" i="4"/>
  <c r="G41" i="4"/>
  <c r="N17" i="3" s="1"/>
  <c r="G42" i="4"/>
  <c r="N8" i="3" s="1"/>
  <c r="G43" i="4"/>
  <c r="G44" i="4"/>
  <c r="G45" i="4"/>
  <c r="G46" i="4"/>
  <c r="N7" i="3" s="1"/>
  <c r="G47" i="4"/>
  <c r="G48" i="4"/>
  <c r="G49" i="4"/>
  <c r="G50" i="4"/>
  <c r="G51" i="4"/>
  <c r="G52" i="4"/>
  <c r="N19" i="3" s="1"/>
  <c r="G53" i="4"/>
  <c r="G54" i="4"/>
  <c r="G55" i="4"/>
  <c r="G56" i="4"/>
  <c r="G57" i="4"/>
  <c r="G58" i="4"/>
  <c r="N25" i="3" s="1"/>
  <c r="G59" i="4"/>
  <c r="G60" i="4"/>
  <c r="G61" i="4"/>
  <c r="G62" i="4"/>
  <c r="G63" i="4"/>
  <c r="G64" i="4"/>
  <c r="G65" i="4"/>
  <c r="N12" i="3" s="1"/>
  <c r="G66" i="4"/>
  <c r="N21" i="3" s="1"/>
  <c r="G67" i="4"/>
  <c r="N44" i="3" s="1"/>
  <c r="G68" i="4"/>
  <c r="G69" i="4"/>
  <c r="G70" i="4"/>
  <c r="N37" i="3" s="1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N22" i="3" s="1"/>
  <c r="G85" i="4"/>
  <c r="G86" i="4"/>
  <c r="G87" i="4"/>
  <c r="G88" i="4"/>
  <c r="G89" i="4"/>
  <c r="N20" i="3" s="1"/>
  <c r="G90" i="4"/>
  <c r="G91" i="4"/>
  <c r="G92" i="4"/>
  <c r="G93" i="4"/>
  <c r="G94" i="4"/>
  <c r="G95" i="4"/>
  <c r="G96" i="4"/>
  <c r="G97" i="4"/>
  <c r="G98" i="4"/>
  <c r="N28" i="3" s="1"/>
  <c r="G99" i="4"/>
  <c r="N26" i="3" s="1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N34" i="3" s="1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N31" i="3" s="1"/>
  <c r="G153" i="4"/>
  <c r="G154" i="4"/>
  <c r="G155" i="4"/>
  <c r="N18" i="3" s="1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N30" i="3" s="1"/>
  <c r="G185" i="4"/>
  <c r="G186" i="4"/>
  <c r="G187" i="4"/>
  <c r="G188" i="4"/>
  <c r="G189" i="4"/>
  <c r="N13" i="3" s="1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N50" i="3" s="1"/>
  <c r="G208" i="4"/>
  <c r="G209" i="4"/>
  <c r="G210" i="4"/>
  <c r="N43" i="3" s="1"/>
  <c r="G211" i="4"/>
  <c r="G212" i="4"/>
  <c r="G213" i="4"/>
  <c r="N51" i="3" s="1"/>
  <c r="G214" i="4"/>
  <c r="G215" i="4"/>
  <c r="G216" i="4"/>
  <c r="G217" i="4"/>
  <c r="G218" i="4"/>
  <c r="N14" i="3" s="1"/>
  <c r="G219" i="4"/>
  <c r="G220" i="4"/>
  <c r="N10" i="3" s="1"/>
  <c r="G221" i="4"/>
  <c r="G222" i="4"/>
  <c r="G223" i="4"/>
  <c r="G224" i="4"/>
  <c r="G225" i="4"/>
  <c r="G226" i="4"/>
  <c r="G227" i="4"/>
  <c r="G228" i="4"/>
  <c r="G229" i="4"/>
  <c r="G230" i="4"/>
  <c r="N27" i="3" s="1"/>
  <c r="G231" i="4"/>
  <c r="G232" i="4"/>
  <c r="G233" i="4"/>
  <c r="G234" i="4"/>
  <c r="G235" i="4"/>
  <c r="G236" i="4"/>
  <c r="G237" i="4"/>
  <c r="G238" i="4"/>
  <c r="G239" i="4"/>
  <c r="N15" i="3" s="1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5" i="3" l="1"/>
  <c r="N49" i="3"/>
  <c r="N46" i="3"/>
  <c r="N47" i="3"/>
  <c r="N48" i="3"/>
  <c r="N41" i="3"/>
  <c r="N42" i="3"/>
  <c r="N38" i="3"/>
  <c r="N39" i="3"/>
  <c r="N9" i="3"/>
  <c r="N11" i="3"/>
  <c r="N54" i="3"/>
  <c r="N55" i="3"/>
  <c r="N45" i="3"/>
  <c r="N32" i="3"/>
  <c r="N53" i="3"/>
  <c r="N52" i="3"/>
  <c r="N36" i="3"/>
  <c r="N40" i="3"/>
  <c r="N29" i="3"/>
  <c r="N33" i="3"/>
  <c r="H7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B6" i="6" l="1"/>
  <c r="I6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6" i="6" l="1"/>
  <c r="F6" i="6"/>
  <c r="J6" i="6"/>
  <c r="H6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B3" i="6" l="1"/>
  <c r="I3" i="6" s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3" i="6" l="1"/>
  <c r="F3" i="6"/>
  <c r="G3" i="6"/>
  <c r="H3" i="6"/>
  <c r="B4" i="6"/>
  <c r="I4" i="6" s="1"/>
  <c r="J8" i="1"/>
  <c r="J4" i="1"/>
  <c r="S8" i="1"/>
  <c r="S4" i="1"/>
  <c r="F4" i="6" l="1"/>
  <c r="J4" i="6"/>
  <c r="H4" i="6"/>
  <c r="G4" i="6"/>
  <c r="B5" i="6"/>
  <c r="I5" i="6" s="1"/>
  <c r="S9" i="1"/>
  <c r="J9" i="1"/>
  <c r="B8" i="6" l="1"/>
  <c r="I8" i="6" s="1"/>
  <c r="F5" i="6"/>
  <c r="G5" i="6"/>
  <c r="J5" i="6"/>
  <c r="H5" i="6"/>
  <c r="S11" i="1"/>
  <c r="A11" i="1"/>
  <c r="B9" i="6" l="1"/>
  <c r="I9" i="6" s="1"/>
  <c r="G8" i="6"/>
  <c r="H8" i="6"/>
  <c r="J8" i="6"/>
  <c r="F8" i="6"/>
  <c r="B1" i="6"/>
  <c r="A5" i="3"/>
  <c r="G9" i="6" l="1"/>
  <c r="F9" i="6"/>
  <c r="J9" i="6"/>
  <c r="H9" i="6"/>
  <c r="B10" i="6"/>
  <c r="I10" i="6" s="1"/>
  <c r="F10" i="6" l="1"/>
  <c r="J10" i="6"/>
  <c r="G10" i="6"/>
  <c r="H10" i="6"/>
  <c r="B11" i="6"/>
  <c r="I11" i="6" s="1"/>
  <c r="B12" i="6" l="1"/>
  <c r="I12" i="6" s="1"/>
  <c r="J11" i="6"/>
  <c r="G11" i="6"/>
  <c r="F11" i="6"/>
  <c r="H11" i="6"/>
  <c r="F12" i="6" l="1"/>
  <c r="G12" i="6"/>
  <c r="H12" i="6"/>
  <c r="J12" i="6"/>
  <c r="B13" i="6"/>
  <c r="I13" i="6" s="1"/>
  <c r="J13" i="6" l="1"/>
  <c r="H13" i="6"/>
  <c r="F13" i="6"/>
  <c r="G13" i="6"/>
  <c r="B14" i="6"/>
  <c r="I14" i="6" s="1"/>
  <c r="B15" i="6" l="1"/>
  <c r="I15" i="6" s="1"/>
  <c r="J14" i="6"/>
  <c r="F14" i="6"/>
  <c r="H14" i="6"/>
  <c r="G14" i="6"/>
  <c r="F15" i="6" l="1"/>
  <c r="G15" i="6"/>
  <c r="H15" i="6"/>
  <c r="J15" i="6"/>
  <c r="B16" i="6"/>
  <c r="I16" i="6" s="1"/>
  <c r="G16" i="6" l="1"/>
  <c r="H16" i="6"/>
  <c r="J16" i="6"/>
  <c r="F16" i="6"/>
  <c r="B17" i="6"/>
  <c r="I17" i="6" s="1"/>
  <c r="F17" i="6" l="1"/>
  <c r="H17" i="6"/>
  <c r="J17" i="6"/>
  <c r="G17" i="6"/>
  <c r="B18" i="6"/>
  <c r="I18" i="6" s="1"/>
  <c r="F18" i="6" l="1"/>
  <c r="J18" i="6"/>
  <c r="G18" i="6"/>
  <c r="H18" i="6"/>
  <c r="B19" i="6"/>
  <c r="I19" i="6" s="1"/>
  <c r="B20" i="6" l="1"/>
  <c r="I20" i="6" s="1"/>
  <c r="F19" i="6"/>
  <c r="H19" i="6"/>
  <c r="J19" i="6"/>
  <c r="G19" i="6"/>
  <c r="F20" i="6" l="1"/>
  <c r="H20" i="6"/>
  <c r="J20" i="6"/>
  <c r="G20" i="6"/>
  <c r="B21" i="6"/>
  <c r="I21" i="6" s="1"/>
  <c r="J21" i="6" l="1"/>
  <c r="H21" i="6"/>
  <c r="F21" i="6"/>
  <c r="G21" i="6"/>
  <c r="B22" i="6"/>
  <c r="I22" i="6" s="1"/>
  <c r="B23" i="6" l="1"/>
  <c r="I23" i="6" s="1"/>
  <c r="F22" i="6"/>
  <c r="G22" i="6"/>
  <c r="H22" i="6"/>
  <c r="J22" i="6"/>
  <c r="B24" i="6" l="1"/>
  <c r="I24" i="6" s="1"/>
  <c r="H23" i="6"/>
  <c r="F23" i="6"/>
  <c r="J23" i="6"/>
  <c r="G23" i="6"/>
  <c r="B25" i="6" l="1"/>
  <c r="I25" i="6" s="1"/>
  <c r="F24" i="6"/>
  <c r="H24" i="6"/>
  <c r="J24" i="6"/>
  <c r="G24" i="6"/>
  <c r="F25" i="6" l="1"/>
  <c r="G25" i="6"/>
  <c r="J25" i="6"/>
  <c r="H25" i="6"/>
  <c r="B26" i="6"/>
  <c r="I26" i="6" s="1"/>
  <c r="F26" i="6" l="1"/>
  <c r="J26" i="6"/>
  <c r="H26" i="6"/>
  <c r="G26" i="6"/>
  <c r="B27" i="6"/>
  <c r="I27" i="6" s="1"/>
  <c r="F27" i="6" l="1"/>
  <c r="H27" i="6"/>
  <c r="G27" i="6"/>
  <c r="J27" i="6"/>
  <c r="B28" i="6"/>
  <c r="I28" i="6" s="1"/>
  <c r="B29" i="6" l="1"/>
  <c r="I29" i="6" s="1"/>
  <c r="G28" i="6"/>
  <c r="F28" i="6"/>
  <c r="H28" i="6"/>
  <c r="J28" i="6"/>
  <c r="J29" i="6" l="1"/>
  <c r="H29" i="6"/>
  <c r="F29" i="6"/>
  <c r="G29" i="6"/>
  <c r="B30" i="6"/>
  <c r="I30" i="6" s="1"/>
  <c r="H30" i="6" l="1"/>
  <c r="J30" i="6"/>
  <c r="F30" i="6"/>
  <c r="G30" i="6"/>
  <c r="B31" i="6"/>
  <c r="I31" i="6" s="1"/>
  <c r="H31" i="6" l="1"/>
  <c r="J31" i="6"/>
  <c r="F31" i="6"/>
  <c r="G31" i="6"/>
  <c r="B32" i="6"/>
  <c r="I32" i="6" s="1"/>
  <c r="H32" i="6" l="1"/>
  <c r="J32" i="6"/>
  <c r="F32" i="6"/>
  <c r="G32" i="6"/>
  <c r="B33" i="6"/>
  <c r="I33" i="6" s="1"/>
  <c r="G33" i="6" l="1"/>
  <c r="F33" i="6"/>
  <c r="H33" i="6"/>
  <c r="J33" i="6"/>
  <c r="B34" i="6"/>
  <c r="I34" i="6" s="1"/>
  <c r="B35" i="6" l="1"/>
  <c r="I35" i="6" s="1"/>
  <c r="J34" i="6"/>
  <c r="G34" i="6"/>
  <c r="F34" i="6"/>
  <c r="H34" i="6"/>
  <c r="B36" i="6" l="1"/>
  <c r="I36" i="6" s="1"/>
  <c r="J35" i="6"/>
  <c r="G35" i="6"/>
  <c r="F35" i="6"/>
  <c r="H35" i="6"/>
  <c r="F36" i="6" l="1"/>
  <c r="H36" i="6"/>
  <c r="J36" i="6"/>
  <c r="G36" i="6"/>
  <c r="B37" i="6"/>
  <c r="I37" i="6" s="1"/>
  <c r="B38" i="6" l="1"/>
  <c r="I38" i="6" s="1"/>
  <c r="F37" i="6"/>
  <c r="G37" i="6"/>
  <c r="J37" i="6"/>
  <c r="H37" i="6"/>
  <c r="G38" i="6" l="1"/>
  <c r="F38" i="6"/>
  <c r="H38" i="6"/>
  <c r="J38" i="6"/>
  <c r="B39" i="6"/>
  <c r="I39" i="6" s="1"/>
  <c r="F39" i="6" l="1"/>
  <c r="J39" i="6"/>
  <c r="G39" i="6"/>
  <c r="H39" i="6"/>
  <c r="B40" i="6"/>
  <c r="I40" i="6" s="1"/>
  <c r="G40" i="6" l="1"/>
  <c r="H40" i="6"/>
  <c r="J40" i="6"/>
  <c r="F40" i="6"/>
  <c r="B41" i="6"/>
  <c r="I41" i="6" s="1"/>
  <c r="B42" i="6" l="1"/>
  <c r="I42" i="6" s="1"/>
  <c r="J41" i="6"/>
  <c r="H41" i="6"/>
  <c r="F41" i="6"/>
  <c r="G41" i="6"/>
  <c r="J42" i="6" l="1"/>
  <c r="G42" i="6"/>
  <c r="F42" i="6"/>
  <c r="H42" i="6"/>
  <c r="B43" i="6"/>
  <c r="I43" i="6" s="1"/>
  <c r="B44" i="6" l="1"/>
  <c r="I44" i="6" s="1"/>
  <c r="G43" i="6"/>
  <c r="J43" i="6"/>
  <c r="F43" i="6"/>
  <c r="H43" i="6"/>
  <c r="F44" i="6" l="1"/>
  <c r="G44" i="6"/>
  <c r="J44" i="6"/>
  <c r="H44" i="6"/>
  <c r="B45" i="6"/>
  <c r="I45" i="6" s="1"/>
  <c r="B46" i="6" l="1"/>
  <c r="I46" i="6" s="1"/>
  <c r="F45" i="6"/>
  <c r="G45" i="6"/>
  <c r="J45" i="6"/>
  <c r="H45" i="6"/>
  <c r="G46" i="6" l="1"/>
  <c r="H46" i="6"/>
  <c r="J46" i="6"/>
  <c r="F46" i="6"/>
  <c r="B47" i="6"/>
  <c r="I47" i="6" s="1"/>
  <c r="B48" i="6" l="1"/>
  <c r="I48" i="6" s="1"/>
  <c r="G47" i="6"/>
  <c r="H47" i="6"/>
  <c r="J47" i="6"/>
  <c r="F47" i="6"/>
  <c r="F48" i="6" l="1"/>
  <c r="G48" i="6"/>
  <c r="H48" i="6"/>
  <c r="J48" i="6"/>
  <c r="B49" i="6"/>
  <c r="I49" i="6" s="1"/>
  <c r="G49" i="6" l="1"/>
  <c r="F49" i="6"/>
  <c r="H49" i="6"/>
  <c r="J49" i="6"/>
  <c r="B50" i="6"/>
  <c r="I50" i="6" s="1"/>
  <c r="B51" i="6" l="1"/>
  <c r="I51" i="6" s="1"/>
  <c r="J50" i="6"/>
  <c r="G50" i="6"/>
  <c r="F50" i="6"/>
  <c r="H50" i="6"/>
  <c r="B52" i="6" l="1"/>
  <c r="I52" i="6" s="1"/>
  <c r="J51" i="6"/>
  <c r="G51" i="6"/>
  <c r="F51" i="6"/>
  <c r="H51" i="6"/>
  <c r="H52" i="6" l="1"/>
  <c r="F52" i="6"/>
  <c r="G52" i="6"/>
  <c r="J52" i="6"/>
  <c r="B53" i="6"/>
  <c r="I53" i="6" s="1"/>
  <c r="B54" i="6" l="1"/>
  <c r="I54" i="6" s="1"/>
  <c r="F53" i="6"/>
  <c r="G53" i="6"/>
  <c r="J53" i="6"/>
  <c r="H53" i="6"/>
  <c r="B55" i="6" l="1"/>
  <c r="I55" i="6" s="1"/>
  <c r="J54" i="6"/>
  <c r="F54" i="6"/>
  <c r="G54" i="6"/>
  <c r="H54" i="6"/>
  <c r="F55" i="6" l="1"/>
  <c r="J55" i="6"/>
  <c r="G55" i="6"/>
  <c r="H55" i="6"/>
  <c r="B56" i="6"/>
  <c r="I56" i="6" s="1"/>
  <c r="H56" i="6" l="1"/>
  <c r="J56" i="6"/>
  <c r="G56" i="6"/>
  <c r="F56" i="6"/>
  <c r="B57" i="6"/>
  <c r="I57" i="6" s="1"/>
  <c r="B58" i="6" l="1"/>
  <c r="I58" i="6" s="1"/>
  <c r="J57" i="6"/>
  <c r="H57" i="6"/>
  <c r="F57" i="6"/>
  <c r="G57" i="6"/>
  <c r="J58" i="6" l="1"/>
  <c r="G58" i="6"/>
  <c r="F58" i="6"/>
  <c r="H58" i="6"/>
  <c r="B59" i="6"/>
  <c r="I59" i="6" s="1"/>
  <c r="G59" i="6" l="1"/>
  <c r="H59" i="6"/>
  <c r="J59" i="6"/>
  <c r="F59" i="6"/>
  <c r="B60" i="6"/>
  <c r="I60" i="6" s="1"/>
  <c r="G60" i="6" l="1"/>
  <c r="F60" i="6"/>
  <c r="H60" i="6"/>
  <c r="J60" i="6"/>
  <c r="B61" i="6"/>
  <c r="I61" i="6" s="1"/>
  <c r="B62" i="6" l="1"/>
  <c r="I62" i="6" s="1"/>
  <c r="J61" i="6"/>
  <c r="F61" i="6"/>
  <c r="H61" i="6"/>
  <c r="G61" i="6"/>
  <c r="B63" i="6" l="1"/>
  <c r="I63" i="6" s="1"/>
  <c r="J62" i="6"/>
  <c r="F62" i="6"/>
  <c r="G62" i="6"/>
  <c r="H62" i="6"/>
  <c r="H63" i="6" l="1"/>
  <c r="G63" i="6"/>
  <c r="F63" i="6"/>
  <c r="J63" i="6"/>
  <c r="B64" i="6"/>
  <c r="I64" i="6" s="1"/>
  <c r="G64" i="6" l="1"/>
  <c r="H64" i="6"/>
  <c r="J64" i="6"/>
  <c r="F64" i="6"/>
  <c r="B65" i="6"/>
  <c r="I65" i="6" s="1"/>
  <c r="B66" i="6" l="1"/>
  <c r="I66" i="6" s="1"/>
  <c r="J65" i="6"/>
  <c r="F65" i="6"/>
  <c r="H65" i="6"/>
  <c r="G65" i="6"/>
  <c r="B67" i="6" l="1"/>
  <c r="I67" i="6" s="1"/>
  <c r="J66" i="6"/>
  <c r="F66" i="6"/>
  <c r="G66" i="6"/>
  <c r="H66" i="6"/>
  <c r="B68" i="6" l="1"/>
  <c r="I68" i="6" s="1"/>
  <c r="J67" i="6"/>
  <c r="F67" i="6"/>
  <c r="G67" i="6"/>
  <c r="H67" i="6"/>
  <c r="J68" i="6" l="1"/>
  <c r="F68" i="6"/>
  <c r="H68" i="6"/>
  <c r="G68" i="6"/>
  <c r="B69" i="6"/>
  <c r="I69" i="6" s="1"/>
  <c r="F69" i="6" l="1"/>
  <c r="J69" i="6"/>
  <c r="H69" i="6"/>
  <c r="G69" i="6"/>
  <c r="B70" i="6"/>
  <c r="I70" i="6" s="1"/>
  <c r="J70" i="6" l="1"/>
  <c r="G70" i="6"/>
  <c r="F70" i="6"/>
  <c r="H70" i="6"/>
  <c r="B71" i="6"/>
  <c r="I71" i="6" s="1"/>
  <c r="B72" i="6" l="1"/>
  <c r="I72" i="6" s="1"/>
  <c r="F71" i="6"/>
  <c r="G71" i="6"/>
  <c r="H71" i="6"/>
  <c r="J71" i="6"/>
  <c r="F72" i="6" l="1"/>
  <c r="G72" i="6"/>
  <c r="H72" i="6"/>
  <c r="J72" i="6"/>
  <c r="B73" i="6"/>
  <c r="I73" i="6" s="1"/>
  <c r="B74" i="6" l="1"/>
  <c r="I74" i="6" s="1"/>
  <c r="J73" i="6"/>
  <c r="F73" i="6"/>
  <c r="G73" i="6"/>
  <c r="H73" i="6"/>
  <c r="F74" i="6" l="1"/>
  <c r="H74" i="6"/>
  <c r="G74" i="6"/>
  <c r="J74" i="6"/>
  <c r="B75" i="6"/>
  <c r="I75" i="6" s="1"/>
  <c r="B76" i="6" l="1"/>
  <c r="I76" i="6" s="1"/>
  <c r="H75" i="6"/>
  <c r="G75" i="6"/>
  <c r="F75" i="6"/>
  <c r="J75" i="6"/>
  <c r="B77" i="6" l="1"/>
  <c r="I77" i="6" s="1"/>
  <c r="J76" i="6"/>
  <c r="H76" i="6"/>
  <c r="F76" i="6"/>
  <c r="G76" i="6"/>
  <c r="J77" i="6" l="1"/>
  <c r="H77" i="6"/>
  <c r="F77" i="6"/>
  <c r="G77" i="6"/>
  <c r="B78" i="6"/>
  <c r="I78" i="6" s="1"/>
  <c r="J78" i="6" l="1"/>
  <c r="F78" i="6"/>
  <c r="H78" i="6"/>
  <c r="G78" i="6"/>
  <c r="B79" i="6"/>
  <c r="I79" i="6" s="1"/>
  <c r="B80" i="6" l="1"/>
  <c r="I80" i="6" s="1"/>
  <c r="F79" i="6"/>
  <c r="J79" i="6"/>
  <c r="G79" i="6"/>
  <c r="H79" i="6"/>
  <c r="B81" i="6" l="1"/>
  <c r="I81" i="6" s="1"/>
  <c r="F80" i="6"/>
  <c r="G80" i="6"/>
  <c r="H80" i="6"/>
  <c r="J80" i="6"/>
  <c r="B82" i="6" l="1"/>
  <c r="I82" i="6" s="1"/>
  <c r="J81" i="6"/>
  <c r="H81" i="6"/>
  <c r="G81" i="6"/>
  <c r="F81" i="6"/>
  <c r="B83" i="6" l="1"/>
  <c r="I83" i="6" s="1"/>
  <c r="H82" i="6"/>
  <c r="J82" i="6"/>
  <c r="F82" i="6"/>
  <c r="G82" i="6"/>
  <c r="G83" i="6" l="1"/>
  <c r="H83" i="6"/>
  <c r="J83" i="6"/>
  <c r="F83" i="6"/>
  <c r="B84" i="6"/>
  <c r="I84" i="6" s="1"/>
  <c r="B85" i="6" l="1"/>
  <c r="I85" i="6" s="1"/>
  <c r="G84" i="6"/>
  <c r="J84" i="6"/>
  <c r="H84" i="6"/>
  <c r="F84" i="6"/>
  <c r="F85" i="6" l="1"/>
  <c r="H85" i="6"/>
  <c r="J85" i="6"/>
  <c r="G85" i="6"/>
  <c r="B86" i="6"/>
  <c r="I86" i="6" s="1"/>
  <c r="H86" i="6" l="1"/>
  <c r="F86" i="6"/>
  <c r="G86" i="6"/>
  <c r="J86" i="6"/>
  <c r="B87" i="6"/>
  <c r="I87" i="6" s="1"/>
  <c r="H87" i="6" l="1"/>
  <c r="G87" i="6"/>
  <c r="F87" i="6"/>
  <c r="J87" i="6"/>
  <c r="B88" i="6"/>
  <c r="I88" i="6" s="1"/>
  <c r="H88" i="6" l="1"/>
  <c r="J88" i="6"/>
  <c r="G88" i="6"/>
  <c r="F88" i="6"/>
  <c r="B89" i="6"/>
  <c r="I89" i="6" s="1"/>
  <c r="J89" i="6" l="1"/>
  <c r="G89" i="6"/>
  <c r="F89" i="6"/>
  <c r="H89" i="6"/>
  <c r="B90" i="6"/>
  <c r="I90" i="6" s="1"/>
  <c r="J90" i="6" l="1"/>
  <c r="F90" i="6"/>
  <c r="H90" i="6"/>
  <c r="G90" i="6"/>
  <c r="B91" i="6"/>
  <c r="I91" i="6" s="1"/>
  <c r="G91" i="6" l="1"/>
  <c r="H91" i="6"/>
  <c r="F91" i="6"/>
  <c r="J91" i="6"/>
  <c r="B92" i="6"/>
  <c r="I92" i="6" s="1"/>
  <c r="B93" i="6" l="1"/>
  <c r="I93" i="6" s="1"/>
  <c r="J92" i="6"/>
  <c r="G92" i="6"/>
  <c r="H92" i="6"/>
  <c r="F92" i="6"/>
  <c r="J93" i="6" l="1"/>
  <c r="F93" i="6"/>
  <c r="H93" i="6"/>
  <c r="G93" i="6"/>
  <c r="B94" i="6"/>
  <c r="I94" i="6" s="1"/>
  <c r="B95" i="6" l="1"/>
  <c r="I95" i="6" s="1"/>
  <c r="J94" i="6"/>
  <c r="G94" i="6"/>
  <c r="H94" i="6"/>
  <c r="F94" i="6"/>
  <c r="B96" i="6" l="1"/>
  <c r="I96" i="6" s="1"/>
  <c r="F95" i="6"/>
  <c r="H95" i="6"/>
  <c r="G95" i="6"/>
  <c r="J95" i="6"/>
  <c r="B97" i="6" l="1"/>
  <c r="I97" i="6" s="1"/>
  <c r="J96" i="6"/>
  <c r="F96" i="6"/>
  <c r="G96" i="6"/>
  <c r="H96" i="6"/>
  <c r="B98" i="6" l="1"/>
  <c r="I98" i="6" s="1"/>
  <c r="J97" i="6"/>
  <c r="H97" i="6"/>
  <c r="G97" i="6"/>
  <c r="F97" i="6"/>
  <c r="G98" i="6" l="1"/>
  <c r="H98" i="6"/>
  <c r="J98" i="6"/>
  <c r="F98" i="6"/>
  <c r="B99" i="6"/>
  <c r="I99" i="6" s="1"/>
  <c r="B100" i="6" l="1"/>
  <c r="I100" i="6" s="1"/>
  <c r="J99" i="6"/>
  <c r="F99" i="6"/>
  <c r="G99" i="6"/>
  <c r="H99" i="6"/>
  <c r="F100" i="6" l="1"/>
  <c r="G100" i="6"/>
  <c r="H100" i="6"/>
  <c r="J100" i="6"/>
  <c r="B101" i="6"/>
  <c r="I101" i="6" s="1"/>
  <c r="F101" i="6" l="1"/>
  <c r="H101" i="6"/>
  <c r="G101" i="6"/>
  <c r="J101" i="6"/>
  <c r="B102" i="6"/>
  <c r="I102" i="6" s="1"/>
  <c r="J102" i="6" l="1"/>
  <c r="H102" i="6"/>
  <c r="F102" i="6"/>
  <c r="G102" i="6"/>
  <c r="B103" i="6"/>
  <c r="I103" i="6" s="1"/>
  <c r="F103" i="6" l="1"/>
  <c r="H103" i="6"/>
  <c r="G103" i="6"/>
  <c r="J103" i="6"/>
  <c r="B104" i="6"/>
  <c r="I104" i="6" s="1"/>
  <c r="F104" i="6" l="1"/>
  <c r="H104" i="6"/>
  <c r="G104" i="6"/>
  <c r="J104" i="6"/>
  <c r="B105" i="6"/>
  <c r="I105" i="6" s="1"/>
  <c r="J105" i="6" l="1"/>
  <c r="F105" i="6"/>
  <c r="G105" i="6"/>
  <c r="H105" i="6"/>
  <c r="B106" i="6"/>
  <c r="I106" i="6" s="1"/>
  <c r="G106" i="6" l="1"/>
  <c r="H106" i="6"/>
  <c r="J106" i="6"/>
  <c r="F106" i="6"/>
  <c r="B107" i="6"/>
  <c r="I107" i="6" s="1"/>
  <c r="B108" i="6" l="1"/>
  <c r="I108" i="6" s="1"/>
  <c r="H107" i="6"/>
  <c r="G107" i="6"/>
  <c r="J107" i="6"/>
  <c r="F107" i="6"/>
  <c r="B109" i="6" l="1"/>
  <c r="I109" i="6" s="1"/>
  <c r="J108" i="6"/>
  <c r="G108" i="6"/>
  <c r="H108" i="6"/>
  <c r="F108" i="6"/>
  <c r="H109" i="6" l="1"/>
  <c r="F109" i="6"/>
  <c r="G109" i="6"/>
  <c r="J109" i="6"/>
  <c r="B110" i="6"/>
  <c r="I110" i="6" s="1"/>
  <c r="F110" i="6" l="1"/>
  <c r="H110" i="6"/>
  <c r="J110" i="6"/>
  <c r="G110" i="6"/>
  <c r="B111" i="6"/>
  <c r="I111" i="6" s="1"/>
  <c r="F111" i="6" l="1"/>
  <c r="G111" i="6"/>
  <c r="J111" i="6"/>
  <c r="H111" i="6"/>
  <c r="B112" i="6"/>
  <c r="I112" i="6" s="1"/>
  <c r="B113" i="6" l="1"/>
  <c r="I113" i="6" s="1"/>
  <c r="H112" i="6"/>
  <c r="J112" i="6"/>
  <c r="F112" i="6"/>
  <c r="G112" i="6"/>
  <c r="B114" i="6" l="1"/>
  <c r="I114" i="6" s="1"/>
  <c r="J113" i="6"/>
  <c r="H113" i="6"/>
  <c r="G113" i="6"/>
  <c r="F113" i="6"/>
  <c r="B116" i="6" l="1"/>
  <c r="I116" i="6" s="1"/>
  <c r="B115" i="6"/>
  <c r="I115" i="6" s="1"/>
  <c r="F114" i="6"/>
  <c r="G114" i="6"/>
  <c r="H114" i="6"/>
  <c r="J114" i="6"/>
  <c r="G115" i="6" l="1"/>
  <c r="H115" i="6"/>
  <c r="J115" i="6"/>
  <c r="F115" i="6"/>
  <c r="J116" i="6"/>
  <c r="F116" i="6"/>
  <c r="G116" i="6"/>
  <c r="H116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<sst xmlns="http://schemas.openxmlformats.org/spreadsheetml/2006/main" count="2854" uniqueCount="1028">
  <si>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</si>
  <si>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</si>
  <si>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</si>
  <si>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</si>
  <si>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</si>
  <si>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</si>
  <si>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</si>
  <si>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</si>
  <si>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</si>
  <si>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</si>
  <si>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</si>
  <si>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</si>
  <si>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</si>
  <si>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</si>
  <si>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</si>
  <si>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</si>
  <si>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</si>
  <si>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</si>
  <si>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</si>
  <si>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</si>
  <si>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</si>
  <si>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</si>
  <si>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</si>
  <si>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</si>
  <si>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</si>
  <si>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</si>
  <si>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</si>
  <si>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</si>
  <si>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</si>
  <si>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</si>
  <si>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</si>
  <si>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</si>
  <si>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</si>
  <si>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</si>
  <si>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</si>
  <si>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</si>
  <si>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</si>
  <si>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</si>
  <si>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</si>
  <si>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</si>
  <si>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</si>
  <si>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</si>
  <si>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</si>
  <si>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</si>
  <si>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</si>
  <si>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</si>
  <si>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</si>
  <si>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</si>
  <si>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</si>
  <si>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</si>
  <si>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</si>
  <si>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</si>
  <si>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</si>
  <si>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</si>
  <si>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</si>
  <si>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</si>
  <si>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</si>
  <si>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</si>
  <si>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</si>
  <si>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</si>
  <si>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</si>
  <si>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</si>
  <si>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</si>
  <si>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</si>
  <si>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</si>
  <si>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</si>
  <si>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</si>
  <si>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</si>
  <si>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</si>
  <si>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</si>
  <si>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</si>
  <si>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</si>
  <si>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</si>
  <si>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</si>
  <si>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</si>
  <si>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</si>
  <si>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</si>
  <si>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</si>
  <si>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</si>
  <si>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</si>
  <si>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</si>
  <si>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</si>
  <si>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</si>
  <si>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</si>
  <si>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</si>
  <si>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</si>
  <si>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</si>
  <si>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</si>
  <si>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</si>
  <si>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</si>
  <si>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</si>
  <si>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</si>
  <si>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</si>
  <si>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</si>
  <si>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</si>
  <si>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</si>
  <si>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</si>
  <si>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</si>
  <si>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</si>
  <si>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</si>
  <si>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</si>
  <si>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</si>
  <si>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</si>
  <si>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</si>
  <si>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</si>
  <si>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</si>
  <si>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</si>
  <si>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</si>
  <si>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</si>
  <si>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</si>
  <si>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</si>
  <si>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</si>
  <si>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</si>
  <si>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</si>
  <si>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</si>
  <si>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</si>
  <si>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</si>
  <si>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</si>
  <si>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</si>
  <si>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</si>
  <si>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</si>
  <si>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</si>
  <si>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</si>
  <si>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</si>
  <si>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</si>
  <si>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</si>
  <si>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</si>
  <si>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</si>
  <si>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</si>
  <si>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</si>
  <si>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</si>
  <si>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</si>
  <si>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</si>
  <si>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</si>
  <si>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</si>
  <si>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</si>
  <si>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</si>
  <si>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</si>
  <si>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</si>
  <si>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</si>
  <si>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</si>
  <si>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</si>
  <si>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</si>
  <si>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</si>
  <si>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</si>
  <si>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</si>
  <si>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</si>
  <si>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</si>
  <si>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</si>
  <si>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</si>
  <si>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</si>
  <si>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</si>
  <si>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</si>
  <si>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</si>
  <si>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</si>
  <si>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</si>
  <si>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</si>
  <si>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</si>
  <si>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</si>
  <si>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</si>
  <si>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</si>
  <si>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</si>
  <si>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</si>
  <si>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</si>
  <si>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</si>
  <si>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</si>
  <si>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</si>
  <si>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</si>
  <si>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</si>
  <si>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</si>
  <si>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</si>
  <si>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</si>
  <si>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</si>
  <si>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</si>
  <si>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</si>
  <si>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</si>
  <si>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</si>
  <si>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</si>
  <si>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</si>
  <si>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</si>
  <si>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</si>
  <si>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</si>
  <si>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</si>
  <si>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</si>
  <si>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</si>
  <si>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</si>
  <si>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</si>
  <si>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</si>
  <si>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</si>
  <si>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</si>
  <si>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</si>
  <si>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</si>
  <si>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</si>
  <si>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Human Factors</t>
  </si>
  <si>
    <t>204:150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</si>
  <si>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</si>
  <si>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</si>
  <si>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</si>
  <si>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</si>
  <si>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</si>
  <si>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</si>
  <si>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</si>
  <si>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MICHAEL</t>
  </si>
  <si>
    <t>204:160</t>
  </si>
  <si>
    <t>204:462</t>
  </si>
  <si>
    <t>NEWELL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</si>
  <si>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</si>
  <si>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</si>
  <si>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</si>
  <si>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</si>
  <si>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</si>
  <si>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</si>
  <si>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rtdc.l.rtdc.4026:itc</t>
  </si>
  <si>
    <t>204:154</t>
  </si>
  <si>
    <t>HILLS</t>
  </si>
  <si>
    <t>DUSTIN</t>
  </si>
  <si>
    <t>rtdc.l.rtdc.4046:itc</t>
  </si>
  <si>
    <t>rtdc.l.rtdc.4045:itc</t>
  </si>
  <si>
    <t>Uncaught Wi-MAX GREP</t>
  </si>
  <si>
    <t>rtdc.l.rtdc.4028:itc</t>
  </si>
  <si>
    <t>rtdc.l.rtdc.4027:itc</t>
  </si>
  <si>
    <t>MCREYNOLDS</t>
  </si>
  <si>
    <t>KYLE</t>
  </si>
  <si>
    <t>204:143</t>
  </si>
  <si>
    <t>rtdc.l.rtdc.4029:itc</t>
  </si>
  <si>
    <t>204:451</t>
  </si>
  <si>
    <t>204:457</t>
  </si>
  <si>
    <t>STORY</t>
  </si>
  <si>
    <t>SAMANTHA</t>
  </si>
  <si>
    <t>204:460</t>
  </si>
  <si>
    <t>rtdc.l.rtdc.4007:itc</t>
  </si>
  <si>
    <t>BROWN</t>
  </si>
  <si>
    <t>JACOB</t>
  </si>
  <si>
    <t>rtdc.l.rtdc.4025:itc</t>
  </si>
  <si>
    <t>78-18</t>
  </si>
  <si>
    <t>NELSON</t>
  </si>
  <si>
    <t>ARIANE</t>
  </si>
  <si>
    <t>80-18</t>
  </si>
  <si>
    <t>81-18</t>
  </si>
  <si>
    <t>77-18</t>
  </si>
  <si>
    <t>rtdc.l.rtdc.4054:itc</t>
  </si>
  <si>
    <t>85-18</t>
  </si>
  <si>
    <t>COMELLA</t>
  </si>
  <si>
    <t>JUSTIN</t>
  </si>
  <si>
    <t>rtdc.l.rtdc.4053:itc</t>
  </si>
  <si>
    <t>313-18</t>
  </si>
  <si>
    <t>315-18</t>
  </si>
  <si>
    <t>rtdc.l.rtdc.4043:itc</t>
  </si>
  <si>
    <t>partly-cloudy-night</t>
  </si>
  <si>
    <t>Partly Cloudy</t>
  </si>
  <si>
    <t>204:453</t>
  </si>
  <si>
    <t>rtdc.l.rtdc.4003:itc</t>
  </si>
  <si>
    <t>rtdc.l.rtdc.4004:itc</t>
  </si>
  <si>
    <t>CHANDLER</t>
  </si>
  <si>
    <t>KELVIN</t>
  </si>
  <si>
    <t>204:467</t>
  </si>
  <si>
    <t>204:446</t>
  </si>
  <si>
    <t>204:455</t>
  </si>
  <si>
    <t>204:139</t>
  </si>
  <si>
    <t>rtdc.l.rtdc.4016:itc</t>
  </si>
  <si>
    <t>204:232993</t>
  </si>
  <si>
    <t>204:232977</t>
  </si>
  <si>
    <t>204:232978</t>
  </si>
  <si>
    <t>204:232991</t>
  </si>
  <si>
    <t>204:233293</t>
  </si>
  <si>
    <t>rtdc.l.rtdc.4019:itc</t>
  </si>
  <si>
    <t>204:464</t>
  </si>
  <si>
    <t>204:161</t>
  </si>
  <si>
    <t>rtdc.l.rtdc.4020:itc</t>
  </si>
  <si>
    <t>MOSES</t>
  </si>
  <si>
    <t>BRADLEY</t>
  </si>
  <si>
    <t>rtdc.l.rtdc.4044:itc</t>
  </si>
  <si>
    <t>204:141</t>
  </si>
  <si>
    <t>204:232996</t>
  </si>
  <si>
    <t>204:233312</t>
  </si>
  <si>
    <t>204:232980</t>
  </si>
  <si>
    <t>204:440</t>
  </si>
  <si>
    <t>rtdc.l.rtdc.4008:itc</t>
  </si>
  <si>
    <t>rtdc.l.rtdc.4018:itc</t>
  </si>
  <si>
    <t>rtdc.l.rtdc.4017:itc</t>
  </si>
  <si>
    <t>rtdc.l.rtdc.4012:itc</t>
  </si>
  <si>
    <t>JOHN</t>
  </si>
  <si>
    <t>YORK</t>
  </si>
  <si>
    <t>EDGAR</t>
  </si>
  <si>
    <t>DAVID</t>
  </si>
  <si>
    <t>204:136</t>
  </si>
  <si>
    <t>204:156</t>
  </si>
  <si>
    <t>204:233310</t>
  </si>
  <si>
    <t>204:444</t>
  </si>
  <si>
    <t>204:147</t>
  </si>
  <si>
    <t>300:23346</t>
  </si>
  <si>
    <t>204:477</t>
  </si>
  <si>
    <t>204:138</t>
  </si>
  <si>
    <t>300:58623</t>
  </si>
  <si>
    <t>300:58937</t>
  </si>
  <si>
    <t>204:431</t>
  </si>
  <si>
    <t>204:232985</t>
  </si>
  <si>
    <t>204:233278</t>
  </si>
  <si>
    <t>204:473</t>
  </si>
  <si>
    <t>204:471</t>
  </si>
  <si>
    <t>204:233306</t>
  </si>
  <si>
    <t>236-15</t>
  </si>
  <si>
    <t>240-15</t>
  </si>
  <si>
    <t>237-15</t>
  </si>
  <si>
    <t>JACKSON</t>
  </si>
  <si>
    <t>WILLIAM</t>
  </si>
  <si>
    <t>239-15</t>
  </si>
  <si>
    <t>241-15</t>
  </si>
  <si>
    <t>238-15</t>
  </si>
  <si>
    <t>243-15</t>
  </si>
  <si>
    <t>242-15</t>
  </si>
  <si>
    <t>315-15</t>
  </si>
  <si>
    <t>309-15</t>
  </si>
  <si>
    <t>244-15</t>
  </si>
  <si>
    <t>311-15</t>
  </si>
  <si>
    <t>Clear</t>
  </si>
  <si>
    <t>clear-day</t>
  </si>
  <si>
    <t>204:754</t>
  </si>
  <si>
    <t>204:232975</t>
  </si>
  <si>
    <t>204:232989</t>
  </si>
  <si>
    <t>204:233317</t>
  </si>
  <si>
    <t>204:233307</t>
  </si>
  <si>
    <t>204:232973</t>
  </si>
  <si>
    <t>204:233015</t>
  </si>
  <si>
    <t>rtdc.l.rtdc.4052:itc</t>
  </si>
  <si>
    <t>rtdc.l.rtdc.4014:itc</t>
  </si>
  <si>
    <t>rtdc.l.rtdc.4013:itc</t>
  </si>
  <si>
    <t>SMITH</t>
  </si>
  <si>
    <t>rtdc.l.rtdc.4006:itc</t>
  </si>
  <si>
    <t>204:232982</t>
  </si>
  <si>
    <t>204:163</t>
  </si>
  <si>
    <t>204:475</t>
  </si>
  <si>
    <t>204:447</t>
  </si>
  <si>
    <t>204:466</t>
  </si>
  <si>
    <t>204:233303</t>
  </si>
  <si>
    <t>204:233301</t>
  </si>
  <si>
    <t>204:233285</t>
  </si>
  <si>
    <t>300:58619</t>
  </si>
  <si>
    <t>PERMANENT SPEED RESTRICTION</t>
  </si>
  <si>
    <t>Speed (6)</t>
  </si>
  <si>
    <t>Y</t>
  </si>
  <si>
    <t>DUNCAN</t>
  </si>
  <si>
    <t>SHEILA</t>
  </si>
  <si>
    <t>rtdc.l.rtdc.4022:itc</t>
  </si>
  <si>
    <t>STAMBAUGH</t>
  </si>
  <si>
    <t>SWANSON</t>
  </si>
  <si>
    <t>BRYCE</t>
  </si>
  <si>
    <t>ROMERO</t>
  </si>
  <si>
    <t>CHAD</t>
  </si>
  <si>
    <t>CRAYTON</t>
  </si>
  <si>
    <t>QUNTRELL</t>
  </si>
  <si>
    <t>LEVIN</t>
  </si>
  <si>
    <t>SCOTT</t>
  </si>
  <si>
    <t>DAVIS</t>
  </si>
  <si>
    <t>LALONDE</t>
  </si>
  <si>
    <t>GREGORY</t>
  </si>
  <si>
    <t>DAVIDSON</t>
  </si>
  <si>
    <t>YANG</t>
  </si>
  <si>
    <t>JAN</t>
  </si>
  <si>
    <t>DE.1.0.9.0</t>
  </si>
  <si>
    <t>204:232990</t>
  </si>
  <si>
    <t>204:458</t>
  </si>
  <si>
    <t>204:233332</t>
  </si>
  <si>
    <t>204:435</t>
  </si>
  <si>
    <t>204:233291</t>
  </si>
  <si>
    <t>204:233309</t>
  </si>
  <si>
    <t>300:58630</t>
  </si>
  <si>
    <t>300:58956</t>
  </si>
  <si>
    <t>300:58946</t>
  </si>
  <si>
    <t>204:692</t>
  </si>
  <si>
    <t>300:58941</t>
  </si>
  <si>
    <t>300:58621</t>
  </si>
  <si>
    <t>204:233320</t>
  </si>
  <si>
    <t>204:233298</t>
  </si>
  <si>
    <t>204:232994</t>
  </si>
  <si>
    <t>204:232984</t>
  </si>
  <si>
    <t>204:232974</t>
  </si>
  <si>
    <t>Onboard in-route failure</t>
  </si>
  <si>
    <t>Early arrival</t>
  </si>
  <si>
    <t>Wi-MAX data drop</t>
  </si>
  <si>
    <t>rtdc.l.rtdc.4021:itc</t>
  </si>
  <si>
    <t>SANTIZO</t>
  </si>
  <si>
    <t>D. EDY</t>
  </si>
  <si>
    <t>BONDS</t>
  </si>
  <si>
    <t>REYNALDO</t>
  </si>
  <si>
    <t>STARKS</t>
  </si>
  <si>
    <t>ANGELINA</t>
  </si>
  <si>
    <t>YOUNG</t>
  </si>
  <si>
    <t>ELIZABETH</t>
  </si>
  <si>
    <t>ROCHA</t>
  </si>
  <si>
    <t>YAOTL</t>
  </si>
  <si>
    <t>YANAI</t>
  </si>
  <si>
    <t>IAN</t>
  </si>
  <si>
    <t>BERLING</t>
  </si>
  <si>
    <t>GARY</t>
  </si>
  <si>
    <t>ACKERMAN</t>
  </si>
  <si>
    <t>JARED</t>
  </si>
  <si>
    <t>CLARK</t>
  </si>
  <si>
    <t>KATHLEEN</t>
  </si>
  <si>
    <t>LEVERE</t>
  </si>
  <si>
    <t>CRAIG</t>
  </si>
  <si>
    <t>rtdc.l.rtdc.4050:itc</t>
  </si>
  <si>
    <t>62-20</t>
  </si>
  <si>
    <t>rtdc.l.rtdc.4049:itc</t>
  </si>
  <si>
    <t>63-20</t>
  </si>
  <si>
    <t>242-20</t>
  </si>
  <si>
    <t>309-20</t>
  </si>
  <si>
    <t>244-20</t>
  </si>
  <si>
    <t>311-20</t>
  </si>
  <si>
    <t>313-20</t>
  </si>
  <si>
    <t>clear-night</t>
  </si>
  <si>
    <t>204:233284</t>
  </si>
  <si>
    <t>204:180</t>
  </si>
  <si>
    <t>204:233286</t>
  </si>
  <si>
    <t>204:232971</t>
  </si>
  <si>
    <t>204:232987</t>
  </si>
  <si>
    <t>204:233314</t>
  </si>
  <si>
    <t>204:232969</t>
  </si>
  <si>
    <t>204:233297</t>
  </si>
  <si>
    <t>204:169</t>
  </si>
  <si>
    <t>204:437</t>
  </si>
  <si>
    <t>204:233331</t>
  </si>
  <si>
    <t>204:233289</t>
  </si>
  <si>
    <t>204:172</t>
  </si>
  <si>
    <t>204:469</t>
  </si>
  <si>
    <t>204:232979</t>
  </si>
  <si>
    <t>204:233000</t>
  </si>
  <si>
    <t>204:493</t>
  </si>
  <si>
    <t>204:480</t>
  </si>
  <si>
    <t>204:232976</t>
  </si>
  <si>
    <t>204:181</t>
  </si>
  <si>
    <t>204:233344</t>
  </si>
  <si>
    <t>300:23312</t>
  </si>
  <si>
    <t>204:941</t>
  </si>
  <si>
    <t>204:233315</t>
  </si>
  <si>
    <t>300:58931</t>
  </si>
  <si>
    <t>300:58643</t>
  </si>
  <si>
    <t>204:974</t>
  </si>
  <si>
    <t>204:969</t>
  </si>
  <si>
    <t>300:58628</t>
  </si>
  <si>
    <t>204:930</t>
  </si>
  <si>
    <t>204:689</t>
  </si>
  <si>
    <t>300:58975</t>
  </si>
  <si>
    <t>300:58656</t>
  </si>
  <si>
    <t>300:58611</t>
  </si>
  <si>
    <t>300:58920</t>
  </si>
  <si>
    <t>300:58926</t>
  </si>
  <si>
    <t>300:58608</t>
  </si>
  <si>
    <t>204:666</t>
  </si>
  <si>
    <t>204:939</t>
  </si>
  <si>
    <t>204:687</t>
  </si>
  <si>
    <t>:.+((SYSTEM_STATE.+slice.+state.+changed )|(ment ac)|(multiple cpu faults)|(system.+state.+changed )|(\[timeout)|(PRM\|1\|D)|(kpr)|(kdp)|(\|lc)|(penalty))</t>
  </si>
  <si>
    <t>Did not init</t>
  </si>
  <si>
    <t>Unhealthy at Chambers due to train stop</t>
  </si>
  <si>
    <t>Banner w/o braking</t>
  </si>
  <si>
    <t>rtdc.l.rtdc.4005:itc</t>
  </si>
  <si>
    <t>113-21</t>
  </si>
  <si>
    <t>109-21</t>
  </si>
  <si>
    <t>104-21</t>
  </si>
  <si>
    <t>110-21</t>
  </si>
  <si>
    <t>123-21</t>
  </si>
  <si>
    <t>125-21</t>
  </si>
  <si>
    <t>116-21</t>
  </si>
  <si>
    <t>129-21</t>
  </si>
  <si>
    <t>126-21</t>
  </si>
  <si>
    <t>rtdc.l.rtdc.4009:itc</t>
  </si>
  <si>
    <t>811-21</t>
  </si>
  <si>
    <t>132-21</t>
  </si>
  <si>
    <t>rtdc.l.rtdc.4010:itc</t>
  </si>
  <si>
    <t>812-21</t>
  </si>
  <si>
    <t>814-21</t>
  </si>
  <si>
    <t>151-21</t>
  </si>
  <si>
    <t>155-21</t>
  </si>
  <si>
    <t>rtdc.l.rtdc.4051:itc</t>
  </si>
  <si>
    <t>161-21</t>
  </si>
  <si>
    <t>156-21</t>
  </si>
  <si>
    <t>819-21</t>
  </si>
  <si>
    <t>823-21</t>
  </si>
  <si>
    <t>827-21</t>
  </si>
  <si>
    <t>rtdc.l.rtdc.4031:itc</t>
  </si>
  <si>
    <t>829-21</t>
  </si>
  <si>
    <t>198-21</t>
  </si>
  <si>
    <t>831-21</t>
  </si>
  <si>
    <t>832-21</t>
  </si>
  <si>
    <t>833-21</t>
  </si>
  <si>
    <t>836-21</t>
  </si>
  <si>
    <t>839-21</t>
  </si>
  <si>
    <t>216-21</t>
  </si>
  <si>
    <t>845-21</t>
  </si>
  <si>
    <t>rtdc.l.rtdc.4032:itc</t>
  </si>
  <si>
    <t>844-21</t>
  </si>
  <si>
    <t>847-21</t>
  </si>
  <si>
    <t>PTCTESTNORTH-21</t>
  </si>
  <si>
    <t>237-21</t>
  </si>
  <si>
    <t>PTCTESTSOUTH-21</t>
  </si>
  <si>
    <t>234-21</t>
  </si>
  <si>
    <t>238-21</t>
  </si>
  <si>
    <t>243-21</t>
  </si>
  <si>
    <t>242-21</t>
  </si>
  <si>
    <t>302-21</t>
  </si>
  <si>
    <t>101-21</t>
  </si>
  <si>
    <t>50-21</t>
  </si>
  <si>
    <t>103-21</t>
  </si>
  <si>
    <t>MAELZER</t>
  </si>
  <si>
    <t>KURT</t>
  </si>
  <si>
    <t>306-21</t>
  </si>
  <si>
    <t>102-21</t>
  </si>
  <si>
    <t>308-21</t>
  </si>
  <si>
    <t>105-21</t>
  </si>
  <si>
    <t>310-21</t>
  </si>
  <si>
    <t>107-21</t>
  </si>
  <si>
    <t>901-21</t>
  </si>
  <si>
    <t>111-21</t>
  </si>
  <si>
    <t>COOLAHAN</t>
  </si>
  <si>
    <t>800-21</t>
  </si>
  <si>
    <t>51-21</t>
  </si>
  <si>
    <t>106-21</t>
  </si>
  <si>
    <t>108-21</t>
  </si>
  <si>
    <t>117-21</t>
  </si>
  <si>
    <t>115-21</t>
  </si>
  <si>
    <t>801-21</t>
  </si>
  <si>
    <t>902-21</t>
  </si>
  <si>
    <t>112-21</t>
  </si>
  <si>
    <t>114-21</t>
  </si>
  <si>
    <t>119-21</t>
  </si>
  <si>
    <t>802-21</t>
  </si>
  <si>
    <t>121-21</t>
  </si>
  <si>
    <t>803-21</t>
  </si>
  <si>
    <t>805-21</t>
  </si>
  <si>
    <t>118-21</t>
  </si>
  <si>
    <t>804-21</t>
  </si>
  <si>
    <t>120-21</t>
  </si>
  <si>
    <t>127-21</t>
  </si>
  <si>
    <t>806-21</t>
  </si>
  <si>
    <t>122-21</t>
  </si>
  <si>
    <t>124-21</t>
  </si>
  <si>
    <t>807-21</t>
  </si>
  <si>
    <t>131-21</t>
  </si>
  <si>
    <t>809-21</t>
  </si>
  <si>
    <t>808-21</t>
  </si>
  <si>
    <t>128-21</t>
  </si>
  <si>
    <t>133-21</t>
  </si>
  <si>
    <t>135-21</t>
  </si>
  <si>
    <t>810-21</t>
  </si>
  <si>
    <t>137-21</t>
  </si>
  <si>
    <t>130-21</t>
  </si>
  <si>
    <t>139-21</t>
  </si>
  <si>
    <t>903-21</t>
  </si>
  <si>
    <t>134-21</t>
  </si>
  <si>
    <t>141-21</t>
  </si>
  <si>
    <t>136-21</t>
  </si>
  <si>
    <t>143-21</t>
  </si>
  <si>
    <t>138-21</t>
  </si>
  <si>
    <t>145-21</t>
  </si>
  <si>
    <t>813-21</t>
  </si>
  <si>
    <t>140-21</t>
  </si>
  <si>
    <t>142-21</t>
  </si>
  <si>
    <t>147-21</t>
  </si>
  <si>
    <t>149-21</t>
  </si>
  <si>
    <t>144-21</t>
  </si>
  <si>
    <t>146-21</t>
  </si>
  <si>
    <t>153-21</t>
  </si>
  <si>
    <t>815-21</t>
  </si>
  <si>
    <t>150-21</t>
  </si>
  <si>
    <t>816-21</t>
  </si>
  <si>
    <t>157-21</t>
  </si>
  <si>
    <t>152-21</t>
  </si>
  <si>
    <t>159-21</t>
  </si>
  <si>
    <t>154-21</t>
  </si>
  <si>
    <t>817-21</t>
  </si>
  <si>
    <t>158-21</t>
  </si>
  <si>
    <t>163-21</t>
  </si>
  <si>
    <t>818-21</t>
  </si>
  <si>
    <t>165-21</t>
  </si>
  <si>
    <t>167-21</t>
  </si>
  <si>
    <t>160-21</t>
  </si>
  <si>
    <t>162-21</t>
  </si>
  <si>
    <t>169-21</t>
  </si>
  <si>
    <t>164-21</t>
  </si>
  <si>
    <t>171-21</t>
  </si>
  <si>
    <t>STRICKLAND</t>
  </si>
  <si>
    <t>EVAN</t>
  </si>
  <si>
    <t>166-21</t>
  </si>
  <si>
    <t>173-21</t>
  </si>
  <si>
    <t>168-21</t>
  </si>
  <si>
    <t>820-21</t>
  </si>
  <si>
    <t>175-21</t>
  </si>
  <si>
    <t>170-21</t>
  </si>
  <si>
    <t>177-21</t>
  </si>
  <si>
    <t>172-21</t>
  </si>
  <si>
    <t>821-21</t>
  </si>
  <si>
    <t>179-21</t>
  </si>
  <si>
    <t>822-21</t>
  </si>
  <si>
    <t>174-21</t>
  </si>
  <si>
    <t>181-21</t>
  </si>
  <si>
    <t>176-21</t>
  </si>
  <si>
    <t>183-21</t>
  </si>
  <si>
    <t>52-21</t>
  </si>
  <si>
    <t>178-21</t>
  </si>
  <si>
    <t>185-21</t>
  </si>
  <si>
    <t>180-21</t>
  </si>
  <si>
    <t>187-21</t>
  </si>
  <si>
    <t>182-21</t>
  </si>
  <si>
    <t>824-21</t>
  </si>
  <si>
    <t>189-21</t>
  </si>
  <si>
    <t>184-21</t>
  </si>
  <si>
    <t>186-21</t>
  </si>
  <si>
    <t>191-21</t>
  </si>
  <si>
    <t>193-21</t>
  </si>
  <si>
    <t>67-21</t>
  </si>
  <si>
    <t>825-21</t>
  </si>
  <si>
    <t>195-21</t>
  </si>
  <si>
    <t>188-21</t>
  </si>
  <si>
    <t>190-21</t>
  </si>
  <si>
    <t>826-21</t>
  </si>
  <si>
    <t>197-21</t>
  </si>
  <si>
    <t>192-21</t>
  </si>
  <si>
    <t>199-21</t>
  </si>
  <si>
    <t>194-21</t>
  </si>
  <si>
    <t>828-21</t>
  </si>
  <si>
    <t>201-21</t>
  </si>
  <si>
    <t>196-21</t>
  </si>
  <si>
    <t>203-21</t>
  </si>
  <si>
    <t>830-21</t>
  </si>
  <si>
    <t>205-21</t>
  </si>
  <si>
    <t>200-21</t>
  </si>
  <si>
    <t>207-21</t>
  </si>
  <si>
    <t>202-21</t>
  </si>
  <si>
    <t>209-21</t>
  </si>
  <si>
    <t>204-21</t>
  </si>
  <si>
    <t>211-21</t>
  </si>
  <si>
    <t>73-21</t>
  </si>
  <si>
    <t>DE LA ROSA</t>
  </si>
  <si>
    <t>ALEX</t>
  </si>
  <si>
    <t>835-21</t>
  </si>
  <si>
    <t>206-21</t>
  </si>
  <si>
    <t>834-21</t>
  </si>
  <si>
    <t>213-21</t>
  </si>
  <si>
    <t>208-21</t>
  </si>
  <si>
    <t>72-21</t>
  </si>
  <si>
    <t>MAGEE</t>
  </si>
  <si>
    <t>KENYA</t>
  </si>
  <si>
    <t>76-21</t>
  </si>
  <si>
    <t>215-21</t>
  </si>
  <si>
    <t>210-21</t>
  </si>
  <si>
    <t>217-21</t>
  </si>
  <si>
    <t>837-21</t>
  </si>
  <si>
    <t>212-21</t>
  </si>
  <si>
    <t>219-21</t>
  </si>
  <si>
    <t>77-21</t>
  </si>
  <si>
    <t>838-21</t>
  </si>
  <si>
    <t>303-21</t>
  </si>
  <si>
    <t>214-21</t>
  </si>
  <si>
    <t>221-21</t>
  </si>
  <si>
    <t>218-21</t>
  </si>
  <si>
    <t>906-21</t>
  </si>
  <si>
    <t>305-21</t>
  </si>
  <si>
    <t>220-21</t>
  </si>
  <si>
    <t>841-21</t>
  </si>
  <si>
    <t>223-21</t>
  </si>
  <si>
    <t>840-21</t>
  </si>
  <si>
    <t>307-21</t>
  </si>
  <si>
    <t>225-21</t>
  </si>
  <si>
    <t>222-21</t>
  </si>
  <si>
    <t>843-21</t>
  </si>
  <si>
    <t>227-21</t>
  </si>
  <si>
    <t>224-21</t>
  </si>
  <si>
    <t>842-21</t>
  </si>
  <si>
    <t>226-21</t>
  </si>
  <si>
    <t>229-21</t>
  </si>
  <si>
    <t>228-21</t>
  </si>
  <si>
    <t>231-21</t>
  </si>
  <si>
    <t>233-21</t>
  </si>
  <si>
    <t>230-21</t>
  </si>
  <si>
    <t>235-21</t>
  </si>
  <si>
    <t>232-21</t>
  </si>
  <si>
    <t>908-21</t>
  </si>
  <si>
    <t>236-21</t>
  </si>
  <si>
    <t>239-21</t>
  </si>
  <si>
    <t>241-21</t>
  </si>
  <si>
    <t>240-21</t>
  </si>
  <si>
    <t>315-21</t>
  </si>
  <si>
    <t>309-21</t>
  </si>
  <si>
    <t>244-21</t>
  </si>
  <si>
    <t>311-21</t>
  </si>
  <si>
    <t>313-21</t>
  </si>
  <si>
    <t>partly-cloudy-day</t>
  </si>
  <si>
    <t>204:681</t>
  </si>
  <si>
    <t>204:233336</t>
  </si>
  <si>
    <t>204:772</t>
  </si>
  <si>
    <t>204:233376</t>
  </si>
  <si>
    <t>204:232736</t>
  </si>
  <si>
    <t>204:119</t>
  </si>
  <si>
    <t>204:763</t>
  </si>
  <si>
    <t>204:233295</t>
  </si>
  <si>
    <t>204:232652</t>
  </si>
  <si>
    <t>204:449</t>
  </si>
  <si>
    <t>204:153996</t>
  </si>
  <si>
    <t>204:232176</t>
  </si>
  <si>
    <t>204:433</t>
  </si>
  <si>
    <t>204:233305</t>
  </si>
  <si>
    <t>204:724</t>
  </si>
  <si>
    <t>204:233340</t>
  </si>
  <si>
    <t>204:233010</t>
  </si>
  <si>
    <t>204:129</t>
  </si>
  <si>
    <t>204:232670</t>
  </si>
  <si>
    <t>204:812</t>
  </si>
  <si>
    <t>204:232983</t>
  </si>
  <si>
    <t>204:233339</t>
  </si>
  <si>
    <t>204:233318</t>
  </si>
  <si>
    <t>204:232986</t>
  </si>
  <si>
    <t>204:218</t>
  </si>
  <si>
    <t>204:233311</t>
  </si>
  <si>
    <t>204:1705</t>
  </si>
  <si>
    <t>204:130</t>
  </si>
  <si>
    <t>204:18795</t>
  </si>
  <si>
    <t>204:36418</t>
  </si>
  <si>
    <t>204:233244</t>
  </si>
  <si>
    <t>204:232992</t>
  </si>
  <si>
    <t>204:542</t>
  </si>
  <si>
    <t>204:165</t>
  </si>
  <si>
    <t>204:478</t>
  </si>
  <si>
    <t>204:167</t>
  </si>
  <si>
    <t>204:232961</t>
  </si>
  <si>
    <t>204:107264</t>
  </si>
  <si>
    <t>204:102673</t>
  </si>
  <si>
    <t>204:65708</t>
  </si>
  <si>
    <t>204:132</t>
  </si>
  <si>
    <t>204:1141</t>
  </si>
  <si>
    <t>204:170</t>
  </si>
  <si>
    <t>204:233430</t>
  </si>
  <si>
    <t>204:233109</t>
  </si>
  <si>
    <t>204:233329</t>
  </si>
  <si>
    <t>204:233006</t>
  </si>
  <si>
    <t>204:233280</t>
  </si>
  <si>
    <t>204:232970</t>
  </si>
  <si>
    <t>204:495</t>
  </si>
  <si>
    <t>204:498</t>
  </si>
  <si>
    <t>204:232988</t>
  </si>
  <si>
    <t>204:233253</t>
  </si>
  <si>
    <t>204:232936</t>
  </si>
  <si>
    <t>204:203</t>
  </si>
  <si>
    <t>204:486</t>
  </si>
  <si>
    <t>204:233302</t>
  </si>
  <si>
    <t>204:509</t>
  </si>
  <si>
    <t>204:233276</t>
  </si>
  <si>
    <t>204:232960</t>
  </si>
  <si>
    <t>204:1908</t>
  </si>
  <si>
    <t>204:232966</t>
  </si>
  <si>
    <t>204:174</t>
  </si>
  <si>
    <t>204:233266</t>
  </si>
  <si>
    <t>204:232972</t>
  </si>
  <si>
    <t>204:233023</t>
  </si>
  <si>
    <t>204:233002</t>
  </si>
  <si>
    <t>204:233287</t>
  </si>
  <si>
    <t>204:232955</t>
  </si>
  <si>
    <t>204:233391</t>
  </si>
  <si>
    <t>204:233072</t>
  </si>
  <si>
    <t>204:329</t>
  </si>
  <si>
    <t>300:19607</t>
  </si>
  <si>
    <t>300:23308</t>
  </si>
  <si>
    <t>300:23188</t>
  </si>
  <si>
    <t>300:23302</t>
  </si>
  <si>
    <t>300:22145</t>
  </si>
  <si>
    <t>300:22472</t>
  </si>
  <si>
    <t>300:23164</t>
  </si>
  <si>
    <t>204:646</t>
  </si>
  <si>
    <t>300:23297</t>
  </si>
  <si>
    <t>204:128029</t>
  </si>
  <si>
    <t>204:153</t>
  </si>
  <si>
    <t>300:22047</t>
  </si>
  <si>
    <t>204:650</t>
  </si>
  <si>
    <t>204:470</t>
  </si>
  <si>
    <t>300:21788</t>
  </si>
  <si>
    <t>204:1790</t>
  </si>
  <si>
    <t>204:1143</t>
  </si>
  <si>
    <t>300:22074</t>
  </si>
  <si>
    <t>204:205</t>
  </si>
  <si>
    <t>204:513</t>
  </si>
  <si>
    <t>300:22846</t>
  </si>
  <si>
    <t>204:140</t>
  </si>
  <si>
    <t>204:874</t>
  </si>
  <si>
    <t>204:748</t>
  </si>
  <si>
    <t>204:1002</t>
  </si>
  <si>
    <t>300:58976</t>
  </si>
  <si>
    <t>204:699</t>
  </si>
  <si>
    <t>204:1041</t>
  </si>
  <si>
    <t>300:58954</t>
  </si>
  <si>
    <t>300:58624</t>
  </si>
  <si>
    <t>204:740</t>
  </si>
  <si>
    <t>204:999</t>
  </si>
  <si>
    <t>300:58960</t>
  </si>
  <si>
    <t>300:58641</t>
  </si>
  <si>
    <t>204:741</t>
  </si>
  <si>
    <t>204:1035</t>
  </si>
  <si>
    <t>300:58943</t>
  </si>
  <si>
    <t>204:867</t>
  </si>
  <si>
    <t>204:1014</t>
  </si>
  <si>
    <t>204:715</t>
  </si>
  <si>
    <t>204:1004</t>
  </si>
  <si>
    <t>204:873</t>
  </si>
  <si>
    <t>204:334</t>
  </si>
  <si>
    <t>300:58948</t>
  </si>
  <si>
    <t>300:58636</t>
  </si>
  <si>
    <t>204:144</t>
  </si>
  <si>
    <t>204:1139</t>
  </si>
  <si>
    <t>300:58626</t>
  </si>
  <si>
    <t>204:902</t>
  </si>
  <si>
    <t>204:640</t>
  </si>
  <si>
    <t>204:1212</t>
  </si>
  <si>
    <t>300:58944</t>
  </si>
  <si>
    <t>204:909</t>
  </si>
  <si>
    <t>300:59014</t>
  </si>
  <si>
    <t>300:58704</t>
  </si>
  <si>
    <t>204:932</t>
  </si>
  <si>
    <t>204:918</t>
  </si>
  <si>
    <t>300:59001</t>
  </si>
  <si>
    <t>300:58683</t>
  </si>
  <si>
    <t>204:654</t>
  </si>
  <si>
    <t>204:652</t>
  </si>
  <si>
    <t>204:948</t>
  </si>
  <si>
    <t>300:58995</t>
  </si>
  <si>
    <t>204:757</t>
  </si>
  <si>
    <t>204:944</t>
  </si>
  <si>
    <t>204:657</t>
  </si>
  <si>
    <t>204:1037</t>
  </si>
  <si>
    <t>204:946</t>
  </si>
  <si>
    <t>300:58602</t>
  </si>
  <si>
    <t>204:647</t>
  </si>
  <si>
    <t>204:937</t>
  </si>
  <si>
    <t>300:58965</t>
  </si>
  <si>
    <t>204:983</t>
  </si>
  <si>
    <t>300:30506</t>
  </si>
  <si>
    <t>300:23192</t>
  </si>
  <si>
    <t>204:720</t>
  </si>
  <si>
    <t>204:1165</t>
  </si>
  <si>
    <t>300:24220</t>
  </si>
  <si>
    <t>300:58681</t>
  </si>
  <si>
    <t>300:28795</t>
  </si>
  <si>
    <t>300:58657</t>
  </si>
  <si>
    <t>300:21371</t>
  </si>
  <si>
    <t>204:1244</t>
  </si>
  <si>
    <t>300:23654</t>
  </si>
  <si>
    <t>204:1246</t>
  </si>
  <si>
    <t>300:6230</t>
  </si>
  <si>
    <t>204:1248</t>
  </si>
  <si>
    <t>300:24870</t>
  </si>
  <si>
    <t>204:1249</t>
  </si>
  <si>
    <t>300:24805</t>
  </si>
  <si>
    <t>204:1253</t>
  </si>
  <si>
    <t>300:24792</t>
  </si>
  <si>
    <t>204:1264</t>
  </si>
  <si>
    <t>300:24841</t>
  </si>
  <si>
    <t>204:1354</t>
  </si>
  <si>
    <t>300:24874</t>
  </si>
  <si>
    <t>204:1355</t>
  </si>
  <si>
    <t>300:24866</t>
  </si>
  <si>
    <t>204:439</t>
  </si>
  <si>
    <t>300:24851</t>
  </si>
  <si>
    <t>300:23652</t>
  </si>
  <si>
    <t>300:24379</t>
  </si>
  <si>
    <t>300:6214</t>
  </si>
  <si>
    <t>300:26709</t>
  </si>
  <si>
    <t>300:23160</t>
  </si>
  <si>
    <t>204:926</t>
  </si>
  <si>
    <t>300:24474</t>
  </si>
  <si>
    <t>300:24487</t>
  </si>
  <si>
    <t>300:24533</t>
  </si>
  <si>
    <t>204:137</t>
  </si>
  <si>
    <t>300:24546</t>
  </si>
  <si>
    <t>204:1034</t>
  </si>
  <si>
    <t>300:24555</t>
  </si>
  <si>
    <t>204:1049</t>
  </si>
  <si>
    <t>300:24557</t>
  </si>
  <si>
    <t>300:24567</t>
  </si>
  <si>
    <t>204:1071</t>
  </si>
  <si>
    <t>300:24728</t>
  </si>
  <si>
    <t>300:26393</t>
  </si>
  <si>
    <t>204:928</t>
  </si>
  <si>
    <t>start /low /b %USERPROFILE%\Documents\GitHub\eaglep3\Utilities\DownloadLogsFromS3.py --loco 4004 --day 2017-02-21</t>
  </si>
  <si>
    <t>start /low /b %USERPROFILE%\Documents\GitHub\eaglep3\Utilities\DownloadLogsFromS3.py --loco 4017 --day 2017-02-21</t>
  </si>
  <si>
    <t>start /low /b %USERPROFILE%\Documents\GitHub\eaglep3\Utilities\DownloadLogsFromS3.py --loco 4027 --day 2017-02-21</t>
  </si>
  <si>
    <t>start /low /b %USERPROFILE%\Documents\GitHub\eaglep3\Utilities\DownloadLogsFromS3.py --loco 4025 --day 2017-02-21</t>
  </si>
  <si>
    <t>start /low /b %USERPROFILE%\Documents\GitHub\eaglep3\Utilities\DownloadLogsFromS3.py --loco 4008 --day 2017-02-21</t>
  </si>
  <si>
    <t>start /low /b %USERPROFILE%\Documents\GitHub\eaglep3\Utilities\DownloadLogsFromS3.py --loco 4003 --day 2017-02-22</t>
  </si>
  <si>
    <t>start /low /b %USERPROFILE%\Documents\GitHub\eaglep3\Utilities\DownloadLogsFromS3.py --loco 4025 --day 2017-02-22</t>
  </si>
  <si>
    <t>start /low /b %USERPROFILE%\Documents\GitHub\eaglep3\Utilities\DownloadLogsFromS3.py --loco 4005 --day 2017-02-21</t>
  </si>
  <si>
    <t>start /low /b %USERPROFILE%\Documents\GitHub\eaglep3\Utilities\DownloadLogsFromS3.py --loco 4013 --day 2017-02-22</t>
  </si>
  <si>
    <t>start /low /b %USERPROFILE%\Documents\GitHub\eaglep3\Utilities\DownloadLogsFromS3.py --loco 4052 --day 2017-02-22</t>
  </si>
  <si>
    <t>start /low /b %USERPROFILE%\Documents\GitHub\eaglep3\Utilities\DownloadLogsFromS3.py --loco 4007 --day 2017-02-21</t>
  </si>
  <si>
    <t>start /low /b %USERPROFILE%\Documents\GitHub\eaglep3\Utilities\DownloadLogsFromS3.py --loco 4006 --day 2017-02-21</t>
  </si>
  <si>
    <t>start /low /b %USERPROFILE%\Documents\GitHub\eaglep3\Utilities\DownloadLogsFromS3.py --loco 4052 --day 2017-02-21</t>
  </si>
  <si>
    <t>start /low /b %USERPROFILE%\Documents\GitHub\eaglep3\Utilities\DownloadLogsFromS3.py --loco 4028 --day 2017-02-21</t>
  </si>
  <si>
    <t>start /low /b %USERPROFILE%\Documents\GitHub\eaglep3\Utilities\DownloadLogsFromS3.py --loco 4026 --day 2017-02-21</t>
  </si>
  <si>
    <t>start /low /b %USERPROFILE%\Documents\GitHub\eaglep3\Utilities\DownloadLogsFromS3.py --loco 4026 --day 2017-02-22</t>
  </si>
  <si>
    <t>start /low /b %USERPROFILE%\Documents\GitHub\eaglep3\Utilities\DownloadLogsFromS3.py --loco 4051 --day 2017-02-21</t>
  </si>
  <si>
    <t>start /low /b %USERPROFILE%\Documents\GitHub\eaglep3\Utilities\DownloadLogsFromS3.py --loco 4009 --day 2017-02-22</t>
  </si>
  <si>
    <t>start /low /b %USERPROFILE%\Documents\GitHub\eaglep3\Utilities\DownloadLogsFromS3.py --loco 4009 --day 2017-02-21</t>
  </si>
  <si>
    <t>start /low /b %USERPROFILE%\Documents\GitHub\eaglep3\Utilities\DownloadLogsFromS3.py --loco 4031 --day 2017-02-21</t>
  </si>
  <si>
    <t>start /low /b %USERPROFILE%\Documents\GitHub\eaglep3\Utilities\DownloadLogsFromS3.py --loco 4031 --day 2017-02-22</t>
  </si>
  <si>
    <t>start /low /b %USERPROFILE%\Documents\GitHub\eaglep3\Utilities\DownloadLogsFromS3.py --loco 4010 --day 2017-02-22</t>
  </si>
  <si>
    <t>start /low /b %USERPROFILE%\Documents\GitHub\eaglep3\Utilities\DownloadLogsFromS3.py --loco 4010 --day 2017-02-21</t>
  </si>
  <si>
    <t>start /low /b %USERPROFILE%\Documents\GitHub\eaglep3\Utilities\DownloadLogsFromS3.py --loco 4032 --day 2017-02-22</t>
  </si>
  <si>
    <t>Selected wrong track (should have chosen Main 2)</t>
  </si>
  <si>
    <t>Around 10:05, Chambers transferred from Main to Standby. Do logs tell us anything interesting?</t>
  </si>
  <si>
    <t>DUS 28S STOP</t>
  </si>
  <si>
    <t>http://stevetu21.github.io/eaglep3/load_kml.html?kml=http://rtdc.gmaps-snips.s3.amazonaws.com/2d3cb392-4ea8-4f75-a4bc-a20ac1194bb0.kml</t>
  </si>
  <si>
    <t>SYS :2017/02/21 11:40:34.315:ENFORCEMENT:Predictive Enforcement Action:  Target Number: 000170FF  Target Speed:   0.0  Current Speed:  17.5</t>
  </si>
  <si>
    <t>SYS :2017/02/21 11:40:34.975:ENFORCEMENT:Reactive Enforcement Action:  Target Number: 000170FF  Target Speed:   0.0  Current Speed:  17.5</t>
  </si>
  <si>
    <t>SYS :2017/02/21 11:40:35.173:ENFORCEMENT:Predictive Enforcement Action:  Target Number: 000170FE  Target Speed:   0.0  Current Speed:  17.5</t>
  </si>
  <si>
    <t>SYS :2017/02/21 11:57:44.021:ENFORCEMENT:Predictive Enforcement Action:  Target Number: 000170AE  Target Speed:  45.0  Current Speed:  51.1</t>
  </si>
  <si>
    <t>SYS :2017/02/21 11:57:44.036:ENFORCEMENT:Predictive Enforcement Action:  Target Number: 000170AE  Target Speed:  45.0  Current Speed:  51.1</t>
  </si>
  <si>
    <t>SYS :2017/02/21 11:57:44.038:ENFORCEMENT:Predictive Enforcement Action:  Target Number: 000170AE  Target Speed:  45.0  Current Speed:  51.1</t>
  </si>
  <si>
    <t>SYS :2017/02/21 12:20:24.044:ENFORCEMENT:Predictive Enforcement Action:  Target Number: 00001018  Target Speed:   0.0  Current Speed:   3.3</t>
  </si>
  <si>
    <t>SYS :2017/02/21 13:21:26.828:ENFORCEMENT:Predictive Enforcement Action:  Target Number: 00001019  Target Speed:   0.0  Current Speed:   5.1</t>
  </si>
  <si>
    <t>SYS :2017/02/21 13:43:07.023:ENFORCEMENT:Predictive Enforcement Action:  Target Number: 000170CC  Target Speed:  45.0  Current Speed:  50.7</t>
  </si>
  <si>
    <t>SYS :2017/02/21 13:43:07.038:ENFORCEMENT:Predictive Enforcement Action:  Target Number: 000170CC  Target Speed:  45.0  Current Speed:  50.7</t>
  </si>
  <si>
    <t>SYS :2017/02/21 13:43:07.039:ENFORCEMENT:Predictive Enforcement Action:  Target Number: 000170CC  Target Speed:  45.0  Current Speed:  50.7</t>
  </si>
  <si>
    <t>SYS :2017/02/21 13:51:26.499:ENFORCEMENT:Predictive Enforcement Action:  Target Number: 00017026  Target Speed:   0.0  Current Speed:  24.0</t>
  </si>
  <si>
    <t>SYS :2017/02/21 13:51:26.762:ENFORCEMENT:Predictive Enforcement Action:  Target Number: 00017026  Target Speed:   0.0  Current Speed:  24.0</t>
  </si>
  <si>
    <t>SYS :2017/02/21 13:51:26.829:ENFORCEMENT:Predictive Enforcement Action:  Target Number: 00017026  Target Speed:   0.0  Current Speed:  23.3</t>
  </si>
  <si>
    <t>SYS :2017/02/21 13:55:22.729:ENFORCEMENT:Predictive Enforcement Action:  Target Number: 0000101A  Target Speed:   0.0  Current Speed:  15.6</t>
  </si>
  <si>
    <t>SYS :2017/02/21 13:56:11.009:ENFORCEMENT:Predictive Enforcement Action:  Target Number: 0001708C  Target Speed:   0.0  Current Speed:  12.0</t>
  </si>
  <si>
    <t>SYS :2017/02/21 13:56:11.868:ENFORCEMENT:Reactive Enforcement Action:  Target Number: 000170D3  Target Speed:   0.0  Current Speed:  12.0</t>
  </si>
  <si>
    <t>SYS :2017/02/21 13:56:12.489:ENFORCEMENT:Reactive Enforcement Action:  Target Number: 000170D3  Target Speed:   0.0  Current Speed:  12.6</t>
  </si>
  <si>
    <t>SYS :2017/02/21 14:42:14.245:ENFORCEMENT:Reactive Enforcement Action:  Target Number: 0001007E  Target Speed:  70.0  Current Speed:  75.7</t>
  </si>
  <si>
    <t>SYS :2017/02/21 14:42:14.861:ENFORCEMENT:Reactive Enforcement Action:  Target Number: 0001007D  Target Speed:  70.0  Current Speed:  75.7</t>
  </si>
  <si>
    <t>SYS :2017/02/21 14:42:15.023:ENFORCEMENT:Reactive Enforcement Action:  Target Number: 0001007D  Target Speed:  70.0  Current Speed:  75.7</t>
  </si>
  <si>
    <t>SYS :2017/02/21 15:19:32.374:ENFORCEMENT:Predictive Enforcement Action:  Target Number: 00001005  Target Speed:   0.0  Current Speed:   7.0</t>
  </si>
  <si>
    <t>SYS :2017/02/21 15:19:32.450:ENFORCEMENT:Predictive Enforcement Action:  Target Number: 00001003  Target Speed:   0.0  Current Speed:   7.0</t>
  </si>
  <si>
    <t>SYS :2017/02/21 15:19:33.084:ENFORCEMENT:Predictive Enforcement Action:  Target Number: 00001005  Target Speed:   0.0  Current Speed:   7.0</t>
  </si>
  <si>
    <t>SYS :2017/02/21 15:34:00.035:ENFORCEMENT:Predictive Enforcement Action:  Target Number: 00001007  Target Speed:   0.0  Current Speed:   5.1</t>
  </si>
  <si>
    <t>SYS :2017/02/21 15:34:00.262:ENFORCEMENT:Predictive Enforcement Action:  Target Number: 00001002  Target Speed:   0.0  Current Speed:   5.1</t>
  </si>
  <si>
    <t>SYS :2017/02/21 15:34:02.774:ENFORCEMENT:Predictive Enforcement Action:  Target Number: 00001007  Target Speed:   0.0  Current Speed:   4.3</t>
  </si>
  <si>
    <t>SYS :2017/02/21 15:49:09.046:ENFORCEMENT:Predictive Enforcement Action:  Target Number: 00006409  Target Speed:   0.0  Current Speed:  29.0</t>
  </si>
  <si>
    <t>SYS :2017/02/21 15:49:09.253:ENFORCEMENT:Predictive Enforcement Action:  Target Number: 000063BB  Target Speed:   0.0  Current Speed:  29.0</t>
  </si>
  <si>
    <t>SYS :2017/02/21 15:49:09.676:ENFORCEMENT:Predictive Enforcement Action:  Target Number: 0000609E  Target Speed:   0.0  Current Speed:  28.3</t>
  </si>
  <si>
    <t>SYS :2017/02/21 15:54:20.432:ENFORCEMENT:Predictive Enforcement Action:  Target Number: 0000101F  Target Speed:   0.0  Current Speed:  17.4</t>
  </si>
  <si>
    <t>SYS :2017/02/21 15:54:20.546:ENFORCEMENT:Predictive Enforcement Action:  Target Number: 0000101F  Target Speed:   0.0  Current Speed:  17.4</t>
  </si>
  <si>
    <t>SYS :2017/02/21 15:54:20.730:ENFORCEMENT:Predictive Enforcement Action:  Target Number: 0000101E  Target Speed:   0.0  Current Speed:  17.4</t>
  </si>
  <si>
    <t>SYS :2017/02/21 16:54:24.728:ENFORCEMENT:Predictive Enforcement Action:  Target Number: 00001020  Target Speed:   0.0  Current Speed:  15.7</t>
  </si>
  <si>
    <t>SYS :2017/02/21 16:54:25.440:ENFORCEMENT:Predictive Enforcement Action:  Target Number: 00001021  Target Speed:   0.0  Current Speed:  15.7</t>
  </si>
  <si>
    <t>SYS :2017/02/21 16:55:08.542:ENFORCEMENT:Predictive Enforcement Action:  Target Number: 00001021  Target Speed:   0.0  Current Speed:   7.2</t>
  </si>
  <si>
    <t>SYS :2017/02/21 16:55:08.730:ENFORCEMENT:Predictive Enforcement Action:  Target Number: 00001020  Target Speed:   0.0  Current Speed:   7.2</t>
  </si>
  <si>
    <t>SYS :2017/02/21 16:55:09.436:ENFORCEMENT:Predictive Enforcement Action:  Target Number: 00001021  Target Speed:   0.0  Current Speed:   7.2</t>
  </si>
  <si>
    <t>SYS :2017/02/21 16:55:39.543:ENFORCEMENT:Predictive Enforcement Action:  Target Number: 00001021  Target Speed:   0.0  Current Speed:   2.7</t>
  </si>
  <si>
    <t>SYS :2017/02/21 16:55:39.729:ENFORCEMENT:Predictive Enforcement Action:  Target Number: 00001020  Target Speed:   0.0  Current Speed:   2.7</t>
  </si>
  <si>
    <t>SYS :2017/02/21 16:55:40.440:ENFORCEMENT:Predictive Enforcement Action:  Target Number: 00001021  Target Speed:   0.0  Current Speed:   2.7</t>
  </si>
  <si>
    <t>SYS :2017/02/21 17:03:57.370:ENFORCEMENT:Predictive Enforcement Action:  Target Number: 00001008  Target Speed:   0.0  Current Speed:   5.0</t>
  </si>
  <si>
    <t>SYS :2017/02/21 17:03:57.456:ENFORCEMENT:Predictive Enforcement Action:  Target Number: 00001006  Target Speed:   0.0  Current Speed:   5.0</t>
  </si>
  <si>
    <t>SYS :2017/02/21 17:30:14.030:ENFORCEMENT:Predictive Enforcement Action:  Target Number: 0000633D  Target Speed:   0.0  Current Speed:   9.9</t>
  </si>
  <si>
    <t>SYS :2017/02/21 17:30:14.034:ENFORCEMENT:Predictive Enforcement Action:  Target Number: 00006317  Target Speed:   0.0  Current Speed:   9.9</t>
  </si>
  <si>
    <t>SYS :2017/02/21 17:30:14.472:ENFORCEMENT:Predictive Enforcement Action:  Target Number: 0000602E  Target Speed:   0.0  Current Speed:   9.9</t>
  </si>
  <si>
    <t>SYS :2017/02/21 18:04:00.482:ENFORCEMENT:Reactive Enforcement Action:  Target Number: 00010093  Target Speed:  70.0  Current Speed:  75.4</t>
  </si>
  <si>
    <t>SYS :2017/02/21 18:04:00.650:ENFORCEMENT:Reactive Enforcement Action:  Target Number: 00010092  Target Speed:  70.0  Current Speed:  75.4</t>
  </si>
  <si>
    <t>SYS :2017/02/21 18:04:01.125:ENFORCEMENT:Reactive Enforcement Action:  Target Number: 00010093  Target Speed:  70.0  Current Speed:  75.4</t>
  </si>
  <si>
    <t>SYS :2017/02/21 18:51:27.631:ENFORCEMENT:Predictive Enforcement Action:  Target Number: 00001009  Target Speed:   0.0  Current Speed:   5.7</t>
  </si>
  <si>
    <t>SYS :2017/02/21 18:51:28.033:ENFORCEMENT:Predictive Enforcement Action:  Target Number: 00001009  Target Speed:   0.0  Current Speed:   5.7</t>
  </si>
  <si>
    <t>SYS :2017/02/21 18:51:28.145:ENFORCEMENT:Predictive Enforcement Action:  Target Number: 00001009  Target Speed:   0.0  Current Speed:   5.8</t>
  </si>
  <si>
    <t>SYS :2017/02/21 19:04:56.299:ENFORCEMENT:Predictive Enforcement Action:  Target Number: 00001034  Target Speed:   0.0  Current Speed:   4.7</t>
  </si>
  <si>
    <t>SYS :2017/02/21 19:24:18.006:ENFORCEMENT:Predictive Enforcement Action:  Target Number: 00017007  Target Speed:  32.0  Current Speed:  37.0</t>
  </si>
  <si>
    <t>SYS :2017/02/21 19:24:18.504:ENFORCEMENT:Predictive Enforcement Action:  Target Number: 00017007  Target Speed:  32.0  Current Speed:  37.0</t>
  </si>
  <si>
    <t>SYS :2017/02/21 19:24:19.678:ENFORCEMENT:Predictive Enforcement Action:  Target Number: 00017007  Target Speed:  32.0  Current Speed:  38.1</t>
  </si>
  <si>
    <t>SYS :2017/02/21 19:26:55.006:ENFORCEMENT:Predictive Enforcement Action:  Target Number: 00010045  Target Speed:  30.0  Current Speed:  35.1</t>
  </si>
  <si>
    <t>SYS :2017/02/21 19:26:55.504:ENFORCEMENT:Predictive Enforcement Action:  Target Number: 00010045  Target Speed:  30.0  Current Speed:  35.1</t>
  </si>
  <si>
    <t>SYS :2017/02/21 21:25:28.861:ENFORCEMENT:Predictive Enforcement Action:  Target Number: 000100FE  Target Speed:  30.0  Current Speed:  35.2</t>
  </si>
  <si>
    <t>SYS :2017/02/21 21:25:29.018:ENFORCEMENT:Predictive Enforcement Action:  Target Number: 000100FE  Target Speed:  30.0  Current Speed:  35.2</t>
  </si>
  <si>
    <t>SYS :2017/02/21 21:25:29.235:ENFORCEMENT:Predictive Enforcement Action:  Target Number: 000100FC  Target Speed:  30.0  Current Speed:  35.2</t>
  </si>
  <si>
    <t>SYS :2017/02/21 22:53:46.991:ENFORCEMENT:Reactive Enforcement Action:  Target Number: 00010054  Target Speed:  20.0  Current Speed:  25.0</t>
  </si>
  <si>
    <t>SYS :2017/02/21 22:53:47.501:ENFORCEMENT:Reactive Enforcement Action:  Target Number: 00010054  Target Speed:  20.0  Current Speed:  25.0</t>
  </si>
  <si>
    <t>SYS :2017/02/21 22:53:47.673:ENFORCEMENT:Reactive Enforcement Action:  Target Number: 00010054  Target Speed:  20.0  Current Speed:  25.0</t>
  </si>
  <si>
    <t>SYS :2017/02/21 23:06:02.972:ENFORCEMENT:Predictive Enforcement Action:  Target Number: 00001007  Target Speed:   0.0  Current Speed:   1.1</t>
  </si>
  <si>
    <t>SYS :2017/02/21 23:06:04.473:ENFORCEMENT:Predictive Enforcement Action:  Target Number: 00001007  Target Speed:   0.0  Current Speed:   1.0</t>
  </si>
  <si>
    <t>SYS :2017/02/21 23:06:04.650:ENFORCEMENT:Predictive Enforcement Action:  Target Number: 00001007  Target Speed:   0.0  Current Speed:   1.0</t>
  </si>
  <si>
    <t>SYS :2017/02/21 23:23:26.236:ENFORCEMENT:Reactive Enforcement Action:  Target Number: 00010223  Target Speed:  15.0  Current Speed:  20.4</t>
  </si>
  <si>
    <t>SYS :2017/02/21 23:23:26.576:ENFORCEMENT:Reactive Enforcement Action:  Target Number: 00010124  Target Speed:  15.0  Current Speed:  20.4</t>
  </si>
  <si>
    <t>SYS :2017/02/21 23:23:26.704:ENFORCEMENT:Reactive Enforcement Action:  Target Number: 00010239  Target Speed:  15.0  Current Speed:  20.4</t>
  </si>
  <si>
    <t>SYS :2017/02/21 23:58:08.168:ENFORCEMENT:Predictive Enforcement Action:  Target Number: 000102F8  Target Speed:  40.0  Current Speed:  50.9</t>
  </si>
  <si>
    <t>SYS :2017/02/22 00:04:33.973:ENFORCEMENT:Predictive Enforcement Action:  Target Number: 0000100A  Target Speed:   0.0  Current Speed:   8.2</t>
  </si>
  <si>
    <t>SYS :2017/02/22 00:04:34.476:ENFORCEMENT:Predictive Enforcement Action:  Target Number: 0000100A  Target Speed:   0.0  Current Speed:   8.2</t>
  </si>
  <si>
    <t>SYS :2017/02/22 00:04:34.653:ENFORCEMENT:Predictive Enforcement Action:  Target Number: 0000100A  Target Speed:   0.0  Current Speed:   8.2</t>
  </si>
  <si>
    <t>SYS :2017/02/22 00:05:12.975:ENFORCEMENT:Predictive Enforcement Action:  Target Number: 0000100A  Target Speed:   0.0  Current Speed:   2.9</t>
  </si>
  <si>
    <t>SYS :2017/02/22 00:05:15.474:ENFORCEMENT:Predictive Enforcement Action:  Target Number: 0000100A  Target Speed:   0.0  Current Speed:   2.5</t>
  </si>
  <si>
    <t>SYS :2017/02/22 00:05:15.652:ENFORCEMENT:Predictive Enforcement Action:  Target Number: 0000100A  Target Speed:   0.0  Current Speed:   2.5</t>
  </si>
  <si>
    <t>SYS :2017/02/22 00:06:09.478:ENFORCEMENT:Predictive Enforcement Action:  Target Number: 0000100A  Target Speed:   0.0  Current Speed:   1.0</t>
  </si>
  <si>
    <t>SYS :2017/02/22 00:06:09.651:ENFORCEMENT:Predictive Enforcement Action:  Target Number: 0000100A  Target Speed:   0.0  Current Speed:   1.0</t>
  </si>
  <si>
    <t>SYS :2017/02/22 00:06:09.972:ENFORCEMENT:Predictive Enforcement Action:  Target Number: 0000100A  Target Speed:   0.0  Current Speed:   0.7</t>
  </si>
  <si>
    <t>SYS :2017/02/22 00:22:59.859:ENFORCEMENT:Predictive Enforcement Action:  Target Number: 0000602A  Target Speed:   0.0  Current Speed:  14.1</t>
  </si>
  <si>
    <t>SYS :2017/02/22 00:23:00.443:ENFORCEMENT:Predictive Enforcement Action:  Target Number: 00006265  Target Speed:   0.0  Current Speed:  14.1</t>
  </si>
  <si>
    <t>SYS :2017/02/22 00:23:00.540:ENFORCEMENT:Predictive Enforcement Action:  Target Number: 00006268  Target Speed:   0.0  Current Speed:  14.1</t>
  </si>
  <si>
    <t>SYS :2017/02/22 00:25:28.846:ENFORCEMENT:Predictive Enforcement Action:  Target Number: 00001003  Target Speed:   0.0  Current Speed:   4.5</t>
  </si>
  <si>
    <t>SYS :2017/02/22 00:25:29.434:ENFORCEMENT:Predictive Enforcement Action:  Target Number: 00001031  Target Speed:   0.0  Current Speed:   4.5</t>
  </si>
  <si>
    <t>SYS :2017/02/22 00:25:29.556:ENFORCEMENT:Predictive Enforcement Action:  Target Number: 00001031  Target Speed:   0.0  Current Speed:   4.5</t>
  </si>
  <si>
    <t>SYS :2017/02/22 00:30:07.573:ENFORCEMENT:Predictive Enforcement Action:  Target Number: 0001015D  Target Speed:  40.0  Current Speed:  46.7</t>
  </si>
  <si>
    <t>SYS :2017/02/22 00:30:07.698:ENFORCEMENT:Predictive Enforcement Action:  Target Number: 00010272  Target Speed:  40.0  Current Speed:  46.7</t>
  </si>
  <si>
    <t>SYS :2017/02/22 00:35:17.215:ENFORCEMENT:Predictive Enforcement Action:  Target Number: 00001023  Target Speed:   0.0  Current Speed:   5.3</t>
  </si>
  <si>
    <t>SYS :2017/02/22 00:35:17.563:ENFORCEMENT:Predictive Enforcement Action:  Target Number: 00001012  Target Speed:   0.0  Current Speed:   5.1</t>
  </si>
  <si>
    <t>SYS :2017/02/22 00:35:17.685:ENFORCEMENT:Predictive Enforcement Action:  Target Number: 00001023  Target Speed:   0.0  Current Speed:   5.1</t>
  </si>
  <si>
    <t>SYS :2017/02/22 01:05:36.650:ENFORCEMENT:Predictive Enforcement Action:  Target Number: 0000100C  Target Speed:   0.0  Current Speed:   2.6</t>
  </si>
  <si>
    <t>SYS :2017/02/22 01:25:10.543:ENFORCEMENT:Predictive Enforcement Action:  Target Number: 00001034  Target Speed:   0.0  Current Speed:  16.1</t>
  </si>
  <si>
    <t>SYS :2017/02/22 01:25:10.851:ENFORCEMENT:Predictive Enforcement Action:  Target Number: 00001006  Target Speed:   0.0  Current Speed:  16.1</t>
  </si>
  <si>
    <t>SYS :2017/02/22 01:26:07.843:ENFORCEMENT:Predictive Enforcement Action:  Target Number: 00001006  Target Speed:   0.0  Current Speed:   5.1</t>
  </si>
  <si>
    <t>SYS :2017/02/22 01:26:08.442:ENFORCEMENT:Predictive Enforcement Action:  Target Number: 00001034  Target Speed:   0.0  Current Speed:   5.1</t>
  </si>
  <si>
    <t>SYS :2017/02/22 01:26:08.540:ENFORCEMENT:Predictive Enforcement Action:  Target Number: 00001034  Target Speed:   0.0  Current Speed:   5.1</t>
  </si>
  <si>
    <t>SYS :2017/02/22 01:54:25.994:ENFORCEMENT:Predictive Enforcement Action:  Target Number: 00017010  Target Speed:   0.0  Current Speed:  28.3</t>
  </si>
  <si>
    <t>SYS :2017/02/22 01:54:26.498:ENFORCEMENT:Predictive Enforcement Action:  Target Number: 00017010  Target Speed:   0.0  Current Speed:  28.3</t>
  </si>
  <si>
    <t>SYS :2017/02/22 01:54:26.676:ENFORCEMENT:Predictive Enforcement Action:  Target Number: 00017010  Target Speed:   0.0  Current Speed:  28.3</t>
  </si>
  <si>
    <t>SYS :2017/02/22 02:24:40.903:ENFORCEMENT:Predictive Enforcement Action:  Target Number: 000170FD  Target Speed:   0.0  Current Speed:  22.3</t>
  </si>
  <si>
    <t>SYS :2017/02/22 02:24:41.042:ENFORCEMENT:Reactive Enforcement Action:  Target Number: 00017156  Target Speed:   0.0  Current Speed:  22.3</t>
  </si>
  <si>
    <t>SYS :2017/02/22 02:24:41.243:ENFORCEMENT:Predictive Enforcement Action:  Target Number: 00017104  Target Speed:   0.0  Current Speed:  22.3</t>
  </si>
  <si>
    <t>SYS :2017/02/22 04:34:49.560:ENFORCEMENT:Predictive Enforcement Action:  Target Number: 0000101E  Target Speed:   0.0  Current Speed:   2.8</t>
  </si>
  <si>
    <t>SYS :2017/02/22 04:54:51.695:ENFORCEMENT:Predictive Enforcement Action:  Target Number: 00001023  Target Speed:   0.0  Current Speed:   5.1</t>
  </si>
  <si>
    <t>SYS :2017/02/22 04:54:52.181:ENFORCEMENT:Predictive Enforcement Action:  Target Number: 0000101F  Target Speed:   0.0  Current Speed:   5.1</t>
  </si>
  <si>
    <t>SYS :2017/02/22 04:54:52.789:ENFORCEMENT:Predictive Enforcement Action:  Target Number: 00001022  Target Speed:   0.0  Current Speed:   5.0</t>
  </si>
  <si>
    <t>SYS :2017/02/22 05:35:20.560:ENFORCEMENT:Predictive Enforcement Action:  Target Number: 00001022  Target Speed:   0.0  Current Speed:   4.3</t>
  </si>
  <si>
    <t>SYS :2017/02/22 06:09:08.517:ENFORCEMENT:Reactive Enforcement Action:  Target Number: 000170F8  Target Speed:  19.0  Current Speed:  24.6</t>
  </si>
  <si>
    <t>SYS :2017/02/22 06:09:08.830:ENFORCEMENT:Reactive Enforcement Action:  Target Number: 000170EC  Target Speed:  19.0  Current Speed:  24.6</t>
  </si>
  <si>
    <t>SYS :2017/02/22 06:22:52.703:ENFORCEMENT:Predictive Enforcement Action:  Target Number: 000170EE  Target Speed:  55.0  Current Speed:  62.6</t>
  </si>
  <si>
    <t>SYS :2017/02/22 06:22:53.067:ENFORCEMENT:Predictive Enforcement Action:  Target Number: 000171D9  Target Speed:  55.0  Current Speed:  62.6</t>
  </si>
  <si>
    <t>SYS :2017/02/22 06:22:53.255:ENFORCEMENT:Predictive Enforcement Action:  Target Number: 000171D9  Target Speed:  55.0  Current Speed:  62.6</t>
  </si>
  <si>
    <t>SYS :2017/02/22 07:36:43.085:ENFORCEMENT:Predictive Enforcement Action:  Target Number: 0000101C  Target Speed:   0.0  Current Speed:   6.0</t>
  </si>
  <si>
    <t>SYS :2017/02/22 07:36:43.446:ENFORCEMENT:Predictive Enforcement Action:  Target Number: 0000101A  Target Speed:   0.0  Current Speed:   5.9</t>
  </si>
  <si>
    <t>SYS :2017/02/22 07:37:49.301:ENFORCEMENT:Reactive Enforcement Action:  Target Number: 00017272  Target Speed:  16.0  Current Speed:  21.4</t>
  </si>
  <si>
    <t>SYS :2017/02/22 07:37:50.209:ENFORCEMENT:Reactive Enforcement Action:  Target Number: 0001726D  Target Speed:  16.0  Current Speed:  21.4</t>
  </si>
  <si>
    <t>SYS :2017/02/22 07:39:33.301:ENFORCEMENT:Reactive Enforcement Action:  Target Number: 00017273  Target Speed:  36.0  Current Speed:  41.6</t>
  </si>
  <si>
    <t>SYS :2017/02/22 07:39:34.218:ENFORCEMENT:Reactive Enforcement Action:  Target Number: 0001726E  Target Speed:  36.0  Current Speed:  41.6</t>
  </si>
  <si>
    <t>148-21</t>
  </si>
  <si>
    <t>Chambers ELXS failure (cab correspondence error)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</si>
</sst>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1" fillId="0" borderId="0" xfId="0" applyNumberFormat="1" applyFont="1"/>
    <xf numFmtId="169" fontId="0" fillId="0" borderId="0" xfId="0" applyNumberFormat="1"/>
    <xf numFmtId="169" fontId="0" fillId="2" borderId="13" xfId="0" applyNumberFormat="1" applyFill="1" applyBorder="1" applyAlignment="1"/>
    <xf numFmtId="169" fontId="0" fillId="0" borderId="16" xfId="0" applyNumberFormat="1" applyBorder="1" applyAlignment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52"/>
  <sheetViews>
    <sheetView topLeftCell="A40" zoomScaleNormal="100" workbookViewId="0">
      <selection activeCell="R65" sqref="R65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2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6.140625" customWidth="1"/>
    <col min="19" max="19" width="6" style="20" customWidth="1"/>
    <col min="20" max="20" width="3.85546875" customWidth="1"/>
    <col min="21" max="21" width="5" style="176" customWidth="1"/>
    <col min="22" max="22" width="5.7109375" style="196" customWidth="1"/>
    <col min="23" max="23" width="3.85546875" style="189" customWidth="1"/>
    <col min="24" max="24" width="6.5703125" style="189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74"/>
      <c r="V1" s="175"/>
      <c r="W1" s="174"/>
      <c r="X1" s="176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42787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42787</v>
      </c>
      <c r="S2" s="66"/>
      <c r="T2" s="67"/>
      <c r="U2" s="177"/>
      <c r="V2" s="178" t="s">
        <v>8</v>
      </c>
      <c r="W2" s="179"/>
      <c r="X2" s="180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81"/>
      <c r="V3" s="182" t="s">
        <v>11</v>
      </c>
      <c r="W3" s="183" t="s">
        <v>12</v>
      </c>
      <c r="X3" s="184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85"/>
      <c r="V4" s="182" t="s">
        <v>15</v>
      </c>
      <c r="W4" s="183" t="s">
        <v>15</v>
      </c>
      <c r="X4" s="184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COUNTIFS($N$13:$N$9329,"&gt;0",$AG$13:$AG$9329,I1)</f>
        <v>138</v>
      </c>
      <c r="K5" s="40"/>
      <c r="L5" s="40"/>
      <c r="M5" s="41">
        <f>AVERAGEIFS($N$13:$N$9329,$AG$13:$AG$9329,I1)</f>
        <v>38.102053140224278</v>
      </c>
      <c r="N5" s="39">
        <f t="array" ref="N5">MIN(IF($AG$13:$AG$9329=I1,IF(ISNUMBER($N$13:$N$9329),IF($N$13:$N$9329&gt;0,$N$13:$N$9329))))</f>
        <v>35.100000001257285</v>
      </c>
      <c r="O5" s="3">
        <f t="array" ref="O5">MAX(IF($AG$13:$AG$9329=I1,IF(ISNUMBER($N$13:$N$9329),IF($N$13:$N$9329&gt;0,$N$13:$N$9329))))</f>
        <v>53.133333327714354</v>
      </c>
      <c r="P5" s="2"/>
      <c r="R5" s="74" t="s">
        <v>17</v>
      </c>
      <c r="S5" s="50">
        <f>COUNTIFS($N$13:$N$9329,"&gt;0",$AG$13:$AG$9329,R1)</f>
        <v>47</v>
      </c>
      <c r="T5" s="40"/>
      <c r="U5" s="185"/>
      <c r="V5" s="182">
        <f>AVERAGEIFS($N$13:$N$9329,$AG$13:$AG$9329,R1)</f>
        <v>14.82801418439386</v>
      </c>
      <c r="W5" s="183">
        <f t="array" ref="W5">MIN(IF($AG$13:$AG$9329=R1,IF(ISNUMBER($N$13:$N$9329),IF($N$13:$N$9329&gt;0,$N$13:$N$9329))))</f>
        <v>12.23333333269693</v>
      </c>
      <c r="X5" s="184">
        <f t="array" ref="X5">MAX(IF($AG$13:$AG$9329=R1,IF(ISNUMBER($N$13:$N$9329),IF($N$13:$N$9329&gt;0,$N$13:$N$9329))))</f>
        <v>19.433333339402452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COUNT($O$13:$O$103)</f>
        <v>0</v>
      </c>
      <c r="K6" s="40"/>
      <c r="L6" s="40"/>
      <c r="M6" s="41">
        <f>IFERROR(AVERAGE($O$13:$O$103),0)</f>
        <v>0</v>
      </c>
      <c r="N6" s="39">
        <f>MIN($O$13:$O$103)</f>
        <v>0</v>
      </c>
      <c r="O6" s="3">
        <f>MAX($O$13:$O$103)</f>
        <v>0</v>
      </c>
      <c r="P6" s="2"/>
      <c r="R6" s="75" t="s">
        <v>43</v>
      </c>
      <c r="S6" s="50">
        <f>COUNT($O$13:$O$103)</f>
        <v>0</v>
      </c>
      <c r="T6" s="40"/>
      <c r="U6" s="185"/>
      <c r="V6" s="182">
        <f>IFERROR(AVERAGE($O$13:$O$103),0)</f>
        <v>0</v>
      </c>
      <c r="W6" s="183">
        <f>MIN($O$13:$O$103)</f>
        <v>0</v>
      </c>
      <c r="X6" s="184">
        <f>MAX($O$13:$O$103)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COUNTIFS($P$13:$P$9329,"&gt;0",$AG$13:$AG$9329,I1)</f>
        <v>6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COUNTIFS($P$13:$P$9329,"&gt;0",$AG$13:$AG$9329,R1)</f>
        <v>0</v>
      </c>
      <c r="T7" s="40"/>
      <c r="U7" s="185"/>
      <c r="V7" s="182" t="s">
        <v>15</v>
      </c>
      <c r="W7" s="183" t="s">
        <v>15</v>
      </c>
      <c r="X7" s="184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138</v>
      </c>
      <c r="K8" s="40"/>
      <c r="L8" s="40"/>
      <c r="M8" s="41">
        <f>M5</f>
        <v>38.102053140224278</v>
      </c>
      <c r="N8" s="39">
        <f>N5</f>
        <v>35.100000001257285</v>
      </c>
      <c r="O8" s="3">
        <f>O5</f>
        <v>53.133333327714354</v>
      </c>
      <c r="P8" s="2"/>
      <c r="R8" s="74" t="s">
        <v>16</v>
      </c>
      <c r="S8" s="50">
        <f>S5</f>
        <v>47</v>
      </c>
      <c r="T8" s="40"/>
      <c r="U8" s="185"/>
      <c r="V8" s="182">
        <f>V5</f>
        <v>14.82801418439386</v>
      </c>
      <c r="W8" s="183">
        <f>W5</f>
        <v>12.23333333269693</v>
      </c>
      <c r="X8" s="184">
        <f>X5</f>
        <v>19.433333339402452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0.95833333333333337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74"/>
      <c r="V9" s="186"/>
      <c r="W9" s="174"/>
      <c r="X9" s="187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76"/>
      <c r="V10" s="188"/>
      <c r="W10" s="189"/>
      <c r="X10" s="189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172" t="str">
        <f>"Eagle P3 System Performance - "&amp;TEXT(Variables!A2,"yyyy-mm-dd")</f>
        <v>Eagle P3 System Performance - 2017-02-21</v>
      </c>
      <c r="B11" s="172"/>
      <c r="C11" s="172"/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S11" s="64">
        <f>AVERAGE(S13:S75)</f>
        <v>0.92486338797814205</v>
      </c>
      <c r="V11" s="188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90" t="s">
        <v>65</v>
      </c>
      <c r="V12" s="191" t="s">
        <v>45</v>
      </c>
      <c r="W12" s="192" t="s">
        <v>23</v>
      </c>
      <c r="X12" s="192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209</v>
      </c>
      <c r="AN12" s="47" t="s">
        <v>218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500</v>
      </c>
      <c r="B13" s="7">
        <v>4025</v>
      </c>
      <c r="C13" s="21" t="s">
        <v>359</v>
      </c>
      <c r="D13" s="21" t="s">
        <v>687</v>
      </c>
      <c r="E13" s="13">
        <v>42787.125844907408</v>
      </c>
      <c r="F13" s="13">
        <v>42787.135613425926</v>
      </c>
      <c r="G13" s="7">
        <v>2</v>
      </c>
      <c r="H13" s="21" t="s">
        <v>688</v>
      </c>
      <c r="I13" s="13">
        <v>42787.164178240739</v>
      </c>
      <c r="J13" s="7">
        <v>0</v>
      </c>
      <c r="K13" s="98" t="str">
        <f t="shared" ref="K13:K76" si="0">IF(ISEVEN(B13),(B13-1)&amp;"/"&amp;B13,B13&amp;"/"&amp;(B13+1))</f>
        <v>4025/4026</v>
      </c>
      <c r="L13" s="21" t="str">
        <f>VLOOKUP(A13,'Trips&amp;Operators'!$C$1:$G$99999,5,FALSE)</f>
        <v>SANTIZO D. EDY</v>
      </c>
      <c r="M13" s="6">
        <f t="shared" ref="M13:M76" si="1">I13-F13</f>
        <v>2.8564814812853001E-2</v>
      </c>
      <c r="N13" s="7">
        <f>24*60*SUM($M13:$M13)</f>
        <v>41.133333330508322</v>
      </c>
      <c r="O13" s="7"/>
      <c r="P13" s="7"/>
      <c r="Q13" s="22"/>
      <c r="R13" s="22"/>
      <c r="S13" s="31">
        <f t="shared" ref="S13:S46" si="2">SUM(U13:U13)/IF(AG13="EC",12,1)</f>
        <v>1</v>
      </c>
      <c r="T13" s="46" t="str">
        <f t="shared" ref="T13:T76" si="3">IF(ISEVEN(LEFT(AD13,4)),"Southbound","NorthBound")</f>
        <v>NorthBound</v>
      </c>
      <c r="U13" s="193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4" t="str">
        <f t="shared" ref="V13:V76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-02-21T02:01:13-0700',mode:absolute,to:'2017-02-21T04:56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" s="195" t="str">
        <f t="shared" ref="W13:W76" si="5">IF(AA13&lt;IF(AG13="EC",23,5.65),"Y","N")</f>
        <v>N</v>
      </c>
      <c r="X13" s="195" t="e">
        <f t="shared" ref="X13:X44" si="6">VALUE(LEFT(AD13,4))-VALUE(LEFT(AD12,4))</f>
        <v>#VALUE!</v>
      </c>
      <c r="Y13" s="62">
        <f>RIGHT(D13,LEN(D13)-4)/10000</f>
        <v>6.8099999999999994E-2</v>
      </c>
      <c r="Z13" s="62">
        <f>RIGHT(H13,LEN(H13)-4)/10000</f>
        <v>23.333600000000001</v>
      </c>
      <c r="AA13" s="62">
        <f t="shared" ref="AA13:AA76" si="7">ABS(Z13-Y13)</f>
        <v>23.265499999999999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8">IF(LEN(A13)=6,"0"&amp;A13,A13)</f>
        <v>0101-21</v>
      </c>
      <c r="AE13" s="85" t="str">
        <f t="shared" ref="AE13:AE76" si="9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s3://rtdc.mdm.uploadarchive.raw/RTDC4025/ "%USERPROFILE%\AppData\Local\Temp\OnboardLogs"\RTDC4025\2017-02-21 --exclude "*" --recursive --include "*20170221*" &amp; "%USERPROFILE%\Documents\GitHub\mrs-test-scripts\Headless Mode &amp; Sideloading\WalkAndUnGZ.bat" "%USERPROFILE%\AppData\Local\Temp\OnboardLogs"\RTDC4025\2017-02-21 &amp; aws s3 cp s3://rtdc.mdm.uploadarchive.raw/RTDC4025/ "%USERPROFILE%\AppData\Local\Temp\OnboardLogs"\RTDC4025\2017-02-22 --exclude "*" --recursive --include "*20170222*" &amp; "%USERPROFILE%\Documents\GitHub\mrs-test-scripts\Headless Mode &amp; Sideloading\WalkAndUnGZ.bat" "%USERPROFILE%\AppData\Local\Temp\OnboardLogs"\RTDC4025\2017-02-22</v>
      </c>
      <c r="AF13" s="82" t="str">
        <f t="shared" ref="AF13:AF76" si="10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/stypes="app*4025*20170221*" /stext=" 10:.+((SYSTEM_STATE.+slice.+state.+changed )|(ment ac)|(multiple cpu faults)|(system.+state.+changed )|(\[timeout)|(PRM\|1\|D)|(kpr)|(kdp)|(\|lc)|(penalty))" /e /r /s</v>
      </c>
      <c r="AG13" s="1" t="str">
        <f t="shared" ref="AG13:AG76" si="11">IFERROR(IF(VALUE(LEFT(AD13,2))&lt;=2,"EC",IF(OR(VALUE(LEFT(AD13,2))=8,VALUE(LEFT(AD13,2))=18),"NW","Other")),"Other")</f>
        <v>EC</v>
      </c>
      <c r="AH13" s="86" t="str">
        <f t="shared" ref="AH13" si="12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101-21 --locoid 4025 --swversion DE.1.0.9.0 --startMP 204:681 --initTime 2017-02-21T03:01:13 --startdatetime 2017-02-21T03:15:17 --delay 2 --endMP 204:233336 --enddatetime 2017-02-21T03:56:25 --enforcementcount 0 &gt;&gt;C:\Users\stu\Documents\GitHub\eaglep3-reporting\EC\2017-02-21-refined-times.txt</v>
      </c>
      <c r="AI13" s="108" t="str">
        <f t="shared" ref="AI13" si="13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{"issue":{"subject":"","project_id":79,"tracker_id":40,"status_id":1,"priority_id":2,"assigned_to_id":23,"start_date":"2017-02-21","description":"","custom_fields":[{"id":1,"name":"Subdivision","value":"EC"},{"id":4,"name":"Milepost","value":"23.3336"},{"id":17,"name":"Train ID","value":"101-21"},{"id":16,"name":"Locomotive ID","value":"4025"},{"id":130,"name":"Impact","value":""},{"id":150,"name":"Time of Event (Mountain Time)","value":"03:56:25"},{"id":151,"name":"Denver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4">"start /low /b "&amp;dls3logs&amp;" --loco "&amp;B13&amp;" --day "&amp;TEXT(F13,"YYYY-MM-DD")</f>
        <v>start /low /b %USERPROFILE%\Documents\GitHub\eaglep3\Utilities\DownloadLogsFromS3.py --loco 4025 --day 2017-02-21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"%USERPROFILE%\AppData\Local\Temp\OnboardLogs"\RTDC4025\*4025*20170221* | grep -SE "(Enforcement Action)|(\[TIMEOUT)|(CHR.+\|PRM\|1\|D.+(SWITCH|SIGNAL).+UNKNOWN)" - &gt;&gt; 2017-02-21-UncaughtWiMAX.txt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506</v>
      </c>
      <c r="B14" s="7">
        <v>4005</v>
      </c>
      <c r="C14" s="21" t="s">
        <v>359</v>
      </c>
      <c r="D14" s="21" t="s">
        <v>687</v>
      </c>
      <c r="E14" s="13">
        <v>42787.125844907408</v>
      </c>
      <c r="F14" s="13">
        <v>42787.172766203701</v>
      </c>
      <c r="G14" s="7">
        <v>2</v>
      </c>
      <c r="H14" s="21" t="s">
        <v>688</v>
      </c>
      <c r="I14" s="13">
        <v>42787.173807870371</v>
      </c>
      <c r="J14" s="7">
        <v>0</v>
      </c>
      <c r="K14" s="98" t="str">
        <f t="shared" si="0"/>
        <v>4005/4006</v>
      </c>
      <c r="L14" s="21" t="str">
        <f>VLOOKUP(A14,'Trips&amp;Operators'!$C$1:$G$99999,5,FALSE)</f>
        <v>SANTIZO D. EDY</v>
      </c>
      <c r="M14" s="6">
        <f t="shared" si="1"/>
        <v>1.0416666700621136E-3</v>
      </c>
      <c r="N14" s="7"/>
      <c r="O14" s="7"/>
      <c r="P14" s="7">
        <v>1</v>
      </c>
      <c r="Q14" s="22"/>
      <c r="R14" s="22" t="s">
        <v>452</v>
      </c>
      <c r="S14" s="31">
        <f t="shared" si="2"/>
        <v>0</v>
      </c>
      <c r="T14" s="46" t="str">
        <f t="shared" si="3"/>
        <v>Southbound</v>
      </c>
      <c r="U14" s="193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0</v>
      </c>
      <c r="V14" s="194" t="str">
        <f t="shared" si="4"/>
        <v>https://d0f6bd738d7f1b3e5a7ca70fe4ff75f0.us-east-1.aws.found.io/app/kibana#/discover/Steve-Slow-Train-Analysis-(2080s-and-2083s)?_g=(refreshInterval:(display:Off,pause:!f,section:0,value:0),time:(from:'2017-02-21T02:01:13-0700',mode:absolute,to:'2017-02-21T05:10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" s="195" t="str">
        <f t="shared" si="5"/>
        <v>Y</v>
      </c>
      <c r="X14" s="195">
        <f t="shared" si="6"/>
        <v>1</v>
      </c>
      <c r="Y14" s="62">
        <v>0</v>
      </c>
      <c r="Z14" s="62">
        <v>0</v>
      </c>
      <c r="AA14" s="62">
        <f t="shared" si="7"/>
        <v>0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8"/>
        <v>0102-21</v>
      </c>
      <c r="AE14" s="85" t="str">
        <f t="shared" si="9"/>
        <v>aws s3 cp s3://rtdc.mdm.uploadarchive.raw/RTDC4005/ "%USERPROFILE%\AppData\Local\Temp\OnboardLogs"\RTDC4005\2017-02-21 --exclude "*" --recursive --include "*20170221*" &amp; "%USERPROFILE%\Documents\GitHub\mrs-test-scripts\Headless Mode &amp; Sideloading\WalkAndUnGZ.bat" "%USERPROFILE%\AppData\Local\Temp\OnboardLogs"\RTDC4005\2017-02-21 &amp; aws s3 cp s3://rtdc.mdm.uploadarchive.raw/RTDC4005/ "%USERPROFILE%\AppData\Local\Temp\OnboardLogs"\RTDC4005\2017-02-22 --exclude "*" --recursive --include "*20170222*" &amp; "%USERPROFILE%\Documents\GitHub\mrs-test-scripts\Headless Mode &amp; Sideloading\WalkAndUnGZ.bat" "%USERPROFILE%\AppData\Local\Temp\OnboardLogs"\RTDC4005\2017-02-22</v>
      </c>
      <c r="AF14" s="82" t="str">
        <f t="shared" si="10"/>
        <v>"C:\Program Files (x86)\AstroGrep\AstroGrep.exe" /spath="%USERPROFILE%\AppData\Local\Temp\OnboardLogs" /stypes="app*4005*20170221*" /stext=" 11:.+((SYSTEM_STATE.+slice.+state.+changed )|(ment ac)|(multiple cpu faults)|(system.+state.+changed )|(\[timeout)|(PRM\|1\|D)|(kpr)|(kdp)|(\|lc)|(penalty))" /e /r /s</v>
      </c>
      <c r="AG14" s="1" t="str">
        <f t="shared" si="11"/>
        <v>EC</v>
      </c>
      <c r="AH14" s="86" t="str">
        <f t="shared" ref="AH14" si="1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102-21 --locoid 4005 --swversion DE.1.0.9.0 --startMP 204:681 --initTime 2017-02-21T03:01:13 --startdatetime 2017-02-21T04:08:47 --delay 2 --endMP 204:233336 --enddatetime 2017-02-21T04:10:17 --enforcementcount 0 &gt;&gt;C:\Users\stu\Documents\GitHub\eaglep3-reporting\EC\2017-02-21-refined-times.txt</v>
      </c>
      <c r="AI14" s="108" t="str">
        <f t="shared" ref="AI14" si="1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init","project_id":79,"tracker_id":40,"status_id":1,"priority_id":2,"assigned_to_id":23,"start_date":"2017-02-21","description":"","custom_fields":[{"id":1,"name":"Subdivision","value":"EC"},{"id":4,"name":"Milepost","value":"0"},{"id":17,"name":"Train ID","value":"102-21"},{"id":16,"name":"Locomotive ID","value":"4005"},{"id":130,"name":"Impact","value":""},{"id":150,"name":"Time of Event (Mountain Time)","value":"04:10:17"},{"id":151,"name":"Denver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" si="17">"start /low /b "&amp;dls3logs&amp;" --loco "&amp;B14&amp;" --day "&amp;TEXT(F14,"YYYY-MM-DD")</f>
        <v>start /low /b %USERPROFILE%\Documents\GitHub\eaglep3\Utilities\DownloadLogsFromS3.py --loco 4005 --day 2017-02-21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"%USERPROFILE%\AppData\Local\Temp\OnboardLogs"\RTDC4005\*4005*20170221* | grep -SE "(Enforcement Action)|(\[TIMEOUT)|(CHR.+\|PRM\|1\|D.+(SWITCH|SIGNAL).+UNKNOWN)" - &gt;&gt; 2017-02-21-UncaughtWiMAX.txt</v>
      </c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</row>
    <row r="15" spans="1:91" s="1" customFormat="1" x14ac:dyDescent="0.25">
      <c r="A15" s="33" t="s">
        <v>502</v>
      </c>
      <c r="B15" s="7">
        <v>4007</v>
      </c>
      <c r="C15" s="21" t="s">
        <v>359</v>
      </c>
      <c r="D15" s="21" t="s">
        <v>689</v>
      </c>
      <c r="E15" s="13">
        <v>42787.156134259261</v>
      </c>
      <c r="F15" s="13">
        <v>42787.158032407409</v>
      </c>
      <c r="G15" s="7">
        <v>1</v>
      </c>
      <c r="H15" s="21" t="s">
        <v>690</v>
      </c>
      <c r="I15" s="13">
        <v>42787.182974537034</v>
      </c>
      <c r="J15" s="7">
        <v>0</v>
      </c>
      <c r="K15" s="98" t="str">
        <f t="shared" si="0"/>
        <v>4007/4008</v>
      </c>
      <c r="L15" s="21" t="str">
        <f>VLOOKUP(A15,'Trips&amp;Operators'!$C$1:$G$99999,5,FALSE)</f>
        <v>MAELZER KURT</v>
      </c>
      <c r="M15" s="6">
        <f t="shared" si="1"/>
        <v>2.4942129624832887E-2</v>
      </c>
      <c r="N15" s="7">
        <f>24*60*SUM($M15:$M15)</f>
        <v>35.916666659759358</v>
      </c>
      <c r="O15" s="7"/>
      <c r="P15" s="7"/>
      <c r="Q15" s="22"/>
      <c r="R15" s="22"/>
      <c r="S15" s="31">
        <f t="shared" si="2"/>
        <v>1</v>
      </c>
      <c r="T15" s="46" t="str">
        <f t="shared" si="3"/>
        <v>NorthBound</v>
      </c>
      <c r="U15" s="193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4" t="str">
        <f t="shared" si="4"/>
        <v>https://d0f6bd738d7f1b3e5a7ca70fe4ff75f0.us-east-1.aws.found.io/app/kibana#/discover/Steve-Slow-Train-Analysis-(2080s-and-2083s)?_g=(refreshInterval:(display:Off,pause:!f,section:0,value:0),time:(from:'2017-02-21T02:44:50-0700',mode:absolute,to:'2017-02-21T05:23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" s="195" t="str">
        <f t="shared" si="5"/>
        <v>N</v>
      </c>
      <c r="X15" s="195">
        <f t="shared" si="6"/>
        <v>1</v>
      </c>
      <c r="Y15" s="62">
        <f t="shared" ref="Y15:Y78" si="18">RIGHT(D15,LEN(D15)-4)/10000</f>
        <v>7.7200000000000005E-2</v>
      </c>
      <c r="Z15" s="62">
        <f t="shared" ref="Z15:Z78" si="19">RIGHT(H15,LEN(H15)-4)/10000</f>
        <v>23.337599999999998</v>
      </c>
      <c r="AA15" s="62">
        <f t="shared" si="7"/>
        <v>23.260399999999997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8"/>
        <v>0103-21</v>
      </c>
      <c r="AE15" s="85" t="str">
        <f t="shared" si="9"/>
        <v>aws s3 cp s3://rtdc.mdm.uploadarchive.raw/RTDC4007/ "%USERPROFILE%\AppData\Local\Temp\OnboardLogs"\RTDC4007\2017-02-21 --exclude "*" --recursive --include "*20170221*" &amp; "%USERPROFILE%\Documents\GitHub\mrs-test-scripts\Headless Mode &amp; Sideloading\WalkAndUnGZ.bat" "%USERPROFILE%\AppData\Local\Temp\OnboardLogs"\RTDC4007\2017-02-21 &amp; aws s3 cp s3://rtdc.mdm.uploadarchive.raw/RTDC4007/ "%USERPROFILE%\AppData\Local\Temp\OnboardLogs"\RTDC4007\2017-02-22 --exclude "*" --recursive --include "*20170222*" &amp; "%USERPROFILE%\Documents\GitHub\mrs-test-scripts\Headless Mode &amp; Sideloading\WalkAndUnGZ.bat" "%USERPROFILE%\AppData\Local\Temp\OnboardLogs"\RTDC4007\2017-02-22</v>
      </c>
      <c r="AF15" s="82" t="str">
        <f t="shared" si="10"/>
        <v>"C:\Program Files (x86)\AstroGrep\AstroGrep.exe" /spath="%USERPROFILE%\AppData\Local\Temp\OnboardLogs" /stypes="app*4007*20170221*" /stext=" 11:.+((SYSTEM_STATE.+slice.+state.+changed )|(ment ac)|(multiple cpu faults)|(system.+state.+changed )|(\[timeout)|(PRM\|1\|D)|(kpr)|(kdp)|(\|lc)|(penalty))" /e /r /s</v>
      </c>
      <c r="AG15" s="1" t="str">
        <f t="shared" si="11"/>
        <v>EC</v>
      </c>
      <c r="AH15" s="86" t="str">
        <f t="shared" ref="AH15:AH79" si="20">refinertdcruntimes&amp;" --tripid "&amp;A15&amp;" --locoid "&amp;B15&amp;" --swversion "&amp;C15&amp;" --startMP "&amp;D15&amp;" --initTime "&amp;TEXT(E15,"yyyy-mm-ddTHH:MM:SS")&amp;" --startdatetime "&amp;TEXT(F15,"yyyy-mm-ddTHH:MM:SS")&amp;" --delay "&amp;G15&amp;" --endMP "&amp;H15&amp;" --enddatetime "&amp;TEXT(I15,"yyyy-mm-ddTHH:MM:SS")&amp;" --enforcementcount "&amp;J15&amp;IF(outputrefinedruntimes," &gt;&gt;"&amp;RefinedRTDCRunTimesOutputFile,"")</f>
        <v>"%USERPROFILE%\Documents\GitHub\eaglep3\Utilities\RefineRTDCRunTimes.py" --tripid 103-21 --locoid 4007 --swversion DE.1.0.9.0 --startMP 204:772 --initTime 2017-02-21T03:44:50 --startdatetime 2017-02-21T03:47:34 --delay 1 --endMP 204:233376 --enddatetime 2017-02-21T04:23:29 --enforcementcount 0 &gt;&gt;C:\Users\stu\Documents\GitHub\eaglep3-reporting\EC\2017-02-21-refined-times.txt</v>
      </c>
      <c r="AI15" s="108" t="str">
        <f t="shared" ref="AI15:AI79" si="21">"echo {""issue"":{""subject"":"""&amp;R15&amp;""",""project_id"":79,""tracker_id"":40,""status_id"":"&amp;redmine_status&amp;",""priority_id"":"&amp;redmine_priority&amp;",""assigned_to_id"":"&amp;redmine_assignee&amp;",""start_date"":"""&amp;TEXT(I15,"YYYY-mm-dd")&amp;""",""description"":"""&amp;AJ15&amp;""",""custom_fields"":[{""id"":1,""name"":""Subdivision"",""value"":"""&amp;AG15&amp;"""},{""id"":4,""name"":""Milepost"",""value"":"""&amp;Z15&amp;"""},{""id"":17,""name"":""Train ID"",""value"":"""&amp;A15&amp;"""},{""id"":16,""name"":""Locomotive ID"",""value"":"""&amp;B15&amp;"""},{""id"":130,""name"":""Impact"",""value"":"""&amp;AK15&amp;"""},{""id"":150,""name"":""Time of Event (Mountain Time)"",""value"":"""&amp;TEXT(I15,"hh:mm:ss")&amp;"""},{""id"":151,""name"":""Denver Issue ID"",""value"":"""&amp;"""},{""id"":178,""name"":""Operational Impact"",""value"":"""&amp;redmine_op_impact&amp;"""},{""id"":179,""name"":""Denver Segment Assigned"",""value"":"""&amp;AL15&amp;"""}]}}"&amp;"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{"issue":{"subject":"","project_id":79,"tracker_id":40,"status_id":1,"priority_id":2,"assigned_to_id":23,"start_date":"2017-02-21","description":"","custom_fields":[{"id":1,"name":"Subdivision","value":"EC"},{"id":4,"name":"Milepost","value":"23.3376"},{"id":17,"name":"Train ID","value":"103-21"},{"id":16,"name":"Locomotive ID","value":"4007"},{"id":130,"name":"Impact","value":""},{"id":150,"name":"Time of Event (Mountain Time)","value":"04:23:29"},{"id":151,"name":"Denver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ref="AM15:AM79" si="22">"start /low /b "&amp;dls3logs&amp;" --loco "&amp;B15&amp;" --day "&amp;TEXT(F15,"YYYY-MM-DD")</f>
        <v>start /low /b %USERPROFILE%\Documents\GitHub\eaglep3\Utilities\DownloadLogsFromS3.py --loco 4007 --day 2017-02-21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"%USERPROFILE%\AppData\Local\Temp\OnboardLogs"\RTDC4007\*4007*20170221* | grep -SE "(Enforcement Action)|(\[TIMEOUT)|(CHR.+\|PRM\|1\|D.+(SWITCH|SIGNAL).+UNKNOWN)" - &gt;&gt; 2017-02-21-UncaughtWiMAX.txt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458</v>
      </c>
      <c r="B16" s="7">
        <v>4052</v>
      </c>
      <c r="C16" s="21" t="s">
        <v>359</v>
      </c>
      <c r="D16" s="21" t="s">
        <v>691</v>
      </c>
      <c r="E16" s="13">
        <v>42787.187534722223</v>
      </c>
      <c r="F16" s="13">
        <v>42787.195428240739</v>
      </c>
      <c r="G16" s="7">
        <v>1</v>
      </c>
      <c r="H16" s="21" t="s">
        <v>692</v>
      </c>
      <c r="I16" s="13">
        <v>42787.222534722219</v>
      </c>
      <c r="J16" s="7">
        <v>0</v>
      </c>
      <c r="K16" s="98" t="str">
        <f t="shared" si="0"/>
        <v>4051/4052</v>
      </c>
      <c r="L16" s="21" t="str">
        <f>VLOOKUP(A16,'Trips&amp;Operators'!$C$1:$G$99999,5,FALSE)</f>
        <v>MAELZER KURT</v>
      </c>
      <c r="M16" s="6">
        <f t="shared" si="1"/>
        <v>2.7106481480586808E-2</v>
      </c>
      <c r="N16" s="7">
        <f>24*60*SUM($M16:$M16)</f>
        <v>39.033333332045004</v>
      </c>
      <c r="O16" s="7"/>
      <c r="P16" s="7"/>
      <c r="Q16" s="22"/>
      <c r="R16" s="22"/>
      <c r="S16" s="31">
        <f t="shared" si="2"/>
        <v>1</v>
      </c>
      <c r="T16" s="46" t="str">
        <f t="shared" si="3"/>
        <v>Southbound</v>
      </c>
      <c r="U16" s="193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4" t="str">
        <f t="shared" si="4"/>
        <v>https://d0f6bd738d7f1b3e5a7ca70fe4ff75f0.us-east-1.aws.found.io/app/kibana#/discover/Steve-Slow-Train-Analysis-(2080s-and-2083s)?_g=(refreshInterval:(display:Off,pause:!f,section:0,value:0),time:(from:'2017-02-21T03:30:03-0700',mode:absolute,to:'2017-02-21T06:20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" s="195" t="str">
        <f t="shared" si="5"/>
        <v>N</v>
      </c>
      <c r="X16" s="195">
        <f t="shared" si="6"/>
        <v>1</v>
      </c>
      <c r="Y16" s="62">
        <f t="shared" si="18"/>
        <v>23.273599999999998</v>
      </c>
      <c r="Z16" s="62">
        <f t="shared" si="19"/>
        <v>1.1900000000000001E-2</v>
      </c>
      <c r="AA16" s="62">
        <f t="shared" si="7"/>
        <v>23.261699999999998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8"/>
        <v>0104-21</v>
      </c>
      <c r="AE16" s="85" t="str">
        <f t="shared" si="9"/>
        <v>aws s3 cp s3://rtdc.mdm.uploadarchive.raw/RTDC4052/ "%USERPROFILE%\AppData\Local\Temp\OnboardLogs"\RTDC4052\2017-02-21 --exclude "*" --recursive --include "*20170221*" &amp; "%USERPROFILE%\Documents\GitHub\mrs-test-scripts\Headless Mode &amp; Sideloading\WalkAndUnGZ.bat" "%USERPROFILE%\AppData\Local\Temp\OnboardLogs"\RTDC4052\2017-02-21 &amp; aws s3 cp s3://rtdc.mdm.uploadarchive.raw/RTDC4052/ "%USERPROFILE%\AppData\Local\Temp\OnboardLogs"\RTDC4052\2017-02-22 --exclude "*" --recursive --include "*20170222*" &amp; "%USERPROFILE%\Documents\GitHub\mrs-test-scripts\Headless Mode &amp; Sideloading\WalkAndUnGZ.bat" "%USERPROFILE%\AppData\Local\Temp\OnboardLogs"\RTDC4052\2017-02-22</v>
      </c>
      <c r="AF16" s="82" t="str">
        <f t="shared" si="10"/>
        <v>"C:\Program Files (x86)\AstroGrep\AstroGrep.exe" /spath="%USERPROFILE%\AppData\Local\Temp\OnboardLogs" /stypes="app*4052*20170221*" /stext=" 12:.+((SYSTEM_STATE.+slice.+state.+changed )|(ment ac)|(multiple cpu faults)|(system.+state.+changed )|(\[timeout)|(PRM\|1\|D)|(kpr)|(kdp)|(\|lc)|(penalty))" /e /r /s</v>
      </c>
      <c r="AG16" s="1" t="str">
        <f t="shared" si="11"/>
        <v>EC</v>
      </c>
      <c r="AH16" s="86" t="str">
        <f t="shared" si="20"/>
        <v>"%USERPROFILE%\Documents\GitHub\eaglep3\Utilities\RefineRTDCRunTimes.py" --tripid 104-21 --locoid 4052 --swversion DE.1.0.9.0 --startMP 204:232736 --initTime 2017-02-21T04:30:03 --startdatetime 2017-02-21T04:41:25 --delay 1 --endMP 204:119 --enddatetime 2017-02-21T05:20:27 --enforcementcount 0 &gt;&gt;C:\Users\stu\Documents\GitHub\eaglep3-reporting\EC\2017-02-21-refined-times.txt</v>
      </c>
      <c r="AI16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{"issue":{"subject":"","project_id":79,"tracker_id":40,"status_id":1,"priority_id":2,"assigned_to_id":23,"start_date":"2017-02-21","description":"","custom_fields":[{"id":1,"name":"Subdivision","value":"EC"},{"id":4,"name":"Milepost","value":"0.0119"},{"id":17,"name":"Train ID","value":"104-21"},{"id":16,"name":"Locomotive ID","value":"4052"},{"id":130,"name":"Impact","value":""},{"id":150,"name":"Time of Event (Mountain Time)","value":"05:20:27"},{"id":151,"name":"Denver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22"/>
        <v>start /low /b %USERPROFILE%\Documents\GitHub\eaglep3\Utilities\DownloadLogsFromS3.py --loco 4052 --day 2017-02-21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"%USERPROFILE%\AppData\Local\Temp\OnboardLogs"\RTDC4052\*4052*20170221* | grep -SE "(Enforcement Action)|(\[TIMEOUT)|(CHR.+\|PRM\|1\|D.+(SWITCH|SIGNAL).+UNKNOWN)" - &gt;&gt; 2017-02-21-UncaughtWiMAX.txt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508</v>
      </c>
      <c r="B17" s="7">
        <v>4018</v>
      </c>
      <c r="C17" s="21" t="s">
        <v>359</v>
      </c>
      <c r="D17" s="21" t="s">
        <v>693</v>
      </c>
      <c r="E17" s="13">
        <v>42787.174895833334</v>
      </c>
      <c r="F17" s="13">
        <v>42787.177291666667</v>
      </c>
      <c r="G17" s="7">
        <v>1</v>
      </c>
      <c r="H17" s="21" t="s">
        <v>694</v>
      </c>
      <c r="I17" s="13">
        <v>42787.203032407408</v>
      </c>
      <c r="J17" s="7">
        <v>0</v>
      </c>
      <c r="K17" s="98" t="str">
        <f t="shared" si="0"/>
        <v>4017/4018</v>
      </c>
      <c r="L17" s="21" t="str">
        <f>VLOOKUP(A17,'Trips&amp;Operators'!$C$1:$G$99999,5,FALSE)</f>
        <v>STARKS ANGELINA</v>
      </c>
      <c r="M17" s="6">
        <f t="shared" si="1"/>
        <v>2.5740740740729962E-2</v>
      </c>
      <c r="N17" s="7">
        <f>24*60*SUM($M17:$M17)</f>
        <v>37.066666666651145</v>
      </c>
      <c r="O17" s="7"/>
      <c r="P17" s="7"/>
      <c r="Q17" s="22"/>
      <c r="R17" s="22"/>
      <c r="S17" s="31">
        <f t="shared" si="2"/>
        <v>1</v>
      </c>
      <c r="T17" s="46" t="str">
        <f t="shared" si="3"/>
        <v>NorthBound</v>
      </c>
      <c r="U17" s="193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4" t="str">
        <f t="shared" si="4"/>
        <v>https://d0f6bd738d7f1b3e5a7ca70fe4ff75f0.us-east-1.aws.found.io/app/kibana#/discover/Steve-Slow-Train-Analysis-(2080s-and-2083s)?_g=(refreshInterval:(display:Off,pause:!f,section:0,value:0),time:(from:'2017-02-21T03:11:51-0700',mode:absolute,to:'2017-02-21T05:52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" s="195" t="str">
        <f t="shared" si="5"/>
        <v>N</v>
      </c>
      <c r="X17" s="195">
        <f t="shared" si="6"/>
        <v>1</v>
      </c>
      <c r="Y17" s="62">
        <f t="shared" si="18"/>
        <v>7.6300000000000007E-2</v>
      </c>
      <c r="Z17" s="62">
        <f t="shared" si="19"/>
        <v>23.329499999999999</v>
      </c>
      <c r="AA17" s="62">
        <f t="shared" si="7"/>
        <v>23.2532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8"/>
        <v>0105-21</v>
      </c>
      <c r="AE17" s="85" t="str">
        <f t="shared" si="9"/>
        <v>aws s3 cp s3://rtdc.mdm.uploadarchive.raw/RTDC4018/ "%USERPROFILE%\AppData\Local\Temp\OnboardLogs"\RTDC4018\2017-02-21 --exclude "*" --recursive --include "*20170221*" &amp; "%USERPROFILE%\Documents\GitHub\mrs-test-scripts\Headless Mode &amp; Sideloading\WalkAndUnGZ.bat" "%USERPROFILE%\AppData\Local\Temp\OnboardLogs"\RTDC4018\2017-02-21 &amp; aws s3 cp s3://rtdc.mdm.uploadarchive.raw/RTDC4018/ "%USERPROFILE%\AppData\Local\Temp\OnboardLogs"\RTDC4018\2017-02-22 --exclude "*" --recursive --include "*20170222*" &amp; "%USERPROFILE%\Documents\GitHub\mrs-test-scripts\Headless Mode &amp; Sideloading\WalkAndUnGZ.bat" "%USERPROFILE%\AppData\Local\Temp\OnboardLogs"\RTDC4018\2017-02-22</v>
      </c>
      <c r="AF17" s="82" t="str">
        <f t="shared" si="10"/>
        <v>"C:\Program Files (x86)\AstroGrep\AstroGrep.exe" /spath="%USERPROFILE%\AppData\Local\Temp\OnboardLogs" /stypes="app*4018*20170221*" /stext=" 11:.+((SYSTEM_STATE.+slice.+state.+changed )|(ment ac)|(multiple cpu faults)|(system.+state.+changed )|(\[timeout)|(PRM\|1\|D)|(kpr)|(kdp)|(\|lc)|(penalty))" /e /r /s</v>
      </c>
      <c r="AG17" s="1" t="str">
        <f t="shared" si="11"/>
        <v>EC</v>
      </c>
      <c r="AH17" s="86" t="str">
        <f t="shared" si="20"/>
        <v>"%USERPROFILE%\Documents\GitHub\eaglep3\Utilities\RefineRTDCRunTimes.py" --tripid 105-21 --locoid 4018 --swversion DE.1.0.9.0 --startMP 204:763 --initTime 2017-02-21T04:11:51 --startdatetime 2017-02-21T04:15:18 --delay 1 --endMP 204:233295 --enddatetime 2017-02-21T04:52:22 --enforcementcount 0 &gt;&gt;C:\Users\stu\Documents\GitHub\eaglep3-reporting\EC\2017-02-21-refined-times.txt</v>
      </c>
      <c r="AI17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{"issue":{"subject":"","project_id":79,"tracker_id":40,"status_id":1,"priority_id":2,"assigned_to_id":23,"start_date":"2017-02-21","description":"","custom_fields":[{"id":1,"name":"Subdivision","value":"EC"},{"id":4,"name":"Milepost","value":"23.3295"},{"id":17,"name":"Train ID","value":"105-21"},{"id":16,"name":"Locomotive ID","value":"4018"},{"id":130,"name":"Impact","value":""},{"id":150,"name":"Time of Event (Mountain Time)","value":"04:52:22"},{"id":151,"name":"Denver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22"/>
        <v>start /low /b %USERPROFILE%\Documents\GitHub\eaglep3\Utilities\DownloadLogsFromS3.py --loco 4018 --day 2017-02-21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"%USERPROFILE%\AppData\Local\Temp\OnboardLogs"\RTDC4018\*4018*20170221* | grep -SE "(Enforcement Action)|(\[TIMEOUT)|(CHR.+\|PRM\|1\|D.+(SWITCH|SIGNAL).+UNKNOWN)" - &gt;&gt; 2017-02-21-UncaughtWiMAX.txt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516</v>
      </c>
      <c r="B18" s="7">
        <v>4030</v>
      </c>
      <c r="C18" s="21" t="s">
        <v>359</v>
      </c>
      <c r="D18" s="21" t="s">
        <v>695</v>
      </c>
      <c r="E18" s="13">
        <v>42787.21329861111</v>
      </c>
      <c r="F18" s="13">
        <v>42787.216215277775</v>
      </c>
      <c r="G18" s="7">
        <v>1</v>
      </c>
      <c r="H18" s="21" t="s">
        <v>213</v>
      </c>
      <c r="I18" s="13">
        <v>42787.243807870371</v>
      </c>
      <c r="J18" s="7">
        <v>0</v>
      </c>
      <c r="K18" s="98" t="str">
        <f t="shared" si="0"/>
        <v>4029/4030</v>
      </c>
      <c r="L18" s="21" t="str">
        <f>VLOOKUP(A18,'Trips&amp;Operators'!$C$1:$G$99999,5,FALSE)</f>
        <v>STARKS ANGELINA</v>
      </c>
      <c r="M18" s="6">
        <f t="shared" si="1"/>
        <v>2.7592592596192844E-2</v>
      </c>
      <c r="N18" s="7">
        <f>24*60*SUM($M18:$M18)</f>
        <v>39.733333338517696</v>
      </c>
      <c r="O18" s="7"/>
      <c r="P18" s="7"/>
      <c r="Q18" s="22"/>
      <c r="R18" s="22"/>
      <c r="S18" s="31">
        <f t="shared" si="2"/>
        <v>1</v>
      </c>
      <c r="T18" s="46" t="str">
        <f t="shared" si="3"/>
        <v>Southbound</v>
      </c>
      <c r="U18" s="193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4" t="str">
        <f t="shared" si="4"/>
        <v>https://d0f6bd738d7f1b3e5a7ca70fe4ff75f0.us-east-1.aws.found.io/app/kibana#/discover/Steve-Slow-Train-Analysis-(2080s-and-2083s)?_g=(refreshInterval:(display:Off,pause:!f,section:0,value:0),time:(from:'2017-02-21T04:07:09-0700',mode:absolute,to:'2017-02-21T06:51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" s="195" t="str">
        <f t="shared" si="5"/>
        <v>N</v>
      </c>
      <c r="X18" s="195">
        <f t="shared" si="6"/>
        <v>1</v>
      </c>
      <c r="Y18" s="62">
        <f t="shared" si="18"/>
        <v>23.2652</v>
      </c>
      <c r="Z18" s="62">
        <f t="shared" si="19"/>
        <v>1.54E-2</v>
      </c>
      <c r="AA18" s="62">
        <f t="shared" si="7"/>
        <v>23.2498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8"/>
        <v>0106-21</v>
      </c>
      <c r="AE18" s="85" t="str">
        <f t="shared" si="9"/>
        <v>aws s3 cp s3://rtdc.mdm.uploadarchive.raw/RTDC4030/ "%USERPROFILE%\AppData\Local\Temp\OnboardLogs"\RTDC4030\2017-02-21 --exclude "*" --recursive --include "*20170221*" &amp; "%USERPROFILE%\Documents\GitHub\mrs-test-scripts\Headless Mode &amp; Sideloading\WalkAndUnGZ.bat" "%USERPROFILE%\AppData\Local\Temp\OnboardLogs"\RTDC4030\2017-02-21 &amp; aws s3 cp s3://rtdc.mdm.uploadarchive.raw/RTDC4030/ "%USERPROFILE%\AppData\Local\Temp\OnboardLogs"\RTDC4030\2017-02-22 --exclude "*" --recursive --include "*20170222*" &amp; "%USERPROFILE%\Documents\GitHub\mrs-test-scripts\Headless Mode &amp; Sideloading\WalkAndUnGZ.bat" "%USERPROFILE%\AppData\Local\Temp\OnboardLogs"\RTDC4030\2017-02-22</v>
      </c>
      <c r="AF18" s="82" t="str">
        <f t="shared" si="10"/>
        <v>"C:\Program Files (x86)\AstroGrep\AstroGrep.exe" /spath="%USERPROFILE%\AppData\Local\Temp\OnboardLogs" /stypes="app*4030*20170221*" /stext=" 12:.+((SYSTEM_STATE.+slice.+state.+changed )|(ment ac)|(multiple cpu faults)|(system.+state.+changed )|(\[timeout)|(PRM\|1\|D)|(kpr)|(kdp)|(\|lc)|(penalty))" /e /r /s</v>
      </c>
      <c r="AG18" s="1" t="str">
        <f t="shared" si="11"/>
        <v>EC</v>
      </c>
      <c r="AH18" s="86" t="str">
        <f t="shared" si="20"/>
        <v>"%USERPROFILE%\Documents\GitHub\eaglep3\Utilities\RefineRTDCRunTimes.py" --tripid 106-21 --locoid 4030 --swversion DE.1.0.9.0 --startMP 204:232652 --initTime 2017-02-21T05:07:09 --startdatetime 2017-02-21T05:11:21 --delay 1 --endMP 204:154 --enddatetime 2017-02-21T05:51:05 --enforcementcount 0 &gt;&gt;C:\Users\stu\Documents\GitHub\eaglep3-reporting\EC\2017-02-21-refined-times.txt</v>
      </c>
      <c r="AI18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{"issue":{"subject":"","project_id":79,"tracker_id":40,"status_id":1,"priority_id":2,"assigned_to_id":23,"start_date":"2017-02-21","description":"","custom_fields":[{"id":1,"name":"Subdivision","value":"EC"},{"id":4,"name":"Milepost","value":"0.0154"},{"id":17,"name":"Train ID","value":"106-21"},{"id":16,"name":"Locomotive ID","value":"4030"},{"id":130,"name":"Impact","value":""},{"id":150,"name":"Time of Event (Mountain Time)","value":"05:51:05"},{"id":151,"name":"Denver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22"/>
        <v>start /low /b %USERPROFILE%\Documents\GitHub\eaglep3\Utilities\DownloadLogsFromS3.py --loco 4030 --day 2017-02-21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"%USERPROFILE%\AppData\Local\Temp\OnboardLogs"\RTDC4030\*4030*20170221* | grep -SE "(Enforcement Action)|(\[TIMEOUT)|(CHR.+\|PRM\|1\|D.+(SWITCH|SIGNAL).+UNKNOWN)" - &gt;&gt; 2017-02-21-UncaughtWiMAX.txt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510</v>
      </c>
      <c r="B19" s="7">
        <v>4003</v>
      </c>
      <c r="C19" s="21" t="s">
        <v>359</v>
      </c>
      <c r="D19" s="21" t="s">
        <v>696</v>
      </c>
      <c r="E19" s="13">
        <v>42787.183136574073</v>
      </c>
      <c r="F19" s="13">
        <v>42787.187696759262</v>
      </c>
      <c r="G19" s="7">
        <v>1</v>
      </c>
      <c r="H19" s="21" t="s">
        <v>694</v>
      </c>
      <c r="I19" s="13">
        <v>42787.21429398148</v>
      </c>
      <c r="J19" s="7">
        <v>0</v>
      </c>
      <c r="K19" s="98" t="str">
        <f t="shared" si="0"/>
        <v>4003/4004</v>
      </c>
      <c r="L19" s="21" t="str">
        <f>VLOOKUP(A19,'Trips&amp;Operators'!$C$1:$G$99999,5,FALSE)</f>
        <v>BONDS REYNALDO</v>
      </c>
      <c r="M19" s="6">
        <f t="shared" si="1"/>
        <v>2.6597222218697425E-2</v>
      </c>
      <c r="N19" s="7">
        <f>24*60*SUM($M19:$M19)</f>
        <v>38.299999994924292</v>
      </c>
      <c r="O19" s="7"/>
      <c r="P19" s="7"/>
      <c r="Q19" s="22"/>
      <c r="R19" s="22"/>
      <c r="S19" s="31">
        <f t="shared" si="2"/>
        <v>1</v>
      </c>
      <c r="T19" s="46" t="str">
        <f t="shared" si="3"/>
        <v>NorthBound</v>
      </c>
      <c r="U19" s="193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4" t="str">
        <f t="shared" si="4"/>
        <v>https://d0f6bd738d7f1b3e5a7ca70fe4ff75f0.us-east-1.aws.found.io/app/kibana#/discover/Steve-Slow-Train-Analysis-(2080s-and-2083s)?_g=(refreshInterval:(display:Off,pause:!f,section:0,value:0),time:(from:'2017-02-21T03:23:43-0700',mode:absolute,to:'2017-02-21T06:08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" s="195" t="str">
        <f t="shared" si="5"/>
        <v>N</v>
      </c>
      <c r="X19" s="195">
        <f t="shared" si="6"/>
        <v>1</v>
      </c>
      <c r="Y19" s="62">
        <f t="shared" si="18"/>
        <v>4.4900000000000002E-2</v>
      </c>
      <c r="Z19" s="62">
        <f t="shared" si="19"/>
        <v>23.329499999999999</v>
      </c>
      <c r="AA19" s="62">
        <f t="shared" si="7"/>
        <v>23.284600000000001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8"/>
        <v>0107-21</v>
      </c>
      <c r="AE19" s="85" t="str">
        <f t="shared" si="9"/>
        <v>aws s3 cp s3://rtdc.mdm.uploadarchive.raw/RTDC4003/ "%USERPROFILE%\AppData\Local\Temp\OnboardLogs"\RTDC4003\2017-02-21 --exclude "*" --recursive --include "*20170221*" &amp; "%USERPROFILE%\Documents\GitHub\mrs-test-scripts\Headless Mode &amp; Sideloading\WalkAndUnGZ.bat" "%USERPROFILE%\AppData\Local\Temp\OnboardLogs"\RTDC4003\2017-02-21 &amp; aws s3 cp s3://rtdc.mdm.uploadarchive.raw/RTDC4003/ "%USERPROFILE%\AppData\Local\Temp\OnboardLogs"\RTDC4003\2017-02-22 --exclude "*" --recursive --include "*20170222*" &amp; "%USERPROFILE%\Documents\GitHub\mrs-test-scripts\Headless Mode &amp; Sideloading\WalkAndUnGZ.bat" "%USERPROFILE%\AppData\Local\Temp\OnboardLogs"\RTDC4003\2017-02-22</v>
      </c>
      <c r="AF19" s="82" t="str">
        <f t="shared" si="10"/>
        <v>"C:\Program Files (x86)\AstroGrep\AstroGrep.exe" /spath="%USERPROFILE%\AppData\Local\Temp\OnboardLogs" /stypes="app*4003*20170221*" /stext=" 12:.+((SYSTEM_STATE.+slice.+state.+changed )|(ment ac)|(multiple cpu faults)|(system.+state.+changed )|(\[timeout)|(PRM\|1\|D)|(kpr)|(kdp)|(\|lc)|(penalty))" /e /r /s</v>
      </c>
      <c r="AG19" s="1" t="str">
        <f t="shared" si="11"/>
        <v>EC</v>
      </c>
      <c r="AH19" s="86" t="str">
        <f t="shared" si="20"/>
        <v>"%USERPROFILE%\Documents\GitHub\eaglep3\Utilities\RefineRTDCRunTimes.py" --tripid 107-21 --locoid 4003 --swversion DE.1.0.9.0 --startMP 204:449 --initTime 2017-02-21T04:23:43 --startdatetime 2017-02-21T04:30:17 --delay 1 --endMP 204:233295 --enddatetime 2017-02-21T05:08:35 --enforcementcount 0 &gt;&gt;C:\Users\stu\Documents\GitHub\eaglep3-reporting\EC\2017-02-21-refined-times.txt</v>
      </c>
      <c r="AI19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{"issue":{"subject":"","project_id":79,"tracker_id":40,"status_id":1,"priority_id":2,"assigned_to_id":23,"start_date":"2017-02-21","description":"","custom_fields":[{"id":1,"name":"Subdivision","value":"EC"},{"id":4,"name":"Milepost","value":"23.3295"},{"id":17,"name":"Train ID","value":"107-21"},{"id":16,"name":"Locomotive ID","value":"4003"},{"id":130,"name":"Impact","value":""},{"id":150,"name":"Time of Event (Mountain Time)","value":"05:08:35"},{"id":151,"name":"Denver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22"/>
        <v>start /low /b %USERPROFILE%\Documents\GitHub\eaglep3\Utilities\DownloadLogsFromS3.py --loco 4003 --day 2017-02-21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"%USERPROFILE%\AppData\Local\Temp\OnboardLogs"\RTDC4003\*4003*20170221* | grep -SE "(Enforcement Action)|(\[TIMEOUT)|(CHR.+\|PRM\|1\|D.+(SWITCH|SIGNAL).+UNKNOWN)" - &gt;&gt; 2017-02-21-UncaughtWiMAX.txt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517</v>
      </c>
      <c r="B20" s="7">
        <v>4004</v>
      </c>
      <c r="C20" s="21" t="s">
        <v>359</v>
      </c>
      <c r="D20" s="21" t="s">
        <v>697</v>
      </c>
      <c r="E20" s="13">
        <v>42787.233912037038</v>
      </c>
      <c r="F20" s="13">
        <v>42787.234803240739</v>
      </c>
      <c r="G20" s="7">
        <v>0</v>
      </c>
      <c r="H20" s="21" t="s">
        <v>272</v>
      </c>
      <c r="I20" s="13">
        <v>42787.256192129629</v>
      </c>
      <c r="J20" s="7">
        <v>0</v>
      </c>
      <c r="K20" s="98" t="str">
        <f t="shared" si="0"/>
        <v>4003/4004</v>
      </c>
      <c r="L20" s="21" t="str">
        <f>VLOOKUP(A20,'Trips&amp;Operators'!$C$1:$G$99999,5,FALSE)</f>
        <v>BONDS REYNALDO</v>
      </c>
      <c r="M20" s="6">
        <f t="shared" si="1"/>
        <v>2.138888889021473E-2</v>
      </c>
      <c r="N20" s="7"/>
      <c r="O20" s="7"/>
      <c r="P20" s="7">
        <f>24*60*SUM($M20:$M20)</f>
        <v>30.800000001909211</v>
      </c>
      <c r="Q20" s="22"/>
      <c r="R20" s="22" t="s">
        <v>903</v>
      </c>
      <c r="S20" s="31">
        <f t="shared" si="2"/>
        <v>1</v>
      </c>
      <c r="T20" s="46" t="str">
        <f t="shared" si="3"/>
        <v>Southbound</v>
      </c>
      <c r="U20" s="193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4" t="str">
        <f t="shared" si="4"/>
        <v>https://d0f6bd738d7f1b3e5a7ca70fe4ff75f0.us-east-1.aws.found.io/app/kibana#/discover/Steve-Slow-Train-Analysis-(2080s-and-2083s)?_g=(refreshInterval:(display:Off,pause:!f,section:0,value:0),time:(from:'2017-02-21T04:36:50-0700',mode:absolute,to:'2017-02-21T07:08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" s="195" t="str">
        <f t="shared" si="5"/>
        <v>Y</v>
      </c>
      <c r="X20" s="195">
        <f t="shared" si="6"/>
        <v>1</v>
      </c>
      <c r="Y20" s="62">
        <f t="shared" si="18"/>
        <v>15.3996</v>
      </c>
      <c r="Z20" s="62">
        <f t="shared" si="19"/>
        <v>1.41E-2</v>
      </c>
      <c r="AA20" s="62">
        <f t="shared" si="7"/>
        <v>15.3855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8"/>
        <v>0108-21</v>
      </c>
      <c r="AE20" s="85" t="str">
        <f t="shared" si="9"/>
        <v>aws s3 cp s3://rtdc.mdm.uploadarchive.raw/RTDC4004/ "%USERPROFILE%\AppData\Local\Temp\OnboardLogs"\RTDC4004\2017-02-21 --exclude "*" --recursive --include "*20170221*" &amp; "%USERPROFILE%\Documents\GitHub\mrs-test-scripts\Headless Mode &amp; Sideloading\WalkAndUnGZ.bat" "%USERPROFILE%\AppData\Local\Temp\OnboardLogs"\RTDC4004\2017-02-21 &amp; aws s3 cp s3://rtdc.mdm.uploadarchive.raw/RTDC4004/ "%USERPROFILE%\AppData\Local\Temp\OnboardLogs"\RTDC4004\2017-02-22 --exclude "*" --recursive --include "*20170222*" &amp; "%USERPROFILE%\Documents\GitHub\mrs-test-scripts\Headless Mode &amp; Sideloading\WalkAndUnGZ.bat" "%USERPROFILE%\AppData\Local\Temp\OnboardLogs"\RTDC4004\2017-02-22</v>
      </c>
      <c r="AF20" s="82" t="str">
        <f t="shared" si="10"/>
        <v>"C:\Program Files (x86)\AstroGrep\AstroGrep.exe" /spath="%USERPROFILE%\AppData\Local\Temp\OnboardLogs" /stypes="app*4004*20170221*" /stext=" 13:.+((SYSTEM_STATE.+slice.+state.+changed )|(ment ac)|(multiple cpu faults)|(system.+state.+changed )|(\[timeout)|(PRM\|1\|D)|(kpr)|(kdp)|(\|lc)|(penalty))" /e /r /s</v>
      </c>
      <c r="AG20" s="1" t="str">
        <f t="shared" si="11"/>
        <v>EC</v>
      </c>
      <c r="AH20" s="86" t="str">
        <f t="shared" si="20"/>
        <v>"%USERPROFILE%\Documents\GitHub\eaglep3\Utilities\RefineRTDCRunTimes.py" --tripid 108-21 --locoid 4004 --swversion DE.1.0.9.0 --startMP 204:153996 --initTime 2017-02-21T05:36:50 --startdatetime 2017-02-21T05:38:07 --delay 0 --endMP 204:141 --enddatetime 2017-02-21T06:08:55 --enforcementcount 0 &gt;&gt;C:\Users\stu\Documents\GitHub\eaglep3-reporting\EC\2017-02-21-refined-times.txt</v>
      </c>
      <c r="AI20" s="108" t="str">
        <f t="shared" si="21"/>
        <v>echo {"issue":{"subject":"Selected wrong track (should have chosen Main 2)","project_id":79,"tracker_id":40,"status_id":1,"priority_id":2,"assigned_to_id":23,"start_date":"2017-02-21","description":"","custom_fields":[{"id":1,"name":"Subdivision","value":"EC"},{"id":4,"name":"Milepost","value":"0.0141"},{"id":17,"name":"Train ID","value":"108-21"},{"id":16,"name":"Locomotive ID","value":"4004"},{"id":130,"name":"Impact","value":""},{"id":150,"name":"Time of Event (Mountain Time)","value":"06:08:55"},{"id":151,"name":"Denver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22"/>
        <v>start /low /b %USERPROFILE%\Documents\GitHub\eaglep3\Utilities\DownloadLogsFromS3.py --loco 4004 --day 2017-02-21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"%USERPROFILE%\AppData\Local\Temp\OnboardLogs"\RTDC4004\*4004*20170221* | grep -SE "(Enforcement Action)|(\[TIMEOUT)|(CHR.+\|PRM\|1\|D.+(SWITCH|SIGNAL).+UNKNOWN)" - &gt;&gt; 2017-02-21-UncaughtWiMAX.txt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517</v>
      </c>
      <c r="B21" s="7">
        <v>4004</v>
      </c>
      <c r="C21" s="21" t="s">
        <v>359</v>
      </c>
      <c r="D21" s="21" t="s">
        <v>417</v>
      </c>
      <c r="E21" s="13">
        <v>42787.222199074073</v>
      </c>
      <c r="F21" s="13">
        <v>42787.234803240739</v>
      </c>
      <c r="G21" s="7">
        <v>1</v>
      </c>
      <c r="H21" s="21" t="s">
        <v>698</v>
      </c>
      <c r="I21" s="13">
        <v>42787.256192129629</v>
      </c>
      <c r="J21" s="7">
        <v>0</v>
      </c>
      <c r="K21" s="98" t="str">
        <f t="shared" si="0"/>
        <v>4003/4004</v>
      </c>
      <c r="L21" s="21" t="str">
        <f>VLOOKUP(A21,'Trips&amp;Operators'!$C$1:$G$99999,5,FALSE)</f>
        <v>BONDS REYNALDO</v>
      </c>
      <c r="M21" s="6">
        <f t="shared" si="1"/>
        <v>2.138888889021473E-2</v>
      </c>
      <c r="N21" s="7"/>
      <c r="O21" s="7"/>
      <c r="P21" s="7"/>
      <c r="Q21" s="22"/>
      <c r="R21" s="22"/>
      <c r="S21" s="31">
        <f t="shared" si="2"/>
        <v>0</v>
      </c>
      <c r="T21" s="46" t="str">
        <f t="shared" si="3"/>
        <v>Southbound</v>
      </c>
      <c r="U21" s="193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0</v>
      </c>
      <c r="V21" s="194" t="str">
        <f t="shared" si="4"/>
        <v>https://d0f6bd738d7f1b3e5a7ca70fe4ff75f0.us-east-1.aws.found.io/app/kibana#/discover/Steve-Slow-Train-Analysis-(2080s-and-2083s)?_g=(refreshInterval:(display:Off,pause:!f,section:0,value:0),time:(from:'2017-02-21T04:19:58-0700',mode:absolute,to:'2017-02-21T07:08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" s="195" t="str">
        <f t="shared" si="5"/>
        <v>Y</v>
      </c>
      <c r="X21" s="195">
        <f t="shared" si="6"/>
        <v>0</v>
      </c>
      <c r="Y21" s="62">
        <f t="shared" si="18"/>
        <v>23.296900000000001</v>
      </c>
      <c r="Z21" s="62">
        <f t="shared" si="19"/>
        <v>23.217600000000001</v>
      </c>
      <c r="AA21" s="62">
        <f t="shared" si="7"/>
        <v>7.9299999999999926E-2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8"/>
        <v>0108-21</v>
      </c>
      <c r="AE21" s="85" t="str">
        <f t="shared" si="9"/>
        <v>aws s3 cp s3://rtdc.mdm.uploadarchive.raw/RTDC4004/ "%USERPROFILE%\AppData\Local\Temp\OnboardLogs"\RTDC4004\2017-02-21 --exclude "*" --recursive --include "*20170221*" &amp; "%USERPROFILE%\Documents\GitHub\mrs-test-scripts\Headless Mode &amp; Sideloading\WalkAndUnGZ.bat" "%USERPROFILE%\AppData\Local\Temp\OnboardLogs"\RTDC4004\2017-02-21 &amp; aws s3 cp s3://rtdc.mdm.uploadarchive.raw/RTDC4004/ "%USERPROFILE%\AppData\Local\Temp\OnboardLogs"\RTDC4004\2017-02-22 --exclude "*" --recursive --include "*20170222*" &amp; "%USERPROFILE%\Documents\GitHub\mrs-test-scripts\Headless Mode &amp; Sideloading\WalkAndUnGZ.bat" "%USERPROFILE%\AppData\Local\Temp\OnboardLogs"\RTDC4004\2017-02-22</v>
      </c>
      <c r="AF21" s="82" t="str">
        <f t="shared" si="10"/>
        <v>"C:\Program Files (x86)\AstroGrep\AstroGrep.exe" /spath="%USERPROFILE%\AppData\Local\Temp\OnboardLogs" /stypes="app*4004*20170221*" /stext=" 13:.+((SYSTEM_STATE.+slice.+state.+changed )|(ment ac)|(multiple cpu faults)|(system.+state.+changed )|(\[timeout)|(PRM\|1\|D)|(kpr)|(kdp)|(\|lc)|(penalty))" /e /r /s</v>
      </c>
      <c r="AG21" s="1" t="str">
        <f t="shared" si="11"/>
        <v>EC</v>
      </c>
      <c r="AH21" s="86" t="str">
        <f t="shared" si="20"/>
        <v>"%USERPROFILE%\Documents\GitHub\eaglep3\Utilities\RefineRTDCRunTimes.py" --tripid 108-21 --locoid 4004 --swversion DE.1.0.9.0 --startMP 204:232969 --initTime 2017-02-21T05:19:58 --startdatetime 2017-02-21T05:38:07 --delay 1 --endMP 204:232176 --enddatetime 2017-02-21T06:08:55 --enforcementcount 0 &gt;&gt;C:\Users\stu\Documents\GitHub\eaglep3-reporting\EC\2017-02-21-refined-times.txt</v>
      </c>
      <c r="AI21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{"issue":{"subject":"","project_id":79,"tracker_id":40,"status_id":1,"priority_id":2,"assigned_to_id":23,"start_date":"2017-02-21","description":"","custom_fields":[{"id":1,"name":"Subdivision","value":"EC"},{"id":4,"name":"Milepost","value":"23.2176"},{"id":17,"name":"Train ID","value":"108-21"},{"id":16,"name":"Locomotive ID","value":"4004"},{"id":130,"name":"Impact","value":""},{"id":150,"name":"Time of Event (Mountain Time)","value":"06:08:55"},{"id":151,"name":"Denver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22"/>
        <v>start /low /b %USERPROFILE%\Documents\GitHub\eaglep3\Utilities\DownloadLogsFromS3.py --loco 4004 --day 2017-02-21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"%USERPROFILE%\AppData\Local\Temp\OnboardLogs"\RTDC4004\*4004*20170221* | grep -SE "(Enforcement Action)|(\[TIMEOUT)|(CHR.+\|PRM\|1\|D.+(SWITCH|SIGNAL).+UNKNOWN)" - &gt;&gt; 2017-02-21-UncaughtWiMAX.txt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457</v>
      </c>
      <c r="B22" s="7">
        <v>4027</v>
      </c>
      <c r="C22" s="21" t="s">
        <v>359</v>
      </c>
      <c r="D22" s="21" t="s">
        <v>699</v>
      </c>
      <c r="E22" s="13">
        <v>42787.190694444442</v>
      </c>
      <c r="F22" s="13">
        <v>42787.198159722226</v>
      </c>
      <c r="G22" s="7">
        <v>2</v>
      </c>
      <c r="H22" s="21" t="s">
        <v>700</v>
      </c>
      <c r="I22" s="13">
        <v>42787.22384259259</v>
      </c>
      <c r="J22" s="7">
        <v>0</v>
      </c>
      <c r="K22" s="98" t="str">
        <f t="shared" si="0"/>
        <v>4027/4028</v>
      </c>
      <c r="L22" s="21" t="str">
        <f>VLOOKUP(A22,'Trips&amp;Operators'!$C$1:$G$99999,5,FALSE)</f>
        <v>ACKERMAN JARED</v>
      </c>
      <c r="M22" s="6">
        <f t="shared" si="1"/>
        <v>2.5682870364107657E-2</v>
      </c>
      <c r="N22" s="7">
        <f t="shared" ref="N22:N46" si="23">24*60*SUM($M22:$M22)</f>
        <v>36.983333324315026</v>
      </c>
      <c r="O22" s="7"/>
      <c r="P22" s="7"/>
      <c r="Q22" s="22"/>
      <c r="R22" s="22"/>
      <c r="S22" s="31">
        <f t="shared" si="2"/>
        <v>1</v>
      </c>
      <c r="T22" s="46" t="str">
        <f t="shared" si="3"/>
        <v>NorthBound</v>
      </c>
      <c r="U22" s="193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4" t="str">
        <f t="shared" si="4"/>
        <v>https://d0f6bd738d7f1b3e5a7ca70fe4ff75f0.us-east-1.aws.found.io/app/kibana#/discover/Steve-Slow-Train-Analysis-(2080s-and-2083s)?_g=(refreshInterval:(display:Off,pause:!f,section:0,value:0),time:(from:'2017-02-21T03:34:36-0700',mode:absolute,to:'2017-02-21T06:22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" s="195" t="str">
        <f t="shared" si="5"/>
        <v>N</v>
      </c>
      <c r="X22" s="195">
        <f t="shared" si="6"/>
        <v>1</v>
      </c>
      <c r="Y22" s="62">
        <f t="shared" si="18"/>
        <v>4.3299999999999998E-2</v>
      </c>
      <c r="Z22" s="62">
        <f t="shared" si="19"/>
        <v>23.330500000000001</v>
      </c>
      <c r="AA22" s="62">
        <f t="shared" si="7"/>
        <v>23.287200000000002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8"/>
        <v>0109-21</v>
      </c>
      <c r="AE22" s="85" t="str">
        <f t="shared" si="9"/>
        <v>aws s3 cp s3://rtdc.mdm.uploadarchive.raw/RTDC4027/ "%USERPROFILE%\AppData\Local\Temp\OnboardLogs"\RTDC4027\2017-02-21 --exclude "*" --recursive --include "*20170221*" &amp; "%USERPROFILE%\Documents\GitHub\mrs-test-scripts\Headless Mode &amp; Sideloading\WalkAndUnGZ.bat" "%USERPROFILE%\AppData\Local\Temp\OnboardLogs"\RTDC4027\2017-02-21 &amp; aws s3 cp s3://rtdc.mdm.uploadarchive.raw/RTDC4027/ "%USERPROFILE%\AppData\Local\Temp\OnboardLogs"\RTDC4027\2017-02-22 --exclude "*" --recursive --include "*20170222*" &amp; "%USERPROFILE%\Documents\GitHub\mrs-test-scripts\Headless Mode &amp; Sideloading\WalkAndUnGZ.bat" "%USERPROFILE%\AppData\Local\Temp\OnboardLogs"\RTDC4027\2017-02-22</v>
      </c>
      <c r="AF22" s="82" t="str">
        <f t="shared" si="10"/>
        <v>"C:\Program Files (x86)\AstroGrep\AstroGrep.exe" /spath="%USERPROFILE%\AppData\Local\Temp\OnboardLogs" /stypes="app*4027*20170221*" /stext=" 12:.+((SYSTEM_STATE.+slice.+state.+changed )|(ment ac)|(multiple cpu faults)|(system.+state.+changed )|(\[timeout)|(PRM\|1\|D)|(kpr)|(kdp)|(\|lc)|(penalty))" /e /r /s</v>
      </c>
      <c r="AG22" s="1" t="str">
        <f t="shared" si="11"/>
        <v>EC</v>
      </c>
      <c r="AH22" s="86" t="str">
        <f t="shared" si="20"/>
        <v>"%USERPROFILE%\Documents\GitHub\eaglep3\Utilities\RefineRTDCRunTimes.py" --tripid 109-21 --locoid 4027 --swversion DE.1.0.9.0 --startMP 204:433 --initTime 2017-02-21T04:34:36 --startdatetime 2017-02-21T04:45:21 --delay 2 --endMP 204:233305 --enddatetime 2017-02-21T05:22:20 --enforcementcount 0 &gt;&gt;C:\Users\stu\Documents\GitHub\eaglep3-reporting\EC\2017-02-21-refined-times.txt</v>
      </c>
      <c r="AI22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{"issue":{"subject":"","project_id":79,"tracker_id":40,"status_id":1,"priority_id":2,"assigned_to_id":23,"start_date":"2017-02-21","description":"","custom_fields":[{"id":1,"name":"Subdivision","value":"EC"},{"id":4,"name":"Milepost","value":"23.3305"},{"id":17,"name":"Train ID","value":"109-21"},{"id":16,"name":"Locomotive ID","value":"4027"},{"id":130,"name":"Impact","value":""},{"id":150,"name":"Time of Event (Mountain Time)","value":"05:22:20"},{"id":151,"name":"Denver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22"/>
        <v>start /low /b %USERPROFILE%\Documents\GitHub\eaglep3\Utilities\DownloadLogsFromS3.py --loco 4027 --day 2017-02-21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"%USERPROFILE%\AppData\Local\Temp\OnboardLogs"\RTDC4027\*4027*20170221* | grep -SE "(Enforcement Action)|(\[TIMEOUT)|(CHR.+\|PRM\|1\|D.+(SWITCH|SIGNAL).+UNKNOWN)" - &gt;&gt; 2017-02-21-UncaughtWiMAX.txt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459</v>
      </c>
      <c r="B23" s="7">
        <v>4028</v>
      </c>
      <c r="C23" s="21" t="s">
        <v>359</v>
      </c>
      <c r="D23" s="21" t="s">
        <v>374</v>
      </c>
      <c r="E23" s="13">
        <v>42787.230810185189</v>
      </c>
      <c r="F23" s="13">
        <v>42787.23704861111</v>
      </c>
      <c r="G23" s="7">
        <v>2</v>
      </c>
      <c r="H23" s="21" t="s">
        <v>330</v>
      </c>
      <c r="I23" s="13">
        <v>42787.264965277776</v>
      </c>
      <c r="J23" s="7">
        <v>0</v>
      </c>
      <c r="K23" s="98" t="str">
        <f t="shared" si="0"/>
        <v>4027/4028</v>
      </c>
      <c r="L23" s="21" t="str">
        <f>VLOOKUP(A23,'Trips&amp;Operators'!$C$1:$G$99999,5,FALSE)</f>
        <v>ACKERMAN JARED</v>
      </c>
      <c r="M23" s="6">
        <f t="shared" si="1"/>
        <v>2.7916666665987577E-2</v>
      </c>
      <c r="N23" s="7">
        <f t="shared" si="23"/>
        <v>40.199999999022111</v>
      </c>
      <c r="O23" s="7"/>
      <c r="P23" s="7"/>
      <c r="Q23" s="22"/>
      <c r="R23" s="22"/>
      <c r="S23" s="31">
        <f t="shared" si="2"/>
        <v>1</v>
      </c>
      <c r="T23" s="46" t="str">
        <f t="shared" si="3"/>
        <v>Southbound</v>
      </c>
      <c r="U23" s="193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4" t="str">
        <f t="shared" si="4"/>
        <v>https://d0f6bd738d7f1b3e5a7ca70fe4ff75f0.us-east-1.aws.found.io/app/kibana#/discover/Steve-Slow-Train-Analysis-(2080s-and-2083s)?_g=(refreshInterval:(display:Off,pause:!f,section:0,value:0),time:(from:'2017-02-21T04:32:22-0700',mode:absolute,to:'2017-02-21T07:21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" s="195" t="str">
        <f t="shared" si="5"/>
        <v>N</v>
      </c>
      <c r="X23" s="195">
        <f t="shared" si="6"/>
        <v>1</v>
      </c>
      <c r="Y23" s="62">
        <f t="shared" si="18"/>
        <v>23.299399999999999</v>
      </c>
      <c r="Z23" s="62">
        <f t="shared" si="19"/>
        <v>1.6299999999999999E-2</v>
      </c>
      <c r="AA23" s="62">
        <f t="shared" si="7"/>
        <v>23.283099999999997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8"/>
        <v>0110-21</v>
      </c>
      <c r="AE23" s="85" t="str">
        <f t="shared" si="9"/>
        <v>aws s3 cp s3://rtdc.mdm.uploadarchive.raw/RTDC4028/ "%USERPROFILE%\AppData\Local\Temp\OnboardLogs"\RTDC4028\2017-02-21 --exclude "*" --recursive --include "*20170221*" &amp; "%USERPROFILE%\Documents\GitHub\mrs-test-scripts\Headless Mode &amp; Sideloading\WalkAndUnGZ.bat" "%USERPROFILE%\AppData\Local\Temp\OnboardLogs"\RTDC4028\2017-02-21 &amp; aws s3 cp s3://rtdc.mdm.uploadarchive.raw/RTDC4028/ "%USERPROFILE%\AppData\Local\Temp\OnboardLogs"\RTDC4028\2017-02-22 --exclude "*" --recursive --include "*20170222*" &amp; "%USERPROFILE%\Documents\GitHub\mrs-test-scripts\Headless Mode &amp; Sideloading\WalkAndUnGZ.bat" "%USERPROFILE%\AppData\Local\Temp\OnboardLogs"\RTDC4028\2017-02-22</v>
      </c>
      <c r="AF23" s="82" t="str">
        <f t="shared" si="10"/>
        <v>"C:\Program Files (x86)\AstroGrep\AstroGrep.exe" /spath="%USERPROFILE%\AppData\Local\Temp\OnboardLogs" /stypes="app*4028*20170221*" /stext=" 13:.+((SYSTEM_STATE.+slice.+state.+changed )|(ment ac)|(multiple cpu faults)|(system.+state.+changed )|(\[timeout)|(PRM\|1\|D)|(kpr)|(kdp)|(\|lc)|(penalty))" /e /r /s</v>
      </c>
      <c r="AG23" s="1" t="str">
        <f t="shared" si="11"/>
        <v>EC</v>
      </c>
      <c r="AH23" s="86" t="str">
        <f t="shared" si="20"/>
        <v>"%USERPROFILE%\Documents\GitHub\eaglep3\Utilities\RefineRTDCRunTimes.py" --tripid 110-21 --locoid 4028 --swversion DE.1.0.9.0 --startMP 204:232994 --initTime 2017-02-21T05:32:22 --startdatetime 2017-02-21T05:41:21 --delay 2 --endMP 204:163 --enddatetime 2017-02-21T06:21:33 --enforcementcount 0 &gt;&gt;C:\Users\stu\Documents\GitHub\eaglep3-reporting\EC\2017-02-21-refined-times.txt</v>
      </c>
      <c r="AI23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{"issue":{"subject":"","project_id":79,"tracker_id":40,"status_id":1,"priority_id":2,"assigned_to_id":23,"start_date":"2017-02-21","description":"","custom_fields":[{"id":1,"name":"Subdivision","value":"EC"},{"id":4,"name":"Milepost","value":"0.0163"},{"id":17,"name":"Train ID","value":"110-21"},{"id":16,"name":"Locomotive ID","value":"4028"},{"id":130,"name":"Impact","value":""},{"id":150,"name":"Time of Event (Mountain Time)","value":"06:21:33"},{"id":151,"name":"Denver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22"/>
        <v>start /low /b %USERPROFILE%\Documents\GitHub\eaglep3\Utilities\DownloadLogsFromS3.py --loco 4028 --day 2017-02-21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"%USERPROFILE%\AppData\Local\Temp\OnboardLogs"\RTDC4028\*4028*20170221* | grep -SE "(Enforcement Action)|(\[TIMEOUT)|(CHR.+\|PRM\|1\|D.+(SWITCH|SIGNAL).+UNKNOWN)" - &gt;&gt; 2017-02-21-UncaughtWiMAX.txt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512</v>
      </c>
      <c r="B24" s="7">
        <v>4025</v>
      </c>
      <c r="C24" s="21" t="s">
        <v>359</v>
      </c>
      <c r="D24" s="21" t="s">
        <v>701</v>
      </c>
      <c r="E24" s="13">
        <v>42787.20453703704</v>
      </c>
      <c r="F24" s="13">
        <v>42787.208784722221</v>
      </c>
      <c r="G24" s="7">
        <v>2</v>
      </c>
      <c r="H24" s="21" t="s">
        <v>702</v>
      </c>
      <c r="I24" s="13">
        <v>42787.234710648147</v>
      </c>
      <c r="J24" s="7">
        <v>0</v>
      </c>
      <c r="K24" s="98" t="str">
        <f t="shared" si="0"/>
        <v>4025/4026</v>
      </c>
      <c r="L24" s="21" t="str">
        <f>VLOOKUP(A24,'Trips&amp;Operators'!$C$1:$G$99999,5,FALSE)</f>
        <v>COOLAHAN JOHN</v>
      </c>
      <c r="M24" s="6">
        <f t="shared" si="1"/>
        <v>2.5925925925548654E-2</v>
      </c>
      <c r="N24" s="7">
        <f t="shared" si="23"/>
        <v>37.333333332790062</v>
      </c>
      <c r="O24" s="7"/>
      <c r="P24" s="7"/>
      <c r="Q24" s="22"/>
      <c r="R24" s="22"/>
      <c r="S24" s="31">
        <f t="shared" si="2"/>
        <v>1</v>
      </c>
      <c r="T24" s="46" t="str">
        <f t="shared" si="3"/>
        <v>NorthBound</v>
      </c>
      <c r="U24" s="193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4" t="str">
        <f t="shared" si="4"/>
        <v>https://d0f6bd738d7f1b3e5a7ca70fe4ff75f0.us-east-1.aws.found.io/app/kibana#/discover/Steve-Slow-Train-Analysis-(2080s-and-2083s)?_g=(refreshInterval:(display:Off,pause:!f,section:0,value:0),time:(from:'2017-02-21T03:54:32-0700',mode:absolute,to:'2017-02-21T06:37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" s="195" t="str">
        <f t="shared" si="5"/>
        <v>N</v>
      </c>
      <c r="X24" s="195">
        <f t="shared" si="6"/>
        <v>1</v>
      </c>
      <c r="Y24" s="62">
        <f t="shared" si="18"/>
        <v>7.2400000000000006E-2</v>
      </c>
      <c r="Z24" s="62">
        <f t="shared" si="19"/>
        <v>23.334</v>
      </c>
      <c r="AA24" s="62">
        <f t="shared" si="7"/>
        <v>23.261600000000001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8"/>
        <v>0111-21</v>
      </c>
      <c r="AE24" s="85" t="str">
        <f t="shared" si="9"/>
        <v>aws s3 cp s3://rtdc.mdm.uploadarchive.raw/RTDC4025/ "%USERPROFILE%\AppData\Local\Temp\OnboardLogs"\RTDC4025\2017-02-21 --exclude "*" --recursive --include "*20170221*" &amp; "%USERPROFILE%\Documents\GitHub\mrs-test-scripts\Headless Mode &amp; Sideloading\WalkAndUnGZ.bat" "%USERPROFILE%\AppData\Local\Temp\OnboardLogs"\RTDC4025\2017-02-21 &amp; aws s3 cp s3://rtdc.mdm.uploadarchive.raw/RTDC4025/ "%USERPROFILE%\AppData\Local\Temp\OnboardLogs"\RTDC4025\2017-02-22 --exclude "*" --recursive --include "*20170222*" &amp; "%USERPROFILE%\Documents\GitHub\mrs-test-scripts\Headless Mode &amp; Sideloading\WalkAndUnGZ.bat" "%USERPROFILE%\AppData\Local\Temp\OnboardLogs"\RTDC4025\2017-02-22</v>
      </c>
      <c r="AF24" s="82" t="str">
        <f t="shared" si="10"/>
        <v>"C:\Program Files (x86)\AstroGrep\AstroGrep.exe" /spath="%USERPROFILE%\AppData\Local\Temp\OnboardLogs" /stypes="app*4025*20170221*" /stext=" 12:.+((SYSTEM_STATE.+slice.+state.+changed )|(ment ac)|(multiple cpu faults)|(system.+state.+changed )|(\[timeout)|(PRM\|1\|D)|(kpr)|(kdp)|(\|lc)|(penalty))" /e /r /s</v>
      </c>
      <c r="AG24" s="1" t="str">
        <f t="shared" si="11"/>
        <v>EC</v>
      </c>
      <c r="AH24" s="86" t="str">
        <f t="shared" si="20"/>
        <v>"%USERPROFILE%\Documents\GitHub\eaglep3\Utilities\RefineRTDCRunTimes.py" --tripid 111-21 --locoid 4025 --swversion DE.1.0.9.0 --startMP 204:724 --initTime 2017-02-21T04:54:32 --startdatetime 2017-02-21T05:00:39 --delay 2 --endMP 204:233340 --enddatetime 2017-02-21T05:37:59 --enforcementcount 0 &gt;&gt;C:\Users\stu\Documents\GitHub\eaglep3-reporting\EC\2017-02-21-refined-times.txt</v>
      </c>
      <c r="AI24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{"issue":{"subject":"","project_id":79,"tracker_id":40,"status_id":1,"priority_id":2,"assigned_to_id":23,"start_date":"2017-02-21","description":"","custom_fields":[{"id":1,"name":"Subdivision","value":"EC"},{"id":4,"name":"Milepost","value":"23.334"},{"id":17,"name":"Train ID","value":"111-21"},{"id":16,"name":"Locomotive ID","value":"4025"},{"id":130,"name":"Impact","value":""},{"id":150,"name":"Time of Event (Mountain Time)","value":"05:37:59"},{"id":151,"name":"Denver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22"/>
        <v>start /low /b %USERPROFILE%\Documents\GitHub\eaglep3\Utilities\DownloadLogsFromS3.py --loco 4025 --day 2017-02-21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"%USERPROFILE%\AppData\Local\Temp\OnboardLogs"\RTDC4025\*4025*20170221* | grep -SE "(Enforcement Action)|(\[TIMEOUT)|(CHR.+\|PRM\|1\|D.+(SWITCH|SIGNAL).+UNKNOWN)" - &gt;&gt; 2017-02-21-UncaughtWiMAX.txt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522</v>
      </c>
      <c r="B25" s="7">
        <v>4026</v>
      </c>
      <c r="C25" s="21" t="s">
        <v>359</v>
      </c>
      <c r="D25" s="21" t="s">
        <v>703</v>
      </c>
      <c r="E25" s="13">
        <v>42787.243807870371</v>
      </c>
      <c r="F25" s="13">
        <v>42787.247499999998</v>
      </c>
      <c r="G25" s="7">
        <v>1</v>
      </c>
      <c r="H25" s="21" t="s">
        <v>704</v>
      </c>
      <c r="I25" s="13">
        <v>42787.274317129632</v>
      </c>
      <c r="J25" s="7">
        <v>0</v>
      </c>
      <c r="K25" s="98" t="str">
        <f t="shared" si="0"/>
        <v>4025/4026</v>
      </c>
      <c r="L25" s="21" t="str">
        <f>VLOOKUP(A25,'Trips&amp;Operators'!$C$1:$G$99999,5,FALSE)</f>
        <v>COOLAHAN JOHN</v>
      </c>
      <c r="M25" s="6">
        <f t="shared" si="1"/>
        <v>2.6817129633855075E-2</v>
      </c>
      <c r="N25" s="7">
        <f t="shared" si="23"/>
        <v>38.616666672751307</v>
      </c>
      <c r="O25" s="7"/>
      <c r="P25" s="7"/>
      <c r="Q25" s="22"/>
      <c r="R25" s="22"/>
      <c r="S25" s="31">
        <f t="shared" si="2"/>
        <v>1</v>
      </c>
      <c r="T25" s="46" t="str">
        <f t="shared" si="3"/>
        <v>Southbound</v>
      </c>
      <c r="U25" s="193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4" t="str">
        <f t="shared" si="4"/>
        <v>https://d0f6bd738d7f1b3e5a7ca70fe4ff75f0.us-east-1.aws.found.io/app/kibana#/discover/Steve-Slow-Train-Analysis-(2080s-and-2083s)?_g=(refreshInterval:(display:Off,pause:!f,section:0,value:0),time:(from:'2017-02-21T04:51:05-0700',mode:absolute,to:'2017-02-21T07:35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5" s="195" t="str">
        <f t="shared" si="5"/>
        <v>N</v>
      </c>
      <c r="X25" s="195">
        <f t="shared" si="6"/>
        <v>1</v>
      </c>
      <c r="Y25" s="62">
        <f t="shared" si="18"/>
        <v>23.300999999999998</v>
      </c>
      <c r="Z25" s="62">
        <f t="shared" si="19"/>
        <v>1.29E-2</v>
      </c>
      <c r="AA25" s="62">
        <f t="shared" si="7"/>
        <v>23.2881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8"/>
        <v>0112-21</v>
      </c>
      <c r="AE25" s="85" t="str">
        <f t="shared" si="9"/>
        <v>aws s3 cp s3://rtdc.mdm.uploadarchive.raw/RTDC4026/ "%USERPROFILE%\AppData\Local\Temp\OnboardLogs"\RTDC4026\2017-02-21 --exclude "*" --recursive --include "*20170221*" &amp; "%USERPROFILE%\Documents\GitHub\mrs-test-scripts\Headless Mode &amp; Sideloading\WalkAndUnGZ.bat" "%USERPROFILE%\AppData\Local\Temp\OnboardLogs"\RTDC4026\2017-02-21 &amp; aws s3 cp s3://rtdc.mdm.uploadarchive.raw/RTDC4026/ "%USERPROFILE%\AppData\Local\Temp\OnboardLogs"\RTDC4026\2017-02-22 --exclude "*" --recursive --include "*20170222*" &amp; "%USERPROFILE%\Documents\GitHub\mrs-test-scripts\Headless Mode &amp; Sideloading\WalkAndUnGZ.bat" "%USERPROFILE%\AppData\Local\Temp\OnboardLogs"\RTDC4026\2017-02-22</v>
      </c>
      <c r="AF25" s="82" t="str">
        <f t="shared" si="10"/>
        <v>"C:\Program Files (x86)\AstroGrep\AstroGrep.exe" /spath="%USERPROFILE%\AppData\Local\Temp\OnboardLogs" /stypes="app*4026*20170221*" /stext=" 13:.+((SYSTEM_STATE.+slice.+state.+changed )|(ment ac)|(multiple cpu faults)|(system.+state.+changed )|(\[timeout)|(PRM\|1\|D)|(kpr)|(kdp)|(\|lc)|(penalty))" /e /r /s</v>
      </c>
      <c r="AG25" s="1" t="str">
        <f t="shared" si="11"/>
        <v>EC</v>
      </c>
      <c r="AH25" s="86" t="str">
        <f t="shared" si="20"/>
        <v>"%USERPROFILE%\Documents\GitHub\eaglep3\Utilities\RefineRTDCRunTimes.py" --tripid 112-21 --locoid 4026 --swversion DE.1.0.9.0 --startMP 204:233010 --initTime 2017-02-21T05:51:05 --startdatetime 2017-02-21T05:56:24 --delay 1 --endMP 204:129 --enddatetime 2017-02-21T06:35:01 --enforcementcount 0 &gt;&gt;C:\Users\stu\Documents\GitHub\eaglep3-reporting\EC\2017-02-21-refined-times.txt</v>
      </c>
      <c r="AI25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{"issue":{"subject":"","project_id":79,"tracker_id":40,"status_id":1,"priority_id":2,"assigned_to_id":23,"start_date":"2017-02-21","description":"","custom_fields":[{"id":1,"name":"Subdivision","value":"EC"},{"id":4,"name":"Milepost","value":"0.0129"},{"id":17,"name":"Train ID","value":"112-21"},{"id":16,"name":"Locomotive ID","value":"4026"},{"id":130,"name":"Impact","value":""},{"id":150,"name":"Time of Event (Mountain Time)","value":"06:35:01"},{"id":151,"name":"Denver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22"/>
        <v>start /low /b %USERPROFILE%\Documents\GitHub\eaglep3\Utilities\DownloadLogsFromS3.py --loco 4026 --day 2017-02-21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"%USERPROFILE%\AppData\Local\Temp\OnboardLogs"\RTDC4026\*4026*20170221* | grep -SE "(Enforcement Action)|(\[TIMEOUT)|(CHR.+\|PRM\|1\|D.+(SWITCH|SIGNAL).+UNKNOWN)" - &gt;&gt; 2017-02-21-UncaughtWiMAX.txt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456</v>
      </c>
      <c r="B26" s="7">
        <v>4005</v>
      </c>
      <c r="C26" s="21" t="s">
        <v>359</v>
      </c>
      <c r="D26" s="21" t="s">
        <v>705</v>
      </c>
      <c r="E26" s="13">
        <v>42787.173564814817</v>
      </c>
      <c r="F26" s="13">
        <v>42787.174618055556</v>
      </c>
      <c r="G26" s="7">
        <v>1</v>
      </c>
      <c r="H26" s="21" t="s">
        <v>184</v>
      </c>
      <c r="I26" s="13">
        <v>42787.202025462961</v>
      </c>
      <c r="J26" s="7">
        <v>0</v>
      </c>
      <c r="K26" s="98" t="str">
        <f t="shared" si="0"/>
        <v>4005/4006</v>
      </c>
      <c r="L26" s="21" t="str">
        <f>VLOOKUP(A26,'Trips&amp;Operators'!$C$1:$G$99999,5,FALSE)</f>
        <v>SANTIZO D. EDY</v>
      </c>
      <c r="M26" s="6">
        <f t="shared" si="1"/>
        <v>2.7407407404098194E-2</v>
      </c>
      <c r="N26" s="7">
        <f t="shared" si="23"/>
        <v>39.466666661901399</v>
      </c>
      <c r="O26" s="7"/>
      <c r="P26" s="7"/>
      <c r="Q26" s="22"/>
      <c r="R26" s="22"/>
      <c r="S26" s="31">
        <f t="shared" si="2"/>
        <v>0</v>
      </c>
      <c r="T26" s="46" t="str">
        <f t="shared" si="3"/>
        <v>NorthBound</v>
      </c>
      <c r="U26" s="193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0</v>
      </c>
      <c r="V26" s="194" t="str">
        <f t="shared" si="4"/>
        <v>https://d0f6bd738d7f1b3e5a7ca70fe4ff75f0.us-east-1.aws.found.io/app/kibana#/discover/Steve-Slow-Train-Analysis-(2080s-and-2083s)?_g=(refreshInterval:(display:Off,pause:!f,section:0,value:0),time:(from:'2017-02-21T03:09:56-0700',mode:absolute,to:'2017-02-21T05:50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6" s="195" t="str">
        <f t="shared" si="5"/>
        <v>N</v>
      </c>
      <c r="X26" s="195">
        <f t="shared" si="6"/>
        <v>1</v>
      </c>
      <c r="Y26" s="62">
        <f t="shared" si="18"/>
        <v>23.266999999999999</v>
      </c>
      <c r="Z26" s="62">
        <f t="shared" si="19"/>
        <v>1.49E-2</v>
      </c>
      <c r="AA26" s="62">
        <f t="shared" si="7"/>
        <v>23.252099999999999</v>
      </c>
      <c r="AB26" s="59" t="str">
        <f>VLOOKUP(A26,Enforcements!$C$7:$K$13,8,0)</f>
        <v>Bulletin (2)</v>
      </c>
      <c r="AC26" s="55" t="str">
        <f>VLOOKUP(A26,Enforcements!$C$7:$E$13,3,0)</f>
        <v>GRADE CROSSING</v>
      </c>
      <c r="AD26" s="56" t="str">
        <f t="shared" si="8"/>
        <v>0113-21</v>
      </c>
      <c r="AE26" s="85" t="str">
        <f t="shared" si="9"/>
        <v>aws s3 cp s3://rtdc.mdm.uploadarchive.raw/RTDC4005/ "%USERPROFILE%\AppData\Local\Temp\OnboardLogs"\RTDC4005\2017-02-21 --exclude "*" --recursive --include "*20170221*" &amp; "%USERPROFILE%\Documents\GitHub\mrs-test-scripts\Headless Mode &amp; Sideloading\WalkAndUnGZ.bat" "%USERPROFILE%\AppData\Local\Temp\OnboardLogs"\RTDC4005\2017-02-21 &amp; aws s3 cp s3://rtdc.mdm.uploadarchive.raw/RTDC4005/ "%USERPROFILE%\AppData\Local\Temp\OnboardLogs"\RTDC4005\2017-02-22 --exclude "*" --recursive --include "*20170222*" &amp; "%USERPROFILE%\Documents\GitHub\mrs-test-scripts\Headless Mode &amp; Sideloading\WalkAndUnGZ.bat" "%USERPROFILE%\AppData\Local\Temp\OnboardLogs"\RTDC4005\2017-02-22</v>
      </c>
      <c r="AF26" s="82" t="str">
        <f t="shared" si="10"/>
        <v>"C:\Program Files (x86)\AstroGrep\AstroGrep.exe" /spath="%USERPROFILE%\AppData\Local\Temp\OnboardLogs" /stypes="app*4005*20170221*" /stext=" 11:.+((SYSTEM_STATE.+slice.+state.+changed )|(ment ac)|(multiple cpu faults)|(system.+state.+changed )|(\[timeout)|(PRM\|1\|D)|(kpr)|(kdp)|(\|lc)|(penalty))" /e /r /s</v>
      </c>
      <c r="AG26" s="1" t="str">
        <f t="shared" si="11"/>
        <v>EC</v>
      </c>
      <c r="AH26" s="86" t="str">
        <f t="shared" si="20"/>
        <v>"%USERPROFILE%\Documents\GitHub\eaglep3\Utilities\RefineRTDCRunTimes.py" --tripid 113-21 --locoid 4005 --swversion DE.1.0.9.0 --startMP 204:232670 --initTime 2017-02-21T04:09:56 --startdatetime 2017-02-21T04:11:27 --delay 1 --endMP 204:149 --enddatetime 2017-02-21T04:50:55 --enforcementcount 0 &gt;&gt;C:\Users\stu\Documents\GitHub\eaglep3-reporting\EC\2017-02-21-refined-times.txt</v>
      </c>
      <c r="AI26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{"issue":{"subject":"","project_id":79,"tracker_id":40,"status_id":1,"priority_id":2,"assigned_to_id":23,"start_date":"2017-02-21","description":"","custom_fields":[{"id":1,"name":"Subdivision","value":"EC"},{"id":4,"name":"Milepost","value":"0.0149"},{"id":17,"name":"Train ID","value":"113-21"},{"id":16,"name":"Locomotive ID","value":"4005"},{"id":130,"name":"Impact","value":""},{"id":150,"name":"Time of Event (Mountain Time)","value":"04:50:55"},{"id":151,"name":"Denver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22"/>
        <v>start /low /b %USERPROFILE%\Documents\GitHub\eaglep3\Utilities\DownloadLogsFromS3.py --loco 4005 --day 2017-02-21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"%USERPROFILE%\AppData\Local\Temp\OnboardLogs"\RTDC4005\*4005*20170221* | grep -SE "(Enforcement Action)|(\[TIMEOUT)|(CHR.+\|PRM\|1\|D.+(SWITCH|SIGNAL).+UNKNOWN)" - &gt;&gt; 2017-02-21-UncaughtWiMAX.txt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523</v>
      </c>
      <c r="B27" s="7">
        <v>4005</v>
      </c>
      <c r="C27" s="21" t="s">
        <v>359</v>
      </c>
      <c r="D27" s="21" t="s">
        <v>275</v>
      </c>
      <c r="E27" s="13">
        <v>42787.245462962965</v>
      </c>
      <c r="F27" s="13">
        <v>42787.257847222223</v>
      </c>
      <c r="G27" s="7">
        <v>1</v>
      </c>
      <c r="H27" s="21" t="s">
        <v>289</v>
      </c>
      <c r="I27" s="13">
        <v>42787.283854166664</v>
      </c>
      <c r="J27" s="7">
        <v>0</v>
      </c>
      <c r="K27" s="98" t="str">
        <f t="shared" si="0"/>
        <v>4005/4006</v>
      </c>
      <c r="L27" s="21" t="str">
        <f>VLOOKUP(A27,'Trips&amp;Operators'!$C$1:$G$99999,5,FALSE)</f>
        <v>SANTIZO D. EDY</v>
      </c>
      <c r="M27" s="6">
        <f t="shared" si="1"/>
        <v>2.6006944441178348E-2</v>
      </c>
      <c r="N27" s="7">
        <f t="shared" si="23"/>
        <v>37.449999995296821</v>
      </c>
      <c r="O27" s="7"/>
      <c r="P27" s="7"/>
      <c r="Q27" s="22"/>
      <c r="R27" s="22"/>
      <c r="S27" s="31">
        <f t="shared" si="2"/>
        <v>1</v>
      </c>
      <c r="T27" s="46" t="str">
        <f t="shared" si="3"/>
        <v>Southbound</v>
      </c>
      <c r="U27" s="193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4" t="str">
        <f t="shared" si="4"/>
        <v>https://d0f6bd738d7f1b3e5a7ca70fe4ff75f0.us-east-1.aws.found.io/app/kibana#/discover/Steve-Slow-Train-Analysis-(2080s-and-2083s)?_g=(refreshInterval:(display:Off,pause:!f,section:0,value:0),time:(from:'2017-02-21T04:53:28-0700',mode:absolute,to:'2017-02-21T07:48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7" s="195" t="str">
        <f t="shared" si="5"/>
        <v>N</v>
      </c>
      <c r="X27" s="195">
        <f t="shared" si="6"/>
        <v>1</v>
      </c>
      <c r="Y27" s="62">
        <f t="shared" si="18"/>
        <v>23.297999999999998</v>
      </c>
      <c r="Z27" s="62">
        <f t="shared" si="19"/>
        <v>1.47E-2</v>
      </c>
      <c r="AA27" s="62">
        <f t="shared" si="7"/>
        <v>23.283299999999997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8"/>
        <v>0114-21</v>
      </c>
      <c r="AE27" s="85" t="str">
        <f t="shared" si="9"/>
        <v>aws s3 cp s3://rtdc.mdm.uploadarchive.raw/RTDC4005/ "%USERPROFILE%\AppData\Local\Temp\OnboardLogs"\RTDC4005\2017-02-21 --exclude "*" --recursive --include "*20170221*" &amp; "%USERPROFILE%\Documents\GitHub\mrs-test-scripts\Headless Mode &amp; Sideloading\WalkAndUnGZ.bat" "%USERPROFILE%\AppData\Local\Temp\OnboardLogs"\RTDC4005\2017-02-21 &amp; aws s3 cp s3://rtdc.mdm.uploadarchive.raw/RTDC4005/ "%USERPROFILE%\AppData\Local\Temp\OnboardLogs"\RTDC4005\2017-02-22 --exclude "*" --recursive --include "*20170222*" &amp; "%USERPROFILE%\Documents\GitHub\mrs-test-scripts\Headless Mode &amp; Sideloading\WalkAndUnGZ.bat" "%USERPROFILE%\AppData\Local\Temp\OnboardLogs"\RTDC4005\2017-02-22</v>
      </c>
      <c r="AF27" s="82" t="str">
        <f t="shared" si="10"/>
        <v>"C:\Program Files (x86)\AstroGrep\AstroGrep.exe" /spath="%USERPROFILE%\AppData\Local\Temp\OnboardLogs" /stypes="app*4005*20170221*" /stext=" 13:.+((SYSTEM_STATE.+slice.+state.+changed )|(ment ac)|(multiple cpu faults)|(system.+state.+changed )|(\[timeout)|(PRM\|1\|D)|(kpr)|(kdp)|(\|lc)|(penalty))" /e /r /s</v>
      </c>
      <c r="AG27" s="1" t="str">
        <f t="shared" si="11"/>
        <v>EC</v>
      </c>
      <c r="AH27" s="86" t="str">
        <f t="shared" si="20"/>
        <v>"%USERPROFILE%\Documents\GitHub\eaglep3\Utilities\RefineRTDCRunTimes.py" --tripid 114-21 --locoid 4005 --swversion DE.1.0.9.0 --startMP 204:232980 --initTime 2017-02-21T05:53:28 --startdatetime 2017-02-21T06:11:18 --delay 1 --endMP 204:147 --enddatetime 2017-02-21T06:48:45 --enforcementcount 0 &gt;&gt;C:\Users\stu\Documents\GitHub\eaglep3-reporting\EC\2017-02-21-refined-times.txt</v>
      </c>
      <c r="AI27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{"issue":{"subject":"","project_id":79,"tracker_id":40,"status_id":1,"priority_id":2,"assigned_to_id":23,"start_date":"2017-02-21","description":"","custom_fields":[{"id":1,"name":"Subdivision","value":"EC"},{"id":4,"name":"Milepost","value":"0.0147"},{"id":17,"name":"Train ID","value":"114-21"},{"id":16,"name":"Locomotive ID","value":"4005"},{"id":130,"name":"Impact","value":""},{"id":150,"name":"Time of Event (Mountain Time)","value":"06:48:45"},{"id":151,"name":"Denver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22"/>
        <v>start /low /b %USERPROFILE%\Documents\GitHub\eaglep3\Utilities\DownloadLogsFromS3.py --loco 4005 --day 2017-02-21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"%USERPROFILE%\AppData\Local\Temp\OnboardLogs"\RTDC4005\*4005*20170221* | grep -SE "(Enforcement Action)|(\[TIMEOUT)|(CHR.+\|PRM\|1\|D.+(SWITCH|SIGNAL).+UNKNOWN)" - &gt;&gt; 2017-02-21-UncaughtWiMAX.txt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519</v>
      </c>
      <c r="B28" s="7">
        <v>4007</v>
      </c>
      <c r="C28" s="21" t="s">
        <v>359</v>
      </c>
      <c r="D28" s="21" t="s">
        <v>317</v>
      </c>
      <c r="E28" s="13">
        <v>42787.226550925923</v>
      </c>
      <c r="F28" s="13">
        <v>42787.229456018518</v>
      </c>
      <c r="G28" s="7">
        <v>1</v>
      </c>
      <c r="H28" s="21" t="s">
        <v>418</v>
      </c>
      <c r="I28" s="13">
        <v>42787.254247685189</v>
      </c>
      <c r="J28" s="7">
        <v>0</v>
      </c>
      <c r="K28" s="98" t="str">
        <f t="shared" si="0"/>
        <v>4007/4008</v>
      </c>
      <c r="L28" s="21" t="str">
        <f>VLOOKUP(A28,'Trips&amp;Operators'!$C$1:$G$99999,5,FALSE)</f>
        <v>ROCHA YAOTL</v>
      </c>
      <c r="M28" s="6">
        <f t="shared" si="1"/>
        <v>2.4791666670353152E-2</v>
      </c>
      <c r="N28" s="7">
        <f t="shared" si="23"/>
        <v>35.700000005308539</v>
      </c>
      <c r="O28" s="7"/>
      <c r="P28" s="7"/>
      <c r="Q28" s="22"/>
      <c r="R28" s="22"/>
      <c r="S28" s="31">
        <f t="shared" si="2"/>
        <v>1</v>
      </c>
      <c r="T28" s="46" t="str">
        <f t="shared" si="3"/>
        <v>NorthBound</v>
      </c>
      <c r="U28" s="193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4" t="str">
        <f t="shared" si="4"/>
        <v>https://d0f6bd738d7f1b3e5a7ca70fe4ff75f0.us-east-1.aws.found.io/app/kibana#/discover/Steve-Slow-Train-Analysis-(2080s-and-2083s)?_g=(refreshInterval:(display:Off,pause:!f,section:0,value:0),time:(from:'2017-02-21T04:26:14-0700',mode:absolute,to:'2017-02-21T07:06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8" s="195" t="str">
        <f t="shared" si="5"/>
        <v>N</v>
      </c>
      <c r="X28" s="195">
        <f t="shared" si="6"/>
        <v>1</v>
      </c>
      <c r="Y28" s="62">
        <f t="shared" si="18"/>
        <v>7.5399999999999995E-2</v>
      </c>
      <c r="Z28" s="62">
        <f t="shared" si="19"/>
        <v>23.329699999999999</v>
      </c>
      <c r="AA28" s="62">
        <f t="shared" si="7"/>
        <v>23.254300000000001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8"/>
        <v>0115-21</v>
      </c>
      <c r="AE28" s="85" t="str">
        <f t="shared" si="9"/>
        <v>aws s3 cp s3://rtdc.mdm.uploadarchive.raw/RTDC4007/ "%USERPROFILE%\AppData\Local\Temp\OnboardLogs"\RTDC4007\2017-02-21 --exclude "*" --recursive --include "*20170221*" &amp; "%USERPROFILE%\Documents\GitHub\mrs-test-scripts\Headless Mode &amp; Sideloading\WalkAndUnGZ.bat" "%USERPROFILE%\AppData\Local\Temp\OnboardLogs"\RTDC4007\2017-02-21 &amp; aws s3 cp s3://rtdc.mdm.uploadarchive.raw/RTDC4007/ "%USERPROFILE%\AppData\Local\Temp\OnboardLogs"\RTDC4007\2017-02-22 --exclude "*" --recursive --include "*20170222*" &amp; "%USERPROFILE%\Documents\GitHub\mrs-test-scripts\Headless Mode &amp; Sideloading\WalkAndUnGZ.bat" "%USERPROFILE%\AppData\Local\Temp\OnboardLogs"\RTDC4007\2017-02-22</v>
      </c>
      <c r="AF28" s="82" t="str">
        <f t="shared" si="10"/>
        <v>"C:\Program Files (x86)\AstroGrep\AstroGrep.exe" /spath="%USERPROFILE%\AppData\Local\Temp\OnboardLogs" /stypes="app*4007*20170221*" /stext=" 13:.+((SYSTEM_STATE.+slice.+state.+changed )|(ment ac)|(multiple cpu faults)|(system.+state.+changed )|(\[timeout)|(PRM\|1\|D)|(kpr)|(kdp)|(\|lc)|(penalty))" /e /r /s</v>
      </c>
      <c r="AG28" s="1" t="str">
        <f t="shared" si="11"/>
        <v>EC</v>
      </c>
      <c r="AH28" s="86" t="str">
        <f t="shared" si="20"/>
        <v>"%USERPROFILE%\Documents\GitHub\eaglep3\Utilities\RefineRTDCRunTimes.py" --tripid 115-21 --locoid 4007 --swversion DE.1.0.9.0 --startMP 204:754 --initTime 2017-02-21T05:26:14 --startdatetime 2017-02-21T05:30:25 --delay 1 --endMP 204:233297 --enddatetime 2017-02-21T06:06:07 --enforcementcount 0 &gt;&gt;C:\Users\stu\Documents\GitHub\eaglep3-reporting\EC\2017-02-21-refined-times.txt</v>
      </c>
      <c r="AI28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{"issue":{"subject":"","project_id":79,"tracker_id":40,"status_id":1,"priority_id":2,"assigned_to_id":23,"start_date":"2017-02-21","description":"","custom_fields":[{"id":1,"name":"Subdivision","value":"EC"},{"id":4,"name":"Milepost","value":"23.3297"},{"id":17,"name":"Train ID","value":"115-21"},{"id":16,"name":"Locomotive ID","value":"4007"},{"id":130,"name":"Impact","value":""},{"id":150,"name":"Time of Event (Mountain Time)","value":"06:06:07"},{"id":151,"name":"Denver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22"/>
        <v>start /low /b %USERPROFILE%\Documents\GitHub\eaglep3\Utilities\DownloadLogsFromS3.py --loco 4007 --day 2017-02-21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"%USERPROFILE%\AppData\Local\Temp\OnboardLogs"\RTDC4007\*4007*20170221* | grep -SE "(Enforcement Action)|(\[TIMEOUT)|(CHR.+\|PRM\|1\|D.+(SWITCH|SIGNAL).+UNKNOWN)" - &gt;&gt; 2017-02-21-UncaughtWiMAX.txt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462</v>
      </c>
      <c r="B29" s="7">
        <v>4008</v>
      </c>
      <c r="C29" s="21" t="s">
        <v>359</v>
      </c>
      <c r="D29" s="21" t="s">
        <v>296</v>
      </c>
      <c r="E29" s="13">
        <v>42787.267199074071</v>
      </c>
      <c r="F29" s="13">
        <v>42787.268518518518</v>
      </c>
      <c r="G29" s="7">
        <v>1</v>
      </c>
      <c r="H29" s="21" t="s">
        <v>194</v>
      </c>
      <c r="I29" s="13">
        <v>42787.294305555559</v>
      </c>
      <c r="J29" s="7">
        <v>0</v>
      </c>
      <c r="K29" s="98" t="str">
        <f t="shared" si="0"/>
        <v>4007/4008</v>
      </c>
      <c r="L29" s="21" t="str">
        <f>VLOOKUP(A29,'Trips&amp;Operators'!$C$1:$G$99999,5,FALSE)</f>
        <v>ROCHA YAOTL</v>
      </c>
      <c r="M29" s="6">
        <f t="shared" si="1"/>
        <v>2.5787037040572613E-2</v>
      </c>
      <c r="N29" s="7">
        <f t="shared" si="23"/>
        <v>37.133333338424563</v>
      </c>
      <c r="O29" s="7"/>
      <c r="P29" s="7"/>
      <c r="Q29" s="22"/>
      <c r="R29" s="22"/>
      <c r="S29" s="31">
        <f t="shared" si="2"/>
        <v>1</v>
      </c>
      <c r="T29" s="46" t="str">
        <f t="shared" si="3"/>
        <v>Southbound</v>
      </c>
      <c r="U29" s="193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4" t="str">
        <f t="shared" si="4"/>
        <v>https://d0f6bd738d7f1b3e5a7ca70fe4ff75f0.us-east-1.aws.found.io/app/kibana#/discover/Steve-Slow-Train-Analysis-(2080s-and-2083s)?_g=(refreshInterval:(display:Off,pause:!f,section:0,value:0),time:(from:'2017-02-21T05:24:46-0700',mode:absolute,to:'2017-02-21T08:03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9" s="195" t="str">
        <f t="shared" si="5"/>
        <v>N</v>
      </c>
      <c r="X29" s="195">
        <f t="shared" si="6"/>
        <v>1</v>
      </c>
      <c r="Y29" s="62">
        <f t="shared" si="18"/>
        <v>23.298500000000001</v>
      </c>
      <c r="Z29" s="62">
        <f t="shared" si="19"/>
        <v>1.4999999999999999E-2</v>
      </c>
      <c r="AA29" s="62">
        <f t="shared" si="7"/>
        <v>23.2835</v>
      </c>
      <c r="AB29" s="59" t="str">
        <f>VLOOKUP(A29,Enforcements!$C$7:$K$13,8,0)</f>
        <v>Bulletin (2)</v>
      </c>
      <c r="AC29" s="55" t="str">
        <f>VLOOKUP(A29,Enforcements!$C$7:$E$13,3,0)</f>
        <v>GRADE CROSSING</v>
      </c>
      <c r="AD29" s="56" t="str">
        <f t="shared" si="8"/>
        <v>0116-21</v>
      </c>
      <c r="AE29" s="85" t="str">
        <f t="shared" si="9"/>
        <v>aws s3 cp s3://rtdc.mdm.uploadarchive.raw/RTDC4008/ "%USERPROFILE%\AppData\Local\Temp\OnboardLogs"\RTDC4008\2017-02-21 --exclude "*" --recursive --include "*20170221*" &amp; "%USERPROFILE%\Documents\GitHub\mrs-test-scripts\Headless Mode &amp; Sideloading\WalkAndUnGZ.bat" "%USERPROFILE%\AppData\Local\Temp\OnboardLogs"\RTDC4008\2017-02-21 &amp; aws s3 cp s3://rtdc.mdm.uploadarchive.raw/RTDC4008/ "%USERPROFILE%\AppData\Local\Temp\OnboardLogs"\RTDC4008\2017-02-22 --exclude "*" --recursive --include "*20170222*" &amp; "%USERPROFILE%\Documents\GitHub\mrs-test-scripts\Headless Mode &amp; Sideloading\WalkAndUnGZ.bat" "%USERPROFILE%\AppData\Local\Temp\OnboardLogs"\RTDC4008\2017-02-22</v>
      </c>
      <c r="AF29" s="82" t="str">
        <f t="shared" si="10"/>
        <v>"C:\Program Files (x86)\AstroGrep\AstroGrep.exe" /spath="%USERPROFILE%\AppData\Local\Temp\OnboardLogs" /stypes="app*4008*20170221*" /stext=" 14:.+((SYSTEM_STATE.+slice.+state.+changed )|(ment ac)|(multiple cpu faults)|(system.+state.+changed )|(\[timeout)|(PRM\|1\|D)|(kpr)|(kdp)|(\|lc)|(penalty))" /e /r /s</v>
      </c>
      <c r="AG29" s="1" t="str">
        <f t="shared" si="11"/>
        <v>EC</v>
      </c>
      <c r="AH29" s="86" t="str">
        <f t="shared" si="20"/>
        <v>"%USERPROFILE%\Documents\GitHub\eaglep3\Utilities\RefineRTDCRunTimes.py" --tripid 116-21 --locoid 4008 --swversion DE.1.0.9.0 --startMP 204:232985 --initTime 2017-02-21T06:24:46 --startdatetime 2017-02-21T06:26:40 --delay 1 --endMP 204:150 --enddatetime 2017-02-21T07:03:48 --enforcementcount 0 &gt;&gt;C:\Users\stu\Documents\GitHub\eaglep3-reporting\EC\2017-02-21-refined-times.txt</v>
      </c>
      <c r="AI29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{"issue":{"subject":"","project_id":79,"tracker_id":40,"status_id":1,"priority_id":2,"assigned_to_id":23,"start_date":"2017-02-21","description":"","custom_fields":[{"id":1,"name":"Subdivision","value":"EC"},{"id":4,"name":"Milepost","value":"0.015"},{"id":17,"name":"Train ID","value":"116-21"},{"id":16,"name":"Locomotive ID","value":"4008"},{"id":130,"name":"Impact","value":""},{"id":150,"name":"Time of Event (Mountain Time)","value":"07:03:48"},{"id":151,"name":"Denver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22"/>
        <v>start /low /b %USERPROFILE%\Documents\GitHub\eaglep3\Utilities\DownloadLogsFromS3.py --loco 4008 --day 2017-02-21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"%USERPROFILE%\AppData\Local\Temp\OnboardLogs"\RTDC4008\*4008*20170221* | grep -SE "(Enforcement Action)|(\[TIMEOUT)|(CHR.+\|PRM\|1\|D.+(SWITCH|SIGNAL).+UNKNOWN)" - &gt;&gt; 2017-02-21-UncaughtWiMAX.txt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518</v>
      </c>
      <c r="B30" s="7">
        <v>4051</v>
      </c>
      <c r="C30" s="21" t="s">
        <v>359</v>
      </c>
      <c r="D30" s="21" t="s">
        <v>255</v>
      </c>
      <c r="E30" s="13">
        <v>42787.225787037038</v>
      </c>
      <c r="F30" s="13">
        <v>42787.24009259259</v>
      </c>
      <c r="G30" s="7">
        <v>1</v>
      </c>
      <c r="H30" s="21" t="s">
        <v>321</v>
      </c>
      <c r="I30" s="13">
        <v>42787.26457175926</v>
      </c>
      <c r="J30" s="7">
        <v>0</v>
      </c>
      <c r="K30" s="98" t="str">
        <f t="shared" si="0"/>
        <v>4051/4052</v>
      </c>
      <c r="L30" s="21" t="str">
        <f>VLOOKUP(A30,'Trips&amp;Operators'!$C$1:$G$99999,5,FALSE)</f>
        <v>MAELZER KURT</v>
      </c>
      <c r="M30" s="6">
        <f t="shared" si="1"/>
        <v>2.4479166670062114E-2</v>
      </c>
      <c r="N30" s="7">
        <f t="shared" si="23"/>
        <v>35.250000004889444</v>
      </c>
      <c r="O30" s="7"/>
      <c r="P30" s="7"/>
      <c r="Q30" s="22"/>
      <c r="R30" s="22"/>
      <c r="S30" s="31">
        <f t="shared" si="2"/>
        <v>1</v>
      </c>
      <c r="T30" s="46" t="str">
        <f t="shared" si="3"/>
        <v>NorthBound</v>
      </c>
      <c r="U30" s="193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4" t="str">
        <f t="shared" si="4"/>
        <v>https://d0f6bd738d7f1b3e5a7ca70fe4ff75f0.us-east-1.aws.found.io/app/kibana#/discover/Steve-Slow-Train-Analysis-(2080s-and-2083s)?_g=(refreshInterval:(display:Off,pause:!f,section:0,value:0),time:(from:'2017-02-21T04:25:08-0700',mode:absolute,to:'2017-02-21T07:20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0" s="195" t="str">
        <f t="shared" si="5"/>
        <v>N</v>
      </c>
      <c r="X30" s="195">
        <f t="shared" si="6"/>
        <v>1</v>
      </c>
      <c r="Y30" s="62">
        <f t="shared" si="18"/>
        <v>4.6699999999999998E-2</v>
      </c>
      <c r="Z30" s="62">
        <f t="shared" si="19"/>
        <v>23.3307</v>
      </c>
      <c r="AA30" s="62">
        <f t="shared" si="7"/>
        <v>23.283999999999999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8"/>
        <v>0117-21</v>
      </c>
      <c r="AE30" s="85" t="str">
        <f t="shared" si="9"/>
        <v>aws s3 cp s3://rtdc.mdm.uploadarchive.raw/RTDC4051/ "%USERPROFILE%\AppData\Local\Temp\OnboardLogs"\RTDC4051\2017-02-21 --exclude "*" --recursive --include "*20170221*" &amp; "%USERPROFILE%\Documents\GitHub\mrs-test-scripts\Headless Mode &amp; Sideloading\WalkAndUnGZ.bat" "%USERPROFILE%\AppData\Local\Temp\OnboardLogs"\RTDC4051\2017-02-21 &amp; aws s3 cp s3://rtdc.mdm.uploadarchive.raw/RTDC4051/ "%USERPROFILE%\AppData\Local\Temp\OnboardLogs"\RTDC4051\2017-02-22 --exclude "*" --recursive --include "*20170222*" &amp; "%USERPROFILE%\Documents\GitHub\mrs-test-scripts\Headless Mode &amp; Sideloading\WalkAndUnGZ.bat" "%USERPROFILE%\AppData\Local\Temp\OnboardLogs"\RTDC4051\2017-02-22</v>
      </c>
      <c r="AF30" s="82" t="str">
        <f t="shared" si="10"/>
        <v>"C:\Program Files (x86)\AstroGrep\AstroGrep.exe" /spath="%USERPROFILE%\AppData\Local\Temp\OnboardLogs" /stypes="app*4051*20170221*" /stext=" 13:.+((SYSTEM_STATE.+slice.+state.+changed )|(ment ac)|(multiple cpu faults)|(system.+state.+changed )|(\[timeout)|(PRM\|1\|D)|(kpr)|(kdp)|(\|lc)|(penalty))" /e /r /s</v>
      </c>
      <c r="AG30" s="1" t="str">
        <f t="shared" si="11"/>
        <v>EC</v>
      </c>
      <c r="AH30" s="86" t="str">
        <f t="shared" si="20"/>
        <v>"%USERPROFILE%\Documents\GitHub\eaglep3\Utilities\RefineRTDCRunTimes.py" --tripid 117-21 --locoid 4051 --swversion DE.1.0.9.0 --startMP 204:467 --initTime 2017-02-21T05:25:08 --startdatetime 2017-02-21T05:45:44 --delay 1 --endMP 204:233307 --enddatetime 2017-02-21T06:20:59 --enforcementcount 0 &gt;&gt;C:\Users\stu\Documents\GitHub\eaglep3-reporting\EC\2017-02-21-refined-times.txt</v>
      </c>
      <c r="AI30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{"issue":{"subject":"","project_id":79,"tracker_id":40,"status_id":1,"priority_id":2,"assigned_to_id":23,"start_date":"2017-02-21","description":"","custom_fields":[{"id":1,"name":"Subdivision","value":"EC"},{"id":4,"name":"Milepost","value":"23.3307"},{"id":17,"name":"Train ID","value":"117-21"},{"id":16,"name":"Locomotive ID","value":"4051"},{"id":130,"name":"Impact","value":""},{"id":150,"name":"Time of Event (Mountain Time)","value":"06:20:59"},{"id":151,"name":"Denver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22"/>
        <v>start /low /b %USERPROFILE%\Documents\GitHub\eaglep3\Utilities\DownloadLogsFromS3.py --loco 4051 --day 2017-02-21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"%USERPROFILE%\AppData\Local\Temp\OnboardLogs"\RTDC4051\*4051*20170221* | grep -SE "(Enforcement Action)|(\[TIMEOUT)|(CHR.+\|PRM\|1\|D.+(SWITCH|SIGNAL).+UNKNOWN)" - &gt;&gt; 2017-02-21-UncaughtWiMAX.txt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529</v>
      </c>
      <c r="B31" s="7">
        <v>4052</v>
      </c>
      <c r="C31" s="21" t="s">
        <v>359</v>
      </c>
      <c r="D31" s="21" t="s">
        <v>322</v>
      </c>
      <c r="E31" s="13">
        <v>42787.27275462963</v>
      </c>
      <c r="F31" s="13">
        <v>42787.278981481482</v>
      </c>
      <c r="G31" s="7">
        <v>1</v>
      </c>
      <c r="H31" s="21" t="s">
        <v>289</v>
      </c>
      <c r="I31" s="13">
        <v>42787.306469907409</v>
      </c>
      <c r="J31" s="7">
        <v>0</v>
      </c>
      <c r="K31" s="98" t="str">
        <f t="shared" si="0"/>
        <v>4051/4052</v>
      </c>
      <c r="L31" s="21" t="str">
        <f>VLOOKUP(A31,'Trips&amp;Operators'!$C$1:$G$99999,5,FALSE)</f>
        <v>MAELZER KURT</v>
      </c>
      <c r="M31" s="6">
        <f t="shared" si="1"/>
        <v>2.7488425927003846E-2</v>
      </c>
      <c r="N31" s="7">
        <f t="shared" si="23"/>
        <v>39.583333334885538</v>
      </c>
      <c r="O31" s="7"/>
      <c r="P31" s="7"/>
      <c r="Q31" s="22"/>
      <c r="R31" s="22"/>
      <c r="S31" s="31">
        <f t="shared" si="2"/>
        <v>1</v>
      </c>
      <c r="T31" s="46" t="str">
        <f t="shared" si="3"/>
        <v>Southbound</v>
      </c>
      <c r="U31" s="193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4" t="str">
        <f t="shared" si="4"/>
        <v>https://d0f6bd738d7f1b3e5a7ca70fe4ff75f0.us-east-1.aws.found.io/app/kibana#/discover/Steve-Slow-Train-Analysis-(2080s-and-2083s)?_g=(refreshInterval:(display:Off,pause:!f,section:0,value:0),time:(from:'2017-02-21T05:32:46-0700',mode:absolute,to:'2017-02-21T08:21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1" s="195" t="str">
        <f t="shared" si="5"/>
        <v>N</v>
      </c>
      <c r="X31" s="195">
        <f t="shared" si="6"/>
        <v>1</v>
      </c>
      <c r="Y31" s="62">
        <f t="shared" si="18"/>
        <v>23.2973</v>
      </c>
      <c r="Z31" s="62">
        <f t="shared" si="19"/>
        <v>1.47E-2</v>
      </c>
      <c r="AA31" s="62">
        <f t="shared" si="7"/>
        <v>23.282599999999999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8"/>
        <v>0118-21</v>
      </c>
      <c r="AE31" s="85" t="str">
        <f t="shared" si="9"/>
        <v>aws s3 cp s3://rtdc.mdm.uploadarchive.raw/RTDC4052/ "%USERPROFILE%\AppData\Local\Temp\OnboardLogs"\RTDC4052\2017-02-21 --exclude "*" --recursive --include "*20170221*" &amp; "%USERPROFILE%\Documents\GitHub\mrs-test-scripts\Headless Mode &amp; Sideloading\WalkAndUnGZ.bat" "%USERPROFILE%\AppData\Local\Temp\OnboardLogs"\RTDC4052\2017-02-21 &amp; aws s3 cp s3://rtdc.mdm.uploadarchive.raw/RTDC4052/ "%USERPROFILE%\AppData\Local\Temp\OnboardLogs"\RTDC4052\2017-02-22 --exclude "*" --recursive --include "*20170222*" &amp; "%USERPROFILE%\Documents\GitHub\mrs-test-scripts\Headless Mode &amp; Sideloading\WalkAndUnGZ.bat" "%USERPROFILE%\AppData\Local\Temp\OnboardLogs"\RTDC4052\2017-02-22</v>
      </c>
      <c r="AF31" s="82" t="str">
        <f t="shared" si="10"/>
        <v>"C:\Program Files (x86)\AstroGrep\AstroGrep.exe" /spath="%USERPROFILE%\AppData\Local\Temp\OnboardLogs" /stypes="app*4052*20170221*" /stext=" 14:.+((SYSTEM_STATE.+slice.+state.+changed )|(ment ac)|(multiple cpu faults)|(system.+state.+changed )|(\[timeout)|(PRM\|1\|D)|(kpr)|(kdp)|(\|lc)|(penalty))" /e /r /s</v>
      </c>
      <c r="AG31" s="1" t="str">
        <f t="shared" si="11"/>
        <v>EC</v>
      </c>
      <c r="AH31" s="86" t="str">
        <f t="shared" si="20"/>
        <v>"%USERPROFILE%\Documents\GitHub\eaglep3\Utilities\RefineRTDCRunTimes.py" --tripid 118-21 --locoid 4052 --swversion DE.1.0.9.0 --startMP 204:232973 --initTime 2017-02-21T06:32:46 --startdatetime 2017-02-21T06:41:44 --delay 1 --endMP 204:147 --enddatetime 2017-02-21T07:21:19 --enforcementcount 0 &gt;&gt;C:\Users\stu\Documents\GitHub\eaglep3-reporting\EC\2017-02-21-refined-times.txt</v>
      </c>
      <c r="AI31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{"issue":{"subject":"","project_id":79,"tracker_id":40,"status_id":1,"priority_id":2,"assigned_to_id":23,"start_date":"2017-02-21","description":"","custom_fields":[{"id":1,"name":"Subdivision","value":"EC"},{"id":4,"name":"Milepost","value":"0.0147"},{"id":17,"name":"Train ID","value":"118-21"},{"id":16,"name":"Locomotive ID","value":"4052"},{"id":130,"name":"Impact","value":""},{"id":150,"name":"Time of Event (Mountain Time)","value":"07:21:19"},{"id":151,"name":"Denver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22"/>
        <v>start /low /b %USERPROFILE%\Documents\GitHub\eaglep3\Utilities\DownloadLogsFromS3.py --loco 4052 --day 2017-02-21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"%USERPROFILE%\AppData\Local\Temp\OnboardLogs"\RTDC4052\*4052*20170221* | grep -SE "(Enforcement Action)|(\[TIMEOUT)|(CHR.+\|PRM\|1\|D.+(SWITCH|SIGNAL).+UNKNOWN)" - &gt;&gt; 2017-02-21-UncaughtWiMAX.txt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524</v>
      </c>
      <c r="B32" s="7">
        <v>4018</v>
      </c>
      <c r="C32" s="21" t="s">
        <v>359</v>
      </c>
      <c r="D32" s="21" t="s">
        <v>706</v>
      </c>
      <c r="E32" s="13">
        <v>42787.247407407405</v>
      </c>
      <c r="F32" s="13">
        <v>42787.250208333331</v>
      </c>
      <c r="G32" s="7">
        <v>1</v>
      </c>
      <c r="H32" s="21" t="s">
        <v>274</v>
      </c>
      <c r="I32" s="13">
        <v>42787.275405092594</v>
      </c>
      <c r="J32" s="7">
        <v>0</v>
      </c>
      <c r="K32" s="98" t="str">
        <f t="shared" si="0"/>
        <v>4017/4018</v>
      </c>
      <c r="L32" s="21" t="str">
        <f>VLOOKUP(A32,'Trips&amp;Operators'!$C$1:$G$99999,5,FALSE)</f>
        <v>STARKS ANGELINA</v>
      </c>
      <c r="M32" s="6">
        <f t="shared" si="1"/>
        <v>2.5196759263053536E-2</v>
      </c>
      <c r="N32" s="7">
        <f t="shared" si="23"/>
        <v>36.283333338797092</v>
      </c>
      <c r="O32" s="7"/>
      <c r="P32" s="7"/>
      <c r="Q32" s="22"/>
      <c r="R32" s="22"/>
      <c r="S32" s="31">
        <f t="shared" si="2"/>
        <v>1</v>
      </c>
      <c r="T32" s="46" t="str">
        <f t="shared" si="3"/>
        <v>NorthBound</v>
      </c>
      <c r="U32" s="193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4" t="str">
        <f t="shared" si="4"/>
        <v>https://d0f6bd738d7f1b3e5a7ca70fe4ff75f0.us-east-1.aws.found.io/app/kibana#/discover/Steve-Slow-Train-Analysis-(2080s-and-2083s)?_g=(refreshInterval:(display:Off,pause:!f,section:0,value:0),time:(from:'2017-02-21T04:56:16-0700',mode:absolute,to:'2017-02-21T07:36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2" s="195" t="str">
        <f t="shared" si="5"/>
        <v>N</v>
      </c>
      <c r="X32" s="195">
        <f t="shared" si="6"/>
        <v>1</v>
      </c>
      <c r="Y32" s="62">
        <f t="shared" si="18"/>
        <v>8.1199999999999994E-2</v>
      </c>
      <c r="Z32" s="62">
        <f t="shared" si="19"/>
        <v>23.331199999999999</v>
      </c>
      <c r="AA32" s="62">
        <f t="shared" si="7"/>
        <v>23.25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8"/>
        <v>0119-21</v>
      </c>
      <c r="AE32" s="85" t="str">
        <f t="shared" si="9"/>
        <v>aws s3 cp s3://rtdc.mdm.uploadarchive.raw/RTDC4018/ "%USERPROFILE%\AppData\Local\Temp\OnboardLogs"\RTDC4018\2017-02-21 --exclude "*" --recursive --include "*20170221*" &amp; "%USERPROFILE%\Documents\GitHub\mrs-test-scripts\Headless Mode &amp; Sideloading\WalkAndUnGZ.bat" "%USERPROFILE%\AppData\Local\Temp\OnboardLogs"\RTDC4018\2017-02-21 &amp; aws s3 cp s3://rtdc.mdm.uploadarchive.raw/RTDC4018/ "%USERPROFILE%\AppData\Local\Temp\OnboardLogs"\RTDC4018\2017-02-22 --exclude "*" --recursive --include "*20170222*" &amp; "%USERPROFILE%\Documents\GitHub\mrs-test-scripts\Headless Mode &amp; Sideloading\WalkAndUnGZ.bat" "%USERPROFILE%\AppData\Local\Temp\OnboardLogs"\RTDC4018\2017-02-22</v>
      </c>
      <c r="AF32" s="82" t="str">
        <f t="shared" si="10"/>
        <v>"C:\Program Files (x86)\AstroGrep\AstroGrep.exe" /spath="%USERPROFILE%\AppData\Local\Temp\OnboardLogs" /stypes="app*4018*20170221*" /stext=" 13:.+((SYSTEM_STATE.+slice.+state.+changed )|(ment ac)|(multiple cpu faults)|(system.+state.+changed )|(\[timeout)|(PRM\|1\|D)|(kpr)|(kdp)|(\|lc)|(penalty))" /e /r /s</v>
      </c>
      <c r="AG32" s="1" t="str">
        <f t="shared" si="11"/>
        <v>EC</v>
      </c>
      <c r="AH32" s="86" t="str">
        <f t="shared" si="20"/>
        <v>"%USERPROFILE%\Documents\GitHub\eaglep3\Utilities\RefineRTDCRunTimes.py" --tripid 119-21 --locoid 4018 --swversion DE.1.0.9.0 --startMP 204:812 --initTime 2017-02-21T05:56:16 --startdatetime 2017-02-21T06:00:18 --delay 1 --endMP 204:233312 --enddatetime 2017-02-21T06:36:35 --enforcementcount 0 &gt;&gt;C:\Users\stu\Documents\GitHub\eaglep3-reporting\EC\2017-02-21-refined-times.txt</v>
      </c>
      <c r="AI32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{"issue":{"subject":"","project_id":79,"tracker_id":40,"status_id":1,"priority_id":2,"assigned_to_id":23,"start_date":"2017-02-21","description":"","custom_fields":[{"id":1,"name":"Subdivision","value":"EC"},{"id":4,"name":"Milepost","value":"23.3312"},{"id":17,"name":"Train ID","value":"119-21"},{"id":16,"name":"Locomotive ID","value":"4018"},{"id":130,"name":"Impact","value":""},{"id":150,"name":"Time of Event (Mountain Time)","value":"06:36:35"},{"id":151,"name":"Denver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22"/>
        <v>start /low /b %USERPROFILE%\Documents\GitHub\eaglep3\Utilities\DownloadLogsFromS3.py --loco 4018 --day 2017-02-21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"%USERPROFILE%\AppData\Local\Temp\OnboardLogs"\RTDC4018\*4018*20170221* | grep -SE "(Enforcement Action)|(\[TIMEOUT)|(CHR.+\|PRM\|1\|D.+(SWITCH|SIGNAL).+UNKNOWN)" - &gt;&gt; 2017-02-21-UncaughtWiMAX.txt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531</v>
      </c>
      <c r="B33" s="7">
        <v>4017</v>
      </c>
      <c r="C33" s="21" t="s">
        <v>359</v>
      </c>
      <c r="D33" s="21" t="s">
        <v>707</v>
      </c>
      <c r="E33" s="13">
        <v>42787.284641203703</v>
      </c>
      <c r="F33" s="13">
        <v>42787.289074074077</v>
      </c>
      <c r="G33" s="7">
        <v>1</v>
      </c>
      <c r="H33" s="21" t="s">
        <v>289</v>
      </c>
      <c r="I33" s="13">
        <v>42787.316481481481</v>
      </c>
      <c r="J33" s="7">
        <v>0</v>
      </c>
      <c r="K33" s="98" t="str">
        <f t="shared" si="0"/>
        <v>4017/4018</v>
      </c>
      <c r="L33" s="21" t="str">
        <f>VLOOKUP(A33,'Trips&amp;Operators'!$C$1:$G$99999,5,FALSE)</f>
        <v>STARKS ANGELINA</v>
      </c>
      <c r="M33" s="6">
        <f t="shared" si="1"/>
        <v>2.7407407404098194E-2</v>
      </c>
      <c r="N33" s="7">
        <f t="shared" si="23"/>
        <v>39.466666661901399</v>
      </c>
      <c r="O33" s="7"/>
      <c r="P33" s="7"/>
      <c r="Q33" s="22"/>
      <c r="R33" s="22"/>
      <c r="S33" s="31">
        <f t="shared" si="2"/>
        <v>1</v>
      </c>
      <c r="T33" s="46" t="str">
        <f t="shared" si="3"/>
        <v>Southbound</v>
      </c>
      <c r="U33" s="193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4" t="str">
        <f t="shared" si="4"/>
        <v>https://d0f6bd738d7f1b3e5a7ca70fe4ff75f0.us-east-1.aws.found.io/app/kibana#/discover/Steve-Slow-Train-Analysis-(2080s-and-2083s)?_g=(refreshInterval:(display:Off,pause:!f,section:0,value:0),time:(from:'2017-02-21T05:49:53-0700',mode:absolute,to:'2017-02-21T08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3" s="195" t="str">
        <f t="shared" si="5"/>
        <v>N</v>
      </c>
      <c r="X33" s="195">
        <f t="shared" si="6"/>
        <v>1</v>
      </c>
      <c r="Y33" s="62">
        <f t="shared" si="18"/>
        <v>23.298300000000001</v>
      </c>
      <c r="Z33" s="62">
        <f t="shared" si="19"/>
        <v>1.47E-2</v>
      </c>
      <c r="AA33" s="62">
        <f t="shared" si="7"/>
        <v>23.2836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8"/>
        <v>0120-21</v>
      </c>
      <c r="AE33" s="85" t="str">
        <f t="shared" si="9"/>
        <v>aws s3 cp s3://rtdc.mdm.uploadarchive.raw/RTDC4017/ "%USERPROFILE%\AppData\Local\Temp\OnboardLogs"\RTDC4017\2017-02-21 --exclude "*" --recursive --include "*20170221*" &amp; "%USERPROFILE%\Documents\GitHub\mrs-test-scripts\Headless Mode &amp; Sideloading\WalkAndUnGZ.bat" "%USERPROFILE%\AppData\Local\Temp\OnboardLogs"\RTDC4017\2017-02-21 &amp; aws s3 cp s3://rtdc.mdm.uploadarchive.raw/RTDC4017/ "%USERPROFILE%\AppData\Local\Temp\OnboardLogs"\RTDC4017\2017-02-22 --exclude "*" --recursive --include "*20170222*" &amp; "%USERPROFILE%\Documents\GitHub\mrs-test-scripts\Headless Mode &amp; Sideloading\WalkAndUnGZ.bat" "%USERPROFILE%\AppData\Local\Temp\OnboardLogs"\RTDC4017\2017-02-22</v>
      </c>
      <c r="AF33" s="82" t="str">
        <f t="shared" si="10"/>
        <v>"C:\Program Files (x86)\AstroGrep\AstroGrep.exe" /spath="%USERPROFILE%\AppData\Local\Temp\OnboardLogs" /stypes="app*4017*20170221*" /stext=" 14:.+((SYSTEM_STATE.+slice.+state.+changed )|(ment ac)|(multiple cpu faults)|(system.+state.+changed )|(\[timeout)|(PRM\|1\|D)|(kpr)|(kdp)|(\|lc)|(penalty))" /e /r /s</v>
      </c>
      <c r="AG33" s="1" t="str">
        <f t="shared" si="11"/>
        <v>EC</v>
      </c>
      <c r="AH33" s="86" t="str">
        <f t="shared" si="20"/>
        <v>"%USERPROFILE%\Documents\GitHub\eaglep3\Utilities\RefineRTDCRunTimes.py" --tripid 120-21 --locoid 4017 --swversion DE.1.0.9.0 --startMP 204:232983 --initTime 2017-02-21T06:49:53 --startdatetime 2017-02-21T06:56:16 --delay 1 --endMP 204:147 --enddatetime 2017-02-21T07:35:44 --enforcementcount 0 &gt;&gt;C:\Users\stu\Documents\GitHub\eaglep3-reporting\EC\2017-02-21-refined-times.txt</v>
      </c>
      <c r="AI33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{"issue":{"subject":"","project_id":79,"tracker_id":40,"status_id":1,"priority_id":2,"assigned_to_id":23,"start_date":"2017-02-21","description":"","custom_fields":[{"id":1,"name":"Subdivision","value":"EC"},{"id":4,"name":"Milepost","value":"0.0147"},{"id":17,"name":"Train ID","value":"120-21"},{"id":16,"name":"Locomotive ID","value":"4017"},{"id":130,"name":"Impact","value":""},{"id":150,"name":"Time of Event (Mountain Time)","value":"07:35:44"},{"id":151,"name":"Denver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22"/>
        <v>start /low /b %USERPROFILE%\Documents\GitHub\eaglep3\Utilities\DownloadLogsFromS3.py --loco 4017 --day 2017-02-21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"%USERPROFILE%\AppData\Local\Temp\OnboardLogs"\RTDC4017\*4017*20170221* | grep -SE "(Enforcement Action)|(\[TIMEOUT)|(CHR.+\|PRM\|1\|D.+(SWITCH|SIGNAL).+UNKNOWN)" - &gt;&gt; 2017-02-21-UncaughtWiMAX.txt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526</v>
      </c>
      <c r="B34" s="7">
        <v>4003</v>
      </c>
      <c r="C34" s="21" t="s">
        <v>359</v>
      </c>
      <c r="D34" s="21" t="s">
        <v>226</v>
      </c>
      <c r="E34" s="13">
        <v>42787.257824074077</v>
      </c>
      <c r="F34" s="13">
        <v>42787.260567129626</v>
      </c>
      <c r="G34" s="7">
        <v>1</v>
      </c>
      <c r="H34" s="21" t="s">
        <v>708</v>
      </c>
      <c r="I34" s="13">
        <v>42787.286527777775</v>
      </c>
      <c r="J34" s="7">
        <v>0</v>
      </c>
      <c r="K34" s="98" t="str">
        <f t="shared" si="0"/>
        <v>4003/4004</v>
      </c>
      <c r="L34" s="21" t="str">
        <f>VLOOKUP(A34,'Trips&amp;Operators'!$C$1:$G$99999,5,FALSE)</f>
        <v>BONDS REYNALDO</v>
      </c>
      <c r="M34" s="6">
        <f t="shared" si="1"/>
        <v>2.5960648148611654E-2</v>
      </c>
      <c r="N34" s="7">
        <f t="shared" si="23"/>
        <v>37.383333334000781</v>
      </c>
      <c r="O34" s="7"/>
      <c r="P34" s="7"/>
      <c r="Q34" s="22"/>
      <c r="R34" s="22"/>
      <c r="S34" s="31">
        <f t="shared" si="2"/>
        <v>1</v>
      </c>
      <c r="T34" s="46" t="str">
        <f t="shared" si="3"/>
        <v>NorthBound</v>
      </c>
      <c r="U34" s="193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4" t="str">
        <f t="shared" si="4"/>
        <v>https://d0f6bd738d7f1b3e5a7ca70fe4ff75f0.us-east-1.aws.found.io/app/kibana#/discover/Steve-Slow-Train-Analysis-(2080s-and-2083s)?_g=(refreshInterval:(display:Off,pause:!f,section:0,value:0),time:(from:'2017-02-21T05:11:16-0700',mode:absolute,to:'2017-02-21T07:52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4" s="195" t="str">
        <f t="shared" si="5"/>
        <v>N</v>
      </c>
      <c r="X34" s="195">
        <f t="shared" si="6"/>
        <v>1</v>
      </c>
      <c r="Y34" s="62">
        <f t="shared" si="18"/>
        <v>4.5699999999999998E-2</v>
      </c>
      <c r="Z34" s="62">
        <f t="shared" si="19"/>
        <v>23.3339</v>
      </c>
      <c r="AA34" s="62">
        <f t="shared" si="7"/>
        <v>23.2882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8"/>
        <v>0121-21</v>
      </c>
      <c r="AE34" s="85" t="str">
        <f t="shared" si="9"/>
        <v>aws s3 cp s3://rtdc.mdm.uploadarchive.raw/RTDC4003/ "%USERPROFILE%\AppData\Local\Temp\OnboardLogs"\RTDC4003\2017-02-21 --exclude "*" --recursive --include "*20170221*" &amp; "%USERPROFILE%\Documents\GitHub\mrs-test-scripts\Headless Mode &amp; Sideloading\WalkAndUnGZ.bat" "%USERPROFILE%\AppData\Local\Temp\OnboardLogs"\RTDC4003\2017-02-21 &amp; aws s3 cp s3://rtdc.mdm.uploadarchive.raw/RTDC4003/ "%USERPROFILE%\AppData\Local\Temp\OnboardLogs"\RTDC4003\2017-02-22 --exclude "*" --recursive --include "*20170222*" &amp; "%USERPROFILE%\Documents\GitHub\mrs-test-scripts\Headless Mode &amp; Sideloading\WalkAndUnGZ.bat" "%USERPROFILE%\AppData\Local\Temp\OnboardLogs"\RTDC4003\2017-02-22</v>
      </c>
      <c r="AF34" s="82" t="str">
        <f t="shared" si="10"/>
        <v>"C:\Program Files (x86)\AstroGrep\AstroGrep.exe" /spath="%USERPROFILE%\AppData\Local\Temp\OnboardLogs" /stypes="app*4003*20170221*" /stext=" 13:.+((SYSTEM_STATE.+slice.+state.+changed )|(ment ac)|(multiple cpu faults)|(system.+state.+changed )|(\[timeout)|(PRM\|1\|D)|(kpr)|(kdp)|(\|lc)|(penalty))" /e /r /s</v>
      </c>
      <c r="AG34" s="1" t="str">
        <f t="shared" si="11"/>
        <v>EC</v>
      </c>
      <c r="AH34" s="86" t="str">
        <f t="shared" si="20"/>
        <v>"%USERPROFILE%\Documents\GitHub\eaglep3\Utilities\RefineRTDCRunTimes.py" --tripid 121-21 --locoid 4003 --swversion DE.1.0.9.0 --startMP 204:457 --initTime 2017-02-21T06:11:16 --startdatetime 2017-02-21T06:15:13 --delay 1 --endMP 204:233339 --enddatetime 2017-02-21T06:52:36 --enforcementcount 0 &gt;&gt;C:\Users\stu\Documents\GitHub\eaglep3-reporting\EC\2017-02-21-refined-times.txt</v>
      </c>
      <c r="AI34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{"issue":{"subject":"","project_id":79,"tracker_id":40,"status_id":1,"priority_id":2,"assigned_to_id":23,"start_date":"2017-02-21","description":"","custom_fields":[{"id":1,"name":"Subdivision","value":"EC"},{"id":4,"name":"Milepost","value":"23.3339"},{"id":17,"name":"Train ID","value":"121-21"},{"id":16,"name":"Locomotive ID","value":"4003"},{"id":130,"name":"Impact","value":""},{"id":150,"name":"Time of Event (Mountain Time)","value":"06:52:36"},{"id":151,"name":"Denver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22"/>
        <v>start /low /b %USERPROFILE%\Documents\GitHub\eaglep3\Utilities\DownloadLogsFromS3.py --loco 4003 --day 2017-02-21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"%USERPROFILE%\AppData\Local\Temp\OnboardLogs"\RTDC4003\*4003*20170221* | grep -SE "(Enforcement Action)|(\[TIMEOUT)|(CHR.+\|PRM\|1\|D.+(SWITCH|SIGNAL).+UNKNOWN)" - &gt;&gt; 2017-02-21-UncaughtWiMAX.txt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534</v>
      </c>
      <c r="B35" s="7">
        <v>4004</v>
      </c>
      <c r="C35" s="21" t="s">
        <v>359</v>
      </c>
      <c r="D35" s="21" t="s">
        <v>417</v>
      </c>
      <c r="E35" s="13">
        <v>42787.296481481484</v>
      </c>
      <c r="F35" s="13">
        <v>42787.29959490741</v>
      </c>
      <c r="G35" s="7">
        <v>1</v>
      </c>
      <c r="H35" s="21" t="s">
        <v>258</v>
      </c>
      <c r="I35" s="13">
        <v>42787.327025462961</v>
      </c>
      <c r="J35" s="7">
        <v>0</v>
      </c>
      <c r="K35" s="98" t="str">
        <f t="shared" si="0"/>
        <v>4003/4004</v>
      </c>
      <c r="L35" s="21" t="str">
        <f>VLOOKUP(A35,'Trips&amp;Operators'!$C$1:$G$99999,5,FALSE)</f>
        <v>BONDS REYNALDO</v>
      </c>
      <c r="M35" s="6">
        <f t="shared" si="1"/>
        <v>2.7430555550381541E-2</v>
      </c>
      <c r="N35" s="7">
        <f t="shared" si="23"/>
        <v>39.499999992549419</v>
      </c>
      <c r="O35" s="7"/>
      <c r="P35" s="7"/>
      <c r="Q35" s="22"/>
      <c r="R35" s="22"/>
      <c r="S35" s="31">
        <f t="shared" si="2"/>
        <v>1</v>
      </c>
      <c r="T35" s="46" t="str">
        <f t="shared" si="3"/>
        <v>Southbound</v>
      </c>
      <c r="U35" s="193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4" t="str">
        <f t="shared" si="4"/>
        <v>https://d0f6bd738d7f1b3e5a7ca70fe4ff75f0.us-east-1.aws.found.io/app/kibana#/discover/Steve-Slow-Train-Analysis-(2080s-and-2083s)?_g=(refreshInterval:(display:Off,pause:!f,section:0,value:0),time:(from:'2017-02-21T06:06:56-0700',mode:absolute,to:'2017-02-21T08:50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5" s="195" t="str">
        <f t="shared" si="5"/>
        <v>N</v>
      </c>
      <c r="X35" s="195">
        <f t="shared" si="6"/>
        <v>1</v>
      </c>
      <c r="Y35" s="62">
        <f t="shared" si="18"/>
        <v>23.296900000000001</v>
      </c>
      <c r="Z35" s="62">
        <f t="shared" si="19"/>
        <v>1.3899999999999999E-2</v>
      </c>
      <c r="AA35" s="62">
        <f t="shared" si="7"/>
        <v>23.283000000000001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8"/>
        <v>0122-21</v>
      </c>
      <c r="AE35" s="85" t="str">
        <f t="shared" si="9"/>
        <v>aws s3 cp s3://rtdc.mdm.uploadarchive.raw/RTDC4004/ "%USERPROFILE%\AppData\Local\Temp\OnboardLogs"\RTDC4004\2017-02-21 --exclude "*" --recursive --include "*20170221*" &amp; "%USERPROFILE%\Documents\GitHub\mrs-test-scripts\Headless Mode &amp; Sideloading\WalkAndUnGZ.bat" "%USERPROFILE%\AppData\Local\Temp\OnboardLogs"\RTDC4004\2017-02-21 &amp; aws s3 cp s3://rtdc.mdm.uploadarchive.raw/RTDC4004/ "%USERPROFILE%\AppData\Local\Temp\OnboardLogs"\RTDC4004\2017-02-22 --exclude "*" --recursive --include "*20170222*" &amp; "%USERPROFILE%\Documents\GitHub\mrs-test-scripts\Headless Mode &amp; Sideloading\WalkAndUnGZ.bat" "%USERPROFILE%\AppData\Local\Temp\OnboardLogs"\RTDC4004\2017-02-22</v>
      </c>
      <c r="AF35" s="82" t="str">
        <f t="shared" si="10"/>
        <v>"C:\Program Files (x86)\AstroGrep\AstroGrep.exe" /spath="%USERPROFILE%\AppData\Local\Temp\OnboardLogs" /stypes="app*4004*20170221*" /stext=" 14:.+((SYSTEM_STATE.+slice.+state.+changed )|(ment ac)|(multiple cpu faults)|(system.+state.+changed )|(\[timeout)|(PRM\|1\|D)|(kpr)|(kdp)|(\|lc)|(penalty))" /e /r /s</v>
      </c>
      <c r="AG35" s="1" t="str">
        <f t="shared" si="11"/>
        <v>EC</v>
      </c>
      <c r="AH35" s="86" t="str">
        <f t="shared" si="20"/>
        <v>"%USERPROFILE%\Documents\GitHub\eaglep3\Utilities\RefineRTDCRunTimes.py" --tripid 122-21 --locoid 4004 --swversion DE.1.0.9.0 --startMP 204:232969 --initTime 2017-02-21T07:06:56 --startdatetime 2017-02-21T07:11:25 --delay 1 --endMP 204:139 --enddatetime 2017-02-21T07:50:55 --enforcementcount 0 &gt;&gt;C:\Users\stu\Documents\GitHub\eaglep3-reporting\EC\2017-02-21-refined-times.txt</v>
      </c>
      <c r="AI35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{"issue":{"subject":"","project_id":79,"tracker_id":40,"status_id":1,"priority_id":2,"assigned_to_id":23,"start_date":"2017-02-21","description":"","custom_fields":[{"id":1,"name":"Subdivision","value":"EC"},{"id":4,"name":"Milepost","value":"0.0139"},{"id":17,"name":"Train ID","value":"122-21"},{"id":16,"name":"Locomotive ID","value":"4004"},{"id":130,"name":"Impact","value":""},{"id":150,"name":"Time of Event (Mountain Time)","value":"07:50:55"},{"id":151,"name":"Denver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22"/>
        <v>start /low /b %USERPROFILE%\Documents\GitHub\eaglep3\Utilities\DownloadLogsFromS3.py --loco 4004 --day 2017-02-21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"%USERPROFILE%\AppData\Local\Temp\OnboardLogs"\RTDC4004\*4004*20170221* | grep -SE "(Enforcement Action)|(\[TIMEOUT)|(CHR.+\|PRM\|1\|D.+(SWITCH|SIGNAL).+UNKNOWN)" - &gt;&gt; 2017-02-21-UncaughtWiMAX.txt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460</v>
      </c>
      <c r="B36" s="7">
        <v>4027</v>
      </c>
      <c r="C36" s="21" t="s">
        <v>359</v>
      </c>
      <c r="D36" s="21" t="s">
        <v>229</v>
      </c>
      <c r="E36" s="13">
        <v>42787.266840277778</v>
      </c>
      <c r="F36" s="13">
        <v>42787.270995370367</v>
      </c>
      <c r="G36" s="7">
        <v>2</v>
      </c>
      <c r="H36" s="21" t="s">
        <v>416</v>
      </c>
      <c r="I36" s="13">
        <v>42787.296932870369</v>
      </c>
      <c r="J36" s="7">
        <v>0</v>
      </c>
      <c r="K36" s="98" t="str">
        <f t="shared" si="0"/>
        <v>4027/4028</v>
      </c>
      <c r="L36" s="21" t="str">
        <f>VLOOKUP(A36,'Trips&amp;Operators'!$C$1:$G$99999,5,FALSE)</f>
        <v>ACKERMAN JARED</v>
      </c>
      <c r="M36" s="6">
        <f t="shared" si="1"/>
        <v>2.5937500002328306E-2</v>
      </c>
      <c r="N36" s="7">
        <f t="shared" si="23"/>
        <v>37.350000003352761</v>
      </c>
      <c r="O36" s="7"/>
      <c r="P36" s="7"/>
      <c r="Q36" s="22"/>
      <c r="R36" s="22"/>
      <c r="S36" s="31">
        <f t="shared" si="2"/>
        <v>1</v>
      </c>
      <c r="T36" s="46" t="str">
        <f t="shared" si="3"/>
        <v>NorthBound</v>
      </c>
      <c r="U36" s="193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4" t="str">
        <f t="shared" si="4"/>
        <v>https://d0f6bd738d7f1b3e5a7ca70fe4ff75f0.us-east-1.aws.found.io/app/kibana#/discover/Steve-Slow-Train-Analysis-(2080s-and-2083s)?_g=(refreshInterval:(display:Off,pause:!f,section:0,value:0),time:(from:'2017-02-21T05:24:15-0700',mode:absolute,to:'2017-02-21T08:07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6" s="195" t="str">
        <f t="shared" si="5"/>
        <v>N</v>
      </c>
      <c r="X36" s="195">
        <f t="shared" si="6"/>
        <v>1</v>
      </c>
      <c r="Y36" s="62">
        <f t="shared" si="18"/>
        <v>4.5999999999999999E-2</v>
      </c>
      <c r="Z36" s="62">
        <f t="shared" si="19"/>
        <v>23.331399999999999</v>
      </c>
      <c r="AA36" s="62">
        <f t="shared" si="7"/>
        <v>23.285399999999999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8"/>
        <v>0123-21</v>
      </c>
      <c r="AE36" s="85" t="str">
        <f t="shared" si="9"/>
        <v>aws s3 cp s3://rtdc.mdm.uploadarchive.raw/RTDC4027/ "%USERPROFILE%\AppData\Local\Temp\OnboardLogs"\RTDC4027\2017-02-21 --exclude "*" --recursive --include "*20170221*" &amp; "%USERPROFILE%\Documents\GitHub\mrs-test-scripts\Headless Mode &amp; Sideloading\WalkAndUnGZ.bat" "%USERPROFILE%\AppData\Local\Temp\OnboardLogs"\RTDC4027\2017-02-21 &amp; aws s3 cp s3://rtdc.mdm.uploadarchive.raw/RTDC4027/ "%USERPROFILE%\AppData\Local\Temp\OnboardLogs"\RTDC4027\2017-02-22 --exclude "*" --recursive --include "*20170222*" &amp; "%USERPROFILE%\Documents\GitHub\mrs-test-scripts\Headless Mode &amp; Sideloading\WalkAndUnGZ.bat" "%USERPROFILE%\AppData\Local\Temp\OnboardLogs"\RTDC4027\2017-02-22</v>
      </c>
      <c r="AF36" s="82" t="str">
        <f t="shared" si="10"/>
        <v>"C:\Program Files (x86)\AstroGrep\AstroGrep.exe" /spath="%USERPROFILE%\AppData\Local\Temp\OnboardLogs" /stypes="app*4027*20170221*" /stext=" 14:.+((SYSTEM_STATE.+slice.+state.+changed )|(ment ac)|(multiple cpu faults)|(system.+state.+changed )|(\[timeout)|(PRM\|1\|D)|(kpr)|(kdp)|(\|lc)|(penalty))" /e /r /s</v>
      </c>
      <c r="AG36" s="1" t="str">
        <f t="shared" si="11"/>
        <v>EC</v>
      </c>
      <c r="AH36" s="86" t="str">
        <f t="shared" si="20"/>
        <v>"%USERPROFILE%\Documents\GitHub\eaglep3\Utilities\RefineRTDCRunTimes.py" --tripid 123-21 --locoid 4027 --swversion DE.1.0.9.0 --startMP 204:460 --initTime 2017-02-21T06:24:15 --startdatetime 2017-02-21T06:30:14 --delay 2 --endMP 204:233314 --enddatetime 2017-02-21T07:07:35 --enforcementcount 0 &gt;&gt;C:\Users\stu\Documents\GitHub\eaglep3-reporting\EC\2017-02-21-refined-times.txt</v>
      </c>
      <c r="AI36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{"issue":{"subject":"","project_id":79,"tracker_id":40,"status_id":1,"priority_id":2,"assigned_to_id":23,"start_date":"2017-02-21","description":"","custom_fields":[{"id":1,"name":"Subdivision","value":"EC"},{"id":4,"name":"Milepost","value":"23.3314"},{"id":17,"name":"Train ID","value":"123-21"},{"id":16,"name":"Locomotive ID","value":"4027"},{"id":130,"name":"Impact","value":""},{"id":150,"name":"Time of Event (Mountain Time)","value":"07:07:35"},{"id":151,"name":"Denver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22"/>
        <v>start /low /b %USERPROFILE%\Documents\GitHub\eaglep3\Utilities\DownloadLogsFromS3.py --loco 4027 --day 2017-02-21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"%USERPROFILE%\AppData\Local\Temp\OnboardLogs"\RTDC4027\*4027*20170221* | grep -SE "(Enforcement Action)|(\[TIMEOUT)|(CHR.+\|PRM\|1\|D.+(SWITCH|SIGNAL).+UNKNOWN)" - &gt;&gt; 2017-02-21-UncaughtWiMAX.txt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535</v>
      </c>
      <c r="B37" s="7">
        <v>4028</v>
      </c>
      <c r="C37" s="21" t="s">
        <v>359</v>
      </c>
      <c r="D37" s="21" t="s">
        <v>703</v>
      </c>
      <c r="E37" s="13">
        <v>42787.302534722221</v>
      </c>
      <c r="F37" s="13">
        <v>42787.309895833336</v>
      </c>
      <c r="G37" s="7">
        <v>2</v>
      </c>
      <c r="H37" s="21" t="s">
        <v>194</v>
      </c>
      <c r="I37" s="13">
        <v>42787.336597222224</v>
      </c>
      <c r="J37" s="7">
        <v>0</v>
      </c>
      <c r="K37" s="98" t="str">
        <f t="shared" si="0"/>
        <v>4027/4028</v>
      </c>
      <c r="L37" s="21" t="str">
        <f>VLOOKUP(A37,'Trips&amp;Operators'!$C$1:$G$99999,5,FALSE)</f>
        <v>ACKERMAN JARED</v>
      </c>
      <c r="M37" s="6">
        <f t="shared" si="1"/>
        <v>2.6701388887886424E-2</v>
      </c>
      <c r="N37" s="7">
        <f t="shared" si="23"/>
        <v>38.44999999855645</v>
      </c>
      <c r="O37" s="7"/>
      <c r="P37" s="7"/>
      <c r="Q37" s="22"/>
      <c r="R37" s="22"/>
      <c r="S37" s="31">
        <f t="shared" si="2"/>
        <v>1</v>
      </c>
      <c r="T37" s="46" t="str">
        <f t="shared" si="3"/>
        <v>Southbound</v>
      </c>
      <c r="U37" s="193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4" t="str">
        <f t="shared" si="4"/>
        <v>https://d0f6bd738d7f1b3e5a7ca70fe4ff75f0.us-east-1.aws.found.io/app/kibana#/discover/Steve-Slow-Train-Analysis-(2080s-and-2083s)?_g=(refreshInterval:(display:Off,pause:!f,section:0,value:0),time:(from:'2017-02-21T06:15:39-0700',mode:absolute,to:'2017-02-21T09:04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7" s="195" t="str">
        <f t="shared" si="5"/>
        <v>N</v>
      </c>
      <c r="X37" s="195">
        <f t="shared" si="6"/>
        <v>1</v>
      </c>
      <c r="Y37" s="62">
        <f t="shared" si="18"/>
        <v>23.300999999999998</v>
      </c>
      <c r="Z37" s="62">
        <f t="shared" si="19"/>
        <v>1.4999999999999999E-2</v>
      </c>
      <c r="AA37" s="62">
        <f t="shared" si="7"/>
        <v>23.285999999999998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8"/>
        <v>0124-21</v>
      </c>
      <c r="AE37" s="85" t="str">
        <f t="shared" si="9"/>
        <v>aws s3 cp s3://rtdc.mdm.uploadarchive.raw/RTDC4028/ "%USERPROFILE%\AppData\Local\Temp\OnboardLogs"\RTDC4028\2017-02-21 --exclude "*" --recursive --include "*20170221*" &amp; "%USERPROFILE%\Documents\GitHub\mrs-test-scripts\Headless Mode &amp; Sideloading\WalkAndUnGZ.bat" "%USERPROFILE%\AppData\Local\Temp\OnboardLogs"\RTDC4028\2017-02-21 &amp; aws s3 cp s3://rtdc.mdm.uploadarchive.raw/RTDC4028/ "%USERPROFILE%\AppData\Local\Temp\OnboardLogs"\RTDC4028\2017-02-22 --exclude "*" --recursive --include "*20170222*" &amp; "%USERPROFILE%\Documents\GitHub\mrs-test-scripts\Headless Mode &amp; Sideloading\WalkAndUnGZ.bat" "%USERPROFILE%\AppData\Local\Temp\OnboardLogs"\RTDC4028\2017-02-22</v>
      </c>
      <c r="AF37" s="82" t="str">
        <f t="shared" si="10"/>
        <v>"C:\Program Files (x86)\AstroGrep\AstroGrep.exe" /spath="%USERPROFILE%\AppData\Local\Temp\OnboardLogs" /stypes="app*4028*20170221*" /stext=" 15:.+((SYSTEM_STATE.+slice.+state.+changed )|(ment ac)|(multiple cpu faults)|(system.+state.+changed )|(\[timeout)|(PRM\|1\|D)|(kpr)|(kdp)|(\|lc)|(penalty))" /e /r /s</v>
      </c>
      <c r="AG37" s="1" t="str">
        <f t="shared" si="11"/>
        <v>EC</v>
      </c>
      <c r="AH37" s="86" t="str">
        <f t="shared" si="20"/>
        <v>"%USERPROFILE%\Documents\GitHub\eaglep3\Utilities\RefineRTDCRunTimes.py" --tripid 124-21 --locoid 4028 --swversion DE.1.0.9.0 --startMP 204:233010 --initTime 2017-02-21T07:15:39 --startdatetime 2017-02-21T07:26:15 --delay 2 --endMP 204:150 --enddatetime 2017-02-21T08:04:42 --enforcementcount 0 &gt;&gt;C:\Users\stu\Documents\GitHub\eaglep3-reporting\EC\2017-02-21-refined-times.txt</v>
      </c>
      <c r="AI37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{"issue":{"subject":"","project_id":79,"tracker_id":40,"status_id":1,"priority_id":2,"assigned_to_id":23,"start_date":"2017-02-21","description":"","custom_fields":[{"id":1,"name":"Subdivision","value":"EC"},{"id":4,"name":"Milepost","value":"0.015"},{"id":17,"name":"Train ID","value":"124-21"},{"id":16,"name":"Locomotive ID","value":"4028"},{"id":130,"name":"Impact","value":""},{"id":150,"name":"Time of Event (Mountain Time)","value":"08:04:42"},{"id":151,"name":"Denver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22"/>
        <v>start /low /b %USERPROFILE%\Documents\GitHub\eaglep3\Utilities\DownloadLogsFromS3.py --loco 4028 --day 2017-02-21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"%USERPROFILE%\AppData\Local\Temp\OnboardLogs"\RTDC4028\*4028*20170221* | grep -SE "(Enforcement Action)|(\[TIMEOUT)|(CHR.+\|PRM\|1\|D.+(SWITCH|SIGNAL).+UNKNOWN)" - &gt;&gt; 2017-02-21-UncaughtWiMAX.txt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461</v>
      </c>
      <c r="B38" s="7">
        <v>4025</v>
      </c>
      <c r="C38" s="21" t="s">
        <v>359</v>
      </c>
      <c r="D38" s="21" t="s">
        <v>420</v>
      </c>
      <c r="E38" s="13">
        <v>42787.27789351852</v>
      </c>
      <c r="F38" s="13">
        <v>42787.281458333331</v>
      </c>
      <c r="G38" s="7">
        <v>1</v>
      </c>
      <c r="H38" s="21" t="s">
        <v>709</v>
      </c>
      <c r="I38" s="13">
        <v>42787.306261574071</v>
      </c>
      <c r="J38" s="7">
        <v>0</v>
      </c>
      <c r="K38" s="98" t="str">
        <f t="shared" si="0"/>
        <v>4025/4026</v>
      </c>
      <c r="L38" s="21" t="str">
        <f>VLOOKUP(A38,'Trips&amp;Operators'!$C$1:$G$99999,5,FALSE)</f>
        <v>COOLAHAN JOHN</v>
      </c>
      <c r="M38" s="6">
        <f t="shared" si="1"/>
        <v>2.4803240739856847E-2</v>
      </c>
      <c r="N38" s="7">
        <f t="shared" si="23"/>
        <v>35.716666665393859</v>
      </c>
      <c r="O38" s="7"/>
      <c r="P38" s="7"/>
      <c r="Q38" s="22"/>
      <c r="R38" s="22"/>
      <c r="S38" s="31">
        <f t="shared" si="2"/>
        <v>1</v>
      </c>
      <c r="T38" s="46" t="str">
        <f t="shared" si="3"/>
        <v>NorthBound</v>
      </c>
      <c r="U38" s="193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4" t="str">
        <f t="shared" si="4"/>
        <v>https://d0f6bd738d7f1b3e5a7ca70fe4ff75f0.us-east-1.aws.found.io/app/kibana#/discover/Steve-Slow-Train-Analysis-(2080s-and-2083s)?_g=(refreshInterval:(display:Off,pause:!f,section:0,value:0),time:(from:'2017-02-21T05:40:10-0700',mode:absolute,to:'2017-02-21T08:21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8" s="195" t="str">
        <f t="shared" si="5"/>
        <v>N</v>
      </c>
      <c r="X38" s="195">
        <f t="shared" si="6"/>
        <v>1</v>
      </c>
      <c r="Y38" s="62">
        <f t="shared" si="18"/>
        <v>4.3700000000000003E-2</v>
      </c>
      <c r="Z38" s="62">
        <f t="shared" si="19"/>
        <v>23.331800000000001</v>
      </c>
      <c r="AA38" s="62">
        <f t="shared" si="7"/>
        <v>23.2881</v>
      </c>
      <c r="AB38" s="59" t="str">
        <f>VLOOKUP(A38,Enforcements!$C$7:$K$13,8,0)</f>
        <v>Bulletin (2)</v>
      </c>
      <c r="AC38" s="55" t="str">
        <f>VLOOKUP(A38,Enforcements!$C$7:$E$13,3,0)</f>
        <v>GRADE CROSSING</v>
      </c>
      <c r="AD38" s="56" t="str">
        <f t="shared" si="8"/>
        <v>0125-21</v>
      </c>
      <c r="AE38" s="85" t="str">
        <f t="shared" si="9"/>
        <v>aws s3 cp s3://rtdc.mdm.uploadarchive.raw/RTDC4025/ "%USERPROFILE%\AppData\Local\Temp\OnboardLogs"\RTDC4025\2017-02-21 --exclude "*" --recursive --include "*20170221*" &amp; "%USERPROFILE%\Documents\GitHub\mrs-test-scripts\Headless Mode &amp; Sideloading\WalkAndUnGZ.bat" "%USERPROFILE%\AppData\Local\Temp\OnboardLogs"\RTDC4025\2017-02-21 &amp; aws s3 cp s3://rtdc.mdm.uploadarchive.raw/RTDC4025/ "%USERPROFILE%\AppData\Local\Temp\OnboardLogs"\RTDC4025\2017-02-22 --exclude "*" --recursive --include "*20170222*" &amp; "%USERPROFILE%\Documents\GitHub\mrs-test-scripts\Headless Mode &amp; Sideloading\WalkAndUnGZ.bat" "%USERPROFILE%\AppData\Local\Temp\OnboardLogs"\RTDC4025\2017-02-22</v>
      </c>
      <c r="AF38" s="82" t="str">
        <f t="shared" si="10"/>
        <v>"C:\Program Files (x86)\AstroGrep\AstroGrep.exe" /spath="%USERPROFILE%\AppData\Local\Temp\OnboardLogs" /stypes="app*4025*20170221*" /stext=" 14:.+((SYSTEM_STATE.+slice.+state.+changed )|(ment ac)|(multiple cpu faults)|(system.+state.+changed )|(\[timeout)|(PRM\|1\|D)|(kpr)|(kdp)|(\|lc)|(penalty))" /e /r /s</v>
      </c>
      <c r="AG38" s="1" t="str">
        <f t="shared" si="11"/>
        <v>EC</v>
      </c>
      <c r="AH38" s="86" t="str">
        <f t="shared" si="20"/>
        <v>"%USERPROFILE%\Documents\GitHub\eaglep3\Utilities\RefineRTDCRunTimes.py" --tripid 125-21 --locoid 4025 --swversion DE.1.0.9.0 --startMP 204:437 --initTime 2017-02-21T06:40:10 --startdatetime 2017-02-21T06:45:18 --delay 1 --endMP 204:233318 --enddatetime 2017-02-21T07:21:01 --enforcementcount 0 &gt;&gt;C:\Users\stu\Documents\GitHub\eaglep3-reporting\EC\2017-02-21-refined-times.txt</v>
      </c>
      <c r="AI38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{"issue":{"subject":"","project_id":79,"tracker_id":40,"status_id":1,"priority_id":2,"assigned_to_id":23,"start_date":"2017-02-21","description":"","custom_fields":[{"id":1,"name":"Subdivision","value":"EC"},{"id":4,"name":"Milepost","value":"23.3318"},{"id":17,"name":"Train ID","value":"125-21"},{"id":16,"name":"Locomotive ID","value":"4025"},{"id":130,"name":"Impact","value":""},{"id":150,"name":"Time of Event (Mountain Time)","value":"07:21:01"},{"id":151,"name":"Denver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22"/>
        <v>start /low /b %USERPROFILE%\Documents\GitHub\eaglep3\Utilities\DownloadLogsFromS3.py --loco 4025 --day 2017-02-21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"%USERPROFILE%\AppData\Local\Temp\OnboardLogs"\RTDC4025\*4025*20170221* | grep -SE "(Enforcement Action)|(\[TIMEOUT)|(CHR.+\|PRM\|1\|D.+(SWITCH|SIGNAL).+UNKNOWN)" - &gt;&gt; 2017-02-21-UncaughtWiMAX.txt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464</v>
      </c>
      <c r="B39" s="7">
        <v>4026</v>
      </c>
      <c r="C39" s="21" t="s">
        <v>359</v>
      </c>
      <c r="D39" s="21" t="s">
        <v>710</v>
      </c>
      <c r="E39" s="13">
        <v>42787.316111111111</v>
      </c>
      <c r="F39" s="13">
        <v>42787.320497685185</v>
      </c>
      <c r="G39" s="7">
        <v>1</v>
      </c>
      <c r="H39" s="21" t="s">
        <v>711</v>
      </c>
      <c r="I39" s="13">
        <v>42787.346979166665</v>
      </c>
      <c r="J39" s="7">
        <v>0</v>
      </c>
      <c r="K39" s="98" t="str">
        <f t="shared" si="0"/>
        <v>4025/4026</v>
      </c>
      <c r="L39" s="21" t="str">
        <f>VLOOKUP(A39,'Trips&amp;Operators'!$C$1:$G$99999,5,FALSE)</f>
        <v>COOLAHAN JOHN</v>
      </c>
      <c r="M39" s="6">
        <f t="shared" si="1"/>
        <v>2.6481481480004732E-2</v>
      </c>
      <c r="N39" s="7">
        <f t="shared" si="23"/>
        <v>38.133333331206813</v>
      </c>
      <c r="O39" s="7"/>
      <c r="P39" s="7"/>
      <c r="Q39" s="22"/>
      <c r="R39" s="22" t="s">
        <v>453</v>
      </c>
      <c r="S39" s="31">
        <f t="shared" si="2"/>
        <v>1</v>
      </c>
      <c r="T39" s="46" t="str">
        <f t="shared" si="3"/>
        <v>Southbound</v>
      </c>
      <c r="U39" s="193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4" t="str">
        <f t="shared" si="4"/>
        <v>https://d0f6bd738d7f1b3e5a7ca70fe4ff75f0.us-east-1.aws.found.io/app/kibana#/discover/Steve-Slow-Train-Analysis-(2080s-and-2083s)?_g=(refreshInterval:(display:Off,pause:!f,section:0,value:0),time:(from:'2017-02-21T06:35:12-0700',mode:absolute,to:'2017-02-21T09:19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9" s="195" t="str">
        <f t="shared" si="5"/>
        <v>N</v>
      </c>
      <c r="X39" s="195">
        <f t="shared" si="6"/>
        <v>1</v>
      </c>
      <c r="Y39" s="62">
        <f t="shared" si="18"/>
        <v>23.2986</v>
      </c>
      <c r="Z39" s="62">
        <f t="shared" si="19"/>
        <v>2.18E-2</v>
      </c>
      <c r="AA39" s="62">
        <f t="shared" si="7"/>
        <v>23.276800000000001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8"/>
        <v>0126-21</v>
      </c>
      <c r="AE39" s="85" t="str">
        <f t="shared" si="9"/>
        <v>aws s3 cp s3://rtdc.mdm.uploadarchive.raw/RTDC4026/ "%USERPROFILE%\AppData\Local\Temp\OnboardLogs"\RTDC4026\2017-02-21 --exclude "*" --recursive --include "*20170221*" &amp; "%USERPROFILE%\Documents\GitHub\mrs-test-scripts\Headless Mode &amp; Sideloading\WalkAndUnGZ.bat" "%USERPROFILE%\AppData\Local\Temp\OnboardLogs"\RTDC4026\2017-02-21 &amp; aws s3 cp s3://rtdc.mdm.uploadarchive.raw/RTDC4026/ "%USERPROFILE%\AppData\Local\Temp\OnboardLogs"\RTDC4026\2017-02-22 --exclude "*" --recursive --include "*20170222*" &amp; "%USERPROFILE%\Documents\GitHub\mrs-test-scripts\Headless Mode &amp; Sideloading\WalkAndUnGZ.bat" "%USERPROFILE%\AppData\Local\Temp\OnboardLogs"\RTDC4026\2017-02-22</v>
      </c>
      <c r="AF39" s="82" t="str">
        <f t="shared" si="10"/>
        <v>"C:\Program Files (x86)\AstroGrep\AstroGrep.exe" /spath="%USERPROFILE%\AppData\Local\Temp\OnboardLogs" /stypes="app*4026*20170221*" /stext=" 15:.+((SYSTEM_STATE.+slice.+state.+changed )|(ment ac)|(multiple cpu faults)|(system.+state.+changed )|(\[timeout)|(PRM\|1\|D)|(kpr)|(kdp)|(\|lc)|(penalty))" /e /r /s</v>
      </c>
      <c r="AG39" s="1" t="str">
        <f t="shared" si="11"/>
        <v>EC</v>
      </c>
      <c r="AH39" s="86" t="str">
        <f t="shared" si="20"/>
        <v>"%USERPROFILE%\Documents\GitHub\eaglep3\Utilities\RefineRTDCRunTimes.py" --tripid 126-21 --locoid 4026 --swversion DE.1.0.9.0 --startMP 204:232986 --initTime 2017-02-21T07:35:12 --startdatetime 2017-02-21T07:41:31 --delay 1 --endMP 204:218 --enddatetime 2017-02-21T08:19:39 --enforcementcount 0 &gt;&gt;C:\Users\stu\Documents\GitHub\eaglep3-reporting\EC\2017-02-21-refined-times.txt</v>
      </c>
      <c r="AI39" s="108" t="str">
        <f t="shared" si="21"/>
        <v>echo {"issue":{"subject":"Unhealthy at Chambers due to train stop","project_id":79,"tracker_id":40,"status_id":1,"priority_id":2,"assigned_to_id":23,"start_date":"2017-02-21","description":"","custom_fields":[{"id":1,"name":"Subdivision","value":"EC"},{"id":4,"name":"Milepost","value":"0.0218"},{"id":17,"name":"Train ID","value":"126-21"},{"id":16,"name":"Locomotive ID","value":"4026"},{"id":130,"name":"Impact","value":""},{"id":150,"name":"Time of Event (Mountain Time)","value":"08:19:39"},{"id":151,"name":"Denver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22"/>
        <v>start /low /b %USERPROFILE%\Documents\GitHub\eaglep3\Utilities\DownloadLogsFromS3.py --loco 4026 --day 2017-02-21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"%USERPROFILE%\AppData\Local\Temp\OnboardLogs"\RTDC4026\*4026*20170221* | grep -SE "(Enforcement Action)|(\[TIMEOUT)|(CHR.+\|PRM\|1\|D.+(SWITCH|SIGNAL).+UNKNOWN)" - &gt;&gt; 2017-02-21-UncaughtWiMAX.txt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532</v>
      </c>
      <c r="B40" s="7">
        <v>4006</v>
      </c>
      <c r="C40" s="21" t="s">
        <v>359</v>
      </c>
      <c r="D40" s="21" t="s">
        <v>250</v>
      </c>
      <c r="E40" s="13">
        <v>42787.288472222222</v>
      </c>
      <c r="F40" s="13">
        <v>42787.291898148149</v>
      </c>
      <c r="G40" s="7">
        <v>1</v>
      </c>
      <c r="H40" s="21" t="s">
        <v>320</v>
      </c>
      <c r="I40" s="13">
        <v>42787.31695601852</v>
      </c>
      <c r="J40" s="7">
        <v>0</v>
      </c>
      <c r="K40" s="98" t="str">
        <f t="shared" si="0"/>
        <v>4005/4006</v>
      </c>
      <c r="L40" s="21" t="str">
        <f>VLOOKUP(A40,'Trips&amp;Operators'!$C$1:$G$99999,5,FALSE)</f>
        <v>SANTIZO D. EDY</v>
      </c>
      <c r="M40" s="6">
        <f t="shared" si="1"/>
        <v>2.5057870370801538E-2</v>
      </c>
      <c r="N40" s="7">
        <f t="shared" si="23"/>
        <v>36.083333333954215</v>
      </c>
      <c r="O40" s="7"/>
      <c r="P40" s="7"/>
      <c r="Q40" s="22"/>
      <c r="R40" s="22"/>
      <c r="S40" s="31">
        <f t="shared" si="2"/>
        <v>1</v>
      </c>
      <c r="T40" s="46" t="str">
        <f t="shared" si="3"/>
        <v>NorthBound</v>
      </c>
      <c r="U40" s="193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4" t="str">
        <f t="shared" si="4"/>
        <v>https://d0f6bd738d7f1b3e5a7ca70fe4ff75f0.us-east-1.aws.found.io/app/kibana#/discover/Steve-Slow-Train-Analysis-(2080s-and-2083s)?_g=(refreshInterval:(display:Off,pause:!f,section:0,value:0),time:(from:'2017-02-21T05:55:24-0700',mode:absolute,to:'2017-02-21T08:36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0" s="195" t="str">
        <f t="shared" si="5"/>
        <v>N</v>
      </c>
      <c r="X40" s="195">
        <f t="shared" si="6"/>
        <v>1</v>
      </c>
      <c r="Y40" s="62">
        <f t="shared" si="18"/>
        <v>4.53E-2</v>
      </c>
      <c r="Z40" s="62">
        <f t="shared" si="19"/>
        <v>23.331700000000001</v>
      </c>
      <c r="AA40" s="62">
        <f t="shared" si="7"/>
        <v>23.2864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8"/>
        <v>0127-21</v>
      </c>
      <c r="AE40" s="85" t="str">
        <f t="shared" si="9"/>
        <v>aws s3 cp s3://rtdc.mdm.uploadarchive.raw/RTDC4006/ "%USERPROFILE%\AppData\Local\Temp\OnboardLogs"\RTDC4006\2017-02-21 --exclude "*" --recursive --include "*20170221*" &amp; "%USERPROFILE%\Documents\GitHub\mrs-test-scripts\Headless Mode &amp; Sideloading\WalkAndUnGZ.bat" "%USERPROFILE%\AppData\Local\Temp\OnboardLogs"\RTDC4006\2017-02-21 &amp; aws s3 cp s3://rtdc.mdm.uploadarchive.raw/RTDC4006/ "%USERPROFILE%\AppData\Local\Temp\OnboardLogs"\RTDC4006\2017-02-22 --exclude "*" --recursive --include "*20170222*" &amp; "%USERPROFILE%\Documents\GitHub\mrs-test-scripts\Headless Mode &amp; Sideloading\WalkAndUnGZ.bat" "%USERPROFILE%\AppData\Local\Temp\OnboardLogs"\RTDC4006\2017-02-22</v>
      </c>
      <c r="AF40" s="82" t="str">
        <f t="shared" si="10"/>
        <v>"C:\Program Files (x86)\AstroGrep\AstroGrep.exe" /spath="%USERPROFILE%\AppData\Local\Temp\OnboardLogs" /stypes="app*4006*20170221*" /stext=" 14:.+((SYSTEM_STATE.+slice.+state.+changed )|(ment ac)|(multiple cpu faults)|(system.+state.+changed )|(\[timeout)|(PRM\|1\|D)|(kpr)|(kdp)|(\|lc)|(penalty))" /e /r /s</v>
      </c>
      <c r="AG40" s="1" t="str">
        <f t="shared" si="11"/>
        <v>EC</v>
      </c>
      <c r="AH40" s="86" t="str">
        <f t="shared" si="20"/>
        <v>"%USERPROFILE%\Documents\GitHub\eaglep3\Utilities\RefineRTDCRunTimes.py" --tripid 127-21 --locoid 4006 --swversion DE.1.0.9.0 --startMP 204:453 --initTime 2017-02-21T06:55:24 --startdatetime 2017-02-21T07:00:20 --delay 1 --endMP 204:233317 --enddatetime 2017-02-21T07:36:25 --enforcementcount 0 &gt;&gt;C:\Users\stu\Documents\GitHub\eaglep3-reporting\EC\2017-02-21-refined-times.txt</v>
      </c>
      <c r="AI40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{"issue":{"subject":"","project_id":79,"tracker_id":40,"status_id":1,"priority_id":2,"assigned_to_id":23,"start_date":"2017-02-21","description":"","custom_fields":[{"id":1,"name":"Subdivision","value":"EC"},{"id":4,"name":"Milepost","value":"23.3317"},{"id":17,"name":"Train ID","value":"127-21"},{"id":16,"name":"Locomotive ID","value":"4006"},{"id":130,"name":"Impact","value":""},{"id":150,"name":"Time of Event (Mountain Time)","value":"07:36:25"},{"id":151,"name":"Denver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22"/>
        <v>start /low /b %USERPROFILE%\Documents\GitHub\eaglep3\Utilities\DownloadLogsFromS3.py --loco 4006 --day 2017-02-21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"%USERPROFILE%\AppData\Local\Temp\OnboardLogs"\RTDC4006\*4006*20170221* | grep -SE "(Enforcement Action)|(\[TIMEOUT)|(CHR.+\|PRM\|1\|D.+(SWITCH|SIGNAL).+UNKNOWN)" - &gt;&gt; 2017-02-21-UncaughtWiMAX.txt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540</v>
      </c>
      <c r="B41" s="7">
        <v>4005</v>
      </c>
      <c r="C41" s="21" t="s">
        <v>359</v>
      </c>
      <c r="D41" s="21" t="s">
        <v>703</v>
      </c>
      <c r="E41" s="13">
        <v>42787.318680555552</v>
      </c>
      <c r="F41" s="13">
        <v>42787.331192129626</v>
      </c>
      <c r="G41" s="7">
        <v>1</v>
      </c>
      <c r="H41" s="21" t="s">
        <v>267</v>
      </c>
      <c r="I41" s="13">
        <v>42787.356805555559</v>
      </c>
      <c r="J41" s="7">
        <v>0</v>
      </c>
      <c r="K41" s="98" t="str">
        <f t="shared" si="0"/>
        <v>4005/4006</v>
      </c>
      <c r="L41" s="21" t="str">
        <f>VLOOKUP(A41,'Trips&amp;Operators'!$C$1:$G$99999,5,FALSE)</f>
        <v>SANTIZO D. EDY</v>
      </c>
      <c r="M41" s="6">
        <f t="shared" si="1"/>
        <v>2.5613425932533573E-2</v>
      </c>
      <c r="N41" s="7">
        <f t="shared" si="23"/>
        <v>36.883333342848346</v>
      </c>
      <c r="O41" s="7"/>
      <c r="P41" s="7"/>
      <c r="Q41" s="22"/>
      <c r="R41" s="22"/>
      <c r="S41" s="31">
        <f t="shared" si="2"/>
        <v>1</v>
      </c>
      <c r="T41" s="46" t="str">
        <f t="shared" si="3"/>
        <v>Southbound</v>
      </c>
      <c r="U41" s="193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4" t="str">
        <f t="shared" si="4"/>
        <v>https://d0f6bd738d7f1b3e5a7ca70fe4ff75f0.us-east-1.aws.found.io/app/kibana#/discover/Steve-Slow-Train-Analysis-(2080s-and-2083s)?_g=(refreshInterval:(display:Off,pause:!f,section:0,value:0),time:(from:'2017-02-21T06:38:54-0700',mode:absolute,to:'2017-02-21T09:33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1" s="195" t="str">
        <f t="shared" si="5"/>
        <v>N</v>
      </c>
      <c r="X41" s="195">
        <f t="shared" si="6"/>
        <v>1</v>
      </c>
      <c r="Y41" s="62">
        <f t="shared" si="18"/>
        <v>23.300999999999998</v>
      </c>
      <c r="Z41" s="62">
        <f t="shared" si="19"/>
        <v>1.61E-2</v>
      </c>
      <c r="AA41" s="62">
        <f t="shared" si="7"/>
        <v>23.284899999999997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8"/>
        <v>0128-21</v>
      </c>
      <c r="AE41" s="85" t="str">
        <f t="shared" si="9"/>
        <v>aws s3 cp s3://rtdc.mdm.uploadarchive.raw/RTDC4005/ "%USERPROFILE%\AppData\Local\Temp\OnboardLogs"\RTDC4005\2017-02-21 --exclude "*" --recursive --include "*20170221*" &amp; "%USERPROFILE%\Documents\GitHub\mrs-test-scripts\Headless Mode &amp; Sideloading\WalkAndUnGZ.bat" "%USERPROFILE%\AppData\Local\Temp\OnboardLogs"\RTDC4005\2017-02-21 &amp; aws s3 cp s3://rtdc.mdm.uploadarchive.raw/RTDC4005/ "%USERPROFILE%\AppData\Local\Temp\OnboardLogs"\RTDC4005\2017-02-22 --exclude "*" --recursive --include "*20170222*" &amp; "%USERPROFILE%\Documents\GitHub\mrs-test-scripts\Headless Mode &amp; Sideloading\WalkAndUnGZ.bat" "%USERPROFILE%\AppData\Local\Temp\OnboardLogs"\RTDC4005\2017-02-22</v>
      </c>
      <c r="AF41" s="82" t="str">
        <f t="shared" si="10"/>
        <v>"C:\Program Files (x86)\AstroGrep\AstroGrep.exe" /spath="%USERPROFILE%\AppData\Local\Temp\OnboardLogs" /stypes="app*4005*20170221*" /stext=" 15:.+((SYSTEM_STATE.+slice.+state.+changed )|(ment ac)|(multiple cpu faults)|(system.+state.+changed )|(\[timeout)|(PRM\|1\|D)|(kpr)|(kdp)|(\|lc)|(penalty))" /e /r /s</v>
      </c>
      <c r="AG41" s="1" t="str">
        <f t="shared" si="11"/>
        <v>EC</v>
      </c>
      <c r="AH41" s="86" t="str">
        <f t="shared" si="20"/>
        <v>"%USERPROFILE%\Documents\GitHub\eaglep3\Utilities\RefineRTDCRunTimes.py" --tripid 128-21 --locoid 4005 --swversion DE.1.0.9.0 --startMP 204:233010 --initTime 2017-02-21T07:38:54 --startdatetime 2017-02-21T07:56:55 --delay 1 --endMP 204:161 --enddatetime 2017-02-21T08:33:48 --enforcementcount 0 &gt;&gt;C:\Users\stu\Documents\GitHub\eaglep3-reporting\EC\2017-02-21-refined-times.txt</v>
      </c>
      <c r="AI41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{"issue":{"subject":"","project_id":79,"tracker_id":40,"status_id":1,"priority_id":2,"assigned_to_id":23,"start_date":"2017-02-21","description":"","custom_fields":[{"id":1,"name":"Subdivision","value":"EC"},{"id":4,"name":"Milepost","value":"0.0161"},{"id":17,"name":"Train ID","value":"128-21"},{"id":16,"name":"Locomotive ID","value":"4005"},{"id":130,"name":"Impact","value":""},{"id":150,"name":"Time of Event (Mountain Time)","value":"08:33:48"},{"id":151,"name":"Denver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22"/>
        <v>start /low /b %USERPROFILE%\Documents\GitHub\eaglep3\Utilities\DownloadLogsFromS3.py --loco 4005 --day 2017-02-21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"%USERPROFILE%\AppData\Local\Temp\OnboardLogs"\RTDC4005\*4005*20170221* | grep -SE "(Enforcement Action)|(\[TIMEOUT)|(CHR.+\|PRM\|1\|D.+(SWITCH|SIGNAL).+UNKNOWN)" - &gt;&gt; 2017-02-21-UncaughtWiMAX.txt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463</v>
      </c>
      <c r="B42" s="7">
        <v>4007</v>
      </c>
      <c r="C42" s="21" t="s">
        <v>359</v>
      </c>
      <c r="D42" s="21" t="s">
        <v>332</v>
      </c>
      <c r="E42" s="13">
        <v>42787.29755787037</v>
      </c>
      <c r="F42" s="13">
        <v>42787.302349537036</v>
      </c>
      <c r="G42" s="7">
        <v>1</v>
      </c>
      <c r="H42" s="21" t="s">
        <v>712</v>
      </c>
      <c r="I42" s="13">
        <v>42787.327141203707</v>
      </c>
      <c r="J42" s="7">
        <v>0</v>
      </c>
      <c r="K42" s="98" t="str">
        <f t="shared" si="0"/>
        <v>4007/4008</v>
      </c>
      <c r="L42" s="21" t="str">
        <f>VLOOKUP(A42,'Trips&amp;Operators'!$C$1:$G$99999,5,FALSE)</f>
        <v>ROCHA YAOTL</v>
      </c>
      <c r="M42" s="6">
        <f t="shared" si="1"/>
        <v>2.4791666670353152E-2</v>
      </c>
      <c r="N42" s="7">
        <f t="shared" si="23"/>
        <v>35.700000005308539</v>
      </c>
      <c r="O42" s="7"/>
      <c r="P42" s="7"/>
      <c r="Q42" s="22"/>
      <c r="R42" s="22"/>
      <c r="S42" s="31">
        <f t="shared" si="2"/>
        <v>1</v>
      </c>
      <c r="T42" s="46" t="str">
        <f t="shared" si="3"/>
        <v>NorthBound</v>
      </c>
      <c r="U42" s="193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4" t="str">
        <f t="shared" si="4"/>
        <v>https://d0f6bd738d7f1b3e5a7ca70fe4ff75f0.us-east-1.aws.found.io/app/kibana#/discover/Steve-Slow-Train-Analysis-(2080s-and-2083s)?_g=(refreshInterval:(display:Off,pause:!f,section:0,value:0),time:(from:'2017-02-21T06:08:29-0700',mode:absolute,to:'2017-02-21T08:51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2" s="195" t="str">
        <f t="shared" si="5"/>
        <v>N</v>
      </c>
      <c r="X42" s="195">
        <f t="shared" si="6"/>
        <v>1</v>
      </c>
      <c r="Y42" s="62">
        <f t="shared" si="18"/>
        <v>4.4699999999999997E-2</v>
      </c>
      <c r="Z42" s="62">
        <f t="shared" si="19"/>
        <v>23.331099999999999</v>
      </c>
      <c r="AA42" s="62">
        <f t="shared" si="7"/>
        <v>23.2864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8"/>
        <v>0129-21</v>
      </c>
      <c r="AE42" s="85" t="str">
        <f t="shared" si="9"/>
        <v>aws s3 cp s3://rtdc.mdm.uploadarchive.raw/RTDC4007/ "%USERPROFILE%\AppData\Local\Temp\OnboardLogs"\RTDC4007\2017-02-21 --exclude "*" --recursive --include "*20170221*" &amp; "%USERPROFILE%\Documents\GitHub\mrs-test-scripts\Headless Mode &amp; Sideloading\WalkAndUnGZ.bat" "%USERPROFILE%\AppData\Local\Temp\OnboardLogs"\RTDC4007\2017-02-21 &amp; aws s3 cp s3://rtdc.mdm.uploadarchive.raw/RTDC4007/ "%USERPROFILE%\AppData\Local\Temp\OnboardLogs"\RTDC4007\2017-02-22 --exclude "*" --recursive --include "*20170222*" &amp; "%USERPROFILE%\Documents\GitHub\mrs-test-scripts\Headless Mode &amp; Sideloading\WalkAndUnGZ.bat" "%USERPROFILE%\AppData\Local\Temp\OnboardLogs"\RTDC4007\2017-02-22</v>
      </c>
      <c r="AF42" s="82" t="str">
        <f t="shared" si="10"/>
        <v>"C:\Program Files (x86)\AstroGrep\AstroGrep.exe" /spath="%USERPROFILE%\AppData\Local\Temp\OnboardLogs" /stypes="app*4007*20170221*" /stext=" 14:.+((SYSTEM_STATE.+slice.+state.+changed )|(ment ac)|(multiple cpu faults)|(system.+state.+changed )|(\[timeout)|(PRM\|1\|D)|(kpr)|(kdp)|(\|lc)|(penalty))" /e /r /s</v>
      </c>
      <c r="AG42" s="1" t="str">
        <f t="shared" si="11"/>
        <v>EC</v>
      </c>
      <c r="AH42" s="86" t="str">
        <f t="shared" si="20"/>
        <v>"%USERPROFILE%\Documents\GitHub\eaglep3\Utilities\RefineRTDCRunTimes.py" --tripid 129-21 --locoid 4007 --swversion DE.1.0.9.0 --startMP 204:447 --initTime 2017-02-21T07:08:29 --startdatetime 2017-02-21T07:15:23 --delay 1 --endMP 204:233311 --enddatetime 2017-02-21T07:51:05 --enforcementcount 0 &gt;&gt;C:\Users\stu\Documents\GitHub\eaglep3-reporting\EC\2017-02-21-refined-times.txt</v>
      </c>
      <c r="AI42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{"issue":{"subject":"","project_id":79,"tracker_id":40,"status_id":1,"priority_id":2,"assigned_to_id":23,"start_date":"2017-02-21","description":"","custom_fields":[{"id":1,"name":"Subdivision","value":"EC"},{"id":4,"name":"Milepost","value":"23.3311"},{"id":17,"name":"Train ID","value":"129-21"},{"id":16,"name":"Locomotive ID","value":"4007"},{"id":130,"name":"Impact","value":""},{"id":150,"name":"Time of Event (Mountain Time)","value":"07:51:05"},{"id":151,"name":"Denver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22"/>
        <v>start /low /b %USERPROFILE%\Documents\GitHub\eaglep3\Utilities\DownloadLogsFromS3.py --loco 4007 --day 2017-02-21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"%USERPROFILE%\AppData\Local\Temp\OnboardLogs"\RTDC4007\*4007*20170221* | grep -SE "(Enforcement Action)|(\[TIMEOUT)|(CHR.+\|PRM\|1\|D.+(SWITCH|SIGNAL).+UNKNOWN)" - &gt;&gt; 2017-02-21-UncaughtWiMAX.txt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545</v>
      </c>
      <c r="B43" s="7">
        <v>4008</v>
      </c>
      <c r="C43" s="21" t="s">
        <v>359</v>
      </c>
      <c r="D43" s="21" t="s">
        <v>374</v>
      </c>
      <c r="E43" s="13">
        <v>42787.338935185187</v>
      </c>
      <c r="F43" s="13">
        <v>42787.341134259259</v>
      </c>
      <c r="G43" s="7">
        <v>1</v>
      </c>
      <c r="H43" s="21" t="s">
        <v>713</v>
      </c>
      <c r="I43" s="13">
        <v>42787.369456018518</v>
      </c>
      <c r="J43" s="7">
        <v>0</v>
      </c>
      <c r="K43" s="98" t="str">
        <f t="shared" si="0"/>
        <v>4007/4008</v>
      </c>
      <c r="L43" s="21" t="str">
        <f>VLOOKUP(A43,'Trips&amp;Operators'!$C$1:$G$99999,5,FALSE)</f>
        <v>ROCHA YAOTL</v>
      </c>
      <c r="M43" s="6">
        <f t="shared" si="1"/>
        <v>2.8321759258687962E-2</v>
      </c>
      <c r="N43" s="7">
        <f t="shared" si="23"/>
        <v>40.783333332510665</v>
      </c>
      <c r="O43" s="7"/>
      <c r="P43" s="7"/>
      <c r="Q43" s="22"/>
      <c r="R43" s="22"/>
      <c r="S43" s="31">
        <f t="shared" si="2"/>
        <v>1</v>
      </c>
      <c r="T43" s="46" t="str">
        <f t="shared" si="3"/>
        <v>Southbound</v>
      </c>
      <c r="U43" s="193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4" t="str">
        <f t="shared" si="4"/>
        <v>https://d0f6bd738d7f1b3e5a7ca70fe4ff75f0.us-east-1.aws.found.io/app/kibana#/discover/Steve-Slow-Train-Analysis-(2080s-and-2083s)?_g=(refreshInterval:(display:Off,pause:!f,section:0,value:0),time:(from:'2017-02-21T07:08:04-0700',mode:absolute,to:'2017-02-21T09:52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3" s="195" t="str">
        <f t="shared" si="5"/>
        <v>N</v>
      </c>
      <c r="X43" s="195">
        <f t="shared" si="6"/>
        <v>1</v>
      </c>
      <c r="Y43" s="62">
        <f t="shared" si="18"/>
        <v>23.299399999999999</v>
      </c>
      <c r="Z43" s="62">
        <f t="shared" si="19"/>
        <v>0.17050000000000001</v>
      </c>
      <c r="AA43" s="62">
        <f t="shared" si="7"/>
        <v>23.128899999999998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8"/>
        <v>0130-21</v>
      </c>
      <c r="AE43" s="85" t="str">
        <f t="shared" si="9"/>
        <v>aws s3 cp s3://rtdc.mdm.uploadarchive.raw/RTDC4008/ "%USERPROFILE%\AppData\Local\Temp\OnboardLogs"\RTDC4008\2017-02-21 --exclude "*" --recursive --include "*20170221*" &amp; "%USERPROFILE%\Documents\GitHub\mrs-test-scripts\Headless Mode &amp; Sideloading\WalkAndUnGZ.bat" "%USERPROFILE%\AppData\Local\Temp\OnboardLogs"\RTDC4008\2017-02-21 &amp; aws s3 cp s3://rtdc.mdm.uploadarchive.raw/RTDC4008/ "%USERPROFILE%\AppData\Local\Temp\OnboardLogs"\RTDC4008\2017-02-22 --exclude "*" --recursive --include "*20170222*" &amp; "%USERPROFILE%\Documents\GitHub\mrs-test-scripts\Headless Mode &amp; Sideloading\WalkAndUnGZ.bat" "%USERPROFILE%\AppData\Local\Temp\OnboardLogs"\RTDC4008\2017-02-22</v>
      </c>
      <c r="AF43" s="82" t="str">
        <f t="shared" si="10"/>
        <v>"C:\Program Files (x86)\AstroGrep\AstroGrep.exe" /spath="%USERPROFILE%\AppData\Local\Temp\OnboardLogs" /stypes="app*4008*20170221*" /stext=" 15:.+((SYSTEM_STATE.+slice.+state.+changed )|(ment ac)|(multiple cpu faults)|(system.+state.+changed )|(\[timeout)|(PRM\|1\|D)|(kpr)|(kdp)|(\|lc)|(penalty))" /e /r /s</v>
      </c>
      <c r="AG43" s="1" t="str">
        <f t="shared" si="11"/>
        <v>EC</v>
      </c>
      <c r="AH43" s="86" t="str">
        <f t="shared" si="20"/>
        <v>"%USERPROFILE%\Documents\GitHub\eaglep3\Utilities\RefineRTDCRunTimes.py" --tripid 130-21 --locoid 4008 --swversion DE.1.0.9.0 --startMP 204:232994 --initTime 2017-02-21T08:08:04 --startdatetime 2017-02-21T08:11:14 --delay 1 --endMP 204:1705 --enddatetime 2017-02-21T08:52:01 --enforcementcount 0 &gt;&gt;C:\Users\stu\Documents\GitHub\eaglep3-reporting\EC\2017-02-21-refined-times.txt</v>
      </c>
      <c r="AI43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{"issue":{"subject":"","project_id":79,"tracker_id":40,"status_id":1,"priority_id":2,"assigned_to_id":23,"start_date":"2017-02-21","description":"","custom_fields":[{"id":1,"name":"Subdivision","value":"EC"},{"id":4,"name":"Milepost","value":"0.1705"},{"id":17,"name":"Train ID","value":"130-21"},{"id":16,"name":"Locomotive ID","value":"4008"},{"id":130,"name":"Impact","value":""},{"id":150,"name":"Time of Event (Mountain Time)","value":"08:52:01"},{"id":151,"name":"Denver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22"/>
        <v>start /low /b %USERPROFILE%\Documents\GitHub\eaglep3\Utilities\DownloadLogsFromS3.py --loco 4008 --day 2017-02-21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"%USERPROFILE%\AppData\Local\Temp\OnboardLogs"\RTDC4008\*4008*20170221* | grep -SE "(Enforcement Action)|(\[TIMEOUT)|(CHR.+\|PRM\|1\|D.+(SWITCH|SIGNAL).+UNKNOWN)" - &gt;&gt; 2017-02-21-UncaughtWiMAX.txt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537</v>
      </c>
      <c r="B44" s="7">
        <v>4051</v>
      </c>
      <c r="C44" s="21" t="s">
        <v>359</v>
      </c>
      <c r="D44" s="21" t="s">
        <v>226</v>
      </c>
      <c r="E44" s="13">
        <v>42787.309201388889</v>
      </c>
      <c r="F44" s="13">
        <v>42787.312731481485</v>
      </c>
      <c r="G44" s="7">
        <v>1</v>
      </c>
      <c r="H44" s="21" t="s">
        <v>300</v>
      </c>
      <c r="I44" s="13">
        <v>42787.337638888886</v>
      </c>
      <c r="J44" s="7">
        <v>0</v>
      </c>
      <c r="K44" s="98" t="str">
        <f t="shared" si="0"/>
        <v>4051/4052</v>
      </c>
      <c r="L44" s="21" t="str">
        <f>VLOOKUP(A44,'Trips&amp;Operators'!$C$1:$G$99999,5,FALSE)</f>
        <v>MAELZER KURT</v>
      </c>
      <c r="M44" s="6">
        <f t="shared" si="1"/>
        <v>2.4907407401769888E-2</v>
      </c>
      <c r="N44" s="7">
        <f t="shared" si="23"/>
        <v>35.866666658548638</v>
      </c>
      <c r="O44" s="7"/>
      <c r="P44" s="7"/>
      <c r="Q44" s="22"/>
      <c r="R44" s="22"/>
      <c r="S44" s="31">
        <f t="shared" si="2"/>
        <v>1</v>
      </c>
      <c r="T44" s="46" t="str">
        <f t="shared" si="3"/>
        <v>NorthBound</v>
      </c>
      <c r="U44" s="193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4" t="str">
        <f t="shared" si="4"/>
        <v>https://d0f6bd738d7f1b3e5a7ca70fe4ff75f0.us-east-1.aws.found.io/app/kibana#/discover/Steve-Slow-Train-Analysis-(2080s-and-2083s)?_g=(refreshInterval:(display:Off,pause:!f,section:0,value:0),time:(from:'2017-02-21T06:25:15-0700',mode:absolute,to:'2017-02-21T09:06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4" s="195" t="str">
        <f t="shared" si="5"/>
        <v>N</v>
      </c>
      <c r="X44" s="195">
        <f t="shared" si="6"/>
        <v>1</v>
      </c>
      <c r="Y44" s="62">
        <f t="shared" si="18"/>
        <v>4.5699999999999998E-2</v>
      </c>
      <c r="Z44" s="62">
        <f t="shared" si="19"/>
        <v>23.3306</v>
      </c>
      <c r="AA44" s="62">
        <f t="shared" si="7"/>
        <v>23.2849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8"/>
        <v>0131-21</v>
      </c>
      <c r="AE44" s="85" t="str">
        <f t="shared" si="9"/>
        <v>aws s3 cp s3://rtdc.mdm.uploadarchive.raw/RTDC4051/ "%USERPROFILE%\AppData\Local\Temp\OnboardLogs"\RTDC4051\2017-02-21 --exclude "*" --recursive --include "*20170221*" &amp; "%USERPROFILE%\Documents\GitHub\mrs-test-scripts\Headless Mode &amp; Sideloading\WalkAndUnGZ.bat" "%USERPROFILE%\AppData\Local\Temp\OnboardLogs"\RTDC4051\2017-02-21 &amp; aws s3 cp s3://rtdc.mdm.uploadarchive.raw/RTDC4051/ "%USERPROFILE%\AppData\Local\Temp\OnboardLogs"\RTDC4051\2017-02-22 --exclude "*" --recursive --include "*20170222*" &amp; "%USERPROFILE%\Documents\GitHub\mrs-test-scripts\Headless Mode &amp; Sideloading\WalkAndUnGZ.bat" "%USERPROFILE%\AppData\Local\Temp\OnboardLogs"\RTDC4051\2017-02-22</v>
      </c>
      <c r="AF44" s="82" t="str">
        <f t="shared" si="10"/>
        <v>"C:\Program Files (x86)\AstroGrep\AstroGrep.exe" /spath="%USERPROFILE%\AppData\Local\Temp\OnboardLogs" /stypes="app*4051*20170221*" /stext=" 15:.+((SYSTEM_STATE.+slice.+state.+changed )|(ment ac)|(multiple cpu faults)|(system.+state.+changed )|(\[timeout)|(PRM\|1\|D)|(kpr)|(kdp)|(\|lc)|(penalty))" /e /r /s</v>
      </c>
      <c r="AG44" s="1" t="str">
        <f t="shared" si="11"/>
        <v>EC</v>
      </c>
      <c r="AH44" s="86" t="str">
        <f t="shared" si="20"/>
        <v>"%USERPROFILE%\Documents\GitHub\eaglep3\Utilities\RefineRTDCRunTimes.py" --tripid 131-21 --locoid 4051 --swversion DE.1.0.9.0 --startMP 204:457 --initTime 2017-02-21T07:25:15 --startdatetime 2017-02-21T07:30:20 --delay 1 --endMP 204:233306 --enddatetime 2017-02-21T08:06:12 --enforcementcount 0 &gt;&gt;C:\Users\stu\Documents\GitHub\eaglep3-reporting\EC\2017-02-21-refined-times.txt</v>
      </c>
      <c r="AI44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{"issue":{"subject":"","project_id":79,"tracker_id":40,"status_id":1,"priority_id":2,"assigned_to_id":23,"start_date":"2017-02-21","description":"","custom_fields":[{"id":1,"name":"Subdivision","value":"EC"},{"id":4,"name":"Milepost","value":"23.3306"},{"id":17,"name":"Train ID","value":"131-21"},{"id":16,"name":"Locomotive ID","value":"4051"},{"id":130,"name":"Impact","value":""},{"id":150,"name":"Time of Event (Mountain Time)","value":"08:06:12"},{"id":151,"name":"Denver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22"/>
        <v>start /low /b %USERPROFILE%\Documents\GitHub\eaglep3\Utilities\DownloadLogsFromS3.py --loco 4051 --day 2017-02-21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"%USERPROFILE%\AppData\Local\Temp\OnboardLogs"\RTDC4051\*4051*20170221* | grep -SE "(Enforcement Action)|(\[TIMEOUT)|(CHR.+\|PRM\|1\|D.+(SWITCH|SIGNAL).+UNKNOWN)" - &gt;&gt; 2017-02-21-UncaughtWiMAX.txt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467</v>
      </c>
      <c r="B45" s="7">
        <v>4052</v>
      </c>
      <c r="C45" s="21" t="s">
        <v>359</v>
      </c>
      <c r="D45" s="21" t="s">
        <v>296</v>
      </c>
      <c r="E45" s="13">
        <v>42787.34337962963</v>
      </c>
      <c r="F45" s="13">
        <v>42787.351701388892</v>
      </c>
      <c r="G45" s="7">
        <v>1</v>
      </c>
      <c r="H45" s="21" t="s">
        <v>714</v>
      </c>
      <c r="I45" s="13">
        <v>42787.379120370373</v>
      </c>
      <c r="J45" s="7">
        <v>0</v>
      </c>
      <c r="K45" s="98" t="str">
        <f t="shared" si="0"/>
        <v>4051/4052</v>
      </c>
      <c r="L45" s="21" t="str">
        <f>VLOOKUP(A45,'Trips&amp;Operators'!$C$1:$G$99999,5,FALSE)</f>
        <v>MAELZER KURT</v>
      </c>
      <c r="M45" s="6">
        <f t="shared" si="1"/>
        <v>2.7418981480877846E-2</v>
      </c>
      <c r="N45" s="7">
        <f t="shared" si="23"/>
        <v>39.483333332464099</v>
      </c>
      <c r="O45" s="7"/>
      <c r="P45" s="7"/>
      <c r="Q45" s="22"/>
      <c r="R45" s="22"/>
      <c r="S45" s="31">
        <f t="shared" si="2"/>
        <v>1</v>
      </c>
      <c r="T45" s="46" t="str">
        <f t="shared" si="3"/>
        <v>Southbound</v>
      </c>
      <c r="U45" s="193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4" t="str">
        <f t="shared" si="4"/>
        <v>https://d0f6bd738d7f1b3e5a7ca70fe4ff75f0.us-east-1.aws.found.io/app/kibana#/discover/Steve-Slow-Train-Analysis-(2080s-and-2083s)?_g=(refreshInterval:(display:Off,pause:!f,section:0,value:0),time:(from:'2017-02-21T07:14:28-0700',mode:absolute,to:'2017-02-21T10:05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5" s="195" t="str">
        <f t="shared" si="5"/>
        <v>N</v>
      </c>
      <c r="X45" s="195">
        <f t="shared" ref="X45:X76" si="24">VALUE(LEFT(AD45,4))-VALUE(LEFT(AD44,4))</f>
        <v>1</v>
      </c>
      <c r="Y45" s="62">
        <f t="shared" si="18"/>
        <v>23.298500000000001</v>
      </c>
      <c r="Z45" s="62">
        <f t="shared" si="19"/>
        <v>1.2999999999999999E-2</v>
      </c>
      <c r="AA45" s="62">
        <f t="shared" si="7"/>
        <v>23.285499999999999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8"/>
        <v>0132-21</v>
      </c>
      <c r="AE45" s="85" t="str">
        <f t="shared" si="9"/>
        <v>aws s3 cp s3://rtdc.mdm.uploadarchive.raw/RTDC4052/ "%USERPROFILE%\AppData\Local\Temp\OnboardLogs"\RTDC4052\2017-02-21 --exclude "*" --recursive --include "*20170221*" &amp; "%USERPROFILE%\Documents\GitHub\mrs-test-scripts\Headless Mode &amp; Sideloading\WalkAndUnGZ.bat" "%USERPROFILE%\AppData\Local\Temp\OnboardLogs"\RTDC4052\2017-02-21 &amp; aws s3 cp s3://rtdc.mdm.uploadarchive.raw/RTDC4052/ "%USERPROFILE%\AppData\Local\Temp\OnboardLogs"\RTDC4052\2017-02-22 --exclude "*" --recursive --include "*20170222*" &amp; "%USERPROFILE%\Documents\GitHub\mrs-test-scripts\Headless Mode &amp; Sideloading\WalkAndUnGZ.bat" "%USERPROFILE%\AppData\Local\Temp\OnboardLogs"\RTDC4052\2017-02-22</v>
      </c>
      <c r="AF45" s="82" t="str">
        <f t="shared" si="10"/>
        <v>"C:\Program Files (x86)\AstroGrep\AstroGrep.exe" /spath="%USERPROFILE%\AppData\Local\Temp\OnboardLogs" /stypes="app*4052*20170221*" /stext=" 16:.+((SYSTEM_STATE.+slice.+state.+changed )|(ment ac)|(multiple cpu faults)|(system.+state.+changed )|(\[timeout)|(PRM\|1\|D)|(kpr)|(kdp)|(\|lc)|(penalty))" /e /r /s</v>
      </c>
      <c r="AG45" s="1" t="str">
        <f t="shared" si="11"/>
        <v>EC</v>
      </c>
      <c r="AH45" s="86" t="str">
        <f t="shared" si="20"/>
        <v>"%USERPROFILE%\Documents\GitHub\eaglep3\Utilities\RefineRTDCRunTimes.py" --tripid 132-21 --locoid 4052 --swversion DE.1.0.9.0 --startMP 204:232985 --initTime 2017-02-21T08:14:28 --startdatetime 2017-02-21T08:26:27 --delay 1 --endMP 204:130 --enddatetime 2017-02-21T09:05:56 --enforcementcount 0 &gt;&gt;C:\Users\stu\Documents\GitHub\eaglep3-reporting\EC\2017-02-21-refined-times.txt</v>
      </c>
      <c r="AI45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{"issue":{"subject":"","project_id":79,"tracker_id":40,"status_id":1,"priority_id":2,"assigned_to_id":23,"start_date":"2017-02-21","description":"","custom_fields":[{"id":1,"name":"Subdivision","value":"EC"},{"id":4,"name":"Milepost","value":"0.013"},{"id":17,"name":"Train ID","value":"132-21"},{"id":16,"name":"Locomotive ID","value":"4052"},{"id":130,"name":"Impact","value":""},{"id":150,"name":"Time of Event (Mountain Time)","value":"09:05:56"},{"id":151,"name":"Denver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22"/>
        <v>start /low /b %USERPROFILE%\Documents\GitHub\eaglep3\Utilities\DownloadLogsFromS3.py --loco 4052 --day 2017-02-21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"%USERPROFILE%\AppData\Local\Temp\OnboardLogs"\RTDC4052\*4052*20170221* | grep -SE "(Enforcement Action)|(\[TIMEOUT)|(CHR.+\|PRM\|1\|D.+(SWITCH|SIGNAL).+UNKNOWN)" - &gt;&gt; 2017-02-21-UncaughtWiMAX.txt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541</v>
      </c>
      <c r="B46" s="7">
        <v>4018</v>
      </c>
      <c r="C46" s="21" t="s">
        <v>359</v>
      </c>
      <c r="D46" s="21" t="s">
        <v>225</v>
      </c>
      <c r="E46" s="13">
        <v>42787.318865740737</v>
      </c>
      <c r="F46" s="13">
        <v>42787.323125000003</v>
      </c>
      <c r="G46" s="7">
        <v>1</v>
      </c>
      <c r="H46" s="21" t="s">
        <v>700</v>
      </c>
      <c r="I46" s="13">
        <v>42787.347696759258</v>
      </c>
      <c r="J46" s="7">
        <v>0</v>
      </c>
      <c r="K46" s="98" t="str">
        <f t="shared" si="0"/>
        <v>4017/4018</v>
      </c>
      <c r="L46" s="21" t="str">
        <f>VLOOKUP(A46,'Trips&amp;Operators'!$C$1:$G$99999,5,FALSE)</f>
        <v>STARKS ANGELINA</v>
      </c>
      <c r="M46" s="6">
        <f t="shared" si="1"/>
        <v>2.4571759255195502E-2</v>
      </c>
      <c r="N46" s="7">
        <f t="shared" si="23"/>
        <v>35.383333327481523</v>
      </c>
      <c r="O46" s="7"/>
      <c r="P46" s="7"/>
      <c r="Q46" s="22"/>
      <c r="R46" s="22"/>
      <c r="S46" s="31">
        <f t="shared" si="2"/>
        <v>1</v>
      </c>
      <c r="T46" s="46" t="str">
        <f t="shared" si="3"/>
        <v>NorthBound</v>
      </c>
      <c r="U46" s="193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4" t="str">
        <f t="shared" si="4"/>
        <v>https://d0f6bd738d7f1b3e5a7ca70fe4ff75f0.us-east-1.aws.found.io/app/kibana#/discover/Steve-Slow-Train-Analysis-(2080s-and-2083s)?_g=(refreshInterval:(display:Off,pause:!f,section:0,value:0),time:(from:'2017-02-21T06:39:10-0700',mode:absolute,to:'2017-02-21T09:20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6" s="195" t="str">
        <f t="shared" si="5"/>
        <v>N</v>
      </c>
      <c r="X46" s="195">
        <f t="shared" si="24"/>
        <v>1</v>
      </c>
      <c r="Y46" s="62">
        <f t="shared" si="18"/>
        <v>4.5100000000000001E-2</v>
      </c>
      <c r="Z46" s="62">
        <f t="shared" si="19"/>
        <v>23.330500000000001</v>
      </c>
      <c r="AA46" s="62">
        <f t="shared" si="7"/>
        <v>23.285399999999999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8"/>
        <v>0133-21</v>
      </c>
      <c r="AE46" s="85" t="str">
        <f t="shared" si="9"/>
        <v>aws s3 cp s3://rtdc.mdm.uploadarchive.raw/RTDC4018/ "%USERPROFILE%\AppData\Local\Temp\OnboardLogs"\RTDC4018\2017-02-21 --exclude "*" --recursive --include "*20170221*" &amp; "%USERPROFILE%\Documents\GitHub\mrs-test-scripts\Headless Mode &amp; Sideloading\WalkAndUnGZ.bat" "%USERPROFILE%\AppData\Local\Temp\OnboardLogs"\RTDC4018\2017-02-21 &amp; aws s3 cp s3://rtdc.mdm.uploadarchive.raw/RTDC4018/ "%USERPROFILE%\AppData\Local\Temp\OnboardLogs"\RTDC4018\2017-02-22 --exclude "*" --recursive --include "*20170222*" &amp; "%USERPROFILE%\Documents\GitHub\mrs-test-scripts\Headless Mode &amp; Sideloading\WalkAndUnGZ.bat" "%USERPROFILE%\AppData\Local\Temp\OnboardLogs"\RTDC4018\2017-02-22</v>
      </c>
      <c r="AF46" s="82" t="str">
        <f t="shared" si="10"/>
        <v>"C:\Program Files (x86)\AstroGrep\AstroGrep.exe" /spath="%USERPROFILE%\AppData\Local\Temp\OnboardLogs" /stypes="app*4018*20170221*" /stext=" 15:.+((SYSTEM_STATE.+slice.+state.+changed )|(ment ac)|(multiple cpu faults)|(system.+state.+changed )|(\[timeout)|(PRM\|1\|D)|(kpr)|(kdp)|(\|lc)|(penalty))" /e /r /s</v>
      </c>
      <c r="AG46" s="1" t="str">
        <f t="shared" si="11"/>
        <v>EC</v>
      </c>
      <c r="AH46" s="86" t="str">
        <f t="shared" si="20"/>
        <v>"%USERPROFILE%\Documents\GitHub\eaglep3\Utilities\RefineRTDCRunTimes.py" --tripid 133-21 --locoid 4018 --swversion DE.1.0.9.0 --startMP 204:451 --initTime 2017-02-21T07:39:10 --startdatetime 2017-02-21T07:45:18 --delay 1 --endMP 204:233305 --enddatetime 2017-02-21T08:20:41 --enforcementcount 0 &gt;&gt;C:\Users\stu\Documents\GitHub\eaglep3-reporting\EC\2017-02-21-refined-times.txt</v>
      </c>
      <c r="AI46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{"issue":{"subject":"","project_id":79,"tracker_id":40,"status_id":1,"priority_id":2,"assigned_to_id":23,"start_date":"2017-02-21","description":"","custom_fields":[{"id":1,"name":"Subdivision","value":"EC"},{"id":4,"name":"Milepost","value":"23.3305"},{"id":17,"name":"Train ID","value":"133-21"},{"id":16,"name":"Locomotive ID","value":"4018"},{"id":130,"name":"Impact","value":""},{"id":150,"name":"Time of Event (Mountain Time)","value":"08:20:41"},{"id":151,"name":"Denver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22"/>
        <v>start /low /b %USERPROFILE%\Documents\GitHub\eaglep3\Utilities\DownloadLogsFromS3.py --loco 4018 --day 2017-02-21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"%USERPROFILE%\AppData\Local\Temp\OnboardLogs"\RTDC4018\*4018*20170221* | grep -SE "(Enforcement Action)|(\[TIMEOUT)|(CHR.+\|PRM\|1\|D.+(SWITCH|SIGNAL).+UNKNOWN)" - &gt;&gt; 2017-02-21-UncaughtWiMAX.txt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548</v>
      </c>
      <c r="B47" s="7">
        <v>4017</v>
      </c>
      <c r="C47" s="21" t="s">
        <v>359</v>
      </c>
      <c r="D47" s="21" t="s">
        <v>715</v>
      </c>
      <c r="E47" s="13">
        <v>42787.387453703705</v>
      </c>
      <c r="F47" s="13">
        <v>42787.388969907406</v>
      </c>
      <c r="G47" s="7">
        <v>2</v>
      </c>
      <c r="H47" s="21" t="s">
        <v>267</v>
      </c>
      <c r="I47" s="13">
        <v>42787.394131944442</v>
      </c>
      <c r="J47" s="7">
        <v>0</v>
      </c>
      <c r="K47" s="98" t="str">
        <f t="shared" si="0"/>
        <v>4017/4018</v>
      </c>
      <c r="L47" s="21" t="str">
        <f>VLOOKUP(A47,'Trips&amp;Operators'!$C$1:$G$99999,5,FALSE)</f>
        <v>STARKS ANGELINA</v>
      </c>
      <c r="M47" s="6">
        <f t="shared" si="1"/>
        <v>5.1620370359160006E-3</v>
      </c>
      <c r="N47" s="7"/>
      <c r="O47" s="7"/>
      <c r="P47" s="7">
        <f>24*60*SUM($M47:$M48)</f>
        <v>39.166666665114462</v>
      </c>
      <c r="Q47" s="22"/>
      <c r="R47" s="22" t="s">
        <v>377</v>
      </c>
      <c r="S47" s="31">
        <f>SUM(U47:U48)/IF(AG47="EC",12,1)</f>
        <v>0.75</v>
      </c>
      <c r="T47" s="46" t="str">
        <f t="shared" si="3"/>
        <v>Southbound</v>
      </c>
      <c r="U47" s="193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0</v>
      </c>
      <c r="V47" s="194" t="str">
        <f t="shared" si="4"/>
        <v>https://d0f6bd738d7f1b3e5a7ca70fe4ff75f0.us-east-1.aws.found.io/app/kibana#/discover/Steve-Slow-Train-Analysis-(2080s-and-2083s)?_g=(refreshInterval:(display:Off,pause:!f,section:0,value:0),time:(from:'2017-02-21T08:17:56-0700',mode:absolute,to:'2017-02-21T10:27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7" s="195" t="str">
        <f t="shared" si="5"/>
        <v>Y</v>
      </c>
      <c r="X47" s="195">
        <f t="shared" si="24"/>
        <v>1</v>
      </c>
      <c r="Y47" s="62">
        <f t="shared" si="18"/>
        <v>1.8794999999999999</v>
      </c>
      <c r="Z47" s="62">
        <f t="shared" si="19"/>
        <v>1.61E-2</v>
      </c>
      <c r="AA47" s="62">
        <f t="shared" si="7"/>
        <v>1.8633999999999999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8"/>
        <v>0134-21</v>
      </c>
      <c r="AE47" s="85" t="str">
        <f t="shared" si="9"/>
        <v>aws s3 cp s3://rtdc.mdm.uploadarchive.raw/RTDC4017/ "%USERPROFILE%\AppData\Local\Temp\OnboardLogs"\RTDC4017\2017-02-21 --exclude "*" --recursive --include "*20170221*" &amp; "%USERPROFILE%\Documents\GitHub\mrs-test-scripts\Headless Mode &amp; Sideloading\WalkAndUnGZ.bat" "%USERPROFILE%\AppData\Local\Temp\OnboardLogs"\RTDC4017\2017-02-21 &amp; aws s3 cp s3://rtdc.mdm.uploadarchive.raw/RTDC4017/ "%USERPROFILE%\AppData\Local\Temp\OnboardLogs"\RTDC4017\2017-02-22 --exclude "*" --recursive --include "*20170222*" &amp; "%USERPROFILE%\Documents\GitHub\mrs-test-scripts\Headless Mode &amp; Sideloading\WalkAndUnGZ.bat" "%USERPROFILE%\AppData\Local\Temp\OnboardLogs"\RTDC4017\2017-02-22</v>
      </c>
      <c r="AF47" s="82" t="str">
        <f t="shared" si="10"/>
        <v>"C:\Program Files (x86)\AstroGrep\AstroGrep.exe" /spath="%USERPROFILE%\AppData\Local\Temp\OnboardLogs" /stypes="app*4017*20170221*" /stext=" 16:.+((SYSTEM_STATE.+slice.+state.+changed )|(ment ac)|(multiple cpu faults)|(system.+state.+changed )|(\[timeout)|(PRM\|1\|D)|(kpr)|(kdp)|(\|lc)|(penalty))" /e /r /s</v>
      </c>
      <c r="AG47" s="1" t="str">
        <f t="shared" si="11"/>
        <v>EC</v>
      </c>
      <c r="AH47" s="86" t="str">
        <f t="shared" si="20"/>
        <v>"%USERPROFILE%\Documents\GitHub\eaglep3\Utilities\RefineRTDCRunTimes.py" --tripid 134-21 --locoid 4017 --swversion DE.1.0.9.0 --startMP 204:18795 --initTime 2017-02-21T09:17:56 --startdatetime 2017-02-21T09:20:07 --delay 2 --endMP 204:161 --enddatetime 2017-02-21T09:27:33 --enforcementcount 0 &gt;&gt;C:\Users\stu\Documents\GitHub\eaglep3-reporting\EC\2017-02-21-refined-times.txt</v>
      </c>
      <c r="AI47" s="108" t="str">
        <f t="shared" si="21"/>
        <v>echo {"issue":{"subject":"Onboard in-route failure","project_id":79,"tracker_id":40,"status_id":1,"priority_id":2,"assigned_to_id":23,"start_date":"2017-02-21","description":"","custom_fields":[{"id":1,"name":"Subdivision","value":"EC"},{"id":4,"name":"Milepost","value":"0.0161"},{"id":17,"name":"Train ID","value":"134-21"},{"id":16,"name":"Locomotive ID","value":"4017"},{"id":130,"name":"Impact","value":""},{"id":150,"name":"Time of Event (Mountain Time)","value":"09:27:33"},{"id":151,"name":"Denver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22"/>
        <v>start /low /b %USERPROFILE%\Documents\GitHub\eaglep3\Utilities\DownloadLogsFromS3.py --loco 4017 --day 2017-02-21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"%USERPROFILE%\AppData\Local\Temp\OnboardLogs"\RTDC4017\*4017*20170221* | grep -SE "(Enforcement Action)|(\[TIMEOUT)|(CHR.+\|PRM\|1\|D.+(SWITCH|SIGNAL).+UNKNOWN)" - &gt;&gt; 2017-02-21-UncaughtWiMAX.txt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548</v>
      </c>
      <c r="B48" s="7">
        <v>4017</v>
      </c>
      <c r="C48" s="21" t="s">
        <v>359</v>
      </c>
      <c r="D48" s="21" t="s">
        <v>375</v>
      </c>
      <c r="E48" s="13">
        <v>42787.3591087963</v>
      </c>
      <c r="F48" s="13">
        <v>42787.359942129631</v>
      </c>
      <c r="G48" s="7">
        <v>1</v>
      </c>
      <c r="H48" s="21" t="s">
        <v>716</v>
      </c>
      <c r="I48" s="13">
        <v>42787.381979166668</v>
      </c>
      <c r="J48" s="7">
        <v>0</v>
      </c>
      <c r="K48" s="98" t="str">
        <f t="shared" si="0"/>
        <v>4017/4018</v>
      </c>
      <c r="L48" s="21" t="str">
        <f>VLOOKUP(A48,'Trips&amp;Operators'!$C$1:$G$99999,5,FALSE)</f>
        <v>STARKS ANGELINA</v>
      </c>
      <c r="M48" s="6">
        <f t="shared" si="1"/>
        <v>2.2037037037080154E-2</v>
      </c>
      <c r="N48" s="7"/>
      <c r="O48" s="7"/>
      <c r="P48" s="7"/>
      <c r="Q48" s="22"/>
      <c r="R48" s="22"/>
      <c r="S48" s="31"/>
      <c r="T48" s="46" t="str">
        <f t="shared" si="3"/>
        <v>Southbound</v>
      </c>
      <c r="U48" s="193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9</v>
      </c>
      <c r="V48" s="194" t="str">
        <f t="shared" si="4"/>
        <v>https://d0f6bd738d7f1b3e5a7ca70fe4ff75f0.us-east-1.aws.found.io/app/kibana#/discover/Steve-Slow-Train-Analysis-(2080s-and-2083s)?_g=(refreshInterval:(display:Off,pause:!f,section:0,value:0),time:(from:'2017-02-21T07:37:07-0700',mode:absolute,to:'2017-02-21T10:10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8" s="195" t="str">
        <f t="shared" si="5"/>
        <v>Y</v>
      </c>
      <c r="X48" s="195">
        <f t="shared" si="24"/>
        <v>0</v>
      </c>
      <c r="Y48" s="62">
        <f t="shared" si="18"/>
        <v>23.298400000000001</v>
      </c>
      <c r="Z48" s="62">
        <f t="shared" si="19"/>
        <v>3.6417999999999999</v>
      </c>
      <c r="AA48" s="62">
        <f t="shared" si="7"/>
        <v>19.656600000000001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8"/>
        <v>0134-21</v>
      </c>
      <c r="AE48" s="85" t="str">
        <f t="shared" si="9"/>
        <v>aws s3 cp s3://rtdc.mdm.uploadarchive.raw/RTDC4017/ "%USERPROFILE%\AppData\Local\Temp\OnboardLogs"\RTDC4017\2017-02-21 --exclude "*" --recursive --include "*20170221*" &amp; "%USERPROFILE%\Documents\GitHub\mrs-test-scripts\Headless Mode &amp; Sideloading\WalkAndUnGZ.bat" "%USERPROFILE%\AppData\Local\Temp\OnboardLogs"\RTDC4017\2017-02-21 &amp; aws s3 cp s3://rtdc.mdm.uploadarchive.raw/RTDC4017/ "%USERPROFILE%\AppData\Local\Temp\OnboardLogs"\RTDC4017\2017-02-22 --exclude "*" --recursive --include "*20170222*" &amp; "%USERPROFILE%\Documents\GitHub\mrs-test-scripts\Headless Mode &amp; Sideloading\WalkAndUnGZ.bat" "%USERPROFILE%\AppData\Local\Temp\OnboardLogs"\RTDC4017\2017-02-22</v>
      </c>
      <c r="AF48" s="82" t="str">
        <f t="shared" si="10"/>
        <v>"C:\Program Files (x86)\AstroGrep\AstroGrep.exe" /spath="%USERPROFILE%\AppData\Local\Temp\OnboardLogs" /stypes="app*4017*20170221*" /stext=" 16:.+((SYSTEM_STATE.+slice.+state.+changed )|(ment ac)|(multiple cpu faults)|(system.+state.+changed )|(\[timeout)|(PRM\|1\|D)|(kpr)|(kdp)|(\|lc)|(penalty))" /e /r /s</v>
      </c>
      <c r="AG48" s="1" t="str">
        <f t="shared" si="11"/>
        <v>EC</v>
      </c>
      <c r="AH48" s="86" t="str">
        <f t="shared" si="20"/>
        <v>"%USERPROFILE%\Documents\GitHub\eaglep3\Utilities\RefineRTDCRunTimes.py" --tripid 134-21 --locoid 4017 --swversion DE.1.0.9.0 --startMP 204:232984 --initTime 2017-02-21T08:37:07 --startdatetime 2017-02-21T08:38:19 --delay 1 --endMP 204:36418 --enddatetime 2017-02-21T09:10:03 --enforcementcount 0 &gt;&gt;C:\Users\stu\Documents\GitHub\eaglep3-reporting\EC\2017-02-21-refined-times.txt</v>
      </c>
      <c r="AI48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{"issue":{"subject":"","project_id":79,"tracker_id":40,"status_id":1,"priority_id":2,"assigned_to_id":23,"start_date":"2017-02-21","description":"","custom_fields":[{"id":1,"name":"Subdivision","value":"EC"},{"id":4,"name":"Milepost","value":"3.6418"},{"id":17,"name":"Train ID","value":"134-21"},{"id":16,"name":"Locomotive ID","value":"4017"},{"id":130,"name":"Impact","value":""},{"id":150,"name":"Time of Event (Mountain Time)","value":"09:10:03"},{"id":151,"name":"Denver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22"/>
        <v>start /low /b %USERPROFILE%\Documents\GitHub\eaglep3\Utilities\DownloadLogsFromS3.py --loco 4017 --day 2017-02-21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"%USERPROFILE%\AppData\Local\Temp\OnboardLogs"\RTDC4017\*4017*20170221* | grep -SE "(Enforcement Action)|(\[TIMEOUT)|(CHR.+\|PRM\|1\|D.+(SWITCH|SIGNAL).+UNKNOWN)" - &gt;&gt; 2017-02-21-UncaughtWiMAX.txt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542</v>
      </c>
      <c r="B49" s="7">
        <v>4003</v>
      </c>
      <c r="C49" s="21" t="s">
        <v>359</v>
      </c>
      <c r="D49" s="21" t="s">
        <v>204</v>
      </c>
      <c r="E49" s="13">
        <v>42787.32885416667</v>
      </c>
      <c r="F49" s="13">
        <v>42787.333495370367</v>
      </c>
      <c r="G49" s="7">
        <v>1</v>
      </c>
      <c r="H49" s="21" t="s">
        <v>717</v>
      </c>
      <c r="I49" s="13">
        <v>42787.359409722223</v>
      </c>
      <c r="J49" s="7">
        <v>0</v>
      </c>
      <c r="K49" s="98" t="str">
        <f t="shared" si="0"/>
        <v>4003/4004</v>
      </c>
      <c r="L49" s="21" t="str">
        <f>VLOOKUP(A49,'Trips&amp;Operators'!$C$1:$G$99999,5,FALSE)</f>
        <v>BONDS REYNALDO</v>
      </c>
      <c r="M49" s="6">
        <f t="shared" si="1"/>
        <v>2.5914351856044959E-2</v>
      </c>
      <c r="N49" s="7">
        <f t="shared" ref="N49:N61" si="25">24*60*SUM($M49:$M49)</f>
        <v>37.316666672704741</v>
      </c>
      <c r="O49" s="7"/>
      <c r="P49" s="7"/>
      <c r="Q49" s="22"/>
      <c r="R49" s="22"/>
      <c r="S49" s="31">
        <f t="shared" ref="S49:S64" si="26">SUM(U49:U49)/IF(AG49="EC",12,1)</f>
        <v>1</v>
      </c>
      <c r="T49" s="46" t="str">
        <f t="shared" si="3"/>
        <v>NorthBound</v>
      </c>
      <c r="U49" s="193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4" t="str">
        <f t="shared" si="4"/>
        <v>https://d0f6bd738d7f1b3e5a7ca70fe4ff75f0.us-east-1.aws.found.io/app/kibana#/discover/Steve-Slow-Train-Analysis-(2080s-and-2083s)?_g=(refreshInterval:(display:Off,pause:!f,section:0,value:0),time:(from:'2017-02-21T06:53:33-0700',mode:absolute,to:'2017-02-21T09:37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9" s="195" t="str">
        <f t="shared" si="5"/>
        <v>N</v>
      </c>
      <c r="X49" s="195">
        <f t="shared" si="24"/>
        <v>1</v>
      </c>
      <c r="Y49" s="62">
        <f t="shared" si="18"/>
        <v>4.6199999999999998E-2</v>
      </c>
      <c r="Z49" s="62">
        <f t="shared" si="19"/>
        <v>23.324400000000001</v>
      </c>
      <c r="AA49" s="62">
        <f t="shared" si="7"/>
        <v>23.278200000000002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8"/>
        <v>0135-21</v>
      </c>
      <c r="AE49" s="85" t="str">
        <f t="shared" si="9"/>
        <v>aws s3 cp s3://rtdc.mdm.uploadarchive.raw/RTDC4003/ "%USERPROFILE%\AppData\Local\Temp\OnboardLogs"\RTDC4003\2017-02-21 --exclude "*" --recursive --include "*20170221*" &amp; "%USERPROFILE%\Documents\GitHub\mrs-test-scripts\Headless Mode &amp; Sideloading\WalkAndUnGZ.bat" "%USERPROFILE%\AppData\Local\Temp\OnboardLogs"\RTDC4003\2017-02-21 &amp; aws s3 cp s3://rtdc.mdm.uploadarchive.raw/RTDC4003/ "%USERPROFILE%\AppData\Local\Temp\OnboardLogs"\RTDC4003\2017-02-22 --exclude "*" --recursive --include "*20170222*" &amp; "%USERPROFILE%\Documents\GitHub\mrs-test-scripts\Headless Mode &amp; Sideloading\WalkAndUnGZ.bat" "%USERPROFILE%\AppData\Local\Temp\OnboardLogs"\RTDC4003\2017-02-22</v>
      </c>
      <c r="AF49" s="82" t="str">
        <f t="shared" si="10"/>
        <v>"C:\Program Files (x86)\AstroGrep\AstroGrep.exe" /spath="%USERPROFILE%\AppData\Local\Temp\OnboardLogs" /stypes="app*4003*20170221*" /stext=" 15:.+((SYSTEM_STATE.+slice.+state.+changed )|(ment ac)|(multiple cpu faults)|(system.+state.+changed )|(\[timeout)|(PRM\|1\|D)|(kpr)|(kdp)|(\|lc)|(penalty))" /e /r /s</v>
      </c>
      <c r="AG49" s="1" t="str">
        <f t="shared" si="11"/>
        <v>EC</v>
      </c>
      <c r="AH49" s="86" t="str">
        <f t="shared" si="20"/>
        <v>"%USERPROFILE%\Documents\GitHub\eaglep3\Utilities\RefineRTDCRunTimes.py" --tripid 135-21 --locoid 4003 --swversion DE.1.0.9.0 --startMP 204:462 --initTime 2017-02-21T07:53:33 --startdatetime 2017-02-21T08:00:14 --delay 1 --endMP 204:233244 --enddatetime 2017-02-21T08:37:33 --enforcementcount 0 &gt;&gt;C:\Users\stu\Documents\GitHub\eaglep3-reporting\EC\2017-02-21-refined-times.txt</v>
      </c>
      <c r="AI49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{"issue":{"subject":"","project_id":79,"tracker_id":40,"status_id":1,"priority_id":2,"assigned_to_id":23,"start_date":"2017-02-21","description":"","custom_fields":[{"id":1,"name":"Subdivision","value":"EC"},{"id":4,"name":"Milepost","value":"23.3244"},{"id":17,"name":"Train ID","value":"135-21"},{"id":16,"name":"Locomotive ID","value":"4003"},{"id":130,"name":"Impact","value":""},{"id":150,"name":"Time of Event (Mountain Time)","value":"08:37:33"},{"id":151,"name":"Denver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22"/>
        <v>start /low /b %USERPROFILE%\Documents\GitHub\eaglep3\Utilities\DownloadLogsFromS3.py --loco 4003 --day 2017-02-21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"%USERPROFILE%\AppData\Local\Temp\OnboardLogs"\RTDC4003\*4003*20170221* | grep -SE "(Enforcement Action)|(\[TIMEOUT)|(CHR.+\|PRM\|1\|D.+(SWITCH|SIGNAL).+UNKNOWN)" - &gt;&gt; 2017-02-21-UncaughtWiMAX.txt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550</v>
      </c>
      <c r="B50" s="7">
        <v>4004</v>
      </c>
      <c r="C50" s="21" t="s">
        <v>359</v>
      </c>
      <c r="D50" s="21" t="s">
        <v>426</v>
      </c>
      <c r="E50" s="13">
        <v>42787.368472222224</v>
      </c>
      <c r="F50" s="13">
        <v>42787.372395833336</v>
      </c>
      <c r="G50" s="7">
        <v>1</v>
      </c>
      <c r="H50" s="21" t="s">
        <v>258</v>
      </c>
      <c r="I50" s="13">
        <v>42787.399884259263</v>
      </c>
      <c r="J50" s="7">
        <v>0</v>
      </c>
      <c r="K50" s="98" t="str">
        <f t="shared" si="0"/>
        <v>4003/4004</v>
      </c>
      <c r="L50" s="21" t="str">
        <f>VLOOKUP(A50,'Trips&amp;Operators'!$C$1:$G$99999,5,FALSE)</f>
        <v>BONDS REYNALDO</v>
      </c>
      <c r="M50" s="6">
        <f t="shared" si="1"/>
        <v>2.7488425927003846E-2</v>
      </c>
      <c r="N50" s="7">
        <f t="shared" si="25"/>
        <v>39.583333334885538</v>
      </c>
      <c r="O50" s="7"/>
      <c r="P50" s="7"/>
      <c r="Q50" s="22"/>
      <c r="R50" s="22"/>
      <c r="S50" s="31">
        <f t="shared" si="26"/>
        <v>1</v>
      </c>
      <c r="T50" s="46" t="str">
        <f t="shared" si="3"/>
        <v>Southbound</v>
      </c>
      <c r="U50" s="193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4" t="str">
        <f t="shared" si="4"/>
        <v>https://d0f6bd738d7f1b3e5a7ca70fe4ff75f0.us-east-1.aws.found.io/app/kibana#/discover/Steve-Slow-Train-Analysis-(2080s-and-2083s)?_g=(refreshInterval:(display:Off,pause:!f,section:0,value:0),time:(from:'2017-02-21T07:50:36-0700',mode:absolute,to:'2017-02-21T10:35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0" s="195" t="str">
        <f t="shared" si="5"/>
        <v>N</v>
      </c>
      <c r="X50" s="195">
        <f t="shared" si="24"/>
        <v>1</v>
      </c>
      <c r="Y50" s="62">
        <f t="shared" si="18"/>
        <v>23.3</v>
      </c>
      <c r="Z50" s="62">
        <f t="shared" si="19"/>
        <v>1.3899999999999999E-2</v>
      </c>
      <c r="AA50" s="62">
        <f t="shared" si="7"/>
        <v>23.286100000000001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8"/>
        <v>0136-21</v>
      </c>
      <c r="AE50" s="85" t="str">
        <f t="shared" si="9"/>
        <v>aws s3 cp s3://rtdc.mdm.uploadarchive.raw/RTDC4004/ "%USERPROFILE%\AppData\Local\Temp\OnboardLogs"\RTDC4004\2017-02-21 --exclude "*" --recursive --include "*20170221*" &amp; "%USERPROFILE%\Documents\GitHub\mrs-test-scripts\Headless Mode &amp; Sideloading\WalkAndUnGZ.bat" "%USERPROFILE%\AppData\Local\Temp\OnboardLogs"\RTDC4004\2017-02-21 &amp; aws s3 cp s3://rtdc.mdm.uploadarchive.raw/RTDC4004/ "%USERPROFILE%\AppData\Local\Temp\OnboardLogs"\RTDC4004\2017-02-22 --exclude "*" --recursive --include "*20170222*" &amp; "%USERPROFILE%\Documents\GitHub\mrs-test-scripts\Headless Mode &amp; Sideloading\WalkAndUnGZ.bat" "%USERPROFILE%\AppData\Local\Temp\OnboardLogs"\RTDC4004\2017-02-22</v>
      </c>
      <c r="AF50" s="82" t="str">
        <f t="shared" si="10"/>
        <v>"C:\Program Files (x86)\AstroGrep\AstroGrep.exe" /spath="%USERPROFILE%\AppData\Local\Temp\OnboardLogs" /stypes="app*4004*20170221*" /stext=" 16:.+((SYSTEM_STATE.+slice.+state.+changed )|(ment ac)|(multiple cpu faults)|(system.+state.+changed )|(\[timeout)|(PRM\|1\|D)|(kpr)|(kdp)|(\|lc)|(penalty))" /e /r /s</v>
      </c>
      <c r="AG50" s="1" t="str">
        <f t="shared" si="11"/>
        <v>EC</v>
      </c>
      <c r="AH50" s="86" t="str">
        <f t="shared" si="20"/>
        <v>"%USERPROFILE%\Documents\GitHub\eaglep3\Utilities\RefineRTDCRunTimes.py" --tripid 136-21 --locoid 4004 --swversion DE.1.0.9.0 --startMP 204:233000 --initTime 2017-02-21T08:50:36 --startdatetime 2017-02-21T08:56:15 --delay 1 --endMP 204:139 --enddatetime 2017-02-21T09:35:50 --enforcementcount 0 &gt;&gt;C:\Users\stu\Documents\GitHub\eaglep3-reporting\EC\2017-02-21-refined-times.txt</v>
      </c>
      <c r="AI50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{"issue":{"subject":"","project_id":79,"tracker_id":40,"status_id":1,"priority_id":2,"assigned_to_id":23,"start_date":"2017-02-21","description":"","custom_fields":[{"id":1,"name":"Subdivision","value":"EC"},{"id":4,"name":"Milepost","value":"0.0139"},{"id":17,"name":"Train ID","value":"136-21"},{"id":16,"name":"Locomotive ID","value":"4004"},{"id":130,"name":"Impact","value":""},{"id":150,"name":"Time of Event (Mountain Time)","value":"09:35:50"},{"id":151,"name":"Denver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22"/>
        <v>start /low /b %USERPROFILE%\Documents\GitHub\eaglep3\Utilities\DownloadLogsFromS3.py --loco 4004 --day 2017-02-21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"%USERPROFILE%\AppData\Local\Temp\OnboardLogs"\RTDC4004\*4004*20170221* | grep -SE "(Enforcement Action)|(\[TIMEOUT)|(CHR.+\|PRM\|1\|D.+(SWITCH|SIGNAL).+UNKNOWN)" - &gt;&gt; 2017-02-21-UncaughtWiMAX.txt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544</v>
      </c>
      <c r="B51" s="7">
        <v>4027</v>
      </c>
      <c r="C51" s="21" t="s">
        <v>359</v>
      </c>
      <c r="D51" s="21" t="s">
        <v>250</v>
      </c>
      <c r="E51" s="13">
        <v>42787.33861111111</v>
      </c>
      <c r="F51" s="13">
        <v>42787.344004629631</v>
      </c>
      <c r="G51" s="7">
        <v>1</v>
      </c>
      <c r="H51" s="21" t="s">
        <v>712</v>
      </c>
      <c r="I51" s="13">
        <v>42787.368518518517</v>
      </c>
      <c r="J51" s="7">
        <v>0</v>
      </c>
      <c r="K51" s="98" t="str">
        <f t="shared" si="0"/>
        <v>4027/4028</v>
      </c>
      <c r="L51" s="21" t="str">
        <f>VLOOKUP(A51,'Trips&amp;Operators'!$C$1:$G$99999,5,FALSE)</f>
        <v>ACKERMAN JARED</v>
      </c>
      <c r="M51" s="6">
        <f t="shared" si="1"/>
        <v>2.4513888885849155E-2</v>
      </c>
      <c r="N51" s="7">
        <f t="shared" si="25"/>
        <v>35.299999995622784</v>
      </c>
      <c r="O51" s="7"/>
      <c r="P51" s="7"/>
      <c r="Q51" s="22"/>
      <c r="R51" s="22"/>
      <c r="S51" s="31">
        <f t="shared" si="26"/>
        <v>1</v>
      </c>
      <c r="T51" s="46" t="str">
        <f t="shared" si="3"/>
        <v>NorthBound</v>
      </c>
      <c r="U51" s="193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4" t="str">
        <f t="shared" si="4"/>
        <v>https://d0f6bd738d7f1b3e5a7ca70fe4ff75f0.us-east-1.aws.found.io/app/kibana#/discover/Steve-Slow-Train-Analysis-(2080s-and-2083s)?_g=(refreshInterval:(display:Off,pause:!f,section:0,value:0),time:(from:'2017-02-21T07:07:36-0700',mode:absolute,to:'2017-02-21T09:50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1" s="195" t="str">
        <f t="shared" si="5"/>
        <v>N</v>
      </c>
      <c r="X51" s="195">
        <f t="shared" si="24"/>
        <v>1</v>
      </c>
      <c r="Y51" s="62">
        <f t="shared" si="18"/>
        <v>4.53E-2</v>
      </c>
      <c r="Z51" s="62">
        <f t="shared" si="19"/>
        <v>23.331099999999999</v>
      </c>
      <c r="AA51" s="62">
        <f t="shared" si="7"/>
        <v>23.285799999999998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8"/>
        <v>0137-21</v>
      </c>
      <c r="AE51" s="85" t="str">
        <f t="shared" si="9"/>
        <v>aws s3 cp s3://rtdc.mdm.uploadarchive.raw/RTDC4027/ "%USERPROFILE%\AppData\Local\Temp\OnboardLogs"\RTDC4027\2017-02-21 --exclude "*" --recursive --include "*20170221*" &amp; "%USERPROFILE%\Documents\GitHub\mrs-test-scripts\Headless Mode &amp; Sideloading\WalkAndUnGZ.bat" "%USERPROFILE%\AppData\Local\Temp\OnboardLogs"\RTDC4027\2017-02-21 &amp; aws s3 cp s3://rtdc.mdm.uploadarchive.raw/RTDC4027/ "%USERPROFILE%\AppData\Local\Temp\OnboardLogs"\RTDC4027\2017-02-22 --exclude "*" --recursive --include "*20170222*" &amp; "%USERPROFILE%\Documents\GitHub\mrs-test-scripts\Headless Mode &amp; Sideloading\WalkAndUnGZ.bat" "%USERPROFILE%\AppData\Local\Temp\OnboardLogs"\RTDC4027\2017-02-22</v>
      </c>
      <c r="AF51" s="82" t="str">
        <f t="shared" si="10"/>
        <v>"C:\Program Files (x86)\AstroGrep\AstroGrep.exe" /spath="%USERPROFILE%\AppData\Local\Temp\OnboardLogs" /stypes="app*4027*20170221*" /stext=" 15:.+((SYSTEM_STATE.+slice.+state.+changed )|(ment ac)|(multiple cpu faults)|(system.+state.+changed )|(\[timeout)|(PRM\|1\|D)|(kpr)|(kdp)|(\|lc)|(penalty))" /e /r /s</v>
      </c>
      <c r="AG51" s="1" t="str">
        <f t="shared" si="11"/>
        <v>EC</v>
      </c>
      <c r="AH51" s="86" t="str">
        <f t="shared" si="20"/>
        <v>"%USERPROFILE%\Documents\GitHub\eaglep3\Utilities\RefineRTDCRunTimes.py" --tripid 137-21 --locoid 4027 --swversion DE.1.0.9.0 --startMP 204:453 --initTime 2017-02-21T08:07:36 --startdatetime 2017-02-21T08:15:22 --delay 1 --endMP 204:233311 --enddatetime 2017-02-21T08:50:40 --enforcementcount 0 &gt;&gt;C:\Users\stu\Documents\GitHub\eaglep3-reporting\EC\2017-02-21-refined-times.txt</v>
      </c>
      <c r="AI51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{"issue":{"subject":"","project_id":79,"tracker_id":40,"status_id":1,"priority_id":2,"assigned_to_id":23,"start_date":"2017-02-21","description":"","custom_fields":[{"id":1,"name":"Subdivision","value":"EC"},{"id":4,"name":"Milepost","value":"23.3311"},{"id":17,"name":"Train ID","value":"137-21"},{"id":16,"name":"Locomotive ID","value":"4027"},{"id":130,"name":"Impact","value":""},{"id":150,"name":"Time of Event (Mountain Time)","value":"08:50:40"},{"id":151,"name":"Denver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22"/>
        <v>start /low /b %USERPROFILE%\Documents\GitHub\eaglep3\Utilities\DownloadLogsFromS3.py --loco 4027 --day 2017-02-21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"%USERPROFILE%\AppData\Local\Temp\OnboardLogs"\RTDC4027\*4027*20170221* | grep -SE "(Enforcement Action)|(\[TIMEOUT)|(CHR.+\|PRM\|1\|D.+(SWITCH|SIGNAL).+UNKNOWN)" - &gt;&gt; 2017-02-21-UncaughtWiMAX.txt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552</v>
      </c>
      <c r="B52" s="7">
        <v>4028</v>
      </c>
      <c r="C52" s="21" t="s">
        <v>359</v>
      </c>
      <c r="D52" s="21" t="s">
        <v>718</v>
      </c>
      <c r="E52" s="13">
        <v>42787.375891203701</v>
      </c>
      <c r="F52" s="13">
        <v>42787.382916666669</v>
      </c>
      <c r="G52" s="7">
        <v>1</v>
      </c>
      <c r="H52" s="21" t="s">
        <v>223</v>
      </c>
      <c r="I52" s="13">
        <v>42787.409583333334</v>
      </c>
      <c r="J52" s="7">
        <v>0</v>
      </c>
      <c r="K52" s="98" t="str">
        <f t="shared" si="0"/>
        <v>4027/4028</v>
      </c>
      <c r="L52" s="21" t="str">
        <f>VLOOKUP(A52,'Trips&amp;Operators'!$C$1:$G$99999,5,FALSE)</f>
        <v>ACKERMAN JARED</v>
      </c>
      <c r="M52" s="6">
        <f t="shared" si="1"/>
        <v>2.6666666664823424E-2</v>
      </c>
      <c r="N52" s="7">
        <f t="shared" si="25"/>
        <v>38.399999997345731</v>
      </c>
      <c r="O52" s="7"/>
      <c r="P52" s="7"/>
      <c r="Q52" s="22"/>
      <c r="R52" s="22"/>
      <c r="S52" s="31">
        <f t="shared" si="26"/>
        <v>1</v>
      </c>
      <c r="T52" s="46" t="str">
        <f t="shared" si="3"/>
        <v>Southbound</v>
      </c>
      <c r="U52" s="193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4" t="str">
        <f t="shared" si="4"/>
        <v>https://d0f6bd738d7f1b3e5a7ca70fe4ff75f0.us-east-1.aws.found.io/app/kibana#/discover/Steve-Slow-Train-Analysis-(2080s-and-2083s)?_g=(refreshInterval:(display:Off,pause:!f,section:0,value:0),time:(from:'2017-02-21T08:01:17-0700',mode:absolute,to:'2017-02-21T10:49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2" s="195" t="str">
        <f t="shared" si="5"/>
        <v>N</v>
      </c>
      <c r="X52" s="195">
        <f t="shared" si="24"/>
        <v>1</v>
      </c>
      <c r="Y52" s="62">
        <f t="shared" si="18"/>
        <v>23.299199999999999</v>
      </c>
      <c r="Z52" s="62">
        <f t="shared" si="19"/>
        <v>1.43E-2</v>
      </c>
      <c r="AA52" s="62">
        <f t="shared" si="7"/>
        <v>23.2849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8"/>
        <v>0138-21</v>
      </c>
      <c r="AE52" s="85" t="str">
        <f t="shared" si="9"/>
        <v>aws s3 cp s3://rtdc.mdm.uploadarchive.raw/RTDC4028/ "%USERPROFILE%\AppData\Local\Temp\OnboardLogs"\RTDC4028\2017-02-21 --exclude "*" --recursive --include "*20170221*" &amp; "%USERPROFILE%\Documents\GitHub\mrs-test-scripts\Headless Mode &amp; Sideloading\WalkAndUnGZ.bat" "%USERPROFILE%\AppData\Local\Temp\OnboardLogs"\RTDC4028\2017-02-21 &amp; aws s3 cp s3://rtdc.mdm.uploadarchive.raw/RTDC4028/ "%USERPROFILE%\AppData\Local\Temp\OnboardLogs"\RTDC4028\2017-02-22 --exclude "*" --recursive --include "*20170222*" &amp; "%USERPROFILE%\Documents\GitHub\mrs-test-scripts\Headless Mode &amp; Sideloading\WalkAndUnGZ.bat" "%USERPROFILE%\AppData\Local\Temp\OnboardLogs"\RTDC4028\2017-02-22</v>
      </c>
      <c r="AF52" s="82" t="str">
        <f t="shared" si="10"/>
        <v>"C:\Program Files (x86)\AstroGrep\AstroGrep.exe" /spath="%USERPROFILE%\AppData\Local\Temp\OnboardLogs" /stypes="app*4028*20170221*" /stext=" 16:.+((SYSTEM_STATE.+slice.+state.+changed )|(ment ac)|(multiple cpu faults)|(system.+state.+changed )|(\[timeout)|(PRM\|1\|D)|(kpr)|(kdp)|(\|lc)|(penalty))" /e /r /s</v>
      </c>
      <c r="AG52" s="1" t="str">
        <f t="shared" si="11"/>
        <v>EC</v>
      </c>
      <c r="AH52" s="86" t="str">
        <f t="shared" si="20"/>
        <v>"%USERPROFILE%\Documents\GitHub\eaglep3\Utilities\RefineRTDCRunTimes.py" --tripid 138-21 --locoid 4028 --swversion DE.1.0.9.0 --startMP 204:232992 --initTime 2017-02-21T09:01:17 --startdatetime 2017-02-21T09:11:24 --delay 1 --endMP 204:143 --enddatetime 2017-02-21T09:49:48 --enforcementcount 0 &gt;&gt;C:\Users\stu\Documents\GitHub\eaglep3-reporting\EC\2017-02-21-refined-times.txt</v>
      </c>
      <c r="AI52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{"issue":{"subject":"","project_id":79,"tracker_id":40,"status_id":1,"priority_id":2,"assigned_to_id":23,"start_date":"2017-02-21","description":"","custom_fields":[{"id":1,"name":"Subdivision","value":"EC"},{"id":4,"name":"Milepost","value":"0.0143"},{"id":17,"name":"Train ID","value":"138-21"},{"id":16,"name":"Locomotive ID","value":"4028"},{"id":130,"name":"Impact","value":""},{"id":150,"name":"Time of Event (Mountain Time)","value":"09:49:48"},{"id":151,"name":"Denver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22"/>
        <v>start /low /b %USERPROFILE%\Documents\GitHub\eaglep3\Utilities\DownloadLogsFromS3.py --loco 4028 --day 2017-02-21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"%USERPROFILE%\AppData\Local\Temp\OnboardLogs"\RTDC4028\*4028*20170221* | grep -SE "(Enforcement Action)|(\[TIMEOUT)|(CHR.+\|PRM\|1\|D.+(SWITCH|SIGNAL).+UNKNOWN)" - &gt;&gt; 2017-02-21-UncaughtWiMAX.txt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546</v>
      </c>
      <c r="B53" s="7">
        <v>4025</v>
      </c>
      <c r="C53" s="21" t="s">
        <v>359</v>
      </c>
      <c r="D53" s="21" t="s">
        <v>719</v>
      </c>
      <c r="E53" s="13">
        <v>42787.348969907405</v>
      </c>
      <c r="F53" s="13">
        <v>42787.354490740741</v>
      </c>
      <c r="G53" s="7">
        <v>1</v>
      </c>
      <c r="H53" s="21" t="s">
        <v>421</v>
      </c>
      <c r="I53" s="13">
        <v>42787.379282407404</v>
      </c>
      <c r="J53" s="7">
        <v>0</v>
      </c>
      <c r="K53" s="98" t="str">
        <f t="shared" si="0"/>
        <v>4025/4026</v>
      </c>
      <c r="L53" s="21" t="str">
        <f>VLOOKUP(A53,'Trips&amp;Operators'!$C$1:$G$99999,5,FALSE)</f>
        <v>COOLAHAN JOHN</v>
      </c>
      <c r="M53" s="6">
        <f t="shared" si="1"/>
        <v>2.4791666663077194E-2</v>
      </c>
      <c r="N53" s="7">
        <f t="shared" si="25"/>
        <v>35.69999999483116</v>
      </c>
      <c r="O53" s="7"/>
      <c r="P53" s="7"/>
      <c r="Q53" s="22"/>
      <c r="R53" s="22"/>
      <c r="S53" s="31">
        <f t="shared" si="26"/>
        <v>1</v>
      </c>
      <c r="T53" s="46" t="str">
        <f t="shared" si="3"/>
        <v>NorthBound</v>
      </c>
      <c r="U53" s="193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4" t="str">
        <f t="shared" si="4"/>
        <v>https://d0f6bd738d7f1b3e5a7ca70fe4ff75f0.us-east-1.aws.found.io/app/kibana#/discover/Steve-Slow-Train-Analysis-(2080s-and-2083s)?_g=(refreshInterval:(display:Off,pause:!f,section:0,value:0),time:(from:'2017-02-21T07:22:31-0700',mode:absolute,to:'2017-02-21T10:06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3" s="195" t="str">
        <f t="shared" si="5"/>
        <v>N</v>
      </c>
      <c r="X53" s="195">
        <f t="shared" si="24"/>
        <v>1</v>
      </c>
      <c r="Y53" s="62">
        <f t="shared" si="18"/>
        <v>5.4199999999999998E-2</v>
      </c>
      <c r="Z53" s="62">
        <f t="shared" si="19"/>
        <v>23.333100000000002</v>
      </c>
      <c r="AA53" s="62">
        <f t="shared" si="7"/>
        <v>23.2789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8"/>
        <v>0139-21</v>
      </c>
      <c r="AE53" s="85" t="str">
        <f t="shared" si="9"/>
        <v>aws s3 cp s3://rtdc.mdm.uploadarchive.raw/RTDC4025/ "%USERPROFILE%\AppData\Local\Temp\OnboardLogs"\RTDC4025\2017-02-21 --exclude "*" --recursive --include "*20170221*" &amp; "%USERPROFILE%\Documents\GitHub\mrs-test-scripts\Headless Mode &amp; Sideloading\WalkAndUnGZ.bat" "%USERPROFILE%\AppData\Local\Temp\OnboardLogs"\RTDC4025\2017-02-21 &amp; aws s3 cp s3://rtdc.mdm.uploadarchive.raw/RTDC4025/ "%USERPROFILE%\AppData\Local\Temp\OnboardLogs"\RTDC4025\2017-02-22 --exclude "*" --recursive --include "*20170222*" &amp; "%USERPROFILE%\Documents\GitHub\mrs-test-scripts\Headless Mode &amp; Sideloading\WalkAndUnGZ.bat" "%USERPROFILE%\AppData\Local\Temp\OnboardLogs"\RTDC4025\2017-02-22</v>
      </c>
      <c r="AF53" s="82" t="str">
        <f t="shared" si="10"/>
        <v>"C:\Program Files (x86)\AstroGrep\AstroGrep.exe" /spath="%USERPROFILE%\AppData\Local\Temp\OnboardLogs" /stypes="app*4025*20170221*" /stext=" 16:.+((SYSTEM_STATE.+slice.+state.+changed )|(ment ac)|(multiple cpu faults)|(system.+state.+changed )|(\[timeout)|(PRM\|1\|D)|(kpr)|(kdp)|(\|lc)|(penalty))" /e /r /s</v>
      </c>
      <c r="AG53" s="1" t="str">
        <f t="shared" si="11"/>
        <v>EC</v>
      </c>
      <c r="AH53" s="86" t="str">
        <f t="shared" si="20"/>
        <v>"%USERPROFILE%\Documents\GitHub\eaglep3\Utilities\RefineRTDCRunTimes.py" --tripid 139-21 --locoid 4025 --swversion DE.1.0.9.0 --startMP 204:542 --initTime 2017-02-21T08:22:31 --startdatetime 2017-02-21T08:30:28 --delay 1 --endMP 204:233331 --enddatetime 2017-02-21T09:06:10 --enforcementcount 0 &gt;&gt;C:\Users\stu\Documents\GitHub\eaglep3-reporting\EC\2017-02-21-refined-times.txt</v>
      </c>
      <c r="AI53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{"issue":{"subject":"","project_id":79,"tracker_id":40,"status_id":1,"priority_id":2,"assigned_to_id":23,"start_date":"2017-02-21","description":"","custom_fields":[{"id":1,"name":"Subdivision","value":"EC"},{"id":4,"name":"Milepost","value":"23.3331"},{"id":17,"name":"Train ID","value":"139-21"},{"id":16,"name":"Locomotive ID","value":"4025"},{"id":130,"name":"Impact","value":""},{"id":150,"name":"Time of Event (Mountain Time)","value":"09:06:10"},{"id":151,"name":"Denver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22"/>
        <v>start /low /b %USERPROFILE%\Documents\GitHub\eaglep3\Utilities\DownloadLogsFromS3.py --loco 4025 --day 2017-02-21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"%USERPROFILE%\AppData\Local\Temp\OnboardLogs"\RTDC4025\*4025*20170221* | grep -SE "(Enforcement Action)|(\[TIMEOUT)|(CHR.+\|PRM\|1\|D.+(SWITCH|SIGNAL).+UNKNOWN)" - &gt;&gt; 2017-02-21-UncaughtWiMAX.txt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555</v>
      </c>
      <c r="B54" s="7">
        <v>4026</v>
      </c>
      <c r="C54" s="21" t="s">
        <v>359</v>
      </c>
      <c r="D54" s="21" t="s">
        <v>707</v>
      </c>
      <c r="E54" s="13">
        <v>42787.389768518522</v>
      </c>
      <c r="F54" s="13">
        <v>42787.393310185187</v>
      </c>
      <c r="G54" s="7">
        <v>1</v>
      </c>
      <c r="H54" s="21" t="s">
        <v>720</v>
      </c>
      <c r="I54" s="13">
        <v>42787.419479166667</v>
      </c>
      <c r="J54" s="7">
        <v>0</v>
      </c>
      <c r="K54" s="98" t="str">
        <f t="shared" si="0"/>
        <v>4025/4026</v>
      </c>
      <c r="L54" s="21" t="str">
        <f>VLOOKUP(A54,'Trips&amp;Operators'!$C$1:$G$99999,5,FALSE)</f>
        <v>COOLAHAN JOHN</v>
      </c>
      <c r="M54" s="6">
        <f t="shared" si="1"/>
        <v>2.6168981479713693E-2</v>
      </c>
      <c r="N54" s="7">
        <f t="shared" si="25"/>
        <v>37.683333330787718</v>
      </c>
      <c r="O54" s="7"/>
      <c r="P54" s="7"/>
      <c r="Q54" s="22"/>
      <c r="R54" s="22"/>
      <c r="S54" s="31">
        <f t="shared" si="26"/>
        <v>1</v>
      </c>
      <c r="T54" s="46" t="str">
        <f t="shared" si="3"/>
        <v>Southbound</v>
      </c>
      <c r="U54" s="193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4" t="str">
        <f t="shared" si="4"/>
        <v>https://d0f6bd738d7f1b3e5a7ca70fe4ff75f0.us-east-1.aws.found.io/app/kibana#/discover/Steve-Slow-Train-Analysis-(2080s-and-2083s)?_g=(refreshInterval:(display:Off,pause:!f,section:0,value:0),time:(from:'2017-02-21T08:21:16-0700',mode:absolute,to:'2017-02-21T11:04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4" s="195" t="str">
        <f t="shared" si="5"/>
        <v>N</v>
      </c>
      <c r="X54" s="195">
        <f t="shared" si="24"/>
        <v>1</v>
      </c>
      <c r="Y54" s="62">
        <f t="shared" si="18"/>
        <v>23.298300000000001</v>
      </c>
      <c r="Z54" s="62">
        <f t="shared" si="19"/>
        <v>1.6500000000000001E-2</v>
      </c>
      <c r="AA54" s="62">
        <f t="shared" si="7"/>
        <v>23.2818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8"/>
        <v>0140-21</v>
      </c>
      <c r="AE54" s="85" t="str">
        <f t="shared" si="9"/>
        <v>aws s3 cp s3://rtdc.mdm.uploadarchive.raw/RTDC4026/ "%USERPROFILE%\AppData\Local\Temp\OnboardLogs"\RTDC4026\2017-02-21 --exclude "*" --recursive --include "*20170221*" &amp; "%USERPROFILE%\Documents\GitHub\mrs-test-scripts\Headless Mode &amp; Sideloading\WalkAndUnGZ.bat" "%USERPROFILE%\AppData\Local\Temp\OnboardLogs"\RTDC4026\2017-02-21 &amp; aws s3 cp s3://rtdc.mdm.uploadarchive.raw/RTDC4026/ "%USERPROFILE%\AppData\Local\Temp\OnboardLogs"\RTDC4026\2017-02-22 --exclude "*" --recursive --include "*20170222*" &amp; "%USERPROFILE%\Documents\GitHub\mrs-test-scripts\Headless Mode &amp; Sideloading\WalkAndUnGZ.bat" "%USERPROFILE%\AppData\Local\Temp\OnboardLogs"\RTDC4026\2017-02-22</v>
      </c>
      <c r="AF54" s="82" t="str">
        <f t="shared" si="10"/>
        <v>"C:\Program Files (x86)\AstroGrep\AstroGrep.exe" /spath="%USERPROFILE%\AppData\Local\Temp\OnboardLogs" /stypes="app*4026*20170221*" /stext=" 17:.+((SYSTEM_STATE.+slice.+state.+changed )|(ment ac)|(multiple cpu faults)|(system.+state.+changed )|(\[timeout)|(PRM\|1\|D)|(kpr)|(kdp)|(\|lc)|(penalty))" /e /r /s</v>
      </c>
      <c r="AG54" s="1" t="str">
        <f t="shared" si="11"/>
        <v>EC</v>
      </c>
      <c r="AH54" s="86" t="str">
        <f t="shared" si="20"/>
        <v>"%USERPROFILE%\Documents\GitHub\eaglep3\Utilities\RefineRTDCRunTimes.py" --tripid 140-21 --locoid 4026 --swversion DE.1.0.9.0 --startMP 204:232983 --initTime 2017-02-21T09:21:16 --startdatetime 2017-02-21T09:26:22 --delay 1 --endMP 204:165 --enddatetime 2017-02-21T10:04:03 --enforcementcount 0 &gt;&gt;C:\Users\stu\Documents\GitHub\eaglep3-reporting\EC\2017-02-21-refined-times.txt</v>
      </c>
      <c r="AI54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{"issue":{"subject":"","project_id":79,"tracker_id":40,"status_id":1,"priority_id":2,"assigned_to_id":23,"start_date":"2017-02-21","description":"","custom_fields":[{"id":1,"name":"Subdivision","value":"EC"},{"id":4,"name":"Milepost","value":"0.0165"},{"id":17,"name":"Train ID","value":"140-21"},{"id":16,"name":"Locomotive ID","value":"4026"},{"id":130,"name":"Impact","value":""},{"id":150,"name":"Time of Event (Mountain Time)","value":"10:04:03"},{"id":151,"name":"Denver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22"/>
        <v>start /low /b %USERPROFILE%\Documents\GitHub\eaglep3\Utilities\DownloadLogsFromS3.py --loco 4026 --day 2017-02-21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"%USERPROFILE%\AppData\Local\Temp\OnboardLogs"\RTDC4026\*4026*20170221* | grep -SE "(Enforcement Action)|(\[TIMEOUT)|(CHR.+\|PRM\|1\|D.+(SWITCH|SIGNAL).+UNKNOWN)" - &gt;&gt; 2017-02-21-UncaughtWiMAX.txt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549</v>
      </c>
      <c r="B55" s="7">
        <v>4006</v>
      </c>
      <c r="C55" s="21" t="s">
        <v>359</v>
      </c>
      <c r="D55" s="21" t="s">
        <v>721</v>
      </c>
      <c r="E55" s="13">
        <v>42787.35900462963</v>
      </c>
      <c r="F55" s="13">
        <v>42787.364803240744</v>
      </c>
      <c r="G55" s="7">
        <v>1</v>
      </c>
      <c r="H55" s="21" t="s">
        <v>411</v>
      </c>
      <c r="I55" s="13">
        <v>42787.389270833337</v>
      </c>
      <c r="J55" s="7">
        <v>0</v>
      </c>
      <c r="K55" s="98" t="str">
        <f t="shared" si="0"/>
        <v>4005/4006</v>
      </c>
      <c r="L55" s="21" t="str">
        <f>VLOOKUP(A55,'Trips&amp;Operators'!$C$1:$G$99999,5,FALSE)</f>
        <v>YANAI IAN</v>
      </c>
      <c r="M55" s="6">
        <f t="shared" si="1"/>
        <v>2.4467592593282461E-2</v>
      </c>
      <c r="N55" s="7">
        <f t="shared" si="25"/>
        <v>35.233333334326744</v>
      </c>
      <c r="O55" s="7"/>
      <c r="P55" s="7"/>
      <c r="Q55" s="22"/>
      <c r="R55" s="22"/>
      <c r="S55" s="31">
        <f t="shared" si="26"/>
        <v>1</v>
      </c>
      <c r="T55" s="46" t="str">
        <f t="shared" si="3"/>
        <v>NorthBound</v>
      </c>
      <c r="U55" s="193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4" t="str">
        <f t="shared" si="4"/>
        <v>https://d0f6bd738d7f1b3e5a7ca70fe4ff75f0.us-east-1.aws.found.io/app/kibana#/discover/Steve-Slow-Train-Analysis-(2080s-and-2083s)?_g=(refreshInterval:(display:Off,pause:!f,section:0,value:0),time:(from:'2017-02-21T07:36:58-0700',mode:absolute,to:'2017-02-21T10:20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5" s="195" t="str">
        <f t="shared" si="5"/>
        <v>N</v>
      </c>
      <c r="X55" s="195">
        <f t="shared" si="24"/>
        <v>1</v>
      </c>
      <c r="Y55" s="62">
        <f t="shared" si="18"/>
        <v>4.7800000000000002E-2</v>
      </c>
      <c r="Z55" s="62">
        <f t="shared" si="19"/>
        <v>23.328399999999998</v>
      </c>
      <c r="AA55" s="62">
        <f t="shared" si="7"/>
        <v>23.2806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8"/>
        <v>0141-21</v>
      </c>
      <c r="AE55" s="85" t="str">
        <f t="shared" si="9"/>
        <v>aws s3 cp s3://rtdc.mdm.uploadarchive.raw/RTDC4006/ "%USERPROFILE%\AppData\Local\Temp\OnboardLogs"\RTDC4006\2017-02-21 --exclude "*" --recursive --include "*20170221*" &amp; "%USERPROFILE%\Documents\GitHub\mrs-test-scripts\Headless Mode &amp; Sideloading\WalkAndUnGZ.bat" "%USERPROFILE%\AppData\Local\Temp\OnboardLogs"\RTDC4006\2017-02-21 &amp; aws s3 cp s3://rtdc.mdm.uploadarchive.raw/RTDC4006/ "%USERPROFILE%\AppData\Local\Temp\OnboardLogs"\RTDC4006\2017-02-22 --exclude "*" --recursive --include "*20170222*" &amp; "%USERPROFILE%\Documents\GitHub\mrs-test-scripts\Headless Mode &amp; Sideloading\WalkAndUnGZ.bat" "%USERPROFILE%\AppData\Local\Temp\OnboardLogs"\RTDC4006\2017-02-22</v>
      </c>
      <c r="AF55" s="82" t="str">
        <f t="shared" si="10"/>
        <v>"C:\Program Files (x86)\AstroGrep\AstroGrep.exe" /spath="%USERPROFILE%\AppData\Local\Temp\OnboardLogs" /stypes="app*4006*20170221*" /stext=" 16:.+((SYSTEM_STATE.+slice.+state.+changed )|(ment ac)|(multiple cpu faults)|(system.+state.+changed )|(\[timeout)|(PRM\|1\|D)|(kpr)|(kdp)|(\|lc)|(penalty))" /e /r /s</v>
      </c>
      <c r="AG55" s="1" t="str">
        <f t="shared" si="11"/>
        <v>EC</v>
      </c>
      <c r="AH55" s="86" t="str">
        <f t="shared" si="20"/>
        <v>"%USERPROFILE%\Documents\GitHub\eaglep3\Utilities\RefineRTDCRunTimes.py" --tripid 141-21 --locoid 4006 --swversion DE.1.0.9.0 --startMP 204:478 --initTime 2017-02-21T08:36:58 --startdatetime 2017-02-21T08:45:19 --delay 1 --endMP 204:233284 --enddatetime 2017-02-21T09:20:33 --enforcementcount 0 &gt;&gt;C:\Users\stu\Documents\GitHub\eaglep3-reporting\EC\2017-02-21-refined-times.txt</v>
      </c>
      <c r="AI55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{"issue":{"subject":"","project_id":79,"tracker_id":40,"status_id":1,"priority_id":2,"assigned_to_id":23,"start_date":"2017-02-21","description":"","custom_fields":[{"id":1,"name":"Subdivision","value":"EC"},{"id":4,"name":"Milepost","value":"23.3284"},{"id":17,"name":"Train ID","value":"141-21"},{"id":16,"name":"Locomotive ID","value":"4006"},{"id":130,"name":"Impact","value":""},{"id":150,"name":"Time of Event (Mountain Time)","value":"09:20:33"},{"id":151,"name":"Denver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22"/>
        <v>start /low /b %USERPROFILE%\Documents\GitHub\eaglep3\Utilities\DownloadLogsFromS3.py --loco 4006 --day 2017-02-21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"%USERPROFILE%\AppData\Local\Temp\OnboardLogs"\RTDC4006\*4006*20170221* | grep -SE "(Enforcement Action)|(\[TIMEOUT)|(CHR.+\|PRM\|1\|D.+(SWITCH|SIGNAL).+UNKNOWN)" - &gt;&gt; 2017-02-21-UncaughtWiMAX.txt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556</v>
      </c>
      <c r="B56" s="7">
        <v>4005</v>
      </c>
      <c r="C56" s="21" t="s">
        <v>359</v>
      </c>
      <c r="D56" s="21" t="s">
        <v>261</v>
      </c>
      <c r="E56" s="13">
        <v>42787.391898148147</v>
      </c>
      <c r="F56" s="13">
        <v>42787.403634259259</v>
      </c>
      <c r="G56" s="7">
        <v>1</v>
      </c>
      <c r="H56" s="21" t="s">
        <v>213</v>
      </c>
      <c r="I56" s="13">
        <v>42787.430347222224</v>
      </c>
      <c r="J56" s="7">
        <v>0</v>
      </c>
      <c r="K56" s="98" t="str">
        <f t="shared" si="0"/>
        <v>4005/4006</v>
      </c>
      <c r="L56" s="21" t="str">
        <f>VLOOKUP(A56,'Trips&amp;Operators'!$C$1:$G$99999,5,FALSE)</f>
        <v>YANAI IAN</v>
      </c>
      <c r="M56" s="6">
        <f t="shared" si="1"/>
        <v>2.6712962964666076E-2</v>
      </c>
      <c r="N56" s="7">
        <f t="shared" si="25"/>
        <v>38.466666669119149</v>
      </c>
      <c r="O56" s="7"/>
      <c r="P56" s="7"/>
      <c r="Q56" s="22"/>
      <c r="R56" s="22"/>
      <c r="S56" s="31">
        <f t="shared" si="26"/>
        <v>1</v>
      </c>
      <c r="T56" s="46" t="str">
        <f t="shared" si="3"/>
        <v>Southbound</v>
      </c>
      <c r="U56" s="193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4" t="str">
        <f t="shared" si="4"/>
        <v>https://d0f6bd738d7f1b3e5a7ca70fe4ff75f0.us-east-1.aws.found.io/app/kibana#/discover/Steve-Slow-Train-Analysis-(2080s-and-2083s)?_g=(refreshInterval:(display:Off,pause:!f,section:0,value:0),time:(from:'2017-02-21T08:24:20-0700',mode:absolute,to:'2017-02-21T11:19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6" s="195" t="str">
        <f t="shared" si="5"/>
        <v>N</v>
      </c>
      <c r="X56" s="195">
        <f t="shared" si="24"/>
        <v>1</v>
      </c>
      <c r="Y56" s="62">
        <f t="shared" si="18"/>
        <v>23.297699999999999</v>
      </c>
      <c r="Z56" s="62">
        <f t="shared" si="19"/>
        <v>1.54E-2</v>
      </c>
      <c r="AA56" s="62">
        <f t="shared" si="7"/>
        <v>23.282299999999999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8"/>
        <v>0142-21</v>
      </c>
      <c r="AE56" s="85" t="str">
        <f t="shared" si="9"/>
        <v>aws s3 cp s3://rtdc.mdm.uploadarchive.raw/RTDC4005/ "%USERPROFILE%\AppData\Local\Temp\OnboardLogs"\RTDC4005\2017-02-21 --exclude "*" --recursive --include "*20170221*" &amp; "%USERPROFILE%\Documents\GitHub\mrs-test-scripts\Headless Mode &amp; Sideloading\WalkAndUnGZ.bat" "%USERPROFILE%\AppData\Local\Temp\OnboardLogs"\RTDC4005\2017-02-21 &amp; aws s3 cp s3://rtdc.mdm.uploadarchive.raw/RTDC4005/ "%USERPROFILE%\AppData\Local\Temp\OnboardLogs"\RTDC4005\2017-02-22 --exclude "*" --recursive --include "*20170222*" &amp; "%USERPROFILE%\Documents\GitHub\mrs-test-scripts\Headless Mode &amp; Sideloading\WalkAndUnGZ.bat" "%USERPROFILE%\AppData\Local\Temp\OnboardLogs"\RTDC4005\2017-02-22</v>
      </c>
      <c r="AF56" s="82" t="str">
        <f t="shared" si="10"/>
        <v>"C:\Program Files (x86)\AstroGrep\AstroGrep.exe" /spath="%USERPROFILE%\AppData\Local\Temp\OnboardLogs" /stypes="app*4005*20170221*" /stext=" 17:.+((SYSTEM_STATE.+slice.+state.+changed )|(ment ac)|(multiple cpu faults)|(system.+state.+changed )|(\[timeout)|(PRM\|1\|D)|(kpr)|(kdp)|(\|lc)|(penalty))" /e /r /s</v>
      </c>
      <c r="AG56" s="1" t="str">
        <f t="shared" si="11"/>
        <v>EC</v>
      </c>
      <c r="AH56" s="86" t="str">
        <f t="shared" si="20"/>
        <v>"%USERPROFILE%\Documents\GitHub\eaglep3\Utilities\RefineRTDCRunTimes.py" --tripid 142-21 --locoid 4005 --swversion DE.1.0.9.0 --startMP 204:232977 --initTime 2017-02-21T09:24:20 --startdatetime 2017-02-21T09:41:14 --delay 1 --endMP 204:154 --enddatetime 2017-02-21T10:19:42 --enforcementcount 0 &gt;&gt;C:\Users\stu\Documents\GitHub\eaglep3-reporting\EC\2017-02-21-refined-times.txt</v>
      </c>
      <c r="AI56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{"issue":{"subject":"","project_id":79,"tracker_id":40,"status_id":1,"priority_id":2,"assigned_to_id":23,"start_date":"2017-02-21","description":"","custom_fields":[{"id":1,"name":"Subdivision","value":"EC"},{"id":4,"name":"Milepost","value":"0.0154"},{"id":17,"name":"Train ID","value":"142-21"},{"id":16,"name":"Locomotive ID","value":"4005"},{"id":130,"name":"Impact","value":""},{"id":150,"name":"Time of Event (Mountain Time)","value":"10:19:42"},{"id":151,"name":"Denver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22"/>
        <v>start /low /b %USERPROFILE%\Documents\GitHub\eaglep3\Utilities\DownloadLogsFromS3.py --loco 4005 --day 2017-02-21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"%USERPROFILE%\AppData\Local\Temp\OnboardLogs"\RTDC4005\*4005*20170221* | grep -SE "(Enforcement Action)|(\[TIMEOUT)|(CHR.+\|PRM\|1\|D.+(SWITCH|SIGNAL).+UNKNOWN)" - &gt;&gt; 2017-02-21-UncaughtWiMAX.txt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551</v>
      </c>
      <c r="B57" s="7">
        <v>4029</v>
      </c>
      <c r="C57" s="21" t="s">
        <v>359</v>
      </c>
      <c r="D57" s="21" t="s">
        <v>295</v>
      </c>
      <c r="E57" s="13">
        <v>42787.37295138889</v>
      </c>
      <c r="F57" s="13">
        <v>42787.375254629631</v>
      </c>
      <c r="G57" s="7">
        <v>2</v>
      </c>
      <c r="H57" s="21" t="s">
        <v>418</v>
      </c>
      <c r="I57" s="13">
        <v>42787.400081018517</v>
      </c>
      <c r="J57" s="7">
        <v>0</v>
      </c>
      <c r="K57" s="98" t="str">
        <f t="shared" si="0"/>
        <v>4029/4030</v>
      </c>
      <c r="L57" s="21" t="str">
        <f>VLOOKUP(A57,'Trips&amp;Operators'!$C$1:$G$99999,5,FALSE)</f>
        <v>ROCHA YAOTL</v>
      </c>
      <c r="M57" s="6">
        <f t="shared" si="1"/>
        <v>2.4826388886140194E-2</v>
      </c>
      <c r="N57" s="7">
        <f t="shared" si="25"/>
        <v>35.749999996041879</v>
      </c>
      <c r="O57" s="7"/>
      <c r="P57" s="7"/>
      <c r="Q57" s="22"/>
      <c r="R57" s="22"/>
      <c r="S57" s="31">
        <f t="shared" si="26"/>
        <v>1</v>
      </c>
      <c r="T57" s="46" t="str">
        <f t="shared" si="3"/>
        <v>NorthBound</v>
      </c>
      <c r="U57" s="193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4" t="str">
        <f t="shared" si="4"/>
        <v>https://d0f6bd738d7f1b3e5a7ca70fe4ff75f0.us-east-1.aws.found.io/app/kibana#/discover/Steve-Slow-Train-Analysis-(2080s-and-2083s)?_g=(refreshInterval:(display:Off,pause:!f,section:0,value:0),time:(from:'2017-02-21T07:57:03-0700',mode:absolute,to:'2017-02-21T10:36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7" s="195" t="str">
        <f t="shared" si="5"/>
        <v>N</v>
      </c>
      <c r="X57" s="195">
        <f t="shared" si="24"/>
        <v>1</v>
      </c>
      <c r="Y57" s="62">
        <f t="shared" si="18"/>
        <v>4.3099999999999999E-2</v>
      </c>
      <c r="Z57" s="62">
        <f t="shared" si="19"/>
        <v>23.329699999999999</v>
      </c>
      <c r="AA57" s="62">
        <f t="shared" si="7"/>
        <v>23.2866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8"/>
        <v>0143-21</v>
      </c>
      <c r="AE57" s="85" t="str">
        <f t="shared" si="9"/>
        <v>aws s3 cp s3://rtdc.mdm.uploadarchive.raw/RTDC4029/ "%USERPROFILE%\AppData\Local\Temp\OnboardLogs"\RTDC4029\2017-02-21 --exclude "*" --recursive --include "*20170221*" &amp; "%USERPROFILE%\Documents\GitHub\mrs-test-scripts\Headless Mode &amp; Sideloading\WalkAndUnGZ.bat" "%USERPROFILE%\AppData\Local\Temp\OnboardLogs"\RTDC4029\2017-02-21 &amp; aws s3 cp s3://rtdc.mdm.uploadarchive.raw/RTDC4029/ "%USERPROFILE%\AppData\Local\Temp\OnboardLogs"\RTDC4029\2017-02-22 --exclude "*" --recursive --include "*20170222*" &amp; "%USERPROFILE%\Documents\GitHub\mrs-test-scripts\Headless Mode &amp; Sideloading\WalkAndUnGZ.bat" "%USERPROFILE%\AppData\Local\Temp\OnboardLogs"\RTDC4029\2017-02-22</v>
      </c>
      <c r="AF57" s="82" t="str">
        <f t="shared" si="10"/>
        <v>"C:\Program Files (x86)\AstroGrep\AstroGrep.exe" /spath="%USERPROFILE%\AppData\Local\Temp\OnboardLogs" /stypes="app*4029*20170221*" /stext=" 16:.+((SYSTEM_STATE.+slice.+state.+changed )|(ment ac)|(multiple cpu faults)|(system.+state.+changed )|(\[timeout)|(PRM\|1\|D)|(kpr)|(kdp)|(\|lc)|(penalty))" /e /r /s</v>
      </c>
      <c r="AG57" s="1" t="str">
        <f t="shared" si="11"/>
        <v>EC</v>
      </c>
      <c r="AH57" s="86" t="str">
        <f t="shared" si="20"/>
        <v>"%USERPROFILE%\Documents\GitHub\eaglep3\Utilities\RefineRTDCRunTimes.py" --tripid 143-21 --locoid 4029 --swversion DE.1.0.9.0 --startMP 204:431 --initTime 2017-02-21T08:57:03 --startdatetime 2017-02-21T09:00:22 --delay 2 --endMP 204:233297 --enddatetime 2017-02-21T09:36:07 --enforcementcount 0 &gt;&gt;C:\Users\stu\Documents\GitHub\eaglep3-reporting\EC\2017-02-21-refined-times.txt</v>
      </c>
      <c r="AI57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{"issue":{"subject":"","project_id":79,"tracker_id":40,"status_id":1,"priority_id":2,"assigned_to_id":23,"start_date":"2017-02-21","description":"","custom_fields":[{"id":1,"name":"Subdivision","value":"EC"},{"id":4,"name":"Milepost","value":"23.3297"},{"id":17,"name":"Train ID","value":"143-21"},{"id":16,"name":"Locomotive ID","value":"4029"},{"id":130,"name":"Impact","value":""},{"id":150,"name":"Time of Event (Mountain Time)","value":"09:36:07"},{"id":151,"name":"Denver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22"/>
        <v>start /low /b %USERPROFILE%\Documents\GitHub\eaglep3\Utilities\DownloadLogsFromS3.py --loco 4029 --day 2017-02-21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"%USERPROFILE%\AppData\Local\Temp\OnboardLogs"\RTDC4029\*4029*20170221* | grep -SE "(Enforcement Action)|(\[TIMEOUT)|(CHR.+\|PRM\|1\|D.+(SWITCH|SIGNAL).+UNKNOWN)" - &gt;&gt; 2017-02-21-UncaughtWiMAX.txt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559</v>
      </c>
      <c r="B58" s="7">
        <v>4030</v>
      </c>
      <c r="C58" s="21" t="s">
        <v>359</v>
      </c>
      <c r="D58" s="21" t="s">
        <v>374</v>
      </c>
      <c r="E58" s="13">
        <v>42787.406770833331</v>
      </c>
      <c r="F58" s="13">
        <v>42787.414212962962</v>
      </c>
      <c r="G58" s="7">
        <v>9</v>
      </c>
      <c r="H58" s="21" t="s">
        <v>722</v>
      </c>
      <c r="I58" s="13">
        <v>42787.443310185183</v>
      </c>
      <c r="J58" s="7">
        <v>0</v>
      </c>
      <c r="K58" s="98" t="str">
        <f t="shared" si="0"/>
        <v>4029/4030</v>
      </c>
      <c r="L58" s="21" t="str">
        <f>VLOOKUP(A58,'Trips&amp;Operators'!$C$1:$G$99999,5,FALSE)</f>
        <v>ROCHA YAOTL</v>
      </c>
      <c r="M58" s="6">
        <f t="shared" si="1"/>
        <v>2.9097222221025731E-2</v>
      </c>
      <c r="N58" s="7">
        <f t="shared" si="25"/>
        <v>41.899999998277053</v>
      </c>
      <c r="O58" s="7"/>
      <c r="P58" s="7"/>
      <c r="Q58" s="22"/>
      <c r="R58" s="22"/>
      <c r="S58" s="31">
        <f t="shared" si="26"/>
        <v>1</v>
      </c>
      <c r="T58" s="46" t="str">
        <f t="shared" si="3"/>
        <v>Southbound</v>
      </c>
      <c r="U58" s="193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4" t="str">
        <f t="shared" si="4"/>
        <v>https://d0f6bd738d7f1b3e5a7ca70fe4ff75f0.us-east-1.aws.found.io/app/kibana#/discover/Steve-Slow-Train-Analysis-(2080s-and-2083s)?_g=(refreshInterval:(display:Off,pause:!f,section:0,value:0),time:(from:'2017-02-21T08:45:45-0700',mode:absolute,to:'2017-02-21T11:38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8" s="195" t="str">
        <f t="shared" si="5"/>
        <v>N</v>
      </c>
      <c r="X58" s="195">
        <f t="shared" si="24"/>
        <v>1</v>
      </c>
      <c r="Y58" s="62">
        <f t="shared" si="18"/>
        <v>23.299399999999999</v>
      </c>
      <c r="Z58" s="62">
        <f t="shared" si="19"/>
        <v>1.67E-2</v>
      </c>
      <c r="AA58" s="62">
        <f t="shared" si="7"/>
        <v>23.282699999999998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8"/>
        <v>0144-21</v>
      </c>
      <c r="AE58" s="85" t="str">
        <f t="shared" si="9"/>
        <v>aws s3 cp s3://rtdc.mdm.uploadarchive.raw/RTDC4030/ "%USERPROFILE%\AppData\Local\Temp\OnboardLogs"\RTDC4030\2017-02-21 --exclude "*" --recursive --include "*20170221*" &amp; "%USERPROFILE%\Documents\GitHub\mrs-test-scripts\Headless Mode &amp; Sideloading\WalkAndUnGZ.bat" "%USERPROFILE%\AppData\Local\Temp\OnboardLogs"\RTDC4030\2017-02-21 &amp; aws s3 cp s3://rtdc.mdm.uploadarchive.raw/RTDC4030/ "%USERPROFILE%\AppData\Local\Temp\OnboardLogs"\RTDC4030\2017-02-22 --exclude "*" --recursive --include "*20170222*" &amp; "%USERPROFILE%\Documents\GitHub\mrs-test-scripts\Headless Mode &amp; Sideloading\WalkAndUnGZ.bat" "%USERPROFILE%\AppData\Local\Temp\OnboardLogs"\RTDC4030\2017-02-22</v>
      </c>
      <c r="AF58" s="82" t="str">
        <f t="shared" si="10"/>
        <v>"C:\Program Files (x86)\AstroGrep\AstroGrep.exe" /spath="%USERPROFILE%\AppData\Local\Temp\OnboardLogs" /stypes="app*4030*20170221*" /stext=" 17:.+((SYSTEM_STATE.+slice.+state.+changed )|(ment ac)|(multiple cpu faults)|(system.+state.+changed )|(\[timeout)|(PRM\|1\|D)|(kpr)|(kdp)|(\|lc)|(penalty))" /e /r /s</v>
      </c>
      <c r="AG58" s="1" t="str">
        <f t="shared" si="11"/>
        <v>EC</v>
      </c>
      <c r="AH58" s="86" t="str">
        <f t="shared" si="20"/>
        <v>"%USERPROFILE%\Documents\GitHub\eaglep3\Utilities\RefineRTDCRunTimes.py" --tripid 144-21 --locoid 4030 --swversion DE.1.0.9.0 --startMP 204:232994 --initTime 2017-02-21T09:45:45 --startdatetime 2017-02-21T09:56:28 --delay 9 --endMP 204:167 --enddatetime 2017-02-21T10:38:22 --enforcementcount 0 &gt;&gt;C:\Users\stu\Documents\GitHub\eaglep3-reporting\EC\2017-02-21-refined-times.txt</v>
      </c>
      <c r="AI58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{"issue":{"subject":"","project_id":79,"tracker_id":40,"status_id":1,"priority_id":2,"assigned_to_id":23,"start_date":"2017-02-21","description":"","custom_fields":[{"id":1,"name":"Subdivision","value":"EC"},{"id":4,"name":"Milepost","value":"0.0167"},{"id":17,"name":"Train ID","value":"144-21"},{"id":16,"name":"Locomotive ID","value":"4030"},{"id":130,"name":"Impact","value":""},{"id":150,"name":"Time of Event (Mountain Time)","value":"10:38:22"},{"id":151,"name":"Denver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22"/>
        <v>start /low /b %USERPROFILE%\Documents\GitHub\eaglep3\Utilities\DownloadLogsFromS3.py --loco 4030 --day 2017-02-21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"%USERPROFILE%\AppData\Local\Temp\OnboardLogs"\RTDC4030\*4030*20170221* | grep -SE "(Enforcement Action)|(\[TIMEOUT)|(CHR.+\|PRM\|1\|D.+(SWITCH|SIGNAL).+UNKNOWN)" - &gt;&gt; 2017-02-21-UncaughtWiMAX.txt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553</v>
      </c>
      <c r="B59" s="7">
        <v>4051</v>
      </c>
      <c r="C59" s="21" t="s">
        <v>359</v>
      </c>
      <c r="D59" s="21" t="s">
        <v>225</v>
      </c>
      <c r="E59" s="13">
        <v>42787.380972222221</v>
      </c>
      <c r="F59" s="13">
        <v>42787.385671296295</v>
      </c>
      <c r="G59" s="7">
        <v>1</v>
      </c>
      <c r="H59" s="21" t="s">
        <v>335</v>
      </c>
      <c r="I59" s="13">
        <v>42787.410138888888</v>
      </c>
      <c r="J59" s="7">
        <v>0</v>
      </c>
      <c r="K59" s="98" t="str">
        <f t="shared" si="0"/>
        <v>4051/4052</v>
      </c>
      <c r="L59" s="21" t="str">
        <f>VLOOKUP(A59,'Trips&amp;Operators'!$C$1:$G$99999,5,FALSE)</f>
        <v>MAELZER KURT</v>
      </c>
      <c r="M59" s="6">
        <f t="shared" si="1"/>
        <v>2.4467592593282461E-2</v>
      </c>
      <c r="N59" s="7">
        <f t="shared" si="25"/>
        <v>35.233333334326744</v>
      </c>
      <c r="O59" s="7"/>
      <c r="P59" s="7"/>
      <c r="Q59" s="22"/>
      <c r="R59" s="22"/>
      <c r="S59" s="31">
        <f t="shared" si="26"/>
        <v>1</v>
      </c>
      <c r="T59" s="46" t="str">
        <f t="shared" si="3"/>
        <v>NorthBound</v>
      </c>
      <c r="U59" s="193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4" t="str">
        <f t="shared" si="4"/>
        <v>https://d0f6bd738d7f1b3e5a7ca70fe4ff75f0.us-east-1.aws.found.io/app/kibana#/discover/Steve-Slow-Train-Analysis-(2080s-and-2083s)?_g=(refreshInterval:(display:Off,pause:!f,section:0,value:0),time:(from:'2017-02-21T08:08:36-0700',mode:absolute,to:'2017-02-21T10:50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9" s="195" t="str">
        <f t="shared" si="5"/>
        <v>N</v>
      </c>
      <c r="X59" s="195">
        <f t="shared" si="24"/>
        <v>1</v>
      </c>
      <c r="Y59" s="62">
        <f t="shared" si="18"/>
        <v>4.5100000000000001E-2</v>
      </c>
      <c r="Z59" s="62">
        <f t="shared" si="19"/>
        <v>23.330100000000002</v>
      </c>
      <c r="AA59" s="62">
        <f t="shared" si="7"/>
        <v>23.285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8"/>
        <v>0145-21</v>
      </c>
      <c r="AE59" s="85" t="str">
        <f t="shared" si="9"/>
        <v>aws s3 cp s3://rtdc.mdm.uploadarchive.raw/RTDC4051/ "%USERPROFILE%\AppData\Local\Temp\OnboardLogs"\RTDC4051\2017-02-21 --exclude "*" --recursive --include "*20170221*" &amp; "%USERPROFILE%\Documents\GitHub\mrs-test-scripts\Headless Mode &amp; Sideloading\WalkAndUnGZ.bat" "%USERPROFILE%\AppData\Local\Temp\OnboardLogs"\RTDC4051\2017-02-21 &amp; aws s3 cp s3://rtdc.mdm.uploadarchive.raw/RTDC4051/ "%USERPROFILE%\AppData\Local\Temp\OnboardLogs"\RTDC4051\2017-02-22 --exclude "*" --recursive --include "*20170222*" &amp; "%USERPROFILE%\Documents\GitHub\mrs-test-scripts\Headless Mode &amp; Sideloading\WalkAndUnGZ.bat" "%USERPROFILE%\AppData\Local\Temp\OnboardLogs"\RTDC4051\2017-02-22</v>
      </c>
      <c r="AF59" s="82" t="str">
        <f t="shared" si="10"/>
        <v>"C:\Program Files (x86)\AstroGrep\AstroGrep.exe" /spath="%USERPROFILE%\AppData\Local\Temp\OnboardLogs" /stypes="app*4051*20170221*" /stext=" 16:.+((SYSTEM_STATE.+slice.+state.+changed )|(ment ac)|(multiple cpu faults)|(system.+state.+changed )|(\[timeout)|(PRM\|1\|D)|(kpr)|(kdp)|(\|lc)|(penalty))" /e /r /s</v>
      </c>
      <c r="AG59" s="1" t="str">
        <f t="shared" si="11"/>
        <v>EC</v>
      </c>
      <c r="AH59" s="86" t="str">
        <f t="shared" si="20"/>
        <v>"%USERPROFILE%\Documents\GitHub\eaglep3\Utilities\RefineRTDCRunTimes.py" --tripid 145-21 --locoid 4051 --swversion DE.1.0.9.0 --startMP 204:451 --initTime 2017-02-21T09:08:36 --startdatetime 2017-02-21T09:15:22 --delay 1 --endMP 204:233301 --enddatetime 2017-02-21T09:50:36 --enforcementcount 0 &gt;&gt;C:\Users\stu\Documents\GitHub\eaglep3-reporting\EC\2017-02-21-refined-times.txt</v>
      </c>
      <c r="AI59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{"issue":{"subject":"","project_id":79,"tracker_id":40,"status_id":1,"priority_id":2,"assigned_to_id":23,"start_date":"2017-02-21","description":"","custom_fields":[{"id":1,"name":"Subdivision","value":"EC"},{"id":4,"name":"Milepost","value":"23.3301"},{"id":17,"name":"Train ID","value":"145-21"},{"id":16,"name":"Locomotive ID","value":"4051"},{"id":130,"name":"Impact","value":""},{"id":150,"name":"Time of Event (Mountain Time)","value":"09:50:36"},{"id":151,"name":"Denver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22"/>
        <v>start /low /b %USERPROFILE%\Documents\GitHub\eaglep3\Utilities\DownloadLogsFromS3.py --loco 4051 --day 2017-02-21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"%USERPROFILE%\AppData\Local\Temp\OnboardLogs"\RTDC4051\*4051*20170221* | grep -SE "(Enforcement Action)|(\[TIMEOUT)|(CHR.+\|PRM\|1\|D.+(SWITCH|SIGNAL).+UNKNOWN)" - &gt;&gt; 2017-02-21-UncaughtWiMAX.txt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560</v>
      </c>
      <c r="B60" s="7">
        <v>4052</v>
      </c>
      <c r="C60" s="21" t="s">
        <v>359</v>
      </c>
      <c r="D60" s="21" t="s">
        <v>329</v>
      </c>
      <c r="E60" s="13">
        <v>42787.415358796294</v>
      </c>
      <c r="F60" s="13">
        <v>42787.424780092595</v>
      </c>
      <c r="G60" s="7">
        <v>1</v>
      </c>
      <c r="H60" s="21" t="s">
        <v>196</v>
      </c>
      <c r="I60" s="13">
        <v>42787.461678240739</v>
      </c>
      <c r="J60" s="7">
        <v>0</v>
      </c>
      <c r="K60" s="98" t="str">
        <f t="shared" si="0"/>
        <v>4051/4052</v>
      </c>
      <c r="L60" s="21" t="str">
        <f>VLOOKUP(A60,'Trips&amp;Operators'!$C$1:$G$99999,5,FALSE)</f>
        <v>MAELZER KURT</v>
      </c>
      <c r="M60" s="6">
        <f t="shared" si="1"/>
        <v>3.6898148144246079E-2</v>
      </c>
      <c r="N60" s="7">
        <f t="shared" si="25"/>
        <v>53.133333327714354</v>
      </c>
      <c r="O60" s="7"/>
      <c r="P60" s="7"/>
      <c r="Q60" s="22"/>
      <c r="R60" s="22"/>
      <c r="S60" s="31">
        <f t="shared" si="26"/>
        <v>1</v>
      </c>
      <c r="T60" s="46" t="str">
        <f t="shared" si="3"/>
        <v>Southbound</v>
      </c>
      <c r="U60" s="193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4" t="str">
        <f t="shared" si="4"/>
        <v>https://d0f6bd738d7f1b3e5a7ca70fe4ff75f0.us-east-1.aws.found.io/app/kibana#/discover/Steve-Slow-Train-Analysis-(2080s-and-2083s)?_g=(refreshInterval:(display:Off,pause:!f,section:0,value:0),time:(from:'2017-02-21T08:58:07-0700',mode:absolute,to:'2017-02-21T12:04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0" s="195" t="str">
        <f t="shared" si="5"/>
        <v>N</v>
      </c>
      <c r="X60" s="195">
        <f t="shared" si="24"/>
        <v>1</v>
      </c>
      <c r="Y60" s="62">
        <f t="shared" si="18"/>
        <v>23.298200000000001</v>
      </c>
      <c r="Z60" s="62">
        <f t="shared" si="19"/>
        <v>1.4500000000000001E-2</v>
      </c>
      <c r="AA60" s="62">
        <f t="shared" si="7"/>
        <v>23.2837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8"/>
        <v>0146-21</v>
      </c>
      <c r="AE60" s="85" t="str">
        <f t="shared" si="9"/>
        <v>aws s3 cp s3://rtdc.mdm.uploadarchive.raw/RTDC4052/ "%USERPROFILE%\AppData\Local\Temp\OnboardLogs"\RTDC4052\2017-02-21 --exclude "*" --recursive --include "*20170221*" &amp; "%USERPROFILE%\Documents\GitHub\mrs-test-scripts\Headless Mode &amp; Sideloading\WalkAndUnGZ.bat" "%USERPROFILE%\AppData\Local\Temp\OnboardLogs"\RTDC4052\2017-02-21 &amp; aws s3 cp s3://rtdc.mdm.uploadarchive.raw/RTDC4052/ "%USERPROFILE%\AppData\Local\Temp\OnboardLogs"\RTDC4052\2017-02-22 --exclude "*" --recursive --include "*20170222*" &amp; "%USERPROFILE%\Documents\GitHub\mrs-test-scripts\Headless Mode &amp; Sideloading\WalkAndUnGZ.bat" "%USERPROFILE%\AppData\Local\Temp\OnboardLogs"\RTDC4052\2017-02-22</v>
      </c>
      <c r="AF60" s="82" t="str">
        <f t="shared" si="10"/>
        <v>"C:\Program Files (x86)\AstroGrep\AstroGrep.exe" /spath="%USERPROFILE%\AppData\Local\Temp\OnboardLogs" /stypes="app*4052*20170221*" /stext=" 18:.+((SYSTEM_STATE.+slice.+state.+changed )|(ment ac)|(multiple cpu faults)|(system.+state.+changed )|(\[timeout)|(PRM\|1\|D)|(kpr)|(kdp)|(\|lc)|(penalty))" /e /r /s</v>
      </c>
      <c r="AG60" s="1" t="str">
        <f t="shared" si="11"/>
        <v>EC</v>
      </c>
      <c r="AH60" s="86" t="str">
        <f t="shared" si="20"/>
        <v>"%USERPROFILE%\Documents\GitHub\eaglep3\Utilities\RefineRTDCRunTimes.py" --tripid 146-21 --locoid 4052 --swversion DE.1.0.9.0 --startMP 204:232982 --initTime 2017-02-21T09:58:07 --startdatetime 2017-02-21T10:11:41 --delay 1 --endMP 204:145 --enddatetime 2017-02-21T11:04:49 --enforcementcount 0 &gt;&gt;C:\Users\stu\Documents\GitHub\eaglep3-reporting\EC\2017-02-21-refined-times.txt</v>
      </c>
      <c r="AI60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{"issue":{"subject":"","project_id":79,"tracker_id":40,"status_id":1,"priority_id":2,"assigned_to_id":23,"start_date":"2017-02-21","description":"","custom_fields":[{"id":1,"name":"Subdivision","value":"EC"},{"id":4,"name":"Milepost","value":"0.0145"},{"id":17,"name":"Train ID","value":"146-21"},{"id":16,"name":"Locomotive ID","value":"4052"},{"id":130,"name":"Impact","value":""},{"id":150,"name":"Time of Event (Mountain Time)","value":"11:04:49"},{"id":151,"name":"Denver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22"/>
        <v>start /low /b %USERPROFILE%\Documents\GitHub\eaglep3\Utilities\DownloadLogsFromS3.py --loco 4052 --day 2017-02-21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"%USERPROFILE%\AppData\Local\Temp\OnboardLogs"\RTDC4052\*4052*20170221* | grep -SE "(Enforcement Action)|(\[TIMEOUT)|(CHR.+\|PRM\|1\|D.+(SWITCH|SIGNAL).+UNKNOWN)" - &gt;&gt; 2017-02-21-UncaughtWiMAX.txt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557</v>
      </c>
      <c r="B61" s="7">
        <v>4018</v>
      </c>
      <c r="C61" s="21" t="s">
        <v>359</v>
      </c>
      <c r="D61" s="21" t="s">
        <v>299</v>
      </c>
      <c r="E61" s="13">
        <v>42787.396377314813</v>
      </c>
      <c r="F61" s="13">
        <v>42787.397534722222</v>
      </c>
      <c r="G61" s="7">
        <v>1</v>
      </c>
      <c r="H61" s="21" t="s">
        <v>431</v>
      </c>
      <c r="I61" s="13">
        <v>42787.422534722224</v>
      </c>
      <c r="J61" s="7">
        <v>0</v>
      </c>
      <c r="K61" s="98" t="str">
        <f t="shared" si="0"/>
        <v>4017/4018</v>
      </c>
      <c r="L61" s="21" t="str">
        <f>VLOOKUP(A61,'Trips&amp;Operators'!$C$1:$G$99999,5,FALSE)</f>
        <v>STARKS ANGELINA</v>
      </c>
      <c r="M61" s="6">
        <f t="shared" si="1"/>
        <v>2.5000000001455192E-2</v>
      </c>
      <c r="N61" s="7">
        <f t="shared" si="25"/>
        <v>36.000000002095476</v>
      </c>
      <c r="O61" s="7"/>
      <c r="P61" s="7"/>
      <c r="Q61" s="22"/>
      <c r="R61" s="22"/>
      <c r="S61" s="31">
        <f t="shared" si="26"/>
        <v>1</v>
      </c>
      <c r="T61" s="46" t="str">
        <f t="shared" si="3"/>
        <v>NorthBound</v>
      </c>
      <c r="U61" s="193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4" t="str">
        <f t="shared" si="4"/>
        <v>https://d0f6bd738d7f1b3e5a7ca70fe4ff75f0.us-east-1.aws.found.io/app/kibana#/discover/Steve-Slow-Train-Analysis-(2080s-and-2083s)?_g=(refreshInterval:(display:Off,pause:!f,section:0,value:0),time:(from:'2017-02-21T08:30:47-0700',mode:absolute,to:'2017-02-21T11:08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1" s="195" t="str">
        <f t="shared" si="5"/>
        <v>N</v>
      </c>
      <c r="X61" s="195">
        <f t="shared" si="24"/>
        <v>1</v>
      </c>
      <c r="Y61" s="62">
        <f t="shared" si="18"/>
        <v>4.7100000000000003E-2</v>
      </c>
      <c r="Z61" s="62">
        <f t="shared" si="19"/>
        <v>23.334399999999999</v>
      </c>
      <c r="AA61" s="62">
        <f t="shared" si="7"/>
        <v>23.287299999999998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8"/>
        <v>0147-21</v>
      </c>
      <c r="AE61" s="85" t="str">
        <f t="shared" si="9"/>
        <v>aws s3 cp s3://rtdc.mdm.uploadarchive.raw/RTDC4018/ "%USERPROFILE%\AppData\Local\Temp\OnboardLogs"\RTDC4018\2017-02-21 --exclude "*" --recursive --include "*20170221*" &amp; "%USERPROFILE%\Documents\GitHub\mrs-test-scripts\Headless Mode &amp; Sideloading\WalkAndUnGZ.bat" "%USERPROFILE%\AppData\Local\Temp\OnboardLogs"\RTDC4018\2017-02-21 &amp; aws s3 cp s3://rtdc.mdm.uploadarchive.raw/RTDC4018/ "%USERPROFILE%\AppData\Local\Temp\OnboardLogs"\RTDC4018\2017-02-22 --exclude "*" --recursive --include "*20170222*" &amp; "%USERPROFILE%\Documents\GitHub\mrs-test-scripts\Headless Mode &amp; Sideloading\WalkAndUnGZ.bat" "%USERPROFILE%\AppData\Local\Temp\OnboardLogs"\RTDC4018\2017-02-22</v>
      </c>
      <c r="AF61" s="82" t="str">
        <f t="shared" si="10"/>
        <v>"C:\Program Files (x86)\AstroGrep\AstroGrep.exe" /spath="%USERPROFILE%\AppData\Local\Temp\OnboardLogs" /stypes="app*4018*20170221*" /stext=" 17:.+((SYSTEM_STATE.+slice.+state.+changed )|(ment ac)|(multiple cpu faults)|(system.+state.+changed )|(\[timeout)|(PRM\|1\|D)|(kpr)|(kdp)|(\|lc)|(penalty))" /e /r /s</v>
      </c>
      <c r="AG61" s="1" t="str">
        <f t="shared" si="11"/>
        <v>EC</v>
      </c>
      <c r="AH61" s="86" t="str">
        <f t="shared" si="20"/>
        <v>"%USERPROFILE%\Documents\GitHub\eaglep3\Utilities\RefineRTDCRunTimes.py" --tripid 147-21 --locoid 4018 --swversion DE.1.0.9.0 --startMP 204:471 --initTime 2017-02-21T09:30:47 --startdatetime 2017-02-21T09:32:27 --delay 1 --endMP 204:233344 --enddatetime 2017-02-21T10:08:27 --enforcementcount 0 &gt;&gt;C:\Users\stu\Documents\GitHub\eaglep3-reporting\EC\2017-02-21-refined-times.txt</v>
      </c>
      <c r="AI61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{"issue":{"subject":"","project_id":79,"tracker_id":40,"status_id":1,"priority_id":2,"assigned_to_id":23,"start_date":"2017-02-21","description":"","custom_fields":[{"id":1,"name":"Subdivision","value":"EC"},{"id":4,"name":"Milepost","value":"23.3344"},{"id":17,"name":"Train ID","value":"147-21"},{"id":16,"name":"Locomotive ID","value":"4018"},{"id":130,"name":"Impact","value":""},{"id":150,"name":"Time of Event (Mountain Time)","value":"10:08:27"},{"id":151,"name":"Denver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22"/>
        <v>start /low /b %USERPROFILE%\Documents\GitHub\eaglep3\Utilities\DownloadLogsFromS3.py --loco 4018 --day 2017-02-21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"%USERPROFILE%\AppData\Local\Temp\OnboardLogs"\RTDC4018\*4018*20170221* | grep -SE "(Enforcement Action)|(\[TIMEOUT)|(CHR.+\|PRM\|1\|D.+(SWITCH|SIGNAL).+UNKNOWN)" - &gt;&gt; 2017-02-21-UncaughtWiMAX.txt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1026</v>
      </c>
      <c r="B62" s="7"/>
      <c r="C62" s="21" t="s">
        <v>359</v>
      </c>
      <c r="D62" s="21" t="s">
        <v>299</v>
      </c>
      <c r="E62" s="13">
        <v>42787.396377314813</v>
      </c>
      <c r="F62" s="13"/>
      <c r="G62" s="7">
        <v>1</v>
      </c>
      <c r="H62" s="21" t="s">
        <v>431</v>
      </c>
      <c r="I62" s="13"/>
      <c r="J62" s="7">
        <v>0</v>
      </c>
      <c r="K62" s="98" t="str">
        <f t="shared" si="0"/>
        <v>-1/</v>
      </c>
      <c r="L62" s="21" t="e">
        <f>VLOOKUP(A62,'Trips&amp;Operators'!$C$1:$G$99999,5,FALSE)</f>
        <v>#N/A</v>
      </c>
      <c r="M62" s="6">
        <f t="shared" si="1"/>
        <v>0</v>
      </c>
      <c r="N62" s="7"/>
      <c r="O62" s="7"/>
      <c r="P62" s="7">
        <v>1</v>
      </c>
      <c r="Q62" s="22"/>
      <c r="R62" s="22" t="s">
        <v>452</v>
      </c>
      <c r="S62" s="31">
        <f t="shared" si="26"/>
        <v>0</v>
      </c>
      <c r="T62" s="46" t="str">
        <f t="shared" si="3"/>
        <v>Southbound</v>
      </c>
      <c r="U62" s="193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0</v>
      </c>
      <c r="V62" s="194" t="str">
        <f t="shared" si="4"/>
        <v>https://d0f6bd738d7f1b3e5a7ca70fe4ff75f0.us-east-1.aws.found.io/app/kibana#/discover/Steve-Slow-Train-Analysis-(2080s-and-2083s)?_g=(refreshInterval:(display:Off,pause:!f,section:0,value:0),time:(from:'2017-02-21T08:30:47-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62" s="195" t="str">
        <f t="shared" si="5"/>
        <v>N</v>
      </c>
      <c r="X62" s="195">
        <f t="shared" si="24"/>
        <v>1</v>
      </c>
      <c r="Y62" s="62">
        <f t="shared" si="18"/>
        <v>4.7100000000000003E-2</v>
      </c>
      <c r="Z62" s="62">
        <f t="shared" si="19"/>
        <v>23.334399999999999</v>
      </c>
      <c r="AA62" s="62">
        <f t="shared" si="7"/>
        <v>23.287299999999998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8"/>
        <v>0148-21</v>
      </c>
      <c r="AE62" s="85" t="str">
        <f t="shared" si="9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62" s="82" t="str">
        <f t="shared" si="10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62" s="1" t="str">
        <f t="shared" si="11"/>
        <v>EC</v>
      </c>
      <c r="AH62" s="86" t="str">
        <f t="shared" ref="AH62" si="27">refinertdcruntimes&amp;" --tripid "&amp;A62&amp;" --locoid "&amp;B62&amp;" --swversion "&amp;C62&amp;" --startMP "&amp;D62&amp;" --initTime "&amp;TEXT(E62,"yyyy-mm-ddTHH:MM:SS")&amp;" --startdatetime "&amp;TEXT(F62,"yyyy-mm-ddTHH:MM:SS")&amp;" --delay "&amp;G62&amp;" --endMP "&amp;H62&amp;" --enddatetime "&amp;TEXT(I62,"yyyy-mm-ddTHH:MM:SS")&amp;" --enforcementcount "&amp;J62&amp;IF(outputrefinedruntimes," &gt;&gt;"&amp;RefinedRTDCRunTimesOutputFile,"")</f>
        <v>"%USERPROFILE%\Documents\GitHub\eaglep3\Utilities\RefineRTDCRunTimes.py" --tripid 148-21 --locoid  --swversion DE.1.0.9.0 --startMP 204:471 --initTime 2017-02-21T09:30:47 --startdatetime 1900-01-00T00:00:00 --delay 1 --endMP 204:233344 --enddatetime 1900-01-00T00:00:00 --enforcementcount 0 &gt;&gt;C:\Users\stu\Documents\GitHub\eaglep3-reporting\EC\2017-02-21-refined-times.txt</v>
      </c>
      <c r="AI62" s="108" t="str">
        <f t="shared" ref="AI62" si="28">"echo {""issue"":{""subject"":"""&amp;R62&amp;""",""project_id"":79,""tracker_id"":40,""status_id"":"&amp;redmine_status&amp;",""priority_id"":"&amp;redmine_priority&amp;",""assigned_to_id"":"&amp;redmine_assignee&amp;",""start_date"":"""&amp;TEXT(I62,"YYYY-mm-dd")&amp;""",""description"":"""&amp;AJ62&amp;""",""custom_fields"":[{""id"":1,""name"":""Subdivision"",""value"":"""&amp;AG62&amp;"""},{""id"":4,""name"":""Milepost"",""value"":"""&amp;Z62&amp;"""},{""id"":17,""name"":""Train ID"",""value"":"""&amp;A62&amp;"""},{""id"":16,""name"":""Locomotive ID"",""value"":"""&amp;B62&amp;"""},{""id"":130,""name"":""Impact"",""value"":"""&amp;AK62&amp;"""},{""id"":150,""name"":""Time of Event (Mountain Time)"",""value"":"""&amp;TEXT(I62,"hh:mm:ss")&amp;"""},{""id"":151,""name"":""Denver Issue ID"",""value"":"""&amp;"""},{""id"":178,""name"":""Operational Impact"",""value"":"""&amp;redmine_op_impact&amp;"""},{""id"":179,""name"":""Denver Segment Assigned"",""value"":"""&amp;AL62&amp;"""}]}}"&amp;"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init","project_id":79,"tracker_id":40,"status_id":1,"priority_id":2,"assigned_to_id":23,"start_date":"1900-01-00","description":"","custom_fields":[{"id":1,"name":"Subdivision","value":"EC"},{"id":4,"name":"Milepost","value":"23.3344"},{"id":17,"name":"Train ID","value":"148-21"},{"id":16,"name":"Locomotive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ref="AM62" si="29">"start /low /b "&amp;dls3logs&amp;" --loco "&amp;B62&amp;" --day "&amp;TEXT(F62,"YYYY-MM-DD")</f>
        <v>start /low /b %USERPROFILE%\Documents\GitHub\eaglep3\Utilities\DownloadLogsFromS3.py --loco  --day 1900-01-00</v>
      </c>
      <c r="AN62" s="163" t="e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#DIV/0!</v>
      </c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  <c r="BO62" s="20"/>
      <c r="BP62" s="20"/>
      <c r="BQ62" s="20"/>
      <c r="BR62" s="20"/>
      <c r="BS62" s="20"/>
      <c r="BT62" s="20"/>
      <c r="BU62" s="20"/>
      <c r="BV62" s="20"/>
      <c r="BW62" s="20"/>
      <c r="BX62" s="20"/>
      <c r="BY62" s="20"/>
      <c r="BZ62" s="20"/>
      <c r="CA62" s="20"/>
      <c r="CB62" s="20"/>
      <c r="CC62" s="20"/>
      <c r="CD62" s="20"/>
      <c r="CE62" s="20"/>
      <c r="CF62" s="20"/>
      <c r="CG62" s="20"/>
      <c r="CH62" s="20"/>
      <c r="CI62" s="20"/>
      <c r="CJ62" s="20"/>
      <c r="CK62" s="20"/>
      <c r="CL62" s="20"/>
      <c r="CM62" s="20"/>
    </row>
    <row r="63" spans="1:91" s="1" customFormat="1" x14ac:dyDescent="0.25">
      <c r="A63" s="33" t="s">
        <v>558</v>
      </c>
      <c r="B63" s="7">
        <v>4003</v>
      </c>
      <c r="C63" s="21" t="s">
        <v>359</v>
      </c>
      <c r="D63" s="21" t="s">
        <v>363</v>
      </c>
      <c r="E63" s="13">
        <v>42787.402013888888</v>
      </c>
      <c r="F63" s="13">
        <v>42787.406828703701</v>
      </c>
      <c r="G63" s="7">
        <v>1</v>
      </c>
      <c r="H63" s="21" t="s">
        <v>264</v>
      </c>
      <c r="I63" s="13">
        <v>42787.432511574072</v>
      </c>
      <c r="J63" s="7">
        <v>0</v>
      </c>
      <c r="K63" s="98" t="str">
        <f t="shared" si="0"/>
        <v>4003/4004</v>
      </c>
      <c r="L63" s="21" t="str">
        <f>VLOOKUP(A63,'Trips&amp;Operators'!$C$1:$G$99999,5,FALSE)</f>
        <v>BONDS REYNALDO</v>
      </c>
      <c r="M63" s="6">
        <f t="shared" si="1"/>
        <v>2.5682870371383615E-2</v>
      </c>
      <c r="N63" s="7">
        <f>24*60*SUM($M63:$M63)</f>
        <v>36.983333334792405</v>
      </c>
      <c r="O63" s="7"/>
      <c r="P63" s="7"/>
      <c r="Q63" s="22"/>
      <c r="R63" s="22"/>
      <c r="S63" s="31">
        <f t="shared" si="26"/>
        <v>1</v>
      </c>
      <c r="T63" s="46" t="str">
        <f t="shared" si="3"/>
        <v>NorthBound</v>
      </c>
      <c r="U63" s="193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4" t="str">
        <f t="shared" si="4"/>
        <v>https://d0f6bd738d7f1b3e5a7ca70fe4ff75f0.us-east-1.aws.found.io/app/kibana#/discover/Steve-Slow-Train-Analysis-(2080s-and-2083s)?_g=(refreshInterval:(display:Off,pause:!f,section:0,value:0),time:(from:'2017-02-21T08:38:54-0700',mode:absolute,to:'2017-02-21T11:22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3" s="195" t="str">
        <f t="shared" si="5"/>
        <v>N</v>
      </c>
      <c r="X63" s="195">
        <f t="shared" si="24"/>
        <v>1</v>
      </c>
      <c r="Y63" s="62">
        <f t="shared" si="18"/>
        <v>4.3499999999999997E-2</v>
      </c>
      <c r="Z63" s="62">
        <f t="shared" si="19"/>
        <v>23.3293</v>
      </c>
      <c r="AA63" s="62">
        <f t="shared" si="7"/>
        <v>23.285799999999998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8"/>
        <v>0149-21</v>
      </c>
      <c r="AE63" s="85" t="str">
        <f t="shared" si="9"/>
        <v>aws s3 cp s3://rtdc.mdm.uploadarchive.raw/RTDC4003/ "%USERPROFILE%\AppData\Local\Temp\OnboardLogs"\RTDC4003\2017-02-21 --exclude "*" --recursive --include "*20170221*" &amp; "%USERPROFILE%\Documents\GitHub\mrs-test-scripts\Headless Mode &amp; Sideloading\WalkAndUnGZ.bat" "%USERPROFILE%\AppData\Local\Temp\OnboardLogs"\RTDC4003\2017-02-21 &amp; aws s3 cp s3://rtdc.mdm.uploadarchive.raw/RTDC4003/ "%USERPROFILE%\AppData\Local\Temp\OnboardLogs"\RTDC4003\2017-02-22 --exclude "*" --recursive --include "*20170222*" &amp; "%USERPROFILE%\Documents\GitHub\mrs-test-scripts\Headless Mode &amp; Sideloading\WalkAndUnGZ.bat" "%USERPROFILE%\AppData\Local\Temp\OnboardLogs"\RTDC4003\2017-02-22</v>
      </c>
      <c r="AF63" s="82" t="str">
        <f t="shared" si="10"/>
        <v>"C:\Program Files (x86)\AstroGrep\AstroGrep.exe" /spath="%USERPROFILE%\AppData\Local\Temp\OnboardLogs" /stypes="app*4003*20170221*" /stext=" 17:.+((SYSTEM_STATE.+slice.+state.+changed )|(ment ac)|(multiple cpu faults)|(system.+state.+changed )|(\[timeout)|(PRM\|1\|D)|(kpr)|(kdp)|(\|lc)|(penalty))" /e /r /s</v>
      </c>
      <c r="AG63" s="1" t="str">
        <f t="shared" si="11"/>
        <v>EC</v>
      </c>
      <c r="AH63" s="86" t="str">
        <f t="shared" si="20"/>
        <v>"%USERPROFILE%\Documents\GitHub\eaglep3\Utilities\RefineRTDCRunTimes.py" --tripid 149-21 --locoid 4003 --swversion DE.1.0.9.0 --startMP 204:435 --initTime 2017-02-21T09:38:54 --startdatetime 2017-02-21T09:45:50 --delay 1 --endMP 204:233293 --enddatetime 2017-02-21T10:22:49 --enforcementcount 0 &gt;&gt;C:\Users\stu\Documents\GitHub\eaglep3-reporting\EC\2017-02-21-refined-times.txt</v>
      </c>
      <c r="AI63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{"issue":{"subject":"","project_id":79,"tracker_id":40,"status_id":1,"priority_id":2,"assigned_to_id":23,"start_date":"2017-02-21","description":"","custom_fields":[{"id":1,"name":"Subdivision","value":"EC"},{"id":4,"name":"Milepost","value":"23.3293"},{"id":17,"name":"Train ID","value":"149-21"},{"id":16,"name":"Locomotive ID","value":"4003"},{"id":130,"name":"Impact","value":""},{"id":150,"name":"Time of Event (Mountain Time)","value":"10:22:49"},{"id":151,"name":"Denver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22"/>
        <v>start /low /b %USERPROFILE%\Documents\GitHub\eaglep3\Utilities\DownloadLogsFromS3.py --loco 4003 --day 2017-02-21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"%USERPROFILE%\AppData\Local\Temp\OnboardLogs"\RTDC4003\*4003*20170221* | grep -SE "(Enforcement Action)|(\[TIMEOUT)|(CHR.+\|PRM\|1\|D.+(SWITCH|SIGNAL).+UNKNOWN)" - &gt;&gt; 2017-02-21-UncaughtWiMAX.txt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563</v>
      </c>
      <c r="B64" s="7">
        <v>4004</v>
      </c>
      <c r="C64" s="21" t="s">
        <v>359</v>
      </c>
      <c r="D64" s="21" t="s">
        <v>723</v>
      </c>
      <c r="E64" s="13">
        <v>42787.441550925927</v>
      </c>
      <c r="F64" s="13">
        <v>42787.4453125</v>
      </c>
      <c r="G64" s="7">
        <v>0</v>
      </c>
      <c r="H64" s="21" t="s">
        <v>203</v>
      </c>
      <c r="I64" s="13">
        <v>42787.475347222222</v>
      </c>
      <c r="J64" s="7">
        <v>0</v>
      </c>
      <c r="K64" s="98" t="str">
        <f t="shared" si="0"/>
        <v>4003/4004</v>
      </c>
      <c r="L64" s="21" t="str">
        <f>VLOOKUP(A64,'Trips&amp;Operators'!$C$1:$G$99999,5,FALSE)</f>
        <v>BONDS REYNALDO</v>
      </c>
      <c r="M64" s="6">
        <f t="shared" si="1"/>
        <v>3.0034722221898846E-2</v>
      </c>
      <c r="N64" s="7">
        <f>24*60*SUM($M64:$M64)</f>
        <v>43.249999999534339</v>
      </c>
      <c r="O64" s="7"/>
      <c r="P64" s="7"/>
      <c r="Q64" s="22"/>
      <c r="R64" s="22"/>
      <c r="S64" s="31">
        <f t="shared" si="26"/>
        <v>1</v>
      </c>
      <c r="T64" s="46" t="str">
        <f t="shared" si="3"/>
        <v>Southbound</v>
      </c>
      <c r="U64" s="193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4" t="str">
        <f t="shared" si="4"/>
        <v>https://d0f6bd738d7f1b3e5a7ca70fe4ff75f0.us-east-1.aws.found.io/app/kibana#/discover/Steve-Slow-Train-Analysis-(2080s-and-2083s)?_g=(refreshInterval:(display:Off,pause:!f,section:0,value:0),time:(from:'2017-02-21T09:35:50-0700',mode:absolute,to:'2017-02-21T12:24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4" s="195" t="str">
        <f t="shared" si="5"/>
        <v>N</v>
      </c>
      <c r="X64" s="195">
        <f t="shared" si="24"/>
        <v>1</v>
      </c>
      <c r="Y64" s="62">
        <f t="shared" si="18"/>
        <v>23.296099999999999</v>
      </c>
      <c r="Z64" s="62">
        <f t="shared" si="19"/>
        <v>1.6E-2</v>
      </c>
      <c r="AA64" s="62">
        <f t="shared" si="7"/>
        <v>23.280100000000001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8"/>
        <v>0150-21</v>
      </c>
      <c r="AE64" s="85" t="str">
        <f t="shared" si="9"/>
        <v>aws s3 cp s3://rtdc.mdm.uploadarchive.raw/RTDC4004/ "%USERPROFILE%\AppData\Local\Temp\OnboardLogs"\RTDC4004\2017-02-21 --exclude "*" --recursive --include "*20170221*" &amp; "%USERPROFILE%\Documents\GitHub\mrs-test-scripts\Headless Mode &amp; Sideloading\WalkAndUnGZ.bat" "%USERPROFILE%\AppData\Local\Temp\OnboardLogs"\RTDC4004\2017-02-21 &amp; aws s3 cp s3://rtdc.mdm.uploadarchive.raw/RTDC4004/ "%USERPROFILE%\AppData\Local\Temp\OnboardLogs"\RTDC4004\2017-02-22 --exclude "*" --recursive --include "*20170222*" &amp; "%USERPROFILE%\Documents\GitHub\mrs-test-scripts\Headless Mode &amp; Sideloading\WalkAndUnGZ.bat" "%USERPROFILE%\AppData\Local\Temp\OnboardLogs"\RTDC4004\2017-02-22</v>
      </c>
      <c r="AF64" s="82" t="str">
        <f t="shared" si="10"/>
        <v>"C:\Program Files (x86)\AstroGrep\AstroGrep.exe" /spath="%USERPROFILE%\AppData\Local\Temp\OnboardLogs" /stypes="app*4004*20170221*" /stext=" 18:.+((SYSTEM_STATE.+slice.+state.+changed )|(ment ac)|(multiple cpu faults)|(system.+state.+changed )|(\[timeout)|(PRM\|1\|D)|(kpr)|(kdp)|(\|lc)|(penalty))" /e /r /s</v>
      </c>
      <c r="AG64" s="1" t="str">
        <f t="shared" si="11"/>
        <v>EC</v>
      </c>
      <c r="AH64" s="86" t="str">
        <f t="shared" si="20"/>
        <v>"%USERPROFILE%\Documents\GitHub\eaglep3\Utilities\RefineRTDCRunTimes.py" --tripid 150-21 --locoid 4004 --swversion DE.1.0.9.0 --startMP 204:232961 --initTime 2017-02-21T10:35:50 --startdatetime 2017-02-21T10:41:15 --delay 0 --endMP 204:160 --enddatetime 2017-02-21T11:24:30 --enforcementcount 0 &gt;&gt;C:\Users\stu\Documents\GitHub\eaglep3-reporting\EC\2017-02-21-refined-times.txt</v>
      </c>
      <c r="AI64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{"issue":{"subject":"","project_id":79,"tracker_id":40,"status_id":1,"priority_id":2,"assigned_to_id":23,"start_date":"2017-02-21","description":"","custom_fields":[{"id":1,"name":"Subdivision","value":"EC"},{"id":4,"name":"Milepost","value":"0.016"},{"id":17,"name":"Train ID","value":"150-21"},{"id":16,"name":"Locomotive ID","value":"4004"},{"id":130,"name":"Impact","value":""},{"id":150,"name":"Time of Event (Mountain Time)","value":"11:24:30"},{"id":151,"name":"Denver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22"/>
        <v>start /low /b %USERPROFILE%\Documents\GitHub\eaglep3\Utilities\DownloadLogsFromS3.py --loco 4004 --day 2017-02-21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"%USERPROFILE%\AppData\Local\Temp\OnboardLogs"\RTDC4004\*4004*20170221* | grep -SE "(Enforcement Action)|(\[TIMEOUT)|(CHR.+\|PRM\|1\|D.+(SWITCH|SIGNAL).+UNKNOWN)" - &gt;&gt; 2017-02-21-UncaughtWiMAX.txt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471</v>
      </c>
      <c r="B65" s="7">
        <v>4027</v>
      </c>
      <c r="C65" s="21" t="s">
        <v>359</v>
      </c>
      <c r="D65" s="21" t="s">
        <v>724</v>
      </c>
      <c r="E65" s="13">
        <v>42787.435937499999</v>
      </c>
      <c r="F65" s="13">
        <v>42787.436516203707</v>
      </c>
      <c r="G65" s="7">
        <v>0</v>
      </c>
      <c r="H65" s="21" t="s">
        <v>416</v>
      </c>
      <c r="I65" s="13">
        <v>42787.454143518517</v>
      </c>
      <c r="J65" s="7">
        <v>1</v>
      </c>
      <c r="K65" s="98" t="str">
        <f t="shared" si="0"/>
        <v>4027/4028</v>
      </c>
      <c r="L65" s="21" t="str">
        <f>VLOOKUP(A65,'Trips&amp;Operators'!$C$1:$G$99999,5,FALSE)</f>
        <v>ACKERMAN JARED</v>
      </c>
      <c r="M65" s="6">
        <f t="shared" si="1"/>
        <v>1.7627314809942618E-2</v>
      </c>
      <c r="N65" s="7"/>
      <c r="O65" s="7"/>
      <c r="P65" s="7">
        <f>24*60*SUM($M65:$M66)</f>
        <v>53.616666658781469</v>
      </c>
      <c r="Q65" s="22"/>
      <c r="R65" s="22" t="s">
        <v>1027</v>
      </c>
      <c r="S65" s="31">
        <f>SUM(U65:U66)/IF(AG65="EC",12,1)</f>
        <v>0.91666666666666663</v>
      </c>
      <c r="T65" s="46" t="str">
        <f t="shared" si="3"/>
        <v>NorthBound</v>
      </c>
      <c r="U65" s="193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</v>
      </c>
      <c r="V65" s="194" t="str">
        <f t="shared" si="4"/>
        <v>https://d0f6bd738d7f1b3e5a7ca70fe4ff75f0.us-east-1.aws.found.io/app/kibana#/discover/Steve-Slow-Train-Analysis-(2080s-and-2083s)?_g=(refreshInterval:(display:Off,pause:!f,section:0,value:0),time:(from:'2017-02-21T09:27:45-0700',mode:absolute,to:'2017-02-21T11:53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5" s="195" t="str">
        <f t="shared" si="5"/>
        <v>Y</v>
      </c>
      <c r="X65" s="195">
        <f t="shared" si="24"/>
        <v>1</v>
      </c>
      <c r="Y65" s="62">
        <f t="shared" si="18"/>
        <v>10.7264</v>
      </c>
      <c r="Z65" s="62">
        <f t="shared" si="19"/>
        <v>23.331399999999999</v>
      </c>
      <c r="AA65" s="62">
        <f t="shared" si="7"/>
        <v>12.604999999999999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8"/>
        <v>0151-21</v>
      </c>
      <c r="AE65" s="85" t="str">
        <f t="shared" si="9"/>
        <v>aws s3 cp s3://rtdc.mdm.uploadarchive.raw/RTDC4027/ "%USERPROFILE%\AppData\Local\Temp\OnboardLogs"\RTDC4027\2017-02-21 --exclude "*" --recursive --include "*20170221*" &amp; "%USERPROFILE%\Documents\GitHub\mrs-test-scripts\Headless Mode &amp; Sideloading\WalkAndUnGZ.bat" "%USERPROFILE%\AppData\Local\Temp\OnboardLogs"\RTDC4027\2017-02-21 &amp; aws s3 cp s3://rtdc.mdm.uploadarchive.raw/RTDC4027/ "%USERPROFILE%\AppData\Local\Temp\OnboardLogs"\RTDC4027\2017-02-22 --exclude "*" --recursive --include "*20170222*" &amp; "%USERPROFILE%\Documents\GitHub\mrs-test-scripts\Headless Mode &amp; Sideloading\WalkAndUnGZ.bat" "%USERPROFILE%\AppData\Local\Temp\OnboardLogs"\RTDC4027\2017-02-22</v>
      </c>
      <c r="AF65" s="82" t="str">
        <f t="shared" si="10"/>
        <v>"C:\Program Files (x86)\AstroGrep\AstroGrep.exe" /spath="%USERPROFILE%\AppData\Local\Temp\OnboardLogs" /stypes="app*4027*20170221*" /stext=" 17:.+((SYSTEM_STATE.+slice.+state.+changed )|(ment ac)|(multiple cpu faults)|(system.+state.+changed )|(\[timeout)|(PRM\|1\|D)|(kpr)|(kdp)|(\|lc)|(penalty))" /e /r /s</v>
      </c>
      <c r="AG65" s="1" t="str">
        <f t="shared" si="11"/>
        <v>EC</v>
      </c>
      <c r="AH65" s="86" t="str">
        <f t="shared" si="20"/>
        <v>"%USERPROFILE%\Documents\GitHub\eaglep3\Utilities\RefineRTDCRunTimes.py" --tripid 151-21 --locoid 4027 --swversion DE.1.0.9.0 --startMP 204:107264 --initTime 2017-02-21T10:27:45 --startdatetime 2017-02-21T10:28:35 --delay 0 --endMP 204:233314 --enddatetime 2017-02-21T10:53:58 --enforcementcount 1 &gt;&gt;C:\Users\stu\Documents\GitHub\eaglep3-reporting\EC\2017-02-21-refined-times.txt</v>
      </c>
      <c r="AI65" s="108" t="str">
        <f t="shared" si="21"/>
        <v>echo {"issue":{"subject":"Chambers ELXS failure (cab correspondence error)","project_id":79,"tracker_id":40,"status_id":1,"priority_id":2,"assigned_to_id":23,"start_date":"2017-02-21","description":"Around 10:05, Chambers transferred from Main to Standby. Do logs tell us anything interesting?","custom_fields":[{"id":1,"name":"Subdivision","value":"EC"},{"id":4,"name":"Milepost","value":"23.3314"},{"id":17,"name":"Train ID","value":"151-21"},{"id":16,"name":"Locomotive ID","value":"4027"},{"id":130,"name":"Impact","value":"Unexpected Cut-Out or Disengaged"},{"id":150,"name":"Time of Event (Mountain Time)","value":"10:53:58"},{"id":151,"name":"Denver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65" s="48" t="s">
        <v>904</v>
      </c>
      <c r="AK65" s="48" t="s">
        <v>130</v>
      </c>
      <c r="AL65" s="48" t="s">
        <v>129</v>
      </c>
      <c r="AM65" s="154" t="str">
        <f t="shared" si="22"/>
        <v>start /low /b %USERPROFILE%\Documents\GitHub\eaglep3\Utilities\DownloadLogsFromS3.py --loco 4027 --day 2017-02-21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"%USERPROFILE%\AppData\Local\Temp\OnboardLogs"\RTDC4027\*4027*20170221* | grep -SE "(Enforcement Action)|(\[TIMEOUT)|(CHR.+\|PRM\|1\|D.+(SWITCH|SIGNAL).+UNKNOWN)" - &gt;&gt; 2017-02-21-UncaughtWiMAX.txt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471</v>
      </c>
      <c r="B66" s="7">
        <v>4027</v>
      </c>
      <c r="C66" s="21" t="s">
        <v>359</v>
      </c>
      <c r="D66" s="21" t="s">
        <v>699</v>
      </c>
      <c r="E66" s="13">
        <v>42787.411319444444</v>
      </c>
      <c r="F66" s="13">
        <v>42787.412847222222</v>
      </c>
      <c r="G66" s="7">
        <v>2</v>
      </c>
      <c r="H66" s="21" t="s">
        <v>725</v>
      </c>
      <c r="I66" s="13">
        <v>42787.432453703703</v>
      </c>
      <c r="J66" s="7">
        <v>0</v>
      </c>
      <c r="K66" s="98" t="str">
        <f t="shared" si="0"/>
        <v>4027/4028</v>
      </c>
      <c r="L66" s="21" t="str">
        <f>VLOOKUP(A66,'Trips&amp;Operators'!$C$1:$G$99999,5,FALSE)</f>
        <v>ACKERMAN JARED</v>
      </c>
      <c r="M66" s="6">
        <f t="shared" si="1"/>
        <v>1.9606481480877846E-2</v>
      </c>
      <c r="N66" s="7"/>
      <c r="O66" s="7"/>
      <c r="P66" s="7"/>
      <c r="Q66" s="22"/>
      <c r="R66" s="22"/>
      <c r="S66" s="31"/>
      <c r="T66" s="46" t="str">
        <f t="shared" si="3"/>
        <v>NorthBound</v>
      </c>
      <c r="U66" s="193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10</v>
      </c>
      <c r="V66" s="194" t="str">
        <f t="shared" si="4"/>
        <v>https://d0f6bd738d7f1b3e5a7ca70fe4ff75f0.us-east-1.aws.found.io/app/kibana#/discover/Steve-Slow-Train-Analysis-(2080s-and-2083s)?_g=(refreshInterval:(display:Off,pause:!f,section:0,value:0),time:(from:'2017-02-21T08:52:18-0700',mode:absolute,to:'2017-02-21T11:22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6" s="195" t="str">
        <f t="shared" si="5"/>
        <v>Y</v>
      </c>
      <c r="X66" s="195">
        <f t="shared" si="24"/>
        <v>0</v>
      </c>
      <c r="Y66" s="62">
        <f t="shared" si="18"/>
        <v>4.3299999999999998E-2</v>
      </c>
      <c r="Z66" s="62">
        <f t="shared" si="19"/>
        <v>10.267300000000001</v>
      </c>
      <c r="AA66" s="62">
        <f t="shared" si="7"/>
        <v>10.224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8"/>
        <v>0151-21</v>
      </c>
      <c r="AE66" s="85" t="str">
        <f t="shared" si="9"/>
        <v>aws s3 cp s3://rtdc.mdm.uploadarchive.raw/RTDC4027/ "%USERPROFILE%\AppData\Local\Temp\OnboardLogs"\RTDC4027\2017-02-21 --exclude "*" --recursive --include "*20170221*" &amp; "%USERPROFILE%\Documents\GitHub\mrs-test-scripts\Headless Mode &amp; Sideloading\WalkAndUnGZ.bat" "%USERPROFILE%\AppData\Local\Temp\OnboardLogs"\RTDC4027\2017-02-21 &amp; aws s3 cp s3://rtdc.mdm.uploadarchive.raw/RTDC4027/ "%USERPROFILE%\AppData\Local\Temp\OnboardLogs"\RTDC4027\2017-02-22 --exclude "*" --recursive --include "*20170222*" &amp; "%USERPROFILE%\Documents\GitHub\mrs-test-scripts\Headless Mode &amp; Sideloading\WalkAndUnGZ.bat" "%USERPROFILE%\AppData\Local\Temp\OnboardLogs"\RTDC4027\2017-02-22</v>
      </c>
      <c r="AF66" s="82" t="str">
        <f t="shared" si="10"/>
        <v>"C:\Program Files (x86)\AstroGrep\AstroGrep.exe" /spath="%USERPROFILE%\AppData\Local\Temp\OnboardLogs" /stypes="app*4027*20170221*" /stext=" 17:.+((SYSTEM_STATE.+slice.+state.+changed )|(ment ac)|(multiple cpu faults)|(system.+state.+changed )|(\[timeout)|(PRM\|1\|D)|(kpr)|(kdp)|(\|lc)|(penalty))" /e /r /s</v>
      </c>
      <c r="AG66" s="1" t="str">
        <f t="shared" si="11"/>
        <v>EC</v>
      </c>
      <c r="AH66" s="86" t="str">
        <f t="shared" si="20"/>
        <v>"%USERPROFILE%\Documents\GitHub\eaglep3\Utilities\RefineRTDCRunTimes.py" --tripid 151-21 --locoid 4027 --swversion DE.1.0.9.0 --startMP 204:433 --initTime 2017-02-21T09:52:18 --startdatetime 2017-02-21T09:54:30 --delay 2 --endMP 204:102673 --enddatetime 2017-02-21T10:22:44 --enforcementcount 0 &gt;&gt;C:\Users\stu\Documents\GitHub\eaglep3-reporting\EC\2017-02-21-refined-times.txt</v>
      </c>
      <c r="AI66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{"issue":{"subject":"","project_id":79,"tracker_id":40,"status_id":1,"priority_id":2,"assigned_to_id":23,"start_date":"2017-02-21","description":"","custom_fields":[{"id":1,"name":"Subdivision","value":"EC"},{"id":4,"name":"Milepost","value":"10.2673"},{"id":17,"name":"Train ID","value":"151-21"},{"id":16,"name":"Locomotive ID","value":"4027"},{"id":130,"name":"Impact","value":""},{"id":150,"name":"Time of Event (Mountain Time)","value":"10:22:44"},{"id":151,"name":"Denver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22"/>
        <v>start /low /b %USERPROFILE%\Documents\GitHub\eaglep3\Utilities\DownloadLogsFromS3.py --loco 4027 --day 2017-02-21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"%USERPROFILE%\AppData\Local\Temp\OnboardLogs"\RTDC4027\*4027*20170221* | grep -SE "(Enforcement Action)|(\[TIMEOUT)|(CHR.+\|PRM\|1\|D.+(SWITCH|SIGNAL).+UNKNOWN)" - &gt;&gt; 2017-02-21-UncaughtWiMAX.txt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566</v>
      </c>
      <c r="B67" s="7">
        <v>4028</v>
      </c>
      <c r="C67" s="21" t="s">
        <v>359</v>
      </c>
      <c r="D67" s="21" t="s">
        <v>323</v>
      </c>
      <c r="E67" s="13">
        <v>42787.455254629633</v>
      </c>
      <c r="F67" s="13">
        <v>42787.456817129627</v>
      </c>
      <c r="G67" s="7">
        <v>1</v>
      </c>
      <c r="H67" s="21" t="s">
        <v>289</v>
      </c>
      <c r="I67" s="13">
        <v>42787.486504629633</v>
      </c>
      <c r="J67" s="7">
        <v>0</v>
      </c>
      <c r="K67" s="98" t="str">
        <f t="shared" si="0"/>
        <v>4027/4028</v>
      </c>
      <c r="L67" s="21" t="str">
        <f>VLOOKUP(A67,'Trips&amp;Operators'!$C$1:$G$99999,5,FALSE)</f>
        <v>ACKERMAN JARED</v>
      </c>
      <c r="M67" s="6">
        <f t="shared" si="1"/>
        <v>2.9687500005820766E-2</v>
      </c>
      <c r="N67" s="7">
        <f>24*60*SUM($M67:$M67)</f>
        <v>42.750000008381903</v>
      </c>
      <c r="O67" s="7"/>
      <c r="P67" s="7"/>
      <c r="Q67" s="22"/>
      <c r="R67" s="22"/>
      <c r="S67" s="31">
        <f t="shared" ref="S67:S98" si="30">SUM(U67:U67)/IF(AG67="EC",12,1)</f>
        <v>1</v>
      </c>
      <c r="T67" s="46" t="str">
        <f t="shared" si="3"/>
        <v>Southbound</v>
      </c>
      <c r="U67" s="193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4" t="str">
        <f t="shared" si="4"/>
        <v>https://d0f6bd738d7f1b3e5a7ca70fe4ff75f0.us-east-1.aws.found.io/app/kibana#/discover/Steve-Slow-Train-Analysis-(2080s-and-2083s)?_g=(refreshInterval:(display:Off,pause:!f,section:0,value:0),time:(from:'2017-02-21T09:55:34-0700',mode:absolute,to:'2017-02-21T12:40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7" s="195" t="str">
        <f t="shared" si="5"/>
        <v>N</v>
      </c>
      <c r="X67" s="195">
        <f t="shared" si="24"/>
        <v>1</v>
      </c>
      <c r="Y67" s="62">
        <f t="shared" si="18"/>
        <v>23.301500000000001</v>
      </c>
      <c r="Z67" s="62">
        <f t="shared" si="19"/>
        <v>1.47E-2</v>
      </c>
      <c r="AA67" s="62">
        <f t="shared" si="7"/>
        <v>23.286799999999999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8"/>
        <v>0152-21</v>
      </c>
      <c r="AE67" s="85" t="str">
        <f t="shared" si="9"/>
        <v>aws s3 cp s3://rtdc.mdm.uploadarchive.raw/RTDC4028/ "%USERPROFILE%\AppData\Local\Temp\OnboardLogs"\RTDC4028\2017-02-21 --exclude "*" --recursive --include "*20170221*" &amp; "%USERPROFILE%\Documents\GitHub\mrs-test-scripts\Headless Mode &amp; Sideloading\WalkAndUnGZ.bat" "%USERPROFILE%\AppData\Local\Temp\OnboardLogs"\RTDC4028\2017-02-21 &amp; aws s3 cp s3://rtdc.mdm.uploadarchive.raw/RTDC4028/ "%USERPROFILE%\AppData\Local\Temp\OnboardLogs"\RTDC4028\2017-02-22 --exclude "*" --recursive --include "*20170222*" &amp; "%USERPROFILE%\Documents\GitHub\mrs-test-scripts\Headless Mode &amp; Sideloading\WalkAndUnGZ.bat" "%USERPROFILE%\AppData\Local\Temp\OnboardLogs"\RTDC4028\2017-02-22</v>
      </c>
      <c r="AF67" s="82" t="str">
        <f t="shared" si="10"/>
        <v>"C:\Program Files (x86)\AstroGrep\AstroGrep.exe" /spath="%USERPROFILE%\AppData\Local\Temp\OnboardLogs" /stypes="app*4028*20170221*" /stext=" 18:.+((SYSTEM_STATE.+slice.+state.+changed )|(ment ac)|(multiple cpu faults)|(system.+state.+changed )|(\[timeout)|(PRM\|1\|D)|(kpr)|(kdp)|(\|lc)|(penalty))" /e /r /s</v>
      </c>
      <c r="AG67" s="1" t="str">
        <f t="shared" si="11"/>
        <v>EC</v>
      </c>
      <c r="AH67" s="86" t="str">
        <f t="shared" si="20"/>
        <v>"%USERPROFILE%\Documents\GitHub\eaglep3\Utilities\RefineRTDCRunTimes.py" --tripid 152-21 --locoid 4028 --swversion DE.1.0.9.0 --startMP 204:233015 --initTime 2017-02-21T10:55:34 --startdatetime 2017-02-21T10:57:49 --delay 1 --endMP 204:147 --enddatetime 2017-02-21T11:40:34 --enforcementcount 0 &gt;&gt;C:\Users\stu\Documents\GitHub\eaglep3-reporting\EC\2017-02-21-refined-times.txt</v>
      </c>
      <c r="AI67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{"issue":{"subject":"","project_id":79,"tracker_id":40,"status_id":1,"priority_id":2,"assigned_to_id":23,"start_date":"2017-02-21","description":"","custom_fields":[{"id":1,"name":"Subdivision","value":"EC"},{"id":4,"name":"Milepost","value":"0.0147"},{"id":17,"name":"Train ID","value":"152-21"},{"id":16,"name":"Locomotive ID","value":"4028"},{"id":130,"name":"Impact","value":""},{"id":150,"name":"Time of Event (Mountain Time)","value":"11:40:34"},{"id":151,"name":"Denver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22"/>
        <v>start /low /b %USERPROFILE%\Documents\GitHub\eaglep3\Utilities\DownloadLogsFromS3.py --loco 4028 --day 2017-02-21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"%USERPROFILE%\AppData\Local\Temp\OnboardLogs"\RTDC4028\*4028*20170221* | grep -SE "(Enforcement Action)|(\[TIMEOUT)|(CHR.+\|PRM\|1\|D.+(SWITCH|SIGNAL).+UNKNOWN)" - &gt;&gt; 2017-02-21-UncaughtWiMAX.txt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561</v>
      </c>
      <c r="B68" s="7">
        <v>4025</v>
      </c>
      <c r="C68" s="21" t="s">
        <v>359</v>
      </c>
      <c r="D68" s="21" t="s">
        <v>255</v>
      </c>
      <c r="E68" s="13">
        <v>42787.423194444447</v>
      </c>
      <c r="F68" s="13">
        <v>42787.427800925929</v>
      </c>
      <c r="G68" s="7">
        <v>1</v>
      </c>
      <c r="H68" s="21" t="s">
        <v>726</v>
      </c>
      <c r="I68" s="13">
        <v>42787.437407407408</v>
      </c>
      <c r="J68" s="7">
        <v>0</v>
      </c>
      <c r="K68" s="98" t="str">
        <f t="shared" si="0"/>
        <v>4025/4026</v>
      </c>
      <c r="L68" s="21" t="str">
        <f>VLOOKUP(A68,'Trips&amp;Operators'!$C$1:$G$99999,5,FALSE)</f>
        <v>COOLAHAN JOHN</v>
      </c>
      <c r="M68" s="6">
        <f t="shared" si="1"/>
        <v>9.6064814788405783E-3</v>
      </c>
      <c r="N68" s="7"/>
      <c r="O68" s="7"/>
      <c r="P68" s="7">
        <f>24*60*SUM($M68:$M68)</f>
        <v>13.833333329530433</v>
      </c>
      <c r="Q68" s="22"/>
      <c r="R68" s="22" t="s">
        <v>1027</v>
      </c>
      <c r="S68" s="31">
        <f t="shared" si="30"/>
        <v>0.75</v>
      </c>
      <c r="T68" s="46" t="str">
        <f t="shared" si="3"/>
        <v>NorthBound</v>
      </c>
      <c r="U68" s="193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9</v>
      </c>
      <c r="V68" s="194" t="str">
        <f t="shared" si="4"/>
        <v>https://d0f6bd738d7f1b3e5a7ca70fe4ff75f0.us-east-1.aws.found.io/app/kibana#/discover/Steve-Slow-Train-Analysis-(2080s-and-2083s)?_g=(refreshInterval:(display:Off,pause:!f,section:0,value:0),time:(from:'2017-02-21T09:09:24-0700',mode:absolute,to:'2017-02-21T11:29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8" s="195" t="str">
        <f t="shared" si="5"/>
        <v>Y</v>
      </c>
      <c r="X68" s="195">
        <f t="shared" si="24"/>
        <v>1</v>
      </c>
      <c r="Y68" s="62">
        <f t="shared" si="18"/>
        <v>4.6699999999999998E-2</v>
      </c>
      <c r="Z68" s="62">
        <f t="shared" si="19"/>
        <v>6.5708000000000002</v>
      </c>
      <c r="AA68" s="62">
        <f t="shared" si="7"/>
        <v>6.5240999999999998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8"/>
        <v>0153-21</v>
      </c>
      <c r="AE68" s="85" t="str">
        <f t="shared" si="9"/>
        <v>aws s3 cp s3://rtdc.mdm.uploadarchive.raw/RTDC4025/ "%USERPROFILE%\AppData\Local\Temp\OnboardLogs"\RTDC4025\2017-02-21 --exclude "*" --recursive --include "*20170221*" &amp; "%USERPROFILE%\Documents\GitHub\mrs-test-scripts\Headless Mode &amp; Sideloading\WalkAndUnGZ.bat" "%USERPROFILE%\AppData\Local\Temp\OnboardLogs"\RTDC4025\2017-02-21 &amp; aws s3 cp s3://rtdc.mdm.uploadarchive.raw/RTDC4025/ "%USERPROFILE%\AppData\Local\Temp\OnboardLogs"\RTDC4025\2017-02-22 --exclude "*" --recursive --include "*20170222*" &amp; "%USERPROFILE%\Documents\GitHub\mrs-test-scripts\Headless Mode &amp; Sideloading\WalkAndUnGZ.bat" "%USERPROFILE%\AppData\Local\Temp\OnboardLogs"\RTDC4025\2017-02-22</v>
      </c>
      <c r="AF68" s="82" t="str">
        <f t="shared" si="10"/>
        <v>"C:\Program Files (x86)\AstroGrep\AstroGrep.exe" /spath="%USERPROFILE%\AppData\Local\Temp\OnboardLogs" /stypes="app*4025*20170221*" /stext=" 17:.+((SYSTEM_STATE.+slice.+state.+changed )|(ment ac)|(multiple cpu faults)|(system.+state.+changed )|(\[timeout)|(PRM\|1\|D)|(kpr)|(kdp)|(\|lc)|(penalty))" /e /r /s</v>
      </c>
      <c r="AG68" s="1" t="str">
        <f t="shared" si="11"/>
        <v>EC</v>
      </c>
      <c r="AH68" s="86" t="str">
        <f t="shared" si="20"/>
        <v>"%USERPROFILE%\Documents\GitHub\eaglep3\Utilities\RefineRTDCRunTimes.py" --tripid 153-21 --locoid 4025 --swversion DE.1.0.9.0 --startMP 204:467 --initTime 2017-02-21T10:09:24 --startdatetime 2017-02-21T10:16:02 --delay 1 --endMP 204:65708 --enddatetime 2017-02-21T10:29:52 --enforcementcount 0 &gt;&gt;C:\Users\stu\Documents\GitHub\eaglep3-reporting\EC\2017-02-21-refined-times.txt</v>
      </c>
      <c r="AI68" s="108" t="str">
        <f t="shared" si="21"/>
        <v>echo {"issue":{"subject":"Chambers ELXS failure (cab correspondence error)","project_id":79,"tracker_id":40,"status_id":1,"priority_id":2,"assigned_to_id":23,"start_date":"2017-02-21","description":"","custom_fields":[{"id":1,"name":"Subdivision","value":"EC"},{"id":4,"name":"Milepost","value":"6.5708"},{"id":17,"name":"Train ID","value":"153-21"},{"id":16,"name":"Locomotive ID","value":"4025"},{"id":130,"name":"Impact","value":""},{"id":150,"name":"Time of Event (Mountain Time)","value":"10:29:52"},{"id":151,"name":"Denver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22"/>
        <v>start /low /b %USERPROFILE%\Documents\GitHub\eaglep3\Utilities\DownloadLogsFromS3.py --loco 4025 --day 2017-02-21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"%USERPROFILE%\AppData\Local\Temp\OnboardLogs"\RTDC4025\*4025*20170221* | grep -SE "(Enforcement Action)|(\[TIMEOUT)|(CHR.+\|PRM\|1\|D.+(SWITCH|SIGNAL).+UNKNOWN)" - &gt;&gt; 2017-02-21-UncaughtWiMAX.txt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568</v>
      </c>
      <c r="B69" s="7">
        <v>4026</v>
      </c>
      <c r="C69" s="21" t="s">
        <v>359</v>
      </c>
      <c r="D69" s="21" t="s">
        <v>375</v>
      </c>
      <c r="E69" s="13">
        <v>42787.463090277779</v>
      </c>
      <c r="F69" s="13">
        <v>42787.467199074075</v>
      </c>
      <c r="G69" s="7">
        <v>1</v>
      </c>
      <c r="H69" s="21" t="s">
        <v>727</v>
      </c>
      <c r="I69" s="13">
        <v>42787.493738425925</v>
      </c>
      <c r="J69" s="7">
        <v>0</v>
      </c>
      <c r="K69" s="98" t="str">
        <f t="shared" si="0"/>
        <v>4025/4026</v>
      </c>
      <c r="L69" s="21" t="str">
        <f>VLOOKUP(A69,'Trips&amp;Operators'!$C$1:$G$99999,5,FALSE)</f>
        <v>COOLAHAN JOHN</v>
      </c>
      <c r="M69" s="6">
        <f t="shared" si="1"/>
        <v>2.6539351849351078E-2</v>
      </c>
      <c r="N69" s="7">
        <f t="shared" ref="N69:N100" si="31">24*60*SUM($M69:$M69)</f>
        <v>38.216666663065553</v>
      </c>
      <c r="O69" s="7"/>
      <c r="P69" s="7"/>
      <c r="Q69" s="22"/>
      <c r="R69" s="22"/>
      <c r="S69" s="31">
        <f t="shared" si="30"/>
        <v>1</v>
      </c>
      <c r="T69" s="46" t="str">
        <f t="shared" si="3"/>
        <v>Southbound</v>
      </c>
      <c r="U69" s="193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4" t="str">
        <f t="shared" si="4"/>
        <v>https://d0f6bd738d7f1b3e5a7ca70fe4ff75f0.us-east-1.aws.found.io/app/kibana#/discover/Steve-Slow-Train-Analysis-(2080s-and-2083s)?_g=(refreshInterval:(display:Off,pause:!f,section:0,value:0),time:(from:'2017-02-21T10:06:51-0700',mode:absolute,to:'2017-02-21T12:50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9" s="195" t="str">
        <f t="shared" si="5"/>
        <v>N</v>
      </c>
      <c r="X69" s="195">
        <f t="shared" si="24"/>
        <v>1</v>
      </c>
      <c r="Y69" s="62">
        <f t="shared" si="18"/>
        <v>23.298400000000001</v>
      </c>
      <c r="Z69" s="62">
        <f t="shared" si="19"/>
        <v>1.32E-2</v>
      </c>
      <c r="AA69" s="62">
        <f t="shared" si="7"/>
        <v>23.2852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8"/>
        <v>0154-21</v>
      </c>
      <c r="AE69" s="85" t="str">
        <f t="shared" si="9"/>
        <v>aws s3 cp s3://rtdc.mdm.uploadarchive.raw/RTDC4026/ "%USERPROFILE%\AppData\Local\Temp\OnboardLogs"\RTDC4026\2017-02-21 --exclude "*" --recursive --include "*20170221*" &amp; "%USERPROFILE%\Documents\GitHub\mrs-test-scripts\Headless Mode &amp; Sideloading\WalkAndUnGZ.bat" "%USERPROFILE%\AppData\Local\Temp\OnboardLogs"\RTDC4026\2017-02-21 &amp; aws s3 cp s3://rtdc.mdm.uploadarchive.raw/RTDC4026/ "%USERPROFILE%\AppData\Local\Temp\OnboardLogs"\RTDC4026\2017-02-22 --exclude "*" --recursive --include "*20170222*" &amp; "%USERPROFILE%\Documents\GitHub\mrs-test-scripts\Headless Mode &amp; Sideloading\WalkAndUnGZ.bat" "%USERPROFILE%\AppData\Local\Temp\OnboardLogs"\RTDC4026\2017-02-22</v>
      </c>
      <c r="AF69" s="82" t="str">
        <f t="shared" si="10"/>
        <v>"C:\Program Files (x86)\AstroGrep\AstroGrep.exe" /spath="%USERPROFILE%\AppData\Local\Temp\OnboardLogs" /stypes="app*4026*20170221*" /stext=" 18:.+((SYSTEM_STATE.+slice.+state.+changed )|(ment ac)|(multiple cpu faults)|(system.+state.+changed )|(\[timeout)|(PRM\|1\|D)|(kpr)|(kdp)|(\|lc)|(penalty))" /e /r /s</v>
      </c>
      <c r="AG69" s="1" t="str">
        <f t="shared" si="11"/>
        <v>EC</v>
      </c>
      <c r="AH69" s="86" t="str">
        <f t="shared" si="20"/>
        <v>"%USERPROFILE%\Documents\GitHub\eaglep3\Utilities\RefineRTDCRunTimes.py" --tripid 154-21 --locoid 4026 --swversion DE.1.0.9.0 --startMP 204:232984 --initTime 2017-02-21T11:06:51 --startdatetime 2017-02-21T11:12:46 --delay 1 --endMP 204:132 --enddatetime 2017-02-21T11:50:59 --enforcementcount 0 &gt;&gt;C:\Users\stu\Documents\GitHub\eaglep3-reporting\EC\2017-02-21-refined-times.txt</v>
      </c>
      <c r="AI69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{"issue":{"subject":"","project_id":79,"tracker_id":40,"status_id":1,"priority_id":2,"assigned_to_id":23,"start_date":"2017-02-21","description":"","custom_fields":[{"id":1,"name":"Subdivision","value":"EC"},{"id":4,"name":"Milepost","value":"0.0132"},{"id":17,"name":"Train ID","value":"154-21"},{"id":16,"name":"Locomotive ID","value":"4026"},{"id":130,"name":"Impact","value":""},{"id":150,"name":"Time of Event (Mountain Time)","value":"11:50:59"},{"id":151,"name":"Denver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22"/>
        <v>start /low /b %USERPROFILE%\Documents\GitHub\eaglep3\Utilities\DownloadLogsFromS3.py --loco 4026 --day 2017-02-21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"%USERPROFILE%\AppData\Local\Temp\OnboardLogs"\RTDC4026\*4026*20170221* | grep -SE "(Enforcement Action)|(\[TIMEOUT)|(CHR.+\|PRM\|1\|D.+(SWITCH|SIGNAL).+UNKNOWN)" - &gt;&gt; 2017-02-21-UncaughtWiMAX.txt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20" customFormat="1" x14ac:dyDescent="0.25">
      <c r="A70" s="33" t="s">
        <v>472</v>
      </c>
      <c r="B70" s="7">
        <v>4006</v>
      </c>
      <c r="C70" s="21" t="s">
        <v>359</v>
      </c>
      <c r="D70" s="21" t="s">
        <v>299</v>
      </c>
      <c r="E70" s="13">
        <v>42787.431909722225</v>
      </c>
      <c r="F70" s="13">
        <v>42787.438090277778</v>
      </c>
      <c r="G70" s="7">
        <v>1</v>
      </c>
      <c r="H70" s="21" t="s">
        <v>422</v>
      </c>
      <c r="I70" s="13">
        <v>42787.466793981483</v>
      </c>
      <c r="J70" s="7">
        <v>0</v>
      </c>
      <c r="K70" s="98" t="str">
        <f t="shared" si="0"/>
        <v>4005/4006</v>
      </c>
      <c r="L70" s="21" t="str">
        <f>VLOOKUP(A70,'Trips&amp;Operators'!$C$1:$G$99999,5,FALSE)</f>
        <v>YORK EDGAR</v>
      </c>
      <c r="M70" s="6">
        <f t="shared" si="1"/>
        <v>2.8703703705104999E-2</v>
      </c>
      <c r="N70" s="7">
        <f t="shared" si="31"/>
        <v>41.333333335351199</v>
      </c>
      <c r="O70" s="7"/>
      <c r="P70" s="7"/>
      <c r="Q70" s="22"/>
      <c r="R70" s="22"/>
      <c r="S70" s="31">
        <f t="shared" si="30"/>
        <v>1</v>
      </c>
      <c r="T70" s="46" t="str">
        <f t="shared" si="3"/>
        <v>NorthBound</v>
      </c>
      <c r="U70" s="193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4" t="str">
        <f t="shared" si="4"/>
        <v>https://d0f6bd738d7f1b3e5a7ca70fe4ff75f0.us-east-1.aws.found.io/app/kibana#/discover/Steve-Slow-Train-Analysis-(2080s-and-2083s)?_g=(refreshInterval:(display:Off,pause:!f,section:0,value:0),time:(from:'2017-02-21T09:21:57-0700',mode:absolute,to:'2017-02-21T12:12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0" s="195" t="str">
        <f t="shared" si="5"/>
        <v>N</v>
      </c>
      <c r="X70" s="195">
        <f t="shared" si="24"/>
        <v>1</v>
      </c>
      <c r="Y70" s="62">
        <f t="shared" si="18"/>
        <v>4.7100000000000003E-2</v>
      </c>
      <c r="Z70" s="62">
        <f t="shared" si="19"/>
        <v>23.328900000000001</v>
      </c>
      <c r="AA70" s="62">
        <f t="shared" si="7"/>
        <v>23.2818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8"/>
        <v>0155-21</v>
      </c>
      <c r="AE70" s="85" t="str">
        <f t="shared" si="9"/>
        <v>aws s3 cp s3://rtdc.mdm.uploadarchive.raw/RTDC4006/ "%USERPROFILE%\AppData\Local\Temp\OnboardLogs"\RTDC4006\2017-02-21 --exclude "*" --recursive --include "*20170221*" &amp; "%USERPROFILE%\Documents\GitHub\mrs-test-scripts\Headless Mode &amp; Sideloading\WalkAndUnGZ.bat" "%USERPROFILE%\AppData\Local\Temp\OnboardLogs"\RTDC4006\2017-02-21 &amp; aws s3 cp s3://rtdc.mdm.uploadarchive.raw/RTDC4006/ "%USERPROFILE%\AppData\Local\Temp\OnboardLogs"\RTDC4006\2017-02-22 --exclude "*" --recursive --include "*20170222*" &amp; "%USERPROFILE%\Documents\GitHub\mrs-test-scripts\Headless Mode &amp; Sideloading\WalkAndUnGZ.bat" "%USERPROFILE%\AppData\Local\Temp\OnboardLogs"\RTDC4006\2017-02-22</v>
      </c>
      <c r="AF70" s="82" t="str">
        <f t="shared" si="10"/>
        <v>"C:\Program Files (x86)\AstroGrep\AstroGrep.exe" /spath="%USERPROFILE%\AppData\Local\Temp\OnboardLogs" /stypes="app*4006*20170221*" /stext=" 18:.+((SYSTEM_STATE.+slice.+state.+changed )|(ment ac)|(multiple cpu faults)|(system.+state.+changed )|(\[timeout)|(PRM\|1\|D)|(kpr)|(kdp)|(\|lc)|(penalty))" /e /r /s</v>
      </c>
      <c r="AG70" s="1" t="str">
        <f t="shared" si="11"/>
        <v>EC</v>
      </c>
      <c r="AH70" s="86" t="str">
        <f t="shared" si="20"/>
        <v>"%USERPROFILE%\Documents\GitHub\eaglep3\Utilities\RefineRTDCRunTimes.py" --tripid 155-21 --locoid 4006 --swversion DE.1.0.9.0 --startMP 204:471 --initTime 2017-02-21T10:21:57 --startdatetime 2017-02-21T10:30:51 --delay 1 --endMP 204:233289 --enddatetime 2017-02-21T11:12:11 --enforcementcount 0 &gt;&gt;C:\Users\stu\Documents\GitHub\eaglep3-reporting\EC\2017-02-21-refined-times.txt</v>
      </c>
      <c r="AI70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{"issue":{"subject":"","project_id":79,"tracker_id":40,"status_id":1,"priority_id":2,"assigned_to_id":23,"start_date":"2017-02-21","description":"","custom_fields":[{"id":1,"name":"Subdivision","value":"EC"},{"id":4,"name":"Milepost","value":"23.3289"},{"id":17,"name":"Train ID","value":"155-21"},{"id":16,"name":"Locomotive ID","value":"4006"},{"id":130,"name":"Impact","value":""},{"id":150,"name":"Time of Event (Mountain Time)","value":"11:12:11"},{"id":151,"name":"Denver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22"/>
        <v>start /low /b %USERPROFILE%\Documents\GitHub\eaglep3\Utilities\DownloadLogsFromS3.py --loco 4006 --day 2017-02-21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"%USERPROFILE%\AppData\Local\Temp\OnboardLogs"\RTDC4006\*4006*20170221* | grep -SE "(Enforcement Action)|(\[TIMEOUT)|(CHR.+\|PRM\|1\|D.+(SWITCH|SIGNAL).+UNKNOWN)" - &gt;&gt; 2017-02-21-UncaughtWiMAX.txt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20" customFormat="1" x14ac:dyDescent="0.25">
      <c r="A71" s="33" t="s">
        <v>475</v>
      </c>
      <c r="B71" s="7">
        <v>4005</v>
      </c>
      <c r="C71" s="21" t="s">
        <v>359</v>
      </c>
      <c r="D71" s="21" t="s">
        <v>261</v>
      </c>
      <c r="E71" s="13">
        <v>42787.467962962961</v>
      </c>
      <c r="F71" s="13">
        <v>42787.476793981485</v>
      </c>
      <c r="G71" s="7">
        <v>1</v>
      </c>
      <c r="H71" s="21" t="s">
        <v>423</v>
      </c>
      <c r="I71" s="13">
        <v>42787.503495370373</v>
      </c>
      <c r="J71" s="7">
        <v>0</v>
      </c>
      <c r="K71" s="98" t="str">
        <f t="shared" si="0"/>
        <v>4005/4006</v>
      </c>
      <c r="L71" s="21" t="str">
        <f>VLOOKUP(A71,'Trips&amp;Operators'!$C$1:$G$99999,5,FALSE)</f>
        <v>YORK EDGAR</v>
      </c>
      <c r="M71" s="6">
        <f t="shared" si="1"/>
        <v>2.6701388887886424E-2</v>
      </c>
      <c r="N71" s="7">
        <f t="shared" si="31"/>
        <v>38.44999999855645</v>
      </c>
      <c r="O71" s="7"/>
      <c r="P71" s="7"/>
      <c r="Q71" s="22"/>
      <c r="R71" s="22"/>
      <c r="S71" s="31">
        <f t="shared" si="30"/>
        <v>1</v>
      </c>
      <c r="T71" s="46" t="str">
        <f t="shared" si="3"/>
        <v>Southbound</v>
      </c>
      <c r="U71" s="193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4" t="str">
        <f t="shared" si="4"/>
        <v>https://d0f6bd738d7f1b3e5a7ca70fe4ff75f0.us-east-1.aws.found.io/app/kibana#/discover/Steve-Slow-Train-Analysis-(2080s-and-2083s)?_g=(refreshInterval:(display:Off,pause:!f,section:0,value:0),time:(from:'2017-02-21T10:13:52-0700',mode:absolute,to:'2017-02-21T13:05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1" s="195" t="str">
        <f t="shared" si="5"/>
        <v>N</v>
      </c>
      <c r="X71" s="195">
        <f t="shared" si="24"/>
        <v>1</v>
      </c>
      <c r="Y71" s="62">
        <f t="shared" si="18"/>
        <v>23.297699999999999</v>
      </c>
      <c r="Z71" s="62">
        <f t="shared" si="19"/>
        <v>1.72E-2</v>
      </c>
      <c r="AA71" s="62">
        <f t="shared" si="7"/>
        <v>23.2805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8"/>
        <v>0156-21</v>
      </c>
      <c r="AE71" s="85" t="str">
        <f t="shared" si="9"/>
        <v>aws s3 cp s3://rtdc.mdm.uploadarchive.raw/RTDC4005/ "%USERPROFILE%\AppData\Local\Temp\OnboardLogs"\RTDC4005\2017-02-21 --exclude "*" --recursive --include "*20170221*" &amp; "%USERPROFILE%\Documents\GitHub\mrs-test-scripts\Headless Mode &amp; Sideloading\WalkAndUnGZ.bat" "%USERPROFILE%\AppData\Local\Temp\OnboardLogs"\RTDC4005\2017-02-21 &amp; aws s3 cp s3://rtdc.mdm.uploadarchive.raw/RTDC4005/ "%USERPROFILE%\AppData\Local\Temp\OnboardLogs"\RTDC4005\2017-02-22 --exclude "*" --recursive --include "*20170222*" &amp; "%USERPROFILE%\Documents\GitHub\mrs-test-scripts\Headless Mode &amp; Sideloading\WalkAndUnGZ.bat" "%USERPROFILE%\AppData\Local\Temp\OnboardLogs"\RTDC4005\2017-02-22</v>
      </c>
      <c r="AF71" s="82" t="str">
        <f t="shared" si="10"/>
        <v>"C:\Program Files (x86)\AstroGrep\AstroGrep.exe" /spath="%USERPROFILE%\AppData\Local\Temp\OnboardLogs" /stypes="app*4005*20170221*" /stext=" 19:.+((SYSTEM_STATE.+slice.+state.+changed )|(ment ac)|(multiple cpu faults)|(system.+state.+changed )|(\[timeout)|(PRM\|1\|D)|(kpr)|(kdp)|(\|lc)|(penalty))" /e /r /s</v>
      </c>
      <c r="AG71" s="1" t="str">
        <f t="shared" si="11"/>
        <v>EC</v>
      </c>
      <c r="AH71" s="86" t="str">
        <f t="shared" si="20"/>
        <v>"%USERPROFILE%\Documents\GitHub\eaglep3\Utilities\RefineRTDCRunTimes.py" --tripid 156-21 --locoid 4005 --swversion DE.1.0.9.0 --startMP 204:232977 --initTime 2017-02-21T11:13:52 --startdatetime 2017-02-21T11:26:35 --delay 1 --endMP 204:172 --enddatetime 2017-02-21T12:05:02 --enforcementcount 0 &gt;&gt;C:\Users\stu\Documents\GitHub\eaglep3-reporting\EC\2017-02-21-refined-times.txt</v>
      </c>
      <c r="AI71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{"issue":{"subject":"","project_id":79,"tracker_id":40,"status_id":1,"priority_id":2,"assigned_to_id":23,"start_date":"2017-02-21","description":"","custom_fields":[{"id":1,"name":"Subdivision","value":"EC"},{"id":4,"name":"Milepost","value":"0.0172"},{"id":17,"name":"Train ID","value":"156-21"},{"id":16,"name":"Locomotive ID","value":"4005"},{"id":130,"name":"Impact","value":""},{"id":150,"name":"Time of Event (Mountain Time)","value":"12:05:02"},{"id":151,"name":"Denver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22"/>
        <v>start /low /b %USERPROFILE%\Documents\GitHub\eaglep3\Utilities\DownloadLogsFromS3.py --loco 4005 --day 2017-02-21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"%USERPROFILE%\AppData\Local\Temp\OnboardLogs"\RTDC4005\*4005*20170221* | grep -SE "(Enforcement Action)|(\[TIMEOUT)|(CHR.+\|PRM\|1\|D.+(SWITCH|SIGNAL).+UNKNOWN)" - &gt;&gt; 2017-02-21-UncaughtWiMAX.txt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20" customFormat="1" x14ac:dyDescent="0.25">
      <c r="A72" s="33" t="s">
        <v>565</v>
      </c>
      <c r="B72" s="7">
        <v>4029</v>
      </c>
      <c r="C72" s="21" t="s">
        <v>359</v>
      </c>
      <c r="D72" s="21" t="s">
        <v>424</v>
      </c>
      <c r="E72" s="13">
        <v>42787.443460648145</v>
      </c>
      <c r="F72" s="13">
        <v>42787.44809027778</v>
      </c>
      <c r="G72" s="7">
        <v>1</v>
      </c>
      <c r="H72" s="21" t="s">
        <v>365</v>
      </c>
      <c r="I72" s="13">
        <v>42787.472986111112</v>
      </c>
      <c r="J72" s="7">
        <v>0</v>
      </c>
      <c r="K72" s="98" t="str">
        <f t="shared" si="0"/>
        <v>4029/4030</v>
      </c>
      <c r="L72" s="21" t="str">
        <f>VLOOKUP(A72,'Trips&amp;Operators'!$C$1:$G$99999,5,FALSE)</f>
        <v>NEWELL JAMES</v>
      </c>
      <c r="M72" s="6">
        <f t="shared" si="1"/>
        <v>2.4895833332266193E-2</v>
      </c>
      <c r="N72" s="7">
        <f t="shared" si="31"/>
        <v>35.849999998463318</v>
      </c>
      <c r="O72" s="7"/>
      <c r="P72" s="7"/>
      <c r="Q72" s="22"/>
      <c r="R72" s="22"/>
      <c r="S72" s="31">
        <f t="shared" si="30"/>
        <v>1</v>
      </c>
      <c r="T72" s="46" t="str">
        <f t="shared" si="3"/>
        <v>NorthBound</v>
      </c>
      <c r="U72" s="193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4" t="str">
        <f t="shared" si="4"/>
        <v>https://d0f6bd738d7f1b3e5a7ca70fe4ff75f0.us-east-1.aws.found.io/app/kibana#/discover/Steve-Slow-Train-Analysis-(2080s-and-2083s)?_g=(refreshInterval:(display:Off,pause:!f,section:0,value:0),time:(from:'2017-02-21T09:38:35-0700',mode:absolute,to:'2017-02-21T12:21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2" s="195" t="str">
        <f t="shared" si="5"/>
        <v>N</v>
      </c>
      <c r="X72" s="195">
        <f t="shared" si="24"/>
        <v>1</v>
      </c>
      <c r="Y72" s="62">
        <f t="shared" si="18"/>
        <v>4.6899999999999997E-2</v>
      </c>
      <c r="Z72" s="62">
        <f t="shared" si="19"/>
        <v>23.3309</v>
      </c>
      <c r="AA72" s="62">
        <f t="shared" si="7"/>
        <v>23.283999999999999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8"/>
        <v>0157-21</v>
      </c>
      <c r="AE72" s="85" t="str">
        <f t="shared" si="9"/>
        <v>aws s3 cp s3://rtdc.mdm.uploadarchive.raw/RTDC4029/ "%USERPROFILE%\AppData\Local\Temp\OnboardLogs"\RTDC4029\2017-02-21 --exclude "*" --recursive --include "*20170221*" &amp; "%USERPROFILE%\Documents\GitHub\mrs-test-scripts\Headless Mode &amp; Sideloading\WalkAndUnGZ.bat" "%USERPROFILE%\AppData\Local\Temp\OnboardLogs"\RTDC4029\2017-02-21 &amp; aws s3 cp s3://rtdc.mdm.uploadarchive.raw/RTDC4029/ "%USERPROFILE%\AppData\Local\Temp\OnboardLogs"\RTDC4029\2017-02-22 --exclude "*" --recursive --include "*20170222*" &amp; "%USERPROFILE%\Documents\GitHub\mrs-test-scripts\Headless Mode &amp; Sideloading\WalkAndUnGZ.bat" "%USERPROFILE%\AppData\Local\Temp\OnboardLogs"\RTDC4029\2017-02-22</v>
      </c>
      <c r="AF72" s="82" t="str">
        <f t="shared" si="10"/>
        <v>"C:\Program Files (x86)\AstroGrep\AstroGrep.exe" /spath="%USERPROFILE%\AppData\Local\Temp\OnboardLogs" /stypes="app*4029*20170221*" /stext=" 18:.+((SYSTEM_STATE.+slice.+state.+changed )|(ment ac)|(multiple cpu faults)|(system.+state.+changed )|(\[timeout)|(PRM\|1\|D)|(kpr)|(kdp)|(\|lc)|(penalty))" /e /r /s</v>
      </c>
      <c r="AG72" s="1" t="str">
        <f t="shared" si="11"/>
        <v>EC</v>
      </c>
      <c r="AH72" s="86" t="str">
        <f t="shared" si="20"/>
        <v>"%USERPROFILE%\Documents\GitHub\eaglep3\Utilities\RefineRTDCRunTimes.py" --tripid 157-21 --locoid 4029 --swversion DE.1.0.9.0 --startMP 204:469 --initTime 2017-02-21T10:38:35 --startdatetime 2017-02-21T10:45:15 --delay 1 --endMP 204:233309 --enddatetime 2017-02-21T11:21:06 --enforcementcount 0 &gt;&gt;C:\Users\stu\Documents\GitHub\eaglep3-reporting\EC\2017-02-21-refined-times.txt</v>
      </c>
      <c r="AI72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{"issue":{"subject":"","project_id":79,"tracker_id":40,"status_id":1,"priority_id":2,"assigned_to_id":23,"start_date":"2017-02-21","description":"","custom_fields":[{"id":1,"name":"Subdivision","value":"EC"},{"id":4,"name":"Milepost","value":"23.3309"},{"id":17,"name":"Train ID","value":"157-21"},{"id":16,"name":"Locomotive ID","value":"4029"},{"id":130,"name":"Impact","value":""},{"id":150,"name":"Time of Event (Mountain Time)","value":"11:21:06"},{"id":151,"name":"Denver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22"/>
        <v>start /low /b %USERPROFILE%\Documents\GitHub\eaglep3\Utilities\DownloadLogsFromS3.py --loco 4029 --day 2017-02-21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"%USERPROFILE%\AppData\Local\Temp\OnboardLogs"\RTDC4029\*4029*20170221* | grep -SE "(Enforcement Action)|(\[TIMEOUT)|(CHR.+\|PRM\|1\|D.+(SWITCH|SIGNAL).+UNKNOWN)" - &gt;&gt; 2017-02-21-UncaughtWiMAX.txt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x14ac:dyDescent="0.25">
      <c r="A73" s="33" t="s">
        <v>570</v>
      </c>
      <c r="B73" s="7">
        <v>4030</v>
      </c>
      <c r="C73" s="21" t="s">
        <v>359</v>
      </c>
      <c r="D73" s="21" t="s">
        <v>718</v>
      </c>
      <c r="E73" s="13">
        <v>42787.474976851852</v>
      </c>
      <c r="F73" s="13">
        <v>42787.486979166664</v>
      </c>
      <c r="G73" s="7">
        <v>1</v>
      </c>
      <c r="H73" s="21" t="s">
        <v>207</v>
      </c>
      <c r="I73" s="13">
        <v>42787.512858796297</v>
      </c>
      <c r="J73" s="7">
        <v>0</v>
      </c>
      <c r="K73" s="98" t="str">
        <f t="shared" si="0"/>
        <v>4029/4030</v>
      </c>
      <c r="L73" s="21" t="str">
        <f>VLOOKUP(A73,'Trips&amp;Operators'!$C$1:$G$99999,5,FALSE)</f>
        <v>NEWELL JAMES</v>
      </c>
      <c r="M73" s="6">
        <f t="shared" si="1"/>
        <v>2.587962963298196E-2</v>
      </c>
      <c r="N73" s="7">
        <f t="shared" si="31"/>
        <v>37.266666671494022</v>
      </c>
      <c r="O73" s="7"/>
      <c r="P73" s="7"/>
      <c r="Q73" s="22"/>
      <c r="R73" s="22"/>
      <c r="S73" s="31">
        <f t="shared" si="30"/>
        <v>1</v>
      </c>
      <c r="T73" s="46" t="str">
        <f t="shared" si="3"/>
        <v>Southbound</v>
      </c>
      <c r="U73" s="193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4" t="str">
        <f t="shared" si="4"/>
        <v>https://d0f6bd738d7f1b3e5a7ca70fe4ff75f0.us-east-1.aws.found.io/app/kibana#/discover/Steve-Slow-Train-Analysis-(2080s-and-2083s)?_g=(refreshInterval:(display:Off,pause:!f,section:0,value:0),time:(from:'2017-02-21T10:23:58-0700',mode:absolute,to:'2017-02-21T13:18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3" s="195" t="str">
        <f t="shared" si="5"/>
        <v>N</v>
      </c>
      <c r="X73" s="195">
        <f t="shared" si="24"/>
        <v>1</v>
      </c>
      <c r="Y73" s="62">
        <f t="shared" si="18"/>
        <v>23.299199999999999</v>
      </c>
      <c r="Z73" s="62">
        <f t="shared" si="19"/>
        <v>1.5800000000000002E-2</v>
      </c>
      <c r="AA73" s="62">
        <f t="shared" si="7"/>
        <v>23.2834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8"/>
        <v>0158-21</v>
      </c>
      <c r="AE73" s="85" t="str">
        <f t="shared" si="9"/>
        <v>aws s3 cp s3://rtdc.mdm.uploadarchive.raw/RTDC4030/ "%USERPROFILE%\AppData\Local\Temp\OnboardLogs"\RTDC4030\2017-02-21 --exclude "*" --recursive --include "*20170221*" &amp; "%USERPROFILE%\Documents\GitHub\mrs-test-scripts\Headless Mode &amp; Sideloading\WalkAndUnGZ.bat" "%USERPROFILE%\AppData\Local\Temp\OnboardLogs"\RTDC4030\2017-02-21 &amp; aws s3 cp s3://rtdc.mdm.uploadarchive.raw/RTDC4030/ "%USERPROFILE%\AppData\Local\Temp\OnboardLogs"\RTDC4030\2017-02-22 --exclude "*" --recursive --include "*20170222*" &amp; "%USERPROFILE%\Documents\GitHub\mrs-test-scripts\Headless Mode &amp; Sideloading\WalkAndUnGZ.bat" "%USERPROFILE%\AppData\Local\Temp\OnboardLogs"\RTDC4030\2017-02-22</v>
      </c>
      <c r="AF73" s="82" t="str">
        <f t="shared" si="10"/>
        <v>"C:\Program Files (x86)\AstroGrep\AstroGrep.exe" /spath="%USERPROFILE%\AppData\Local\Temp\OnboardLogs" /stypes="app*4030*20170221*" /stext=" 19:.+((SYSTEM_STATE.+slice.+state.+changed )|(ment ac)|(multiple cpu faults)|(system.+state.+changed )|(\[timeout)|(PRM\|1\|D)|(kpr)|(kdp)|(\|lc)|(penalty))" /e /r /s</v>
      </c>
      <c r="AG73" s="1" t="str">
        <f t="shared" si="11"/>
        <v>EC</v>
      </c>
      <c r="AH73" s="86" t="str">
        <f t="shared" si="20"/>
        <v>"%USERPROFILE%\Documents\GitHub\eaglep3\Utilities\RefineRTDCRunTimes.py" --tripid 158-21 --locoid 4030 --swversion DE.1.0.9.0 --startMP 204:232992 --initTime 2017-02-21T11:23:58 --startdatetime 2017-02-21T11:41:15 --delay 1 --endMP 204:158 --enddatetime 2017-02-21T12:18:31 --enforcementcount 0 &gt;&gt;C:\Users\stu\Documents\GitHub\eaglep3-reporting\EC\2017-02-21-refined-times.txt</v>
      </c>
      <c r="AI73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{"issue":{"subject":"","project_id":79,"tracker_id":40,"status_id":1,"priority_id":2,"assigned_to_id":23,"start_date":"2017-02-21","description":"","custom_fields":[{"id":1,"name":"Subdivision","value":"EC"},{"id":4,"name":"Milepost","value":"0.0158"},{"id":17,"name":"Train ID","value":"158-21"},{"id":16,"name":"Locomotive ID","value":"4030"},{"id":130,"name":"Impact","value":""},{"id":150,"name":"Time of Event (Mountain Time)","value":"12:18:31"},{"id":151,"name":"Denver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22"/>
        <v>start /low /b %USERPROFILE%\Documents\GitHub\eaglep3\Utilities\DownloadLogsFromS3.py --loco 4030 --day 2017-02-21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"%USERPROFILE%\AppData\Local\Temp\OnboardLogs"\RTDC4030\*4030*20170221* | grep -SE "(Enforcement Action)|(\[TIMEOUT)|(CHR.+\|PRM\|1\|D.+(SWITCH|SIGNAL).+UNKNOWN)" - &gt;&gt; 2017-02-21-UncaughtWiMAX.txt</v>
      </c>
    </row>
    <row r="74" spans="1:91" s="20" customFormat="1" x14ac:dyDescent="0.25">
      <c r="A74" s="33" t="s">
        <v>567</v>
      </c>
      <c r="B74" s="7">
        <v>4014</v>
      </c>
      <c r="C74" s="21" t="s">
        <v>359</v>
      </c>
      <c r="D74" s="21" t="s">
        <v>728</v>
      </c>
      <c r="E74" s="13">
        <v>42787.454976851855</v>
      </c>
      <c r="F74" s="13">
        <v>42787.458703703705</v>
      </c>
      <c r="G74" s="7">
        <v>2</v>
      </c>
      <c r="H74" s="21" t="s">
        <v>422</v>
      </c>
      <c r="I74" s="13">
        <v>42787.485277777778</v>
      </c>
      <c r="J74" s="7">
        <v>0</v>
      </c>
      <c r="K74" s="98" t="str">
        <f t="shared" si="0"/>
        <v>4013/4014</v>
      </c>
      <c r="L74" s="21" t="str">
        <f>VLOOKUP(A74,'Trips&amp;Operators'!$C$1:$G$99999,5,FALSE)</f>
        <v>DAVIS MICHAEL</v>
      </c>
      <c r="M74" s="6">
        <f t="shared" si="1"/>
        <v>2.6574074072414078E-2</v>
      </c>
      <c r="N74" s="7">
        <f t="shared" si="31"/>
        <v>38.266666664276272</v>
      </c>
      <c r="O74" s="7"/>
      <c r="P74" s="7"/>
      <c r="Q74" s="22"/>
      <c r="R74" s="22"/>
      <c r="S74" s="31">
        <f t="shared" si="30"/>
        <v>1</v>
      </c>
      <c r="T74" s="46" t="str">
        <f t="shared" si="3"/>
        <v>NorthBound</v>
      </c>
      <c r="U74" s="193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4" t="str">
        <f t="shared" si="4"/>
        <v>https://d0f6bd738d7f1b3e5a7ca70fe4ff75f0.us-east-1.aws.found.io/app/kibana#/discover/Steve-Slow-Train-Analysis-(2080s-and-2083s)?_g=(refreshInterval:(display:Off,pause:!f,section:0,value:0),time:(from:'2017-02-21T09:55:10-0700',mode:absolute,to:'2017-02-21T12:38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4" s="195" t="str">
        <f t="shared" si="5"/>
        <v>N</v>
      </c>
      <c r="X74" s="195">
        <f t="shared" si="24"/>
        <v>1</v>
      </c>
      <c r="Y74" s="62">
        <f t="shared" si="18"/>
        <v>0.11409999999999999</v>
      </c>
      <c r="Z74" s="62">
        <f t="shared" si="19"/>
        <v>23.328900000000001</v>
      </c>
      <c r="AA74" s="62">
        <f t="shared" si="7"/>
        <v>23.2148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8"/>
        <v>0159-21</v>
      </c>
      <c r="AE74" s="85" t="str">
        <f t="shared" si="9"/>
        <v>aws s3 cp s3://rtdc.mdm.uploadarchive.raw/RTDC4014/ "%USERPROFILE%\AppData\Local\Temp\OnboardLogs"\RTDC4014\2017-02-21 --exclude "*" --recursive --include "*20170221*" &amp; "%USERPROFILE%\Documents\GitHub\mrs-test-scripts\Headless Mode &amp; Sideloading\WalkAndUnGZ.bat" "%USERPROFILE%\AppData\Local\Temp\OnboardLogs"\RTDC4014\2017-02-21 &amp; aws s3 cp s3://rtdc.mdm.uploadarchive.raw/RTDC4014/ "%USERPROFILE%\AppData\Local\Temp\OnboardLogs"\RTDC4014\2017-02-22 --exclude "*" --recursive --include "*20170222*" &amp; "%USERPROFILE%\Documents\GitHub\mrs-test-scripts\Headless Mode &amp; Sideloading\WalkAndUnGZ.bat" "%USERPROFILE%\AppData\Local\Temp\OnboardLogs"\RTDC4014\2017-02-22</v>
      </c>
      <c r="AF74" s="82" t="str">
        <f t="shared" si="10"/>
        <v>"C:\Program Files (x86)\AstroGrep\AstroGrep.exe" /spath="%USERPROFILE%\AppData\Local\Temp\OnboardLogs" /stypes="app*4014*20170221*" /stext=" 18:.+((SYSTEM_STATE.+slice.+state.+changed )|(ment ac)|(multiple cpu faults)|(system.+state.+changed )|(\[timeout)|(PRM\|1\|D)|(kpr)|(kdp)|(\|lc)|(penalty))" /e /r /s</v>
      </c>
      <c r="AG74" s="1" t="str">
        <f t="shared" si="11"/>
        <v>EC</v>
      </c>
      <c r="AH74" s="86" t="str">
        <f t="shared" si="20"/>
        <v>"%USERPROFILE%\Documents\GitHub\eaglep3\Utilities\RefineRTDCRunTimes.py" --tripid 159-21 --locoid 4014 --swversion DE.1.0.9.0 --startMP 204:1141 --initTime 2017-02-21T10:55:10 --startdatetime 2017-02-21T11:00:32 --delay 2 --endMP 204:233289 --enddatetime 2017-02-21T11:38:48 --enforcementcount 0 &gt;&gt;C:\Users\stu\Documents\GitHub\eaglep3-reporting\EC\2017-02-21-refined-times.txt</v>
      </c>
      <c r="AI74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{"issue":{"subject":"","project_id":79,"tracker_id":40,"status_id":1,"priority_id":2,"assigned_to_id":23,"start_date":"2017-02-21","description":"","custom_fields":[{"id":1,"name":"Subdivision","value":"EC"},{"id":4,"name":"Milepost","value":"23.3289"},{"id":17,"name":"Train ID","value":"159-21"},{"id":16,"name":"Locomotive ID","value":"4014"},{"id":130,"name":"Impact","value":""},{"id":150,"name":"Time of Event (Mountain Time)","value":"11:38:48"},{"id":151,"name":"Denver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22"/>
        <v>start /low /b %USERPROFILE%\Documents\GitHub\eaglep3\Utilities\DownloadLogsFromS3.py --loco 4014 --day 2017-02-21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"%USERPROFILE%\AppData\Local\Temp\OnboardLogs"\RTDC4014\*4014*20170221* | grep -SE "(Enforcement Action)|(\[TIMEOUT)|(CHR.+\|PRM\|1\|D.+(SWITCH|SIGNAL).+UNKNOWN)" - &gt;&gt; 2017-02-21-UncaughtWiMAX.txt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20" customFormat="1" x14ac:dyDescent="0.25">
      <c r="A75" s="33" t="s">
        <v>575</v>
      </c>
      <c r="B75" s="7">
        <v>4013</v>
      </c>
      <c r="C75" s="21" t="s">
        <v>359</v>
      </c>
      <c r="D75" s="21" t="s">
        <v>415</v>
      </c>
      <c r="E75" s="13">
        <v>42787.49559027778</v>
      </c>
      <c r="F75" s="13">
        <v>42787.49790509259</v>
      </c>
      <c r="G75" s="7">
        <v>1</v>
      </c>
      <c r="H75" s="21" t="s">
        <v>286</v>
      </c>
      <c r="I75" s="13">
        <v>42787.525810185187</v>
      </c>
      <c r="J75" s="7">
        <v>0</v>
      </c>
      <c r="K75" s="98" t="str">
        <f t="shared" si="0"/>
        <v>4013/4014</v>
      </c>
      <c r="L75" s="21" t="str">
        <f>VLOOKUP(A75,'Trips&amp;Operators'!$C$1:$G$99999,5,FALSE)</f>
        <v>DAVIS MICHAEL</v>
      </c>
      <c r="M75" s="6">
        <f t="shared" si="1"/>
        <v>2.7905092596483883E-2</v>
      </c>
      <c r="N75" s="7">
        <f t="shared" si="31"/>
        <v>40.183333338936791</v>
      </c>
      <c r="O75" s="7"/>
      <c r="P75" s="7"/>
      <c r="Q75" s="22"/>
      <c r="R75" s="22"/>
      <c r="S75" s="31">
        <f t="shared" si="30"/>
        <v>1</v>
      </c>
      <c r="T75" s="46" t="str">
        <f t="shared" si="3"/>
        <v>Southbound</v>
      </c>
      <c r="U75" s="193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4" t="str">
        <f t="shared" si="4"/>
        <v>https://d0f6bd738d7f1b3e5a7ca70fe4ff75f0.us-east-1.aws.found.io/app/kibana#/discover/Steve-Slow-Train-Analysis-(2080s-and-2083s)?_g=(refreshInterval:(display:Off,pause:!f,section:0,value:0),time:(from:'2017-02-21T10:53:39-0700',mode:absolute,to:'2017-02-21T13:37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5" s="195" t="str">
        <f t="shared" si="5"/>
        <v>N</v>
      </c>
      <c r="X75" s="195">
        <f t="shared" si="24"/>
        <v>1</v>
      </c>
      <c r="Y75" s="62">
        <f t="shared" si="18"/>
        <v>23.2987</v>
      </c>
      <c r="Z75" s="62">
        <f t="shared" si="19"/>
        <v>1.5599999999999999E-2</v>
      </c>
      <c r="AA75" s="62">
        <f t="shared" si="7"/>
        <v>23.283100000000001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8"/>
        <v>0160-21</v>
      </c>
      <c r="AE75" s="85" t="str">
        <f t="shared" si="9"/>
        <v>aws s3 cp s3://rtdc.mdm.uploadarchive.raw/RTDC4013/ "%USERPROFILE%\AppData\Local\Temp\OnboardLogs"\RTDC4013\2017-02-21 --exclude "*" --recursive --include "*20170221*" &amp; "%USERPROFILE%\Documents\GitHub\mrs-test-scripts\Headless Mode &amp; Sideloading\WalkAndUnGZ.bat" "%USERPROFILE%\AppData\Local\Temp\OnboardLogs"\RTDC4013\2017-02-21 &amp; aws s3 cp s3://rtdc.mdm.uploadarchive.raw/RTDC4013/ "%USERPROFILE%\AppData\Local\Temp\OnboardLogs"\RTDC4013\2017-02-22 --exclude "*" --recursive --include "*20170222*" &amp; "%USERPROFILE%\Documents\GitHub\mrs-test-scripts\Headless Mode &amp; Sideloading\WalkAndUnGZ.bat" "%USERPROFILE%\AppData\Local\Temp\OnboardLogs"\RTDC4013\2017-02-22</v>
      </c>
      <c r="AF75" s="82" t="str">
        <f t="shared" si="10"/>
        <v>"C:\Program Files (x86)\AstroGrep\AstroGrep.exe" /spath="%USERPROFILE%\AppData\Local\Temp\OnboardLogs" /stypes="app*4013*20170221*" /stext=" 19:.+((SYSTEM_STATE.+slice.+state.+changed )|(ment ac)|(multiple cpu faults)|(system.+state.+changed )|(\[timeout)|(PRM\|1\|D)|(kpr)|(kdp)|(\|lc)|(penalty))" /e /r /s</v>
      </c>
      <c r="AG75" s="1" t="str">
        <f t="shared" si="11"/>
        <v>EC</v>
      </c>
      <c r="AH75" s="86" t="str">
        <f t="shared" si="20"/>
        <v>"%USERPROFILE%\Documents\GitHub\eaglep3\Utilities\RefineRTDCRunTimes.py" --tripid 160-21 --locoid 4013 --swversion DE.1.0.9.0 --startMP 204:232987 --initTime 2017-02-21T11:53:39 --startdatetime 2017-02-21T11:56:59 --delay 1 --endMP 204:156 --enddatetime 2017-02-21T12:37:10 --enforcementcount 0 &gt;&gt;C:\Users\stu\Documents\GitHub\eaglep3-reporting\EC\2017-02-21-refined-times.txt</v>
      </c>
      <c r="AI75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{"issue":{"subject":"","project_id":79,"tracker_id":40,"status_id":1,"priority_id":2,"assigned_to_id":23,"start_date":"2017-02-21","description":"","custom_fields":[{"id":1,"name":"Subdivision","value":"EC"},{"id":4,"name":"Milepost","value":"0.0156"},{"id":17,"name":"Train ID","value":"160-21"},{"id":16,"name":"Locomotive ID","value":"4013"},{"id":130,"name":"Impact","value":""},{"id":150,"name":"Time of Event (Mountain Time)","value":"12:37:10"},{"id":151,"name":"Denver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22"/>
        <v>start /low /b %USERPROFILE%\Documents\GitHub\eaglep3\Utilities\DownloadLogsFromS3.py --loco 4013 --day 2017-02-21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"%USERPROFILE%\AppData\Local\Temp\OnboardLogs"\RTDC4013\*4013*20170221* | grep -SE "(Enforcement Action)|(\[TIMEOUT)|(CHR.+\|PRM\|1\|D.+(SWITCH|SIGNAL).+UNKNOWN)" - &gt;&gt; 2017-02-21-UncaughtWiMAX.txt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20" customFormat="1" x14ac:dyDescent="0.25">
      <c r="A76" s="33" t="s">
        <v>474</v>
      </c>
      <c r="B76" s="7">
        <v>4051</v>
      </c>
      <c r="C76" s="21" t="s">
        <v>359</v>
      </c>
      <c r="D76" s="21" t="s">
        <v>291</v>
      </c>
      <c r="E76" s="13">
        <v>42787.464722222219</v>
      </c>
      <c r="F76" s="13">
        <v>42787.469212962962</v>
      </c>
      <c r="G76" s="7">
        <v>1</v>
      </c>
      <c r="H76" s="21" t="s">
        <v>264</v>
      </c>
      <c r="I76" s="13">
        <v>42787.494155092594</v>
      </c>
      <c r="J76" s="7">
        <v>0</v>
      </c>
      <c r="K76" s="98" t="str">
        <f t="shared" si="0"/>
        <v>4051/4052</v>
      </c>
      <c r="L76" s="21" t="str">
        <f>VLOOKUP(A76,'Trips&amp;Operators'!$C$1:$G$99999,5,FALSE)</f>
        <v>MOSES BRADLEY</v>
      </c>
      <c r="M76" s="6">
        <f t="shared" si="1"/>
        <v>2.4942129632108845E-2</v>
      </c>
      <c r="N76" s="7">
        <f t="shared" si="31"/>
        <v>35.916666670236737</v>
      </c>
      <c r="O76" s="7"/>
      <c r="P76" s="7"/>
      <c r="Q76" s="22"/>
      <c r="R76" s="22"/>
      <c r="S76" s="31">
        <f t="shared" si="30"/>
        <v>1</v>
      </c>
      <c r="T76" s="46" t="str">
        <f t="shared" si="3"/>
        <v>NorthBound</v>
      </c>
      <c r="U76" s="193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4" t="str">
        <f t="shared" si="4"/>
        <v>https://d0f6bd738d7f1b3e5a7ca70fe4ff75f0.us-east-1.aws.found.io/app/kibana#/discover/Steve-Slow-Train-Analysis-(2080s-and-2083s)?_g=(refreshInterval:(display:Off,pause:!f,section:0,value:0),time:(from:'2017-02-21T10:09:12-0700',mode:absolute,to:'2017-02-21T12:51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6" s="195" t="str">
        <f t="shared" si="5"/>
        <v>N</v>
      </c>
      <c r="X76" s="195">
        <f t="shared" si="24"/>
        <v>1</v>
      </c>
      <c r="Y76" s="62">
        <f t="shared" si="18"/>
        <v>4.7699999999999999E-2</v>
      </c>
      <c r="Z76" s="62">
        <f t="shared" si="19"/>
        <v>23.3293</v>
      </c>
      <c r="AA76" s="62">
        <f t="shared" si="7"/>
        <v>23.281600000000001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8"/>
        <v>0161-21</v>
      </c>
      <c r="AE76" s="85" t="str">
        <f t="shared" si="9"/>
        <v>aws s3 cp s3://rtdc.mdm.uploadarchive.raw/RTDC4051/ "%USERPROFILE%\AppData\Local\Temp\OnboardLogs"\RTDC4051\2017-02-21 --exclude "*" --recursive --include "*20170221*" &amp; "%USERPROFILE%\Documents\GitHub\mrs-test-scripts\Headless Mode &amp; Sideloading\WalkAndUnGZ.bat" "%USERPROFILE%\AppData\Local\Temp\OnboardLogs"\RTDC4051\2017-02-21 &amp; aws s3 cp s3://rtdc.mdm.uploadarchive.raw/RTDC4051/ "%USERPROFILE%\AppData\Local\Temp\OnboardLogs"\RTDC4051\2017-02-22 --exclude "*" --recursive --include "*20170222*" &amp; "%USERPROFILE%\Documents\GitHub\mrs-test-scripts\Headless Mode &amp; Sideloading\WalkAndUnGZ.bat" "%USERPROFILE%\AppData\Local\Temp\OnboardLogs"\RTDC4051\2017-02-22</v>
      </c>
      <c r="AF76" s="82" t="str">
        <f t="shared" si="10"/>
        <v>"C:\Program Files (x86)\AstroGrep\AstroGrep.exe" /spath="%USERPROFILE%\AppData\Local\Temp\OnboardLogs" /stypes="app*4051*20170221*" /stext=" 18:.+((SYSTEM_STATE.+slice.+state.+changed )|(ment ac)|(multiple cpu faults)|(system.+state.+changed )|(\[timeout)|(PRM\|1\|D)|(kpr)|(kdp)|(\|lc)|(penalty))" /e /r /s</v>
      </c>
      <c r="AG76" s="1" t="str">
        <f t="shared" si="11"/>
        <v>EC</v>
      </c>
      <c r="AH76" s="86" t="str">
        <f t="shared" si="20"/>
        <v>"%USERPROFILE%\Documents\GitHub\eaglep3\Utilities\RefineRTDCRunTimes.py" --tripid 161-21 --locoid 4051 --swversion DE.1.0.9.0 --startMP 204:477 --initTime 2017-02-21T11:09:12 --startdatetime 2017-02-21T11:15:40 --delay 1 --endMP 204:233293 --enddatetime 2017-02-21T11:51:35 --enforcementcount 0 &gt;&gt;C:\Users\stu\Documents\GitHub\eaglep3-reporting\EC\2017-02-21-refined-times.txt</v>
      </c>
      <c r="AI76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{"issue":{"subject":"","project_id":79,"tracker_id":40,"status_id":1,"priority_id":2,"assigned_to_id":23,"start_date":"2017-02-21","description":"","custom_fields":[{"id":1,"name":"Subdivision","value":"EC"},{"id":4,"name":"Milepost","value":"23.3293"},{"id":17,"name":"Train ID","value":"161-21"},{"id":16,"name":"Locomotive ID","value":"4051"},{"id":130,"name":"Impact","value":""},{"id":150,"name":"Time of Event (Mountain Time)","value":"11:51:35"},{"id":151,"name":"Denver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22"/>
        <v>start /low /b %USERPROFILE%\Documents\GitHub\eaglep3\Utilities\DownloadLogsFromS3.py --loco 4051 --day 2017-02-21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"%USERPROFILE%\AppData\Local\Temp\OnboardLogs"\RTDC4051\*4051*20170221* | grep -SE "(Enforcement Action)|(\[TIMEOUT)|(CHR.+\|PRM\|1\|D.+(SWITCH|SIGNAL).+UNKNOWN)" - &gt;&gt; 2017-02-21-UncaughtWiMAX.txt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20" customFormat="1" x14ac:dyDescent="0.25">
      <c r="A77" s="33" t="s">
        <v>576</v>
      </c>
      <c r="B77" s="7">
        <v>4052</v>
      </c>
      <c r="C77" s="21" t="s">
        <v>359</v>
      </c>
      <c r="D77" s="21" t="s">
        <v>414</v>
      </c>
      <c r="E77" s="13">
        <v>42787.502199074072</v>
      </c>
      <c r="F77" s="13">
        <v>42787.507997685185</v>
      </c>
      <c r="G77" s="7">
        <v>2</v>
      </c>
      <c r="H77" s="21" t="s">
        <v>286</v>
      </c>
      <c r="I77" s="13">
        <v>42787.535011574073</v>
      </c>
      <c r="J77" s="7">
        <v>0</v>
      </c>
      <c r="K77" s="98" t="str">
        <f t="shared" ref="K77:K140" si="32">IF(ISEVEN(B77),(B77-1)&amp;"/"&amp;B77,B77&amp;"/"&amp;(B77+1))</f>
        <v>4051/4052</v>
      </c>
      <c r="L77" s="21" t="str">
        <f>VLOOKUP(A77,'Trips&amp;Operators'!$C$1:$G$99999,5,FALSE)</f>
        <v>MOSES BRADLEY</v>
      </c>
      <c r="M77" s="6">
        <f t="shared" ref="M77:M140" si="33">I77-F77</f>
        <v>2.7013888888177462E-2</v>
      </c>
      <c r="N77" s="7">
        <f t="shared" si="31"/>
        <v>38.899999998975545</v>
      </c>
      <c r="O77" s="7"/>
      <c r="P77" s="7"/>
      <c r="Q77" s="22"/>
      <c r="R77" s="22"/>
      <c r="S77" s="31">
        <f t="shared" si="30"/>
        <v>1</v>
      </c>
      <c r="T77" s="46" t="str">
        <f t="shared" ref="T77:T140" si="34">IF(ISEVEN(LEFT(AD77,4)),"Southbound","NorthBound")</f>
        <v>Southbound</v>
      </c>
      <c r="U77" s="193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4" t="str">
        <f t="shared" ref="V77:V140" si="35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-02-21T11:03:10-0700',mode:absolute,to:'2017-02-21T13:50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7" s="195" t="str">
        <f t="shared" ref="W77:W140" si="36">IF(AA77&lt;IF(AG77="EC",23,5.65),"Y","N")</f>
        <v>N</v>
      </c>
      <c r="X77" s="195">
        <f t="shared" ref="X77:X108" si="37">VALUE(LEFT(AD77,4))-VALUE(LEFT(AD76,4))</f>
        <v>1</v>
      </c>
      <c r="Y77" s="62">
        <f t="shared" si="18"/>
        <v>23.2971</v>
      </c>
      <c r="Z77" s="62">
        <f t="shared" si="19"/>
        <v>1.5599999999999999E-2</v>
      </c>
      <c r="AA77" s="62">
        <f t="shared" ref="AA77:AA140" si="38">ABS(Z77-Y77)</f>
        <v>23.281500000000001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9">IF(LEN(A77)=6,"0"&amp;A77,A77)</f>
        <v>0162-21</v>
      </c>
      <c r="AE77" s="85" t="str">
        <f t="shared" ref="AE77:AE140" si="40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s3://rtdc.mdm.uploadarchive.raw/RTDC4052/ "%USERPROFILE%\AppData\Local\Temp\OnboardLogs"\RTDC4052\2017-02-21 --exclude "*" --recursive --include "*20170221*" &amp; "%USERPROFILE%\Documents\GitHub\mrs-test-scripts\Headless Mode &amp; Sideloading\WalkAndUnGZ.bat" "%USERPROFILE%\AppData\Local\Temp\OnboardLogs"\RTDC4052\2017-02-21 &amp; aws s3 cp s3://rtdc.mdm.uploadarchive.raw/RTDC4052/ "%USERPROFILE%\AppData\Local\Temp\OnboardLogs"\RTDC4052\2017-02-22 --exclude "*" --recursive --include "*20170222*" &amp; "%USERPROFILE%\Documents\GitHub\mrs-test-scripts\Headless Mode &amp; Sideloading\WalkAndUnGZ.bat" "%USERPROFILE%\AppData\Local\Temp\OnboardLogs"\RTDC4052\2017-02-22</v>
      </c>
      <c r="AF77" s="82" t="str">
        <f t="shared" ref="AF77:AF140" si="41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/stypes="app*4052*20170221*" /stext=" 19:.+((SYSTEM_STATE.+slice.+state.+changed )|(ment ac)|(multiple cpu faults)|(system.+state.+changed )|(\[timeout)|(PRM\|1\|D)|(kpr)|(kdp)|(\|lc)|(penalty))" /e /r /s</v>
      </c>
      <c r="AG77" s="1" t="str">
        <f t="shared" ref="AG77:AG140" si="42">IFERROR(IF(VALUE(LEFT(AD77,2))&lt;=2,"EC",IF(OR(VALUE(LEFT(AD77,2))=8,VALUE(LEFT(AD77,2))=18),"NW","Other")),"Other")</f>
        <v>EC</v>
      </c>
      <c r="AH77" s="86" t="str">
        <f t="shared" si="20"/>
        <v>"%USERPROFILE%\Documents\GitHub\eaglep3\Utilities\RefineRTDCRunTimes.py" --tripid 162-21 --locoid 4052 --swversion DE.1.0.9.0 --startMP 204:232971 --initTime 2017-02-21T12:03:10 --startdatetime 2017-02-21T12:11:31 --delay 2 --endMP 204:156 --enddatetime 2017-02-21T12:50:25 --enforcementcount 0 &gt;&gt;C:\Users\stu\Documents\GitHub\eaglep3-reporting\EC\2017-02-21-refined-times.txt</v>
      </c>
      <c r="AI77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{"issue":{"subject":"","project_id":79,"tracker_id":40,"status_id":1,"priority_id":2,"assigned_to_id":23,"start_date":"2017-02-21","description":"","custom_fields":[{"id":1,"name":"Subdivision","value":"EC"},{"id":4,"name":"Milepost","value":"0.0156"},{"id":17,"name":"Train ID","value":"162-21"},{"id":16,"name":"Locomotive ID","value":"4052"},{"id":130,"name":"Impact","value":""},{"id":150,"name":"Time of Event (Mountain Time)","value":"12:50:25"},{"id":151,"name":"Denver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22"/>
        <v>start /low /b %USERPROFILE%\Documents\GitHub\eaglep3\Utilities\DownloadLogsFromS3.py --loco 4052 --day 2017-02-21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"%USERPROFILE%\AppData\Local\Temp\OnboardLogs"\RTDC4052\*4052*20170221* | grep -SE "(Enforcement Action)|(\[TIMEOUT)|(CHR.+\|PRM\|1\|D.+(SWITCH|SIGNAL).+UNKNOWN)" - &gt;&gt; 2017-02-21-UncaughtWiMAX.txt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x14ac:dyDescent="0.25">
      <c r="A78" s="33" t="s">
        <v>571</v>
      </c>
      <c r="B78" s="7">
        <v>4003</v>
      </c>
      <c r="C78" s="21" t="s">
        <v>359</v>
      </c>
      <c r="D78" s="21" t="s">
        <v>229</v>
      </c>
      <c r="E78" s="13">
        <v>42787.477696759262</v>
      </c>
      <c r="F78" s="13">
        <v>42787.47996527778</v>
      </c>
      <c r="G78" s="7">
        <v>1</v>
      </c>
      <c r="H78" s="21" t="s">
        <v>300</v>
      </c>
      <c r="I78" s="13">
        <v>42787.504895833335</v>
      </c>
      <c r="J78" s="7">
        <v>0</v>
      </c>
      <c r="K78" s="98" t="str">
        <f t="shared" si="32"/>
        <v>4003/4004</v>
      </c>
      <c r="L78" s="21" t="str">
        <f>VLOOKUP(A78,'Trips&amp;Operators'!$C$1:$G$99999,5,FALSE)</f>
        <v>LEVERE CRAIG</v>
      </c>
      <c r="M78" s="6">
        <f t="shared" si="33"/>
        <v>2.4930555555329192E-2</v>
      </c>
      <c r="N78" s="7">
        <f t="shared" si="31"/>
        <v>35.899999999674037</v>
      </c>
      <c r="O78" s="7"/>
      <c r="P78" s="7"/>
      <c r="Q78" s="22"/>
      <c r="R78" s="22"/>
      <c r="S78" s="31">
        <f t="shared" si="30"/>
        <v>1</v>
      </c>
      <c r="T78" s="46" t="str">
        <f t="shared" si="34"/>
        <v>NorthBound</v>
      </c>
      <c r="U78" s="193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4" t="str">
        <f t="shared" si="35"/>
        <v>https://d0f6bd738d7f1b3e5a7ca70fe4ff75f0.us-east-1.aws.found.io/app/kibana#/discover/Steve-Slow-Train-Analysis-(2080s-and-2083s)?_g=(refreshInterval:(display:Off,pause:!f,section:0,value:0),time:(from:'2017-02-21T10:27:53-0700',mode:absolute,to:'2017-02-21T13:07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8" s="195" t="str">
        <f t="shared" si="36"/>
        <v>N</v>
      </c>
      <c r="X78" s="195">
        <f t="shared" si="37"/>
        <v>1</v>
      </c>
      <c r="Y78" s="62">
        <f t="shared" si="18"/>
        <v>4.5999999999999999E-2</v>
      </c>
      <c r="Z78" s="62">
        <f t="shared" si="19"/>
        <v>23.3306</v>
      </c>
      <c r="AA78" s="62">
        <f t="shared" si="38"/>
        <v>23.284600000000001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9"/>
        <v>0163-21</v>
      </c>
      <c r="AE78" s="85" t="str">
        <f t="shared" si="40"/>
        <v>aws s3 cp s3://rtdc.mdm.uploadarchive.raw/RTDC4003/ "%USERPROFILE%\AppData\Local\Temp\OnboardLogs"\RTDC4003\2017-02-21 --exclude "*" --recursive --include "*20170221*" &amp; "%USERPROFILE%\Documents\GitHub\mrs-test-scripts\Headless Mode &amp; Sideloading\WalkAndUnGZ.bat" "%USERPROFILE%\AppData\Local\Temp\OnboardLogs"\RTDC4003\2017-02-21 &amp; aws s3 cp s3://rtdc.mdm.uploadarchive.raw/RTDC4003/ "%USERPROFILE%\AppData\Local\Temp\OnboardLogs"\RTDC4003\2017-02-22 --exclude "*" --recursive --include "*20170222*" &amp; "%USERPROFILE%\Documents\GitHub\mrs-test-scripts\Headless Mode &amp; Sideloading\WalkAndUnGZ.bat" "%USERPROFILE%\AppData\Local\Temp\OnboardLogs"\RTDC4003\2017-02-22</v>
      </c>
      <c r="AF78" s="82" t="str">
        <f t="shared" si="41"/>
        <v>"C:\Program Files (x86)\AstroGrep\AstroGrep.exe" /spath="%USERPROFILE%\AppData\Local\Temp\OnboardLogs" /stypes="app*4003*20170221*" /stext=" 19:.+((SYSTEM_STATE.+slice.+state.+changed )|(ment ac)|(multiple cpu faults)|(system.+state.+changed )|(\[timeout)|(PRM\|1\|D)|(kpr)|(kdp)|(\|lc)|(penalty))" /e /r /s</v>
      </c>
      <c r="AG78" s="1" t="str">
        <f t="shared" si="42"/>
        <v>EC</v>
      </c>
      <c r="AH78" s="86" t="str">
        <f t="shared" si="20"/>
        <v>"%USERPROFILE%\Documents\GitHub\eaglep3\Utilities\RefineRTDCRunTimes.py" --tripid 163-21 --locoid 4003 --swversion DE.1.0.9.0 --startMP 204:460 --initTime 2017-02-21T11:27:53 --startdatetime 2017-02-21T11:31:09 --delay 1 --endMP 204:233306 --enddatetime 2017-02-21T12:07:03 --enforcementcount 0 &gt;&gt;C:\Users\stu\Documents\GitHub\eaglep3-reporting\EC\2017-02-21-refined-times.txt</v>
      </c>
      <c r="AI78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{"issue":{"subject":"","project_id":79,"tracker_id":40,"status_id":1,"priority_id":2,"assigned_to_id":23,"start_date":"2017-02-21","description":"","custom_fields":[{"id":1,"name":"Subdivision","value":"EC"},{"id":4,"name":"Milepost","value":"23.3306"},{"id":17,"name":"Train ID","value":"163-21"},{"id":16,"name":"Locomotive ID","value":"4003"},{"id":130,"name":"Impact","value":""},{"id":150,"name":"Time of Event (Mountain Time)","value":"12:07:03"},{"id":151,"name":"Denver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si="22"/>
        <v>start /low /b %USERPROFILE%\Documents\GitHub\eaglep3\Utilities\DownloadLogsFromS3.py --loco 4003 --day 2017-02-21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"%USERPROFILE%\AppData\Local\Temp\OnboardLogs"\RTDC4003\*4003*20170221* | grep -SE "(Enforcement Action)|(\[TIMEOUT)|(CHR.+\|PRM\|1\|D.+(SWITCH|SIGNAL).+UNKNOWN)" - &gt;&gt; 2017-02-21-UncaughtWiMAX.txt</v>
      </c>
    </row>
    <row r="79" spans="1:91" s="20" customFormat="1" x14ac:dyDescent="0.25">
      <c r="A79" s="33" t="s">
        <v>578</v>
      </c>
      <c r="B79" s="7">
        <v>4004</v>
      </c>
      <c r="C79" s="21" t="s">
        <v>359</v>
      </c>
      <c r="D79" s="21" t="s">
        <v>263</v>
      </c>
      <c r="E79" s="13">
        <v>42787.510196759256</v>
      </c>
      <c r="F79" s="13">
        <v>42787.518275462964</v>
      </c>
      <c r="G79" s="7">
        <v>1</v>
      </c>
      <c r="H79" s="21" t="s">
        <v>330</v>
      </c>
      <c r="I79" s="13">
        <v>42787.545300925929</v>
      </c>
      <c r="J79" s="7">
        <v>0</v>
      </c>
      <c r="K79" s="98" t="str">
        <f t="shared" si="32"/>
        <v>4003/4004</v>
      </c>
      <c r="L79" s="21" t="str">
        <f>VLOOKUP(A79,'Trips&amp;Operators'!$C$1:$G$99999,5,FALSE)</f>
        <v>LEVERE CRAIG</v>
      </c>
      <c r="M79" s="6">
        <f t="shared" si="33"/>
        <v>2.7025462964957114E-2</v>
      </c>
      <c r="N79" s="7">
        <f t="shared" si="31"/>
        <v>38.916666669538245</v>
      </c>
      <c r="O79" s="7"/>
      <c r="P79" s="7"/>
      <c r="Q79" s="22"/>
      <c r="R79" s="22"/>
      <c r="S79" s="31">
        <f t="shared" si="30"/>
        <v>1</v>
      </c>
      <c r="T79" s="46" t="str">
        <f t="shared" si="34"/>
        <v>Southbound</v>
      </c>
      <c r="U79" s="193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4" t="str">
        <f t="shared" si="35"/>
        <v>https://d0f6bd738d7f1b3e5a7ca70fe4ff75f0.us-east-1.aws.found.io/app/kibana#/discover/Steve-Slow-Train-Analysis-(2080s-and-2083s)?_g=(refreshInterval:(display:Off,pause:!f,section:0,value:0),time:(from:'2017-02-21T11:14:41-0700',mode:absolute,to:'2017-02-21T14:05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9" s="195" t="str">
        <f t="shared" si="36"/>
        <v>N</v>
      </c>
      <c r="X79" s="195">
        <f t="shared" si="37"/>
        <v>1</v>
      </c>
      <c r="Y79" s="62">
        <f t="shared" ref="Y79:Y142" si="43">RIGHT(D79,LEN(D79)-4)/10000</f>
        <v>23.299099999999999</v>
      </c>
      <c r="Z79" s="62">
        <f t="shared" ref="Z79:Z142" si="44">RIGHT(H79,LEN(H79)-4)/10000</f>
        <v>1.6299999999999999E-2</v>
      </c>
      <c r="AA79" s="62">
        <f t="shared" si="38"/>
        <v>23.282799999999998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9"/>
        <v>0164-21</v>
      </c>
      <c r="AE79" s="85" t="str">
        <f t="shared" si="40"/>
        <v>aws s3 cp s3://rtdc.mdm.uploadarchive.raw/RTDC4004/ "%USERPROFILE%\AppData\Local\Temp\OnboardLogs"\RTDC4004\2017-02-21 --exclude "*" --recursive --include "*20170221*" &amp; "%USERPROFILE%\Documents\GitHub\mrs-test-scripts\Headless Mode &amp; Sideloading\WalkAndUnGZ.bat" "%USERPROFILE%\AppData\Local\Temp\OnboardLogs"\RTDC4004\2017-02-21 &amp; aws s3 cp s3://rtdc.mdm.uploadarchive.raw/RTDC4004/ "%USERPROFILE%\AppData\Local\Temp\OnboardLogs"\RTDC4004\2017-02-22 --exclude "*" --recursive --include "*20170222*" &amp; "%USERPROFILE%\Documents\GitHub\mrs-test-scripts\Headless Mode &amp; Sideloading\WalkAndUnGZ.bat" "%USERPROFILE%\AppData\Local\Temp\OnboardLogs"\RTDC4004\2017-02-22</v>
      </c>
      <c r="AF79" s="82" t="str">
        <f t="shared" si="41"/>
        <v>"C:\Program Files (x86)\AstroGrep\AstroGrep.exe" /spath="%USERPROFILE%\AppData\Local\Temp\OnboardLogs" /stypes="app*4004*20170221*" /stext=" 20:.+((SYSTEM_STATE.+slice.+state.+changed )|(ment ac)|(multiple cpu faults)|(system.+state.+changed )|(\[timeout)|(PRM\|1\|D)|(kpr)|(kdp)|(\|lc)|(penalty))" /e /r /s</v>
      </c>
      <c r="AG79" s="1" t="str">
        <f t="shared" si="42"/>
        <v>EC</v>
      </c>
      <c r="AH79" s="86" t="str">
        <f t="shared" si="20"/>
        <v>"%USERPROFILE%\Documents\GitHub\eaglep3\Utilities\RefineRTDCRunTimes.py" --tripid 164-21 --locoid 4004 --swversion DE.1.0.9.0 --startMP 204:232991 --initTime 2017-02-21T12:14:41 --startdatetime 2017-02-21T12:26:19 --delay 1 --endMP 204:163 --enddatetime 2017-02-21T13:05:14 --enforcementcount 0 &gt;&gt;C:\Users\stu\Documents\GitHub\eaglep3-reporting\EC\2017-02-21-refined-times.txt</v>
      </c>
      <c r="AI79" s="108" t="str">
        <f t="shared" si="21"/>
        <v>echo {"issue":{"subject":"","project_id":79,"tracker_id":40,"status_id":1,"priority_id":2,"assigned_to_id":23,"start_date":"2017-02-21","description":"","custom_fields":[{"id":1,"name":"Subdivision","value":"EC"},{"id":4,"name":"Milepost","value":"0.0163"},{"id":17,"name":"Train ID","value":"164-21"},{"id":16,"name":"Locomotive ID","value":"4004"},{"id":130,"name":"Impact","value":""},{"id":150,"name":"Time of Event (Mountain Time)","value":"13:05:14"},{"id":151,"name":"Denver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22"/>
        <v>start /low /b %USERPROFILE%\Documents\GitHub\eaglep3\Utilities\DownloadLogsFromS3.py --loco 4004 --day 2017-02-21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"%USERPROFILE%\AppData\Local\Temp\OnboardLogs"\RTDC4004\*4004*20170221* | grep -SE "(Enforcement Action)|(\[TIMEOUT)|(CHR.+\|PRM\|1\|D.+(SWITCH|SIGNAL).+UNKNOWN)" - &gt;&gt; 2017-02-21-UncaughtWiMAX.txt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3" t="s">
        <v>573</v>
      </c>
      <c r="B80" s="7">
        <v>4027</v>
      </c>
      <c r="C80" s="21" t="s">
        <v>359</v>
      </c>
      <c r="D80" s="21" t="s">
        <v>204</v>
      </c>
      <c r="E80" s="13">
        <v>42787.488055555557</v>
      </c>
      <c r="F80" s="13">
        <v>42787.489733796298</v>
      </c>
      <c r="G80" s="7">
        <v>1</v>
      </c>
      <c r="H80" s="21" t="s">
        <v>413</v>
      </c>
      <c r="I80" s="13">
        <v>42787.515543981484</v>
      </c>
      <c r="J80" s="7">
        <v>0</v>
      </c>
      <c r="K80" s="98" t="str">
        <f t="shared" si="32"/>
        <v>4027/4028</v>
      </c>
      <c r="L80" s="21" t="str">
        <f>VLOOKUP(A80,'Trips&amp;Operators'!$C$1:$G$99999,5,FALSE)</f>
        <v>CLARK KATHLEEN</v>
      </c>
      <c r="M80" s="6">
        <f t="shared" si="33"/>
        <v>2.5810185186855961E-2</v>
      </c>
      <c r="N80" s="7">
        <f t="shared" si="31"/>
        <v>37.166666669072583</v>
      </c>
      <c r="O80" s="7"/>
      <c r="P80" s="7"/>
      <c r="Q80" s="22"/>
      <c r="R80" s="22"/>
      <c r="S80" s="31">
        <f t="shared" si="30"/>
        <v>1</v>
      </c>
      <c r="T80" s="46" t="str">
        <f t="shared" si="34"/>
        <v>NorthBound</v>
      </c>
      <c r="U80" s="193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4" t="str">
        <f t="shared" si="35"/>
        <v>https://d0f6bd738d7f1b3e5a7ca70fe4ff75f0.us-east-1.aws.found.io/app/kibana#/discover/Steve-Slow-Train-Analysis-(2080s-and-2083s)?_g=(refreshInterval:(display:Off,pause:!f,section:0,value:0),time:(from:'2017-02-21T10:42:48-0700',mode:absolute,to:'2017-02-21T13:22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0" s="195" t="str">
        <f t="shared" si="36"/>
        <v>N</v>
      </c>
      <c r="X80" s="195">
        <f t="shared" si="37"/>
        <v>1</v>
      </c>
      <c r="Y80" s="62">
        <f t="shared" si="43"/>
        <v>4.6199999999999998E-2</v>
      </c>
      <c r="Z80" s="62">
        <f t="shared" si="44"/>
        <v>23.328600000000002</v>
      </c>
      <c r="AA80" s="62">
        <f t="shared" si="38"/>
        <v>23.282400000000003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9"/>
        <v>0165-21</v>
      </c>
      <c r="AE80" s="85" t="str">
        <f t="shared" si="40"/>
        <v>aws s3 cp s3://rtdc.mdm.uploadarchive.raw/RTDC4027/ "%USERPROFILE%\AppData\Local\Temp\OnboardLogs"\RTDC4027\2017-02-21 --exclude "*" --recursive --include "*20170221*" &amp; "%USERPROFILE%\Documents\GitHub\mrs-test-scripts\Headless Mode &amp; Sideloading\WalkAndUnGZ.bat" "%USERPROFILE%\AppData\Local\Temp\OnboardLogs"\RTDC4027\2017-02-21 &amp; aws s3 cp s3://rtdc.mdm.uploadarchive.raw/RTDC4027/ "%USERPROFILE%\AppData\Local\Temp\OnboardLogs"\RTDC4027\2017-02-22 --exclude "*" --recursive --include "*20170222*" &amp; "%USERPROFILE%\Documents\GitHub\mrs-test-scripts\Headless Mode &amp; Sideloading\WalkAndUnGZ.bat" "%USERPROFILE%\AppData\Local\Temp\OnboardLogs"\RTDC4027\2017-02-22</v>
      </c>
      <c r="AF80" s="82" t="str">
        <f t="shared" si="41"/>
        <v>"C:\Program Files (x86)\AstroGrep\AstroGrep.exe" /spath="%USERPROFILE%\AppData\Local\Temp\OnboardLogs" /stypes="app*4027*20170221*" /stext=" 19:.+((SYSTEM_STATE.+slice.+state.+changed )|(ment ac)|(multiple cpu faults)|(system.+state.+changed )|(\[timeout)|(PRM\|1\|D)|(kpr)|(kdp)|(\|lc)|(penalty))" /e /r /s</v>
      </c>
      <c r="AG80" s="1" t="str">
        <f t="shared" si="42"/>
        <v>EC</v>
      </c>
      <c r="AH80" s="86" t="str">
        <f t="shared" ref="AH80:AH141" si="45"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"&amp;J80&amp;IF(outputrefinedruntimes," &gt;&gt;"&amp;RefinedRTDCRunTimesOutputFile,"")</f>
        <v>"%USERPROFILE%\Documents\GitHub\eaglep3\Utilities\RefineRTDCRunTimes.py" --tripid 165-21 --locoid 4027 --swversion DE.1.0.9.0 --startMP 204:462 --initTime 2017-02-21T11:42:48 --startdatetime 2017-02-21T11:45:13 --delay 1 --endMP 204:233286 --enddatetime 2017-02-21T12:22:23 --enforcementcount 0 &gt;&gt;C:\Users\stu\Documents\GitHub\eaglep3-reporting\EC\2017-02-21-refined-times.txt</v>
      </c>
      <c r="AI80" s="108" t="str">
        <f t="shared" ref="AI80:AI141" si="46">"echo {""issue"":{""subject"":"""&amp;R80&amp;""",""project_id"":79,""tracker_id"":40,""status_id"":"&amp;redmine_status&amp;",""priority_id"":"&amp;redmine_priority&amp;",""assigned_to_id"":"&amp;redmine_assignee&amp;",""start_date"":"""&amp;TEXT(I80,"YYYY-mm-dd")&amp;""",""description"":"""&amp;AJ80&amp;""",""custom_fields"":[{""id"":1,""name"":""Subdivision"",""value"":"""&amp;AG80&amp;"""},{""id"":4,""name"":""Milepost"",""value"":"""&amp;Z80&amp;"""},{""id"":17,""name"":""Train ID"",""value"":"""&amp;A80&amp;"""},{""id"":16,""name"":""Locomotive ID"",""value"":"""&amp;B80&amp;"""},{""id"":130,""name"":""Impact"",""value"":"""&amp;AK80&amp;"""},{""id"":150,""name"":""Time of Event (Mountain Time)"",""value"":"""&amp;TEXT(I80,"hh:mm:ss")&amp;"""},{""id"":151,""name"":""Denver Issue ID"",""value"":"""&amp;"""},{""id"":178,""name"":""Operational Impact"",""value"":"""&amp;redmine_op_impact&amp;"""},{""id"":179,""name"":""Denver Segment Assigned"",""value"":"""&amp;AL80&amp;"""}]}}"&amp;"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{"issue":{"subject":"","project_id":79,"tracker_id":40,"status_id":1,"priority_id":2,"assigned_to_id":23,"start_date":"2017-02-21","description":"","custom_fields":[{"id":1,"name":"Subdivision","value":"EC"},{"id":4,"name":"Milepost","value":"23.3286"},{"id":17,"name":"Train ID","value":"165-21"},{"id":16,"name":"Locomotive ID","value":"4027"},{"id":130,"name":"Impact","value":""},{"id":150,"name":"Time of Event (Mountain Time)","value":"12:22:23"},{"id":151,"name":"Denver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ref="AM80:AM141" si="47">"start /low /b "&amp;dls3logs&amp;" --loco "&amp;B80&amp;" --day "&amp;TEXT(F80,"YYYY-MM-DD")</f>
        <v>start /low /b %USERPROFILE%\Documents\GitHub\eaglep3\Utilities\DownloadLogsFromS3.py --loco 4027 --day 2017-02-21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"%USERPROFILE%\AppData\Local\Temp\OnboardLogs"\RTDC4027\*4027*20170221* | grep -SE "(Enforcement Action)|(\[TIMEOUT)|(CHR.+\|PRM\|1\|D.+(SWITCH|SIGNAL).+UNKNOWN)" - &gt;&gt; 2017-02-21-UncaughtWiMAX.txt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582</v>
      </c>
      <c r="B81" s="7">
        <v>4028</v>
      </c>
      <c r="C81" s="21" t="s">
        <v>359</v>
      </c>
      <c r="D81" s="21" t="s">
        <v>417</v>
      </c>
      <c r="E81" s="13">
        <v>42787.522812499999</v>
      </c>
      <c r="F81" s="13">
        <v>42787.528645833336</v>
      </c>
      <c r="G81" s="7">
        <v>1</v>
      </c>
      <c r="H81" s="21" t="s">
        <v>330</v>
      </c>
      <c r="I81" s="13">
        <v>42787.556562500002</v>
      </c>
      <c r="J81" s="7">
        <v>0</v>
      </c>
      <c r="K81" s="98" t="str">
        <f t="shared" si="32"/>
        <v>4027/4028</v>
      </c>
      <c r="L81" s="21" t="str">
        <f>VLOOKUP(A81,'Trips&amp;Operators'!$C$1:$G$99999,5,FALSE)</f>
        <v>CLARK KATHLEEN</v>
      </c>
      <c r="M81" s="6">
        <f t="shared" si="33"/>
        <v>2.7916666665987577E-2</v>
      </c>
      <c r="N81" s="7">
        <f t="shared" si="31"/>
        <v>40.199999999022111</v>
      </c>
      <c r="O81" s="7"/>
      <c r="P81" s="7"/>
      <c r="Q81" s="22"/>
      <c r="R81" s="22"/>
      <c r="S81" s="31">
        <f t="shared" si="30"/>
        <v>1</v>
      </c>
      <c r="T81" s="46" t="str">
        <f t="shared" si="34"/>
        <v>Southbound</v>
      </c>
      <c r="U81" s="193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4" t="str">
        <f t="shared" si="35"/>
        <v>https://d0f6bd738d7f1b3e5a7ca70fe4ff75f0.us-east-1.aws.found.io/app/kibana#/discover/Steve-Slow-Train-Analysis-(2080s-and-2083s)?_g=(refreshInterval:(display:Off,pause:!f,section:0,value:0),time:(from:'2017-02-21T11:32:51-0700',mode:absolute,to:'2017-02-21T14:21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1" s="195" t="str">
        <f t="shared" si="36"/>
        <v>N</v>
      </c>
      <c r="X81" s="195">
        <f t="shared" si="37"/>
        <v>1</v>
      </c>
      <c r="Y81" s="62">
        <f t="shared" si="43"/>
        <v>23.296900000000001</v>
      </c>
      <c r="Z81" s="62">
        <f t="shared" si="44"/>
        <v>1.6299999999999999E-2</v>
      </c>
      <c r="AA81" s="62">
        <f t="shared" si="38"/>
        <v>23.2806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9"/>
        <v>0166-21</v>
      </c>
      <c r="AE81" s="85" t="str">
        <f t="shared" si="40"/>
        <v>aws s3 cp s3://rtdc.mdm.uploadarchive.raw/RTDC4028/ "%USERPROFILE%\AppData\Local\Temp\OnboardLogs"\RTDC4028\2017-02-21 --exclude "*" --recursive --include "*20170221*" &amp; "%USERPROFILE%\Documents\GitHub\mrs-test-scripts\Headless Mode &amp; Sideloading\WalkAndUnGZ.bat" "%USERPROFILE%\AppData\Local\Temp\OnboardLogs"\RTDC4028\2017-02-21 &amp; aws s3 cp s3://rtdc.mdm.uploadarchive.raw/RTDC4028/ "%USERPROFILE%\AppData\Local\Temp\OnboardLogs"\RTDC4028\2017-02-22 --exclude "*" --recursive --include "*20170222*" &amp; "%USERPROFILE%\Documents\GitHub\mrs-test-scripts\Headless Mode &amp; Sideloading\WalkAndUnGZ.bat" "%USERPROFILE%\AppData\Local\Temp\OnboardLogs"\RTDC4028\2017-02-22</v>
      </c>
      <c r="AF81" s="82" t="str">
        <f t="shared" si="41"/>
        <v>"C:\Program Files (x86)\AstroGrep\AstroGrep.exe" /spath="%USERPROFILE%\AppData\Local\Temp\OnboardLogs" /stypes="app*4028*20170221*" /stext=" 20:.+((SYSTEM_STATE.+slice.+state.+changed )|(ment ac)|(multiple cpu faults)|(system.+state.+changed )|(\[timeout)|(PRM\|1\|D)|(kpr)|(kdp)|(\|lc)|(penalty))" /e /r /s</v>
      </c>
      <c r="AG81" s="1" t="str">
        <f t="shared" si="42"/>
        <v>EC</v>
      </c>
      <c r="AH81" s="86" t="str">
        <f t="shared" si="45"/>
        <v>"%USERPROFILE%\Documents\GitHub\eaglep3\Utilities\RefineRTDCRunTimes.py" --tripid 166-21 --locoid 4028 --swversion DE.1.0.9.0 --startMP 204:232969 --initTime 2017-02-21T12:32:51 --startdatetime 2017-02-21T12:41:15 --delay 1 --endMP 204:163 --enddatetime 2017-02-21T13:21:27 --enforcementcount 0 &gt;&gt;C:\Users\stu\Documents\GitHub\eaglep3-reporting\EC\2017-02-21-refined-times.txt</v>
      </c>
      <c r="AI81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{"issue":{"subject":"","project_id":79,"tracker_id":40,"status_id":1,"priority_id":2,"assigned_to_id":23,"start_date":"2017-02-21","description":"","custom_fields":[{"id":1,"name":"Subdivision","value":"EC"},{"id":4,"name":"Milepost","value":"0.0163"},{"id":17,"name":"Train ID","value":"166-21"},{"id":16,"name":"Locomotive ID","value":"4028"},{"id":130,"name":"Impact","value":""},{"id":150,"name":"Time of Event (Mountain Time)","value":"13:21:27"},{"id":151,"name":"Denver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47"/>
        <v>start /low /b %USERPROFILE%\Documents\GitHub\eaglep3\Utilities\DownloadLogsFromS3.py --loco 4028 --day 2017-02-21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"%USERPROFILE%\AppData\Local\Temp\OnboardLogs"\RTDC4028\*4028*20170221* | grep -SE "(Enforcement Action)|(\[TIMEOUT)|(CHR.+\|PRM\|1\|D.+(SWITCH|SIGNAL).+UNKNOWN)" - &gt;&gt; 2017-02-21-UncaughtWiMAX.txt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574</v>
      </c>
      <c r="B82" s="7">
        <v>4025</v>
      </c>
      <c r="C82" s="21" t="s">
        <v>359</v>
      </c>
      <c r="D82" s="21" t="s">
        <v>696</v>
      </c>
      <c r="E82" s="13">
        <v>42787.495324074072</v>
      </c>
      <c r="F82" s="13">
        <v>42787.500300925924</v>
      </c>
      <c r="G82" s="7">
        <v>1</v>
      </c>
      <c r="H82" s="21" t="s">
        <v>416</v>
      </c>
      <c r="I82" s="13">
        <v>42787.52511574074</v>
      </c>
      <c r="J82" s="7">
        <v>0</v>
      </c>
      <c r="K82" s="98" t="str">
        <f t="shared" si="32"/>
        <v>4025/4026</v>
      </c>
      <c r="L82" s="21" t="str">
        <f>VLOOKUP(A82,'Trips&amp;Operators'!$C$1:$G$99999,5,FALSE)</f>
        <v>CRAYTON QUNTRELL</v>
      </c>
      <c r="M82" s="6">
        <f t="shared" si="33"/>
        <v>2.4814814816636499E-2</v>
      </c>
      <c r="N82" s="7">
        <f t="shared" si="31"/>
        <v>35.733333335956559</v>
      </c>
      <c r="O82" s="7"/>
      <c r="P82" s="7"/>
      <c r="Q82" s="22"/>
      <c r="R82" s="22"/>
      <c r="S82" s="31">
        <f t="shared" si="30"/>
        <v>1</v>
      </c>
      <c r="T82" s="46" t="str">
        <f t="shared" si="34"/>
        <v>NorthBound</v>
      </c>
      <c r="U82" s="193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4" t="str">
        <f t="shared" si="35"/>
        <v>https://d0f6bd738d7f1b3e5a7ca70fe4ff75f0.us-east-1.aws.found.io/app/kibana#/discover/Steve-Slow-Train-Analysis-(2080s-and-2083s)?_g=(refreshInterval:(display:Off,pause:!f,section:0,value:0),time:(from:'2017-02-21T10:53:16-0700',mode:absolute,to:'2017-02-21T13:36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2" s="195" t="str">
        <f t="shared" si="36"/>
        <v>N</v>
      </c>
      <c r="X82" s="195">
        <f t="shared" si="37"/>
        <v>1</v>
      </c>
      <c r="Y82" s="62">
        <f t="shared" si="43"/>
        <v>4.4900000000000002E-2</v>
      </c>
      <c r="Z82" s="62">
        <f t="shared" si="44"/>
        <v>23.331399999999999</v>
      </c>
      <c r="AA82" s="62">
        <f t="shared" si="38"/>
        <v>23.2865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9"/>
        <v>0167-21</v>
      </c>
      <c r="AE82" s="85" t="str">
        <f t="shared" si="40"/>
        <v>aws s3 cp s3://rtdc.mdm.uploadarchive.raw/RTDC4025/ "%USERPROFILE%\AppData\Local\Temp\OnboardLogs"\RTDC4025\2017-02-21 --exclude "*" --recursive --include "*20170221*" &amp; "%USERPROFILE%\Documents\GitHub\mrs-test-scripts\Headless Mode &amp; Sideloading\WalkAndUnGZ.bat" "%USERPROFILE%\AppData\Local\Temp\OnboardLogs"\RTDC4025\2017-02-21 &amp; aws s3 cp s3://rtdc.mdm.uploadarchive.raw/RTDC4025/ "%USERPROFILE%\AppData\Local\Temp\OnboardLogs"\RTDC4025\2017-02-22 --exclude "*" --recursive --include "*20170222*" &amp; "%USERPROFILE%\Documents\GitHub\mrs-test-scripts\Headless Mode &amp; Sideloading\WalkAndUnGZ.bat" "%USERPROFILE%\AppData\Local\Temp\OnboardLogs"\RTDC4025\2017-02-22</v>
      </c>
      <c r="AF82" s="82" t="str">
        <f t="shared" si="41"/>
        <v>"C:\Program Files (x86)\AstroGrep\AstroGrep.exe" /spath="%USERPROFILE%\AppData\Local\Temp\OnboardLogs" /stypes="app*4025*20170221*" /stext=" 19:.+((SYSTEM_STATE.+slice.+state.+changed )|(ment ac)|(multiple cpu faults)|(system.+state.+changed )|(\[timeout)|(PRM\|1\|D)|(kpr)|(kdp)|(\|lc)|(penalty))" /e /r /s</v>
      </c>
      <c r="AG82" s="1" t="str">
        <f t="shared" si="42"/>
        <v>EC</v>
      </c>
      <c r="AH82" s="86" t="str">
        <f t="shared" si="45"/>
        <v>"%USERPROFILE%\Documents\GitHub\eaglep3\Utilities\RefineRTDCRunTimes.py" --tripid 167-21 --locoid 4025 --swversion DE.1.0.9.0 --startMP 204:449 --initTime 2017-02-21T11:53:16 --startdatetime 2017-02-21T12:00:26 --delay 1 --endMP 204:233314 --enddatetime 2017-02-21T12:36:10 --enforcementcount 0 &gt;&gt;C:\Users\stu\Documents\GitHub\eaglep3-reporting\EC\2017-02-21-refined-times.txt</v>
      </c>
      <c r="AI82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{"issue":{"subject":"","project_id":79,"tracker_id":40,"status_id":1,"priority_id":2,"assigned_to_id":23,"start_date":"2017-02-21","description":"","custom_fields":[{"id":1,"name":"Subdivision","value":"EC"},{"id":4,"name":"Milepost","value":"23.3314"},{"id":17,"name":"Train ID","value":"167-21"},{"id":16,"name":"Locomotive ID","value":"4025"},{"id":130,"name":"Impact","value":""},{"id":150,"name":"Time of Event (Mountain Time)","value":"12:36:10"},{"id":151,"name":"Denver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47"/>
        <v>start /low /b %USERPROFILE%\Documents\GitHub\eaglep3\Utilities\DownloadLogsFromS3.py --loco 4025 --day 2017-02-21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"%USERPROFILE%\AppData\Local\Temp\OnboardLogs"\RTDC4025\*4025*20170221* | grep -SE "(Enforcement Action)|(\[TIMEOUT)|(CHR.+\|PRM\|1\|D.+(SWITCH|SIGNAL).+UNKNOWN)" - &gt;&gt; 2017-02-21-UncaughtWiMAX.txt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584</v>
      </c>
      <c r="B83" s="7">
        <v>4026</v>
      </c>
      <c r="C83" s="21" t="s">
        <v>359</v>
      </c>
      <c r="D83" s="21" t="s">
        <v>415</v>
      </c>
      <c r="E83" s="13">
        <v>42787.530601851853</v>
      </c>
      <c r="F83" s="13">
        <v>42787.539224537039</v>
      </c>
      <c r="G83" s="7">
        <v>1</v>
      </c>
      <c r="H83" s="21" t="s">
        <v>729</v>
      </c>
      <c r="I83" s="13">
        <v>42787.566296296296</v>
      </c>
      <c r="J83" s="7">
        <v>0</v>
      </c>
      <c r="K83" s="98" t="str">
        <f t="shared" si="32"/>
        <v>4025/4026</v>
      </c>
      <c r="L83" s="21" t="str">
        <f>VLOOKUP(A83,'Trips&amp;Operators'!$C$1:$G$99999,5,FALSE)</f>
        <v>CRAYTON QUNTRELL</v>
      </c>
      <c r="M83" s="6">
        <f t="shared" si="33"/>
        <v>2.7071759257523809E-2</v>
      </c>
      <c r="N83" s="7">
        <f t="shared" si="31"/>
        <v>38.983333330834284</v>
      </c>
      <c r="O83" s="7"/>
      <c r="P83" s="7"/>
      <c r="Q83" s="22"/>
      <c r="R83" s="22"/>
      <c r="S83" s="31">
        <f t="shared" si="30"/>
        <v>1</v>
      </c>
      <c r="T83" s="46" t="str">
        <f t="shared" si="34"/>
        <v>Southbound</v>
      </c>
      <c r="U83" s="193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4" t="str">
        <f t="shared" si="35"/>
        <v>https://d0f6bd738d7f1b3e5a7ca70fe4ff75f0.us-east-1.aws.found.io/app/kibana#/discover/Steve-Slow-Train-Analysis-(2080s-and-2083s)?_g=(refreshInterval:(display:Off,pause:!f,section:0,value:0),time:(from:'2017-02-21T11:44:04-0700',mode:absolute,to:'2017-02-21T14:35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3" s="195" t="str">
        <f t="shared" si="36"/>
        <v>N</v>
      </c>
      <c r="X83" s="195">
        <f t="shared" si="37"/>
        <v>1</v>
      </c>
      <c r="Y83" s="62">
        <f t="shared" si="43"/>
        <v>23.2987</v>
      </c>
      <c r="Z83" s="62">
        <f t="shared" si="44"/>
        <v>1.7000000000000001E-2</v>
      </c>
      <c r="AA83" s="62">
        <f t="shared" si="38"/>
        <v>23.281700000000001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9"/>
        <v>0168-21</v>
      </c>
      <c r="AE83" s="85" t="str">
        <f t="shared" si="40"/>
        <v>aws s3 cp s3://rtdc.mdm.uploadarchive.raw/RTDC4026/ "%USERPROFILE%\AppData\Local\Temp\OnboardLogs"\RTDC4026\2017-02-21 --exclude "*" --recursive --include "*20170221*" &amp; "%USERPROFILE%\Documents\GitHub\mrs-test-scripts\Headless Mode &amp; Sideloading\WalkAndUnGZ.bat" "%USERPROFILE%\AppData\Local\Temp\OnboardLogs"\RTDC4026\2017-02-21 &amp; aws s3 cp s3://rtdc.mdm.uploadarchive.raw/RTDC4026/ "%USERPROFILE%\AppData\Local\Temp\OnboardLogs"\RTDC4026\2017-02-22 --exclude "*" --recursive --include "*20170222*" &amp; "%USERPROFILE%\Documents\GitHub\mrs-test-scripts\Headless Mode &amp; Sideloading\WalkAndUnGZ.bat" "%USERPROFILE%\AppData\Local\Temp\OnboardLogs"\RTDC4026\2017-02-22</v>
      </c>
      <c r="AF83" s="82" t="str">
        <f t="shared" si="41"/>
        <v>"C:\Program Files (x86)\AstroGrep\AstroGrep.exe" /spath="%USERPROFILE%\AppData\Local\Temp\OnboardLogs" /stypes="app*4026*20170221*" /stext=" 20:.+((SYSTEM_STATE.+slice.+state.+changed )|(ment ac)|(multiple cpu faults)|(system.+state.+changed )|(\[timeout)|(PRM\|1\|D)|(kpr)|(kdp)|(\|lc)|(penalty))" /e /r /s</v>
      </c>
      <c r="AG83" s="1" t="str">
        <f t="shared" si="42"/>
        <v>EC</v>
      </c>
      <c r="AH83" s="86" t="str">
        <f t="shared" si="45"/>
        <v>"%USERPROFILE%\Documents\GitHub\eaglep3\Utilities\RefineRTDCRunTimes.py" --tripid 168-21 --locoid 4026 --swversion DE.1.0.9.0 --startMP 204:232987 --initTime 2017-02-21T12:44:04 --startdatetime 2017-02-21T12:56:29 --delay 1 --endMP 204:170 --enddatetime 2017-02-21T13:35:28 --enforcementcount 0 &gt;&gt;C:\Users\stu\Documents\GitHub\eaglep3-reporting\EC\2017-02-21-refined-times.txt</v>
      </c>
      <c r="AI83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{"issue":{"subject":"","project_id":79,"tracker_id":40,"status_id":1,"priority_id":2,"assigned_to_id":23,"start_date":"2017-02-21","description":"","custom_fields":[{"id":1,"name":"Subdivision","value":"EC"},{"id":4,"name":"Milepost","value":"0.017"},{"id":17,"name":"Train ID","value":"168-21"},{"id":16,"name":"Locomotive ID","value":"4026"},{"id":130,"name":"Impact","value":""},{"id":150,"name":"Time of Event (Mountain Time)","value":"13:35:28"},{"id":151,"name":"Denver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47"/>
        <v>start /low /b %USERPROFILE%\Documents\GitHub\eaglep3\Utilities\DownloadLogsFromS3.py --loco 4026 --day 2017-02-21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"%USERPROFILE%\AppData\Local\Temp\OnboardLogs"\RTDC4026\*4026*20170221* | grep -SE "(Enforcement Action)|(\[TIMEOUT)|(CHR.+\|PRM\|1\|D.+(SWITCH|SIGNAL).+UNKNOWN)" - &gt;&gt; 2017-02-21-UncaughtWiMAX.txt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577</v>
      </c>
      <c r="B84" s="7">
        <v>4006</v>
      </c>
      <c r="C84" s="21" t="s">
        <v>359</v>
      </c>
      <c r="D84" s="21" t="s">
        <v>424</v>
      </c>
      <c r="E84" s="13">
        <v>42787.506111111114</v>
      </c>
      <c r="F84" s="13">
        <v>42787.510601851849</v>
      </c>
      <c r="G84" s="7">
        <v>1</v>
      </c>
      <c r="H84" s="21" t="s">
        <v>730</v>
      </c>
      <c r="I84" s="13">
        <v>42787.53497685185</v>
      </c>
      <c r="J84" s="7">
        <v>0</v>
      </c>
      <c r="K84" s="98" t="str">
        <f t="shared" si="32"/>
        <v>4005/4006</v>
      </c>
      <c r="L84" s="21" t="str">
        <f>VLOOKUP(A84,'Trips&amp;Operators'!$C$1:$G$99999,5,FALSE)</f>
        <v>ROMERO CHAD</v>
      </c>
      <c r="M84" s="6">
        <f t="shared" si="33"/>
        <v>2.4375000000873115E-2</v>
      </c>
      <c r="N84" s="7">
        <f t="shared" si="31"/>
        <v>35.100000001257285</v>
      </c>
      <c r="O84" s="7"/>
      <c r="P84" s="7"/>
      <c r="Q84" s="22"/>
      <c r="R84" s="22"/>
      <c r="S84" s="31">
        <f t="shared" si="30"/>
        <v>1</v>
      </c>
      <c r="T84" s="46" t="str">
        <f t="shared" si="34"/>
        <v>NorthBound</v>
      </c>
      <c r="U84" s="193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4" t="str">
        <f t="shared" si="35"/>
        <v>https://d0f6bd738d7f1b3e5a7ca70fe4ff75f0.us-east-1.aws.found.io/app/kibana#/discover/Steve-Slow-Train-Analysis-(2080s-and-2083s)?_g=(refreshInterval:(display:Off,pause:!f,section:0,value:0),time:(from:'2017-02-21T11:08:48-0700',mode:absolute,to:'2017-02-21T13:50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4" s="195" t="str">
        <f t="shared" si="36"/>
        <v>N</v>
      </c>
      <c r="X84" s="195">
        <f t="shared" si="37"/>
        <v>1</v>
      </c>
      <c r="Y84" s="62">
        <f t="shared" si="43"/>
        <v>4.6899999999999997E-2</v>
      </c>
      <c r="Z84" s="62">
        <f t="shared" si="44"/>
        <v>23.343</v>
      </c>
      <c r="AA84" s="62">
        <f t="shared" si="38"/>
        <v>23.296099999999999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9"/>
        <v>0169-21</v>
      </c>
      <c r="AE84" s="85" t="str">
        <f t="shared" si="40"/>
        <v>aws s3 cp s3://rtdc.mdm.uploadarchive.raw/RTDC4006/ "%USERPROFILE%\AppData\Local\Temp\OnboardLogs"\RTDC4006\2017-02-21 --exclude "*" --recursive --include "*20170221*" &amp; "%USERPROFILE%\Documents\GitHub\mrs-test-scripts\Headless Mode &amp; Sideloading\WalkAndUnGZ.bat" "%USERPROFILE%\AppData\Local\Temp\OnboardLogs"\RTDC4006\2017-02-21 &amp; aws s3 cp s3://rtdc.mdm.uploadarchive.raw/RTDC4006/ "%USERPROFILE%\AppData\Local\Temp\OnboardLogs"\RTDC4006\2017-02-22 --exclude "*" --recursive --include "*20170222*" &amp; "%USERPROFILE%\Documents\GitHub\mrs-test-scripts\Headless Mode &amp; Sideloading\WalkAndUnGZ.bat" "%USERPROFILE%\AppData\Local\Temp\OnboardLogs"\RTDC4006\2017-02-22</v>
      </c>
      <c r="AF84" s="82" t="str">
        <f t="shared" si="41"/>
        <v>"C:\Program Files (x86)\AstroGrep\AstroGrep.exe" /spath="%USERPROFILE%\AppData\Local\Temp\OnboardLogs" /stypes="app*4006*20170221*" /stext=" 19:.+((SYSTEM_STATE.+slice.+state.+changed )|(ment ac)|(multiple cpu faults)|(system.+state.+changed )|(\[timeout)|(PRM\|1\|D)|(kpr)|(kdp)|(\|lc)|(penalty))" /e /r /s</v>
      </c>
      <c r="AG84" s="1" t="str">
        <f t="shared" si="42"/>
        <v>EC</v>
      </c>
      <c r="AH84" s="86" t="str">
        <f t="shared" si="45"/>
        <v>"%USERPROFILE%\Documents\GitHub\eaglep3\Utilities\RefineRTDCRunTimes.py" --tripid 169-21 --locoid 4006 --swversion DE.1.0.9.0 --startMP 204:469 --initTime 2017-02-21T12:08:48 --startdatetime 2017-02-21T12:15:16 --delay 1 --endMP 204:233430 --enddatetime 2017-02-21T12:50:22 --enforcementcount 0 &gt;&gt;C:\Users\stu\Documents\GitHub\eaglep3-reporting\EC\2017-02-21-refined-times.txt</v>
      </c>
      <c r="AI84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{"issue":{"subject":"","project_id":79,"tracker_id":40,"status_id":1,"priority_id":2,"assigned_to_id":23,"start_date":"2017-02-21","description":"","custom_fields":[{"id":1,"name":"Subdivision","value":"EC"},{"id":4,"name":"Milepost","value":"23.343"},{"id":17,"name":"Train ID","value":"169-21"},{"id":16,"name":"Locomotive ID","value":"4006"},{"id":130,"name":"Impact","value":""},{"id":150,"name":"Time of Event (Mountain Time)","value":"12:50:22"},{"id":151,"name":"Denver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47"/>
        <v>start /low /b %USERPROFILE%\Documents\GitHub\eaglep3\Utilities\DownloadLogsFromS3.py --loco 4006 --day 2017-02-21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"%USERPROFILE%\AppData\Local\Temp\OnboardLogs"\RTDC4006\*4006*20170221* | grep -SE "(Enforcement Action)|(\[TIMEOUT)|(CHR.+\|PRM\|1\|D.+(SWITCH|SIGNAL).+UNKNOWN)" - &gt;&gt; 2017-02-21-UncaughtWiMAX.txt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587</v>
      </c>
      <c r="B85" s="7">
        <v>4005</v>
      </c>
      <c r="C85" s="21" t="s">
        <v>359</v>
      </c>
      <c r="D85" s="21" t="s">
        <v>731</v>
      </c>
      <c r="E85" s="13">
        <v>42787.543136574073</v>
      </c>
      <c r="F85" s="13">
        <v>42787.549467592595</v>
      </c>
      <c r="G85" s="7">
        <v>1</v>
      </c>
      <c r="H85" s="21" t="s">
        <v>289</v>
      </c>
      <c r="I85" s="13">
        <v>42787.576053240744</v>
      </c>
      <c r="J85" s="7">
        <v>0</v>
      </c>
      <c r="K85" s="98" t="str">
        <f t="shared" si="32"/>
        <v>4005/4006</v>
      </c>
      <c r="L85" s="21" t="str">
        <f>VLOOKUP(A85,'Trips&amp;Operators'!$C$1:$G$99999,5,FALSE)</f>
        <v>ROMERO CHAD</v>
      </c>
      <c r="M85" s="6">
        <f t="shared" si="33"/>
        <v>2.658564814919373E-2</v>
      </c>
      <c r="N85" s="7">
        <f t="shared" si="31"/>
        <v>38.283333334838971</v>
      </c>
      <c r="O85" s="7"/>
      <c r="P85" s="7"/>
      <c r="Q85" s="22"/>
      <c r="R85" s="22"/>
      <c r="S85" s="31">
        <f t="shared" si="30"/>
        <v>1</v>
      </c>
      <c r="T85" s="46" t="str">
        <f t="shared" si="34"/>
        <v>Southbound</v>
      </c>
      <c r="U85" s="193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4" t="str">
        <f t="shared" si="35"/>
        <v>https://d0f6bd738d7f1b3e5a7ca70fe4ff75f0.us-east-1.aws.found.io/app/kibana#/discover/Steve-Slow-Train-Analysis-(2080s-and-2083s)?_g=(refreshInterval:(display:Off,pause:!f,section:0,value:0),time:(from:'2017-02-21T12:02:07-0700',mode:absolute,to:'2017-02-21T14:49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5" s="195" t="str">
        <f t="shared" si="36"/>
        <v>N</v>
      </c>
      <c r="X85" s="195">
        <f t="shared" si="37"/>
        <v>1</v>
      </c>
      <c r="Y85" s="62">
        <f t="shared" si="43"/>
        <v>23.3109</v>
      </c>
      <c r="Z85" s="62">
        <f t="shared" si="44"/>
        <v>1.47E-2</v>
      </c>
      <c r="AA85" s="62">
        <f t="shared" si="38"/>
        <v>23.296199999999999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9"/>
        <v>0170-21</v>
      </c>
      <c r="AE85" s="85" t="str">
        <f t="shared" si="40"/>
        <v>aws s3 cp s3://rtdc.mdm.uploadarchive.raw/RTDC4005/ "%USERPROFILE%\AppData\Local\Temp\OnboardLogs"\RTDC4005\2017-02-21 --exclude "*" --recursive --include "*20170221*" &amp; "%USERPROFILE%\Documents\GitHub\mrs-test-scripts\Headless Mode &amp; Sideloading\WalkAndUnGZ.bat" "%USERPROFILE%\AppData\Local\Temp\OnboardLogs"\RTDC4005\2017-02-21 &amp; aws s3 cp s3://rtdc.mdm.uploadarchive.raw/RTDC4005/ "%USERPROFILE%\AppData\Local\Temp\OnboardLogs"\RTDC4005\2017-02-22 --exclude "*" --recursive --include "*20170222*" &amp; "%USERPROFILE%\Documents\GitHub\mrs-test-scripts\Headless Mode &amp; Sideloading\WalkAndUnGZ.bat" "%USERPROFILE%\AppData\Local\Temp\OnboardLogs"\RTDC4005\2017-02-22</v>
      </c>
      <c r="AF85" s="82" t="str">
        <f t="shared" si="41"/>
        <v>"C:\Program Files (x86)\AstroGrep\AstroGrep.exe" /spath="%USERPROFILE%\AppData\Local\Temp\OnboardLogs" /stypes="app*4005*20170221*" /stext=" 20:.+((SYSTEM_STATE.+slice.+state.+changed )|(ment ac)|(multiple cpu faults)|(system.+state.+changed )|(\[timeout)|(PRM\|1\|D)|(kpr)|(kdp)|(\|lc)|(penalty))" /e /r /s</v>
      </c>
      <c r="AG85" s="1" t="str">
        <f t="shared" si="42"/>
        <v>EC</v>
      </c>
      <c r="AH85" s="86" t="str">
        <f t="shared" si="45"/>
        <v>"%USERPROFILE%\Documents\GitHub\eaglep3\Utilities\RefineRTDCRunTimes.py" --tripid 170-21 --locoid 4005 --swversion DE.1.0.9.0 --startMP 204:233109 --initTime 2017-02-21T13:02:07 --startdatetime 2017-02-21T13:11:14 --delay 1 --endMP 204:147 --enddatetime 2017-02-21T13:49:31 --enforcementcount 0 &gt;&gt;C:\Users\stu\Documents\GitHub\eaglep3-reporting\EC\2017-02-21-refined-times.txt</v>
      </c>
      <c r="AI85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{"issue":{"subject":"","project_id":79,"tracker_id":40,"status_id":1,"priority_id":2,"assigned_to_id":23,"start_date":"2017-02-21","description":"","custom_fields":[{"id":1,"name":"Subdivision","value":"EC"},{"id":4,"name":"Milepost","value":"0.0147"},{"id":17,"name":"Train ID","value":"170-21"},{"id":16,"name":"Locomotive ID","value":"4005"},{"id":130,"name":"Impact","value":""},{"id":150,"name":"Time of Event (Mountain Time)","value":"13:49:31"},{"id":151,"name":"Denver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47"/>
        <v>start /low /b %USERPROFILE%\Documents\GitHub\eaglep3\Utilities\DownloadLogsFromS3.py --loco 4005 --day 2017-02-21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"%USERPROFILE%\AppData\Local\Temp\OnboardLogs"\RTDC4005\*4005*20170221* | grep -SE "(Enforcement Action)|(\[TIMEOUT)|(CHR.+\|PRM\|1\|D.+(SWITCH|SIGNAL).+UNKNOWN)" - &gt;&gt; 2017-02-21-UncaughtWiMAX.txt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x14ac:dyDescent="0.25">
      <c r="A86" s="33" t="s">
        <v>579</v>
      </c>
      <c r="B86" s="7">
        <v>4029</v>
      </c>
      <c r="C86" s="21" t="s">
        <v>359</v>
      </c>
      <c r="D86" s="21" t="s">
        <v>427</v>
      </c>
      <c r="E86" s="13">
        <v>42787.515405092592</v>
      </c>
      <c r="F86" s="13">
        <v>42787.520995370367</v>
      </c>
      <c r="G86" s="7">
        <v>2</v>
      </c>
      <c r="H86" s="21" t="s">
        <v>732</v>
      </c>
      <c r="I86" s="13">
        <v>42787.547662037039</v>
      </c>
      <c r="J86" s="7">
        <v>0</v>
      </c>
      <c r="K86" s="98" t="str">
        <f t="shared" si="32"/>
        <v>4029/4030</v>
      </c>
      <c r="L86" s="21" t="str">
        <f>VLOOKUP(A86,'Trips&amp;Operators'!$C$1:$G$99999,5,FALSE)</f>
        <v>STRICKLAND EVAN</v>
      </c>
      <c r="M86" s="6">
        <f t="shared" si="33"/>
        <v>2.6666666672099382E-2</v>
      </c>
      <c r="N86" s="7">
        <f t="shared" si="31"/>
        <v>38.40000000782311</v>
      </c>
      <c r="O86" s="7"/>
      <c r="P86" s="7"/>
      <c r="Q86" s="22"/>
      <c r="R86" s="22"/>
      <c r="S86" s="31">
        <f t="shared" si="30"/>
        <v>1</v>
      </c>
      <c r="T86" s="46" t="str">
        <f t="shared" si="34"/>
        <v>NorthBound</v>
      </c>
      <c r="U86" s="193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4" t="str">
        <f t="shared" si="35"/>
        <v>https://d0f6bd738d7f1b3e5a7ca70fe4ff75f0.us-east-1.aws.found.io/app/kibana#/discover/Steve-Slow-Train-Analysis-(2080s-and-2083s)?_g=(refreshInterval:(display:Off,pause:!f,section:0,value:0),time:(from:'2017-02-21T11:22:11-0700',mode:absolute,to:'2017-02-21T14:08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6" s="195" t="str">
        <f t="shared" si="36"/>
        <v>N</v>
      </c>
      <c r="X86" s="195">
        <f t="shared" si="37"/>
        <v>1</v>
      </c>
      <c r="Y86" s="62">
        <f t="shared" si="43"/>
        <v>4.9299999999999997E-2</v>
      </c>
      <c r="Z86" s="62">
        <f t="shared" si="44"/>
        <v>23.332899999999999</v>
      </c>
      <c r="AA86" s="62">
        <f t="shared" si="38"/>
        <v>23.2836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9"/>
        <v>0171-21</v>
      </c>
      <c r="AE86" s="85" t="str">
        <f t="shared" si="40"/>
        <v>aws s3 cp s3://rtdc.mdm.uploadarchive.raw/RTDC4029/ "%USERPROFILE%\AppData\Local\Temp\OnboardLogs"\RTDC4029\2017-02-21 --exclude "*" --recursive --include "*20170221*" &amp; "%USERPROFILE%\Documents\GitHub\mrs-test-scripts\Headless Mode &amp; Sideloading\WalkAndUnGZ.bat" "%USERPROFILE%\AppData\Local\Temp\OnboardLogs"\RTDC4029\2017-02-21 &amp; aws s3 cp s3://rtdc.mdm.uploadarchive.raw/RTDC4029/ "%USERPROFILE%\AppData\Local\Temp\OnboardLogs"\RTDC4029\2017-02-22 --exclude "*" --recursive --include "*20170222*" &amp; "%USERPROFILE%\Documents\GitHub\mrs-test-scripts\Headless Mode &amp; Sideloading\WalkAndUnGZ.bat" "%USERPROFILE%\AppData\Local\Temp\OnboardLogs"\RTDC4029\2017-02-22</v>
      </c>
      <c r="AF86" s="82" t="str">
        <f t="shared" si="41"/>
        <v>"C:\Program Files (x86)\AstroGrep\AstroGrep.exe" /spath="%USERPROFILE%\AppData\Local\Temp\OnboardLogs" /stypes="app*4029*20170221*" /stext=" 20:.+((SYSTEM_STATE.+slice.+state.+changed )|(ment ac)|(multiple cpu faults)|(system.+state.+changed )|(\[timeout)|(PRM\|1\|D)|(kpr)|(kdp)|(\|lc)|(penalty))" /e /r /s</v>
      </c>
      <c r="AG86" s="1" t="str">
        <f t="shared" si="42"/>
        <v>EC</v>
      </c>
      <c r="AH86" s="86" t="str">
        <f t="shared" si="45"/>
        <v>"%USERPROFILE%\Documents\GitHub\eaglep3\Utilities\RefineRTDCRunTimes.py" --tripid 171-21 --locoid 4029 --swversion DE.1.0.9.0 --startMP 204:493 --initTime 2017-02-21T12:22:11 --startdatetime 2017-02-21T12:30:14 --delay 2 --endMP 204:233329 --enddatetime 2017-02-21T13:08:38 --enforcementcount 0 &gt;&gt;C:\Users\stu\Documents\GitHub\eaglep3-reporting\EC\2017-02-21-refined-times.txt</v>
      </c>
      <c r="AI86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{"issue":{"subject":"","project_id":79,"tracker_id":40,"status_id":1,"priority_id":2,"assigned_to_id":23,"start_date":"2017-02-21","description":"","custom_fields":[{"id":1,"name":"Subdivision","value":"EC"},{"id":4,"name":"Milepost","value":"23.3329"},{"id":17,"name":"Train ID","value":"171-21"},{"id":16,"name":"Locomotive ID","value":"4029"},{"id":130,"name":"Impact","value":""},{"id":150,"name":"Time of Event (Mountain Time)","value":"13:08:38"},{"id":151,"name":"Denver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47"/>
        <v>start /low /b %USERPROFILE%\Documents\GitHub\eaglep3\Utilities\DownloadLogsFromS3.py --loco 4029 --day 2017-02-21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"%USERPROFILE%\AppData\Local\Temp\OnboardLogs"\RTDC4029\*4029*20170221* | grep -SE "(Enforcement Action)|(\[TIMEOUT)|(CHR.+\|PRM\|1\|D.+(SWITCH|SIGNAL).+UNKNOWN)" - &gt;&gt; 2017-02-21-UncaughtWiMAX.txt</v>
      </c>
    </row>
    <row r="87" spans="1:91" s="20" customFormat="1" x14ac:dyDescent="0.25">
      <c r="A87" s="33" t="s">
        <v>589</v>
      </c>
      <c r="B87" s="7">
        <v>4030</v>
      </c>
      <c r="C87" s="21" t="s">
        <v>359</v>
      </c>
      <c r="D87" s="21" t="s">
        <v>733</v>
      </c>
      <c r="E87" s="13">
        <v>42787.548854166664</v>
      </c>
      <c r="F87" s="13">
        <v>42787.559884259259</v>
      </c>
      <c r="G87" s="7">
        <v>1</v>
      </c>
      <c r="H87" s="21" t="s">
        <v>184</v>
      </c>
      <c r="I87" s="13">
        <v>42787.586631944447</v>
      </c>
      <c r="J87" s="7">
        <v>0</v>
      </c>
      <c r="K87" s="98" t="str">
        <f t="shared" si="32"/>
        <v>4029/4030</v>
      </c>
      <c r="L87" s="21" t="str">
        <f>VLOOKUP(A87,'Trips&amp;Operators'!$C$1:$G$99999,5,FALSE)</f>
        <v>STRICKLAND EVAN</v>
      </c>
      <c r="M87" s="6">
        <f t="shared" si="33"/>
        <v>2.6747685187729076E-2</v>
      </c>
      <c r="N87" s="7">
        <f t="shared" si="31"/>
        <v>38.516666670329869</v>
      </c>
      <c r="O87" s="7"/>
      <c r="P87" s="7"/>
      <c r="Q87" s="22"/>
      <c r="R87" s="22"/>
      <c r="S87" s="31">
        <f t="shared" si="30"/>
        <v>1</v>
      </c>
      <c r="T87" s="46" t="str">
        <f t="shared" si="34"/>
        <v>Southbound</v>
      </c>
      <c r="U87" s="193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4" t="str">
        <f t="shared" si="35"/>
        <v>https://d0f6bd738d7f1b3e5a7ca70fe4ff75f0.us-east-1.aws.found.io/app/kibana#/discover/Steve-Slow-Train-Analysis-(2080s-and-2083s)?_g=(refreshInterval:(display:Off,pause:!f,section:0,value:0),time:(from:'2017-02-21T12:10:21-0700',mode:absolute,to:'2017-02-21T15:04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7" s="195" t="str">
        <f t="shared" si="36"/>
        <v>N</v>
      </c>
      <c r="X87" s="195">
        <f t="shared" si="37"/>
        <v>1</v>
      </c>
      <c r="Y87" s="62">
        <f t="shared" si="43"/>
        <v>23.300599999999999</v>
      </c>
      <c r="Z87" s="62">
        <f t="shared" si="44"/>
        <v>1.49E-2</v>
      </c>
      <c r="AA87" s="62">
        <f t="shared" si="38"/>
        <v>23.285699999999999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9"/>
        <v>0172-21</v>
      </c>
      <c r="AE87" s="85" t="str">
        <f t="shared" si="40"/>
        <v>aws s3 cp s3://rtdc.mdm.uploadarchive.raw/RTDC4030/ "%USERPROFILE%\AppData\Local\Temp\OnboardLogs"\RTDC4030\2017-02-21 --exclude "*" --recursive --include "*20170221*" &amp; "%USERPROFILE%\Documents\GitHub\mrs-test-scripts\Headless Mode &amp; Sideloading\WalkAndUnGZ.bat" "%USERPROFILE%\AppData\Local\Temp\OnboardLogs"\RTDC4030\2017-02-21 &amp; aws s3 cp s3://rtdc.mdm.uploadarchive.raw/RTDC4030/ "%USERPROFILE%\AppData\Local\Temp\OnboardLogs"\RTDC4030\2017-02-22 --exclude "*" --recursive --include "*20170222*" &amp; "%USERPROFILE%\Documents\GitHub\mrs-test-scripts\Headless Mode &amp; Sideloading\WalkAndUnGZ.bat" "%USERPROFILE%\AppData\Local\Temp\OnboardLogs"\RTDC4030\2017-02-22</v>
      </c>
      <c r="AF87" s="82" t="str">
        <f t="shared" si="41"/>
        <v>"C:\Program Files (x86)\AstroGrep\AstroGrep.exe" /spath="%USERPROFILE%\AppData\Local\Temp\OnboardLogs" /stypes="app*4030*20170221*" /stext=" 21:.+((SYSTEM_STATE.+slice.+state.+changed )|(ment ac)|(multiple cpu faults)|(system.+state.+changed )|(\[timeout)|(PRM\|1\|D)|(kpr)|(kdp)|(\|lc)|(penalty))" /e /r /s</v>
      </c>
      <c r="AG87" s="1" t="str">
        <f t="shared" si="42"/>
        <v>EC</v>
      </c>
      <c r="AH87" s="86" t="str">
        <f t="shared" si="45"/>
        <v>"%USERPROFILE%\Documents\GitHub\eaglep3\Utilities\RefineRTDCRunTimes.py" --tripid 172-21 --locoid 4030 --swversion DE.1.0.9.0 --startMP 204:233006 --initTime 2017-02-21T13:10:21 --startdatetime 2017-02-21T13:26:14 --delay 1 --endMP 204:149 --enddatetime 2017-02-21T14:04:45 --enforcementcount 0 &gt;&gt;C:\Users\stu\Documents\GitHub\eaglep3-reporting\EC\2017-02-21-refined-times.txt</v>
      </c>
      <c r="AI87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{"issue":{"subject":"","project_id":79,"tracker_id":40,"status_id":1,"priority_id":2,"assigned_to_id":23,"start_date":"2017-02-21","description":"","custom_fields":[{"id":1,"name":"Subdivision","value":"EC"},{"id":4,"name":"Milepost","value":"0.0149"},{"id":17,"name":"Train ID","value":"172-21"},{"id":16,"name":"Locomotive ID","value":"4030"},{"id":130,"name":"Impact","value":""},{"id":150,"name":"Time of Event (Mountain Time)","value":"14:04:45"},{"id":151,"name":"Denver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47"/>
        <v>start /low /b %USERPROFILE%\Documents\GitHub\eaglep3\Utilities\DownloadLogsFromS3.py --loco 4030 --day 2017-02-21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"%USERPROFILE%\AppData\Local\Temp\OnboardLogs"\RTDC4030\*4030*20170221* | grep -SE "(Enforcement Action)|(\[TIMEOUT)|(CHR.+\|PRM\|1\|D.+(SWITCH|SIGNAL).+UNKNOWN)" - &gt;&gt; 2017-02-21-UncaughtWiMAX.txt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583</v>
      </c>
      <c r="B88" s="7">
        <v>4014</v>
      </c>
      <c r="C88" s="21" t="s">
        <v>359</v>
      </c>
      <c r="D88" s="21" t="s">
        <v>276</v>
      </c>
      <c r="E88" s="13">
        <v>42787.529189814813</v>
      </c>
      <c r="F88" s="13">
        <v>42787.531712962962</v>
      </c>
      <c r="G88" s="7">
        <v>1</v>
      </c>
      <c r="H88" s="21" t="s">
        <v>274</v>
      </c>
      <c r="I88" s="13">
        <v>42787.557615740741</v>
      </c>
      <c r="J88" s="7">
        <v>0</v>
      </c>
      <c r="K88" s="98" t="str">
        <f t="shared" si="32"/>
        <v>4013/4014</v>
      </c>
      <c r="L88" s="21" t="str">
        <f>VLOOKUP(A88,'Trips&amp;Operators'!$C$1:$G$99999,5,FALSE)</f>
        <v>DAVIS MICHAEL</v>
      </c>
      <c r="M88" s="6">
        <f t="shared" si="33"/>
        <v>2.5902777779265307E-2</v>
      </c>
      <c r="N88" s="7">
        <f t="shared" si="31"/>
        <v>37.300000002142042</v>
      </c>
      <c r="O88" s="7"/>
      <c r="P88" s="7"/>
      <c r="Q88" s="22"/>
      <c r="R88" s="22"/>
      <c r="S88" s="31">
        <f t="shared" si="30"/>
        <v>1</v>
      </c>
      <c r="T88" s="46" t="str">
        <f t="shared" si="34"/>
        <v>NorthBound</v>
      </c>
      <c r="U88" s="193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4" t="str">
        <f t="shared" si="35"/>
        <v>https://d0f6bd738d7f1b3e5a7ca70fe4ff75f0.us-east-1.aws.found.io/app/kibana#/discover/Steve-Slow-Train-Analysis-(2080s-and-2083s)?_g=(refreshInterval:(display:Off,pause:!f,section:0,value:0),time:(from:'2017-02-21T11:42:02-0700',mode:absolute,to:'2017-02-21T14:22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8" s="195" t="str">
        <f t="shared" si="36"/>
        <v>N</v>
      </c>
      <c r="X88" s="195">
        <f t="shared" si="37"/>
        <v>1</v>
      </c>
      <c r="Y88" s="62">
        <f t="shared" si="43"/>
        <v>4.3999999999999997E-2</v>
      </c>
      <c r="Z88" s="62">
        <f t="shared" si="44"/>
        <v>23.331199999999999</v>
      </c>
      <c r="AA88" s="62">
        <f t="shared" si="38"/>
        <v>23.287199999999999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9"/>
        <v>0173-21</v>
      </c>
      <c r="AE88" s="85" t="str">
        <f t="shared" si="40"/>
        <v>aws s3 cp s3://rtdc.mdm.uploadarchive.raw/RTDC4014/ "%USERPROFILE%\AppData\Local\Temp\OnboardLogs"\RTDC4014\2017-02-21 --exclude "*" --recursive --include "*20170221*" &amp; "%USERPROFILE%\Documents\GitHub\mrs-test-scripts\Headless Mode &amp; Sideloading\WalkAndUnGZ.bat" "%USERPROFILE%\AppData\Local\Temp\OnboardLogs"\RTDC4014\2017-02-21 &amp; aws s3 cp s3://rtdc.mdm.uploadarchive.raw/RTDC4014/ "%USERPROFILE%\AppData\Local\Temp\OnboardLogs"\RTDC4014\2017-02-22 --exclude "*" --recursive --include "*20170222*" &amp; "%USERPROFILE%\Documents\GitHub\mrs-test-scripts\Headless Mode &amp; Sideloading\WalkAndUnGZ.bat" "%USERPROFILE%\AppData\Local\Temp\OnboardLogs"\RTDC4014\2017-02-22</v>
      </c>
      <c r="AF88" s="82" t="str">
        <f t="shared" si="41"/>
        <v>"C:\Program Files (x86)\AstroGrep\AstroGrep.exe" /spath="%USERPROFILE%\AppData\Local\Temp\OnboardLogs" /stypes="app*4014*20170221*" /stext=" 20:.+((SYSTEM_STATE.+slice.+state.+changed )|(ment ac)|(multiple cpu faults)|(system.+state.+changed )|(\[timeout)|(PRM\|1\|D)|(kpr)|(kdp)|(\|lc)|(penalty))" /e /r /s</v>
      </c>
      <c r="AG88" s="1" t="str">
        <f t="shared" si="42"/>
        <v>EC</v>
      </c>
      <c r="AH88" s="86" t="str">
        <f t="shared" si="45"/>
        <v>"%USERPROFILE%\Documents\GitHub\eaglep3\Utilities\RefineRTDCRunTimes.py" --tripid 173-21 --locoid 4014 --swversion DE.1.0.9.0 --startMP 204:440 --initTime 2017-02-21T12:42:02 --startdatetime 2017-02-21T12:45:40 --delay 1 --endMP 204:233312 --enddatetime 2017-02-21T13:22:58 --enforcementcount 0 &gt;&gt;C:\Users\stu\Documents\GitHub\eaglep3-reporting\EC\2017-02-21-refined-times.txt</v>
      </c>
      <c r="AI88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{"issue":{"subject":"","project_id":79,"tracker_id":40,"status_id":1,"priority_id":2,"assigned_to_id":23,"start_date":"2017-02-21","description":"","custom_fields":[{"id":1,"name":"Subdivision","value":"EC"},{"id":4,"name":"Milepost","value":"23.3312"},{"id":17,"name":"Train ID","value":"173-21"},{"id":16,"name":"Locomotive ID","value":"4014"},{"id":130,"name":"Impact","value":""},{"id":150,"name":"Time of Event (Mountain Time)","value":"13:22:58"},{"id":151,"name":"Denver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47"/>
        <v>start /low /b %USERPROFILE%\Documents\GitHub\eaglep3\Utilities\DownloadLogsFromS3.py --loco 4014 --day 2017-02-21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"%USERPROFILE%\AppData\Local\Temp\OnboardLogs"\RTDC4014\*4014*20170221* | grep -SE "(Enforcement Action)|(\[TIMEOUT)|(CHR.+\|PRM\|1\|D.+(SWITCH|SIGNAL).+UNKNOWN)" - &gt;&gt; 2017-02-21-UncaughtWiMAX.txt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593</v>
      </c>
      <c r="B89" s="7">
        <v>4013</v>
      </c>
      <c r="C89" s="21" t="s">
        <v>359</v>
      </c>
      <c r="D89" s="21" t="s">
        <v>360</v>
      </c>
      <c r="E89" s="13">
        <v>42787.567662037036</v>
      </c>
      <c r="F89" s="13">
        <v>42787.570601851854</v>
      </c>
      <c r="G89" s="7">
        <v>1</v>
      </c>
      <c r="H89" s="21" t="s">
        <v>196</v>
      </c>
      <c r="I89" s="13">
        <v>42787.598530092589</v>
      </c>
      <c r="J89" s="7">
        <v>0</v>
      </c>
      <c r="K89" s="98" t="str">
        <f t="shared" si="32"/>
        <v>4013/4014</v>
      </c>
      <c r="L89" s="21" t="str">
        <f>VLOOKUP(A89,'Trips&amp;Operators'!$C$1:$G$99999,5,FALSE)</f>
        <v>DAVIS MICHAEL</v>
      </c>
      <c r="M89" s="6">
        <f t="shared" si="33"/>
        <v>2.7928240735491272E-2</v>
      </c>
      <c r="N89" s="7">
        <f t="shared" si="31"/>
        <v>40.216666659107432</v>
      </c>
      <c r="O89" s="7"/>
      <c r="P89" s="7"/>
      <c r="Q89" s="22"/>
      <c r="R89" s="22"/>
      <c r="S89" s="31">
        <f t="shared" si="30"/>
        <v>1</v>
      </c>
      <c r="T89" s="46" t="str">
        <f t="shared" si="34"/>
        <v>Southbound</v>
      </c>
      <c r="U89" s="193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4" t="str">
        <f t="shared" si="35"/>
        <v>https://d0f6bd738d7f1b3e5a7ca70fe4ff75f0.us-east-1.aws.found.io/app/kibana#/discover/Steve-Slow-Train-Analysis-(2080s-and-2083s)?_g=(refreshInterval:(display:Off,pause:!f,section:0,value:0),time:(from:'2017-02-21T12:37:26-0700',mode:absolute,to:'2017-02-21T15:21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9" s="195" t="str">
        <f t="shared" si="36"/>
        <v>N</v>
      </c>
      <c r="X89" s="195">
        <f t="shared" si="37"/>
        <v>1</v>
      </c>
      <c r="Y89" s="62">
        <f t="shared" si="43"/>
        <v>23.298999999999999</v>
      </c>
      <c r="Z89" s="62">
        <f t="shared" si="44"/>
        <v>1.4500000000000001E-2</v>
      </c>
      <c r="AA89" s="62">
        <f t="shared" si="38"/>
        <v>23.284499999999998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9"/>
        <v>0174-21</v>
      </c>
      <c r="AE89" s="85" t="str">
        <f t="shared" si="40"/>
        <v>aws s3 cp s3://rtdc.mdm.uploadarchive.raw/RTDC4013/ "%USERPROFILE%\AppData\Local\Temp\OnboardLogs"\RTDC4013\2017-02-21 --exclude "*" --recursive --include "*20170221*" &amp; "%USERPROFILE%\Documents\GitHub\mrs-test-scripts\Headless Mode &amp; Sideloading\WalkAndUnGZ.bat" "%USERPROFILE%\AppData\Local\Temp\OnboardLogs"\RTDC4013\2017-02-21 &amp; aws s3 cp s3://rtdc.mdm.uploadarchive.raw/RTDC4013/ "%USERPROFILE%\AppData\Local\Temp\OnboardLogs"\RTDC4013\2017-02-22 --exclude "*" --recursive --include "*20170222*" &amp; "%USERPROFILE%\Documents\GitHub\mrs-test-scripts\Headless Mode &amp; Sideloading\WalkAndUnGZ.bat" "%USERPROFILE%\AppData\Local\Temp\OnboardLogs"\RTDC4013\2017-02-22</v>
      </c>
      <c r="AF89" s="82" t="str">
        <f t="shared" si="41"/>
        <v>"C:\Program Files (x86)\AstroGrep\AstroGrep.exe" /spath="%USERPROFILE%\AppData\Local\Temp\OnboardLogs" /stypes="app*4013*20170221*" /stext=" 21:.+((SYSTEM_STATE.+slice.+state.+changed )|(ment ac)|(multiple cpu faults)|(system.+state.+changed )|(\[timeout)|(PRM\|1\|D)|(kpr)|(kdp)|(\|lc)|(penalty))" /e /r /s</v>
      </c>
      <c r="AG89" s="1" t="str">
        <f t="shared" si="42"/>
        <v>EC</v>
      </c>
      <c r="AH89" s="86" t="str">
        <f t="shared" si="45"/>
        <v>"%USERPROFILE%\Documents\GitHub\eaglep3\Utilities\RefineRTDCRunTimes.py" --tripid 174-21 --locoid 4013 --swversion DE.1.0.9.0 --startMP 204:232990 --initTime 2017-02-21T13:37:26 --startdatetime 2017-02-21T13:41:40 --delay 1 --endMP 204:145 --enddatetime 2017-02-21T14:21:53 --enforcementcount 0 &gt;&gt;C:\Users\stu\Documents\GitHub\eaglep3-reporting\EC\2017-02-21-refined-times.txt</v>
      </c>
      <c r="AI89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{"issue":{"subject":"","project_id":79,"tracker_id":40,"status_id":1,"priority_id":2,"assigned_to_id":23,"start_date":"2017-02-21","description":"","custom_fields":[{"id":1,"name":"Subdivision","value":"EC"},{"id":4,"name":"Milepost","value":"0.0145"},{"id":17,"name":"Train ID","value":"174-21"},{"id":16,"name":"Locomotive ID","value":"4013"},{"id":130,"name":"Impact","value":""},{"id":150,"name":"Time of Event (Mountain Time)","value":"14:21:53"},{"id":151,"name":"Denver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47"/>
        <v>start /low /b %USERPROFILE%\Documents\GitHub\eaglep3\Utilities\DownloadLogsFromS3.py --loco 4013 --day 2017-02-21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"%USERPROFILE%\AppData\Local\Temp\OnboardLogs"\RTDC4013\*4013*20170221* | grep -SE "(Enforcement Action)|(\[TIMEOUT)|(CHR.+\|PRM\|1\|D.+(SWITCH|SIGNAL).+UNKNOWN)" - &gt;&gt; 2017-02-21-UncaughtWiMAX.txt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586</v>
      </c>
      <c r="B90" s="7">
        <v>4051</v>
      </c>
      <c r="C90" s="21" t="s">
        <v>359</v>
      </c>
      <c r="D90" s="21" t="s">
        <v>255</v>
      </c>
      <c r="E90" s="13">
        <v>42787.538599537038</v>
      </c>
      <c r="F90" s="13">
        <v>42787.541944444441</v>
      </c>
      <c r="G90" s="7">
        <v>1</v>
      </c>
      <c r="H90" s="21" t="s">
        <v>274</v>
      </c>
      <c r="I90" s="13">
        <v>42787.567071759258</v>
      </c>
      <c r="J90" s="7">
        <v>0</v>
      </c>
      <c r="K90" s="98" t="str">
        <f t="shared" si="32"/>
        <v>4051/4052</v>
      </c>
      <c r="L90" s="21" t="str">
        <f>VLOOKUP(A90,'Trips&amp;Operators'!$C$1:$G$99999,5,FALSE)</f>
        <v>MOSES BRADLEY</v>
      </c>
      <c r="M90" s="6">
        <f t="shared" si="33"/>
        <v>2.5127314816927537E-2</v>
      </c>
      <c r="N90" s="7">
        <f t="shared" si="31"/>
        <v>36.183333336375654</v>
      </c>
      <c r="O90" s="7"/>
      <c r="P90" s="7"/>
      <c r="Q90" s="22"/>
      <c r="R90" s="22"/>
      <c r="S90" s="31">
        <f t="shared" si="30"/>
        <v>1</v>
      </c>
      <c r="T90" s="46" t="str">
        <f t="shared" si="34"/>
        <v>NorthBound</v>
      </c>
      <c r="U90" s="193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4" t="str">
        <f t="shared" si="35"/>
        <v>https://d0f6bd738d7f1b3e5a7ca70fe4ff75f0.us-east-1.aws.found.io/app/kibana#/discover/Steve-Slow-Train-Analysis-(2080s-and-2083s)?_g=(refreshInterval:(display:Off,pause:!f,section:0,value:0),time:(from:'2017-02-21T11:55:35-0700',mode:absolute,to:'2017-02-21T14:36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0" s="195" t="str">
        <f t="shared" si="36"/>
        <v>N</v>
      </c>
      <c r="X90" s="195">
        <f t="shared" si="37"/>
        <v>1</v>
      </c>
      <c r="Y90" s="62">
        <f t="shared" si="43"/>
        <v>4.6699999999999998E-2</v>
      </c>
      <c r="Z90" s="62">
        <f t="shared" si="44"/>
        <v>23.331199999999999</v>
      </c>
      <c r="AA90" s="62">
        <f t="shared" si="38"/>
        <v>23.284499999999998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9"/>
        <v>0175-21</v>
      </c>
      <c r="AE90" s="85" t="str">
        <f t="shared" si="40"/>
        <v>aws s3 cp s3://rtdc.mdm.uploadarchive.raw/RTDC4051/ "%USERPROFILE%\AppData\Local\Temp\OnboardLogs"\RTDC4051\2017-02-21 --exclude "*" --recursive --include "*20170221*" &amp; "%USERPROFILE%\Documents\GitHub\mrs-test-scripts\Headless Mode &amp; Sideloading\WalkAndUnGZ.bat" "%USERPROFILE%\AppData\Local\Temp\OnboardLogs"\RTDC4051\2017-02-21 &amp; aws s3 cp s3://rtdc.mdm.uploadarchive.raw/RTDC4051/ "%USERPROFILE%\AppData\Local\Temp\OnboardLogs"\RTDC4051\2017-02-22 --exclude "*" --recursive --include "*20170222*" &amp; "%USERPROFILE%\Documents\GitHub\mrs-test-scripts\Headless Mode &amp; Sideloading\WalkAndUnGZ.bat" "%USERPROFILE%\AppData\Local\Temp\OnboardLogs"\RTDC4051\2017-02-22</v>
      </c>
      <c r="AF90" s="82" t="str">
        <f t="shared" si="41"/>
        <v>"C:\Program Files (x86)\AstroGrep\AstroGrep.exe" /spath="%USERPROFILE%\AppData\Local\Temp\OnboardLogs" /stypes="app*4051*20170221*" /stext=" 20:.+((SYSTEM_STATE.+slice.+state.+changed )|(ment ac)|(multiple cpu faults)|(system.+state.+changed )|(\[timeout)|(PRM\|1\|D)|(kpr)|(kdp)|(\|lc)|(penalty))" /e /r /s</v>
      </c>
      <c r="AG90" s="1" t="str">
        <f t="shared" si="42"/>
        <v>EC</v>
      </c>
      <c r="AH90" s="86" t="str">
        <f t="shared" si="45"/>
        <v>"%USERPROFILE%\Documents\GitHub\eaglep3\Utilities\RefineRTDCRunTimes.py" --tripid 175-21 --locoid 4051 --swversion DE.1.0.9.0 --startMP 204:467 --initTime 2017-02-21T12:55:35 --startdatetime 2017-02-21T13:00:24 --delay 1 --endMP 204:233312 --enddatetime 2017-02-21T13:36:35 --enforcementcount 0 &gt;&gt;C:\Users\stu\Documents\GitHub\eaglep3-reporting\EC\2017-02-21-refined-times.txt</v>
      </c>
      <c r="AI90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{"issue":{"subject":"","project_id":79,"tracker_id":40,"status_id":1,"priority_id":2,"assigned_to_id":23,"start_date":"2017-02-21","description":"","custom_fields":[{"id":1,"name":"Subdivision","value":"EC"},{"id":4,"name":"Milepost","value":"23.3312"},{"id":17,"name":"Train ID","value":"175-21"},{"id":16,"name":"Locomotive ID","value":"4051"},{"id":130,"name":"Impact","value":""},{"id":150,"name":"Time of Event (Mountain Time)","value":"13:36:35"},{"id":151,"name":"Denver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47"/>
        <v>start /low /b %USERPROFILE%\Documents\GitHub\eaglep3\Utilities\DownloadLogsFromS3.py --loco 4051 --day 2017-02-21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"%USERPROFILE%\AppData\Local\Temp\OnboardLogs"\RTDC4051\*4051*20170221* | grep -SE "(Enforcement Action)|(\[TIMEOUT)|(CHR.+\|PRM\|1\|D.+(SWITCH|SIGNAL).+UNKNOWN)" - &gt;&gt; 2017-02-21-UncaughtWiMAX.txt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595</v>
      </c>
      <c r="B91" s="7">
        <v>4052</v>
      </c>
      <c r="C91" s="21" t="s">
        <v>359</v>
      </c>
      <c r="D91" s="21" t="s">
        <v>319</v>
      </c>
      <c r="E91" s="13">
        <v>42787.576273148145</v>
      </c>
      <c r="F91" s="13">
        <v>42787.580833333333</v>
      </c>
      <c r="G91" s="7">
        <v>1</v>
      </c>
      <c r="H91" s="21" t="s">
        <v>289</v>
      </c>
      <c r="I91" s="13">
        <v>42787.607488425929</v>
      </c>
      <c r="J91" s="7">
        <v>0</v>
      </c>
      <c r="K91" s="98" t="str">
        <f t="shared" si="32"/>
        <v>4051/4052</v>
      </c>
      <c r="L91" s="21" t="str">
        <f>VLOOKUP(A91,'Trips&amp;Operators'!$C$1:$G$99999,5,FALSE)</f>
        <v>MOSES BRADLEY</v>
      </c>
      <c r="M91" s="6">
        <f t="shared" si="33"/>
        <v>2.6655092595319729E-2</v>
      </c>
      <c r="N91" s="7">
        <f t="shared" si="31"/>
        <v>38.38333333726041</v>
      </c>
      <c r="O91" s="7"/>
      <c r="P91" s="7"/>
      <c r="Q91" s="22"/>
      <c r="R91" s="22"/>
      <c r="S91" s="31">
        <f t="shared" si="30"/>
        <v>1</v>
      </c>
      <c r="T91" s="46" t="str">
        <f t="shared" si="34"/>
        <v>Southbound</v>
      </c>
      <c r="U91" s="193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4" t="str">
        <f t="shared" si="35"/>
        <v>https://d0f6bd738d7f1b3e5a7ca70fe4ff75f0.us-east-1.aws.found.io/app/kibana#/discover/Steve-Slow-Train-Analysis-(2080s-and-2083s)?_g=(refreshInterval:(display:Off,pause:!f,section:0,value:0),time:(from:'2017-02-21T12:49:50-0700',mode:absolute,to:'2017-02-21T15:34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1" s="195" t="str">
        <f t="shared" si="36"/>
        <v>N</v>
      </c>
      <c r="X91" s="195">
        <f t="shared" si="37"/>
        <v>1</v>
      </c>
      <c r="Y91" s="62">
        <f t="shared" si="43"/>
        <v>23.2989</v>
      </c>
      <c r="Z91" s="62">
        <f t="shared" si="44"/>
        <v>1.47E-2</v>
      </c>
      <c r="AA91" s="62">
        <f t="shared" si="38"/>
        <v>23.284199999999998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9"/>
        <v>0176-21</v>
      </c>
      <c r="AE91" s="85" t="str">
        <f t="shared" si="40"/>
        <v>aws s3 cp s3://rtdc.mdm.uploadarchive.raw/RTDC4052/ "%USERPROFILE%\AppData\Local\Temp\OnboardLogs"\RTDC4052\2017-02-21 --exclude "*" --recursive --include "*20170221*" &amp; "%USERPROFILE%\Documents\GitHub\mrs-test-scripts\Headless Mode &amp; Sideloading\WalkAndUnGZ.bat" "%USERPROFILE%\AppData\Local\Temp\OnboardLogs"\RTDC4052\2017-02-21 &amp; aws s3 cp s3://rtdc.mdm.uploadarchive.raw/RTDC4052/ "%USERPROFILE%\AppData\Local\Temp\OnboardLogs"\RTDC4052\2017-02-22 --exclude "*" --recursive --include "*20170222*" &amp; "%USERPROFILE%\Documents\GitHub\mrs-test-scripts\Headless Mode &amp; Sideloading\WalkAndUnGZ.bat" "%USERPROFILE%\AppData\Local\Temp\OnboardLogs"\RTDC4052\2017-02-22</v>
      </c>
      <c r="AF91" s="82" t="str">
        <f t="shared" si="41"/>
        <v>"C:\Program Files (x86)\AstroGrep\AstroGrep.exe" /spath="%USERPROFILE%\AppData\Local\Temp\OnboardLogs" /stypes="app*4052*20170221*" /stext=" 21:.+((SYSTEM_STATE.+slice.+state.+changed )|(ment ac)|(multiple cpu faults)|(system.+state.+changed )|(\[timeout)|(PRM\|1\|D)|(kpr)|(kdp)|(\|lc)|(penalty))" /e /r /s</v>
      </c>
      <c r="AG91" s="1" t="str">
        <f t="shared" si="42"/>
        <v>EC</v>
      </c>
      <c r="AH91" s="86" t="str">
        <f t="shared" si="45"/>
        <v>"%USERPROFILE%\Documents\GitHub\eaglep3\Utilities\RefineRTDCRunTimes.py" --tripid 176-21 --locoid 4052 --swversion DE.1.0.9.0 --startMP 204:232989 --initTime 2017-02-21T13:49:50 --startdatetime 2017-02-21T13:56:24 --delay 1 --endMP 204:147 --enddatetime 2017-02-21T14:34:47 --enforcementcount 0 &gt;&gt;C:\Users\stu\Documents\GitHub\eaglep3-reporting\EC\2017-02-21-refined-times.txt</v>
      </c>
      <c r="AI91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{"issue":{"subject":"","project_id":79,"tracker_id":40,"status_id":1,"priority_id":2,"assigned_to_id":23,"start_date":"2017-02-21","description":"","custom_fields":[{"id":1,"name":"Subdivision","value":"EC"},{"id":4,"name":"Milepost","value":"0.0147"},{"id":17,"name":"Train ID","value":"176-21"},{"id":16,"name":"Locomotive ID","value":"4052"},{"id":130,"name":"Impact","value":""},{"id":150,"name":"Time of Event (Mountain Time)","value":"14:34:47"},{"id":151,"name":"Denver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47"/>
        <v>start /low /b %USERPROFILE%\Documents\GitHub\eaglep3\Utilities\DownloadLogsFromS3.py --loco 4052 --day 2017-02-21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"%USERPROFILE%\AppData\Local\Temp\OnboardLogs"\RTDC4052\*4052*20170221* | grep -SE "(Enforcement Action)|(\[TIMEOUT)|(CHR.+\|PRM\|1\|D.+(SWITCH|SIGNAL).+UNKNOWN)" - &gt;&gt; 2017-02-21-UncaughtWiMAX.txt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588</v>
      </c>
      <c r="B92" s="7">
        <v>4003</v>
      </c>
      <c r="C92" s="21" t="s">
        <v>359</v>
      </c>
      <c r="D92" s="21" t="s">
        <v>225</v>
      </c>
      <c r="E92" s="13">
        <v>42787.548275462963</v>
      </c>
      <c r="F92" s="13">
        <v>42787.55265046296</v>
      </c>
      <c r="G92" s="7">
        <v>1</v>
      </c>
      <c r="H92" s="21" t="s">
        <v>418</v>
      </c>
      <c r="I92" s="13">
        <v>42787.5778125</v>
      </c>
      <c r="J92" s="7">
        <v>0</v>
      </c>
      <c r="K92" s="98" t="str">
        <f t="shared" si="32"/>
        <v>4003/4004</v>
      </c>
      <c r="L92" s="21" t="str">
        <f>VLOOKUP(A92,'Trips&amp;Operators'!$C$1:$G$99999,5,FALSE)</f>
        <v>LEVERE CRAIG</v>
      </c>
      <c r="M92" s="6">
        <f t="shared" si="33"/>
        <v>2.5162037039990537E-2</v>
      </c>
      <c r="N92" s="7">
        <f t="shared" si="31"/>
        <v>36.233333337586373</v>
      </c>
      <c r="O92" s="7"/>
      <c r="P92" s="7"/>
      <c r="Q92" s="22"/>
      <c r="R92" s="22"/>
      <c r="S92" s="31">
        <f t="shared" si="30"/>
        <v>1</v>
      </c>
      <c r="T92" s="46" t="str">
        <f t="shared" si="34"/>
        <v>NorthBound</v>
      </c>
      <c r="U92" s="193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4" t="str">
        <f t="shared" si="35"/>
        <v>https://d0f6bd738d7f1b3e5a7ca70fe4ff75f0.us-east-1.aws.found.io/app/kibana#/discover/Steve-Slow-Train-Analysis-(2080s-and-2083s)?_g=(refreshInterval:(display:Off,pause:!f,section:0,value:0),time:(from:'2017-02-21T12:09:31-0700',mode:absolute,to:'2017-02-21T14:52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2" s="195" t="str">
        <f t="shared" si="36"/>
        <v>N</v>
      </c>
      <c r="X92" s="195">
        <f t="shared" si="37"/>
        <v>1</v>
      </c>
      <c r="Y92" s="62">
        <f t="shared" si="43"/>
        <v>4.5100000000000001E-2</v>
      </c>
      <c r="Z92" s="62">
        <f t="shared" si="44"/>
        <v>23.329699999999999</v>
      </c>
      <c r="AA92" s="62">
        <f t="shared" si="38"/>
        <v>23.284599999999998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9"/>
        <v>0177-21</v>
      </c>
      <c r="AE92" s="85" t="str">
        <f t="shared" si="40"/>
        <v>aws s3 cp s3://rtdc.mdm.uploadarchive.raw/RTDC4003/ "%USERPROFILE%\AppData\Local\Temp\OnboardLogs"\RTDC4003\2017-02-21 --exclude "*" --recursive --include "*20170221*" &amp; "%USERPROFILE%\Documents\GitHub\mrs-test-scripts\Headless Mode &amp; Sideloading\WalkAndUnGZ.bat" "%USERPROFILE%\AppData\Local\Temp\OnboardLogs"\RTDC4003\2017-02-21 &amp; aws s3 cp s3://rtdc.mdm.uploadarchive.raw/RTDC4003/ "%USERPROFILE%\AppData\Local\Temp\OnboardLogs"\RTDC4003\2017-02-22 --exclude "*" --recursive --include "*20170222*" &amp; "%USERPROFILE%\Documents\GitHub\mrs-test-scripts\Headless Mode &amp; Sideloading\WalkAndUnGZ.bat" "%USERPROFILE%\AppData\Local\Temp\OnboardLogs"\RTDC4003\2017-02-22</v>
      </c>
      <c r="AF92" s="82" t="str">
        <f t="shared" si="41"/>
        <v>"C:\Program Files (x86)\AstroGrep\AstroGrep.exe" /spath="%USERPROFILE%\AppData\Local\Temp\OnboardLogs" /stypes="app*4003*20170221*" /stext=" 20:.+((SYSTEM_STATE.+slice.+state.+changed )|(ment ac)|(multiple cpu faults)|(system.+state.+changed )|(\[timeout)|(PRM\|1\|D)|(kpr)|(kdp)|(\|lc)|(penalty))" /e /r /s</v>
      </c>
      <c r="AG92" s="1" t="str">
        <f t="shared" si="42"/>
        <v>EC</v>
      </c>
      <c r="AH92" s="86" t="str">
        <f t="shared" si="45"/>
        <v>"%USERPROFILE%\Documents\GitHub\eaglep3\Utilities\RefineRTDCRunTimes.py" --tripid 177-21 --locoid 4003 --swversion DE.1.0.9.0 --startMP 204:451 --initTime 2017-02-21T13:09:31 --startdatetime 2017-02-21T13:15:49 --delay 1 --endMP 204:233297 --enddatetime 2017-02-21T13:52:03 --enforcementcount 0 &gt;&gt;C:\Users\stu\Documents\GitHub\eaglep3-reporting\EC\2017-02-21-refined-times.txt</v>
      </c>
      <c r="AI92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{"issue":{"subject":"","project_id":79,"tracker_id":40,"status_id":1,"priority_id":2,"assigned_to_id":23,"start_date":"2017-02-21","description":"","custom_fields":[{"id":1,"name":"Subdivision","value":"EC"},{"id":4,"name":"Milepost","value":"23.3297"},{"id":17,"name":"Train ID","value":"177-21"},{"id":16,"name":"Locomotive ID","value":"4003"},{"id":130,"name":"Impact","value":""},{"id":150,"name":"Time of Event (Mountain Time)","value":"13:52:03"},{"id":151,"name":"Denver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47"/>
        <v>start /low /b %USERPROFILE%\Documents\GitHub\eaglep3\Utilities\DownloadLogsFromS3.py --loco 4003 --day 2017-02-21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"%USERPROFILE%\AppData\Local\Temp\OnboardLogs"\RTDC4003\*4003*20170221* | grep -SE "(Enforcement Action)|(\[TIMEOUT)|(CHR.+\|PRM\|1\|D.+(SWITCH|SIGNAL).+UNKNOWN)" - &gt;&gt; 2017-02-21-UncaughtWiMAX.txt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598</v>
      </c>
      <c r="B93" s="7">
        <v>4004</v>
      </c>
      <c r="C93" s="21" t="s">
        <v>359</v>
      </c>
      <c r="D93" s="21" t="s">
        <v>262</v>
      </c>
      <c r="E93" s="13">
        <v>42787.585740740738</v>
      </c>
      <c r="F93" s="13">
        <v>42787.591249999998</v>
      </c>
      <c r="G93" s="7">
        <v>1</v>
      </c>
      <c r="H93" s="21" t="s">
        <v>184</v>
      </c>
      <c r="I93" s="13">
        <v>42787.617800925924</v>
      </c>
      <c r="J93" s="7">
        <v>0</v>
      </c>
      <c r="K93" s="98" t="str">
        <f t="shared" si="32"/>
        <v>4003/4004</v>
      </c>
      <c r="L93" s="21" t="str">
        <f>VLOOKUP(A93,'Trips&amp;Operators'!$C$1:$G$99999,5,FALSE)</f>
        <v>LEVERE CRAIG</v>
      </c>
      <c r="M93" s="6">
        <f t="shared" si="33"/>
        <v>2.6550925926130731E-2</v>
      </c>
      <c r="N93" s="7">
        <f t="shared" si="31"/>
        <v>38.233333333628252</v>
      </c>
      <c r="O93" s="7"/>
      <c r="P93" s="7"/>
      <c r="Q93" s="22"/>
      <c r="R93" s="22"/>
      <c r="S93" s="31">
        <f t="shared" si="30"/>
        <v>1</v>
      </c>
      <c r="T93" s="46" t="str">
        <f t="shared" si="34"/>
        <v>Southbound</v>
      </c>
      <c r="U93" s="193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4" t="str">
        <f t="shared" si="35"/>
        <v>https://d0f6bd738d7f1b3e5a7ca70fe4ff75f0.us-east-1.aws.found.io/app/kibana#/discover/Steve-Slow-Train-Analysis-(2080s-and-2083s)?_g=(refreshInterval:(display:Off,pause:!f,section:0,value:0),time:(from:'2017-02-21T13:03:28-0700',mode:absolute,to:'2017-02-21T15:49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3" s="195" t="str">
        <f t="shared" si="36"/>
        <v>N</v>
      </c>
      <c r="X93" s="195">
        <f t="shared" si="37"/>
        <v>1</v>
      </c>
      <c r="Y93" s="62">
        <f t="shared" si="43"/>
        <v>23.297799999999999</v>
      </c>
      <c r="Z93" s="62">
        <f t="shared" si="44"/>
        <v>1.49E-2</v>
      </c>
      <c r="AA93" s="62">
        <f t="shared" si="38"/>
        <v>23.282899999999998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9"/>
        <v>0178-21</v>
      </c>
      <c r="AE93" s="85" t="str">
        <f t="shared" si="40"/>
        <v>aws s3 cp s3://rtdc.mdm.uploadarchive.raw/RTDC4004/ "%USERPROFILE%\AppData\Local\Temp\OnboardLogs"\RTDC4004\2017-02-21 --exclude "*" --recursive --include "*20170221*" &amp; "%USERPROFILE%\Documents\GitHub\mrs-test-scripts\Headless Mode &amp; Sideloading\WalkAndUnGZ.bat" "%USERPROFILE%\AppData\Local\Temp\OnboardLogs"\RTDC4004\2017-02-21 &amp; aws s3 cp s3://rtdc.mdm.uploadarchive.raw/RTDC4004/ "%USERPROFILE%\AppData\Local\Temp\OnboardLogs"\RTDC4004\2017-02-22 --exclude "*" --recursive --include "*20170222*" &amp; "%USERPROFILE%\Documents\GitHub\mrs-test-scripts\Headless Mode &amp; Sideloading\WalkAndUnGZ.bat" "%USERPROFILE%\AppData\Local\Temp\OnboardLogs"\RTDC4004\2017-02-22</v>
      </c>
      <c r="AF93" s="82" t="str">
        <f t="shared" si="41"/>
        <v>"C:\Program Files (x86)\AstroGrep\AstroGrep.exe" /spath="%USERPROFILE%\AppData\Local\Temp\OnboardLogs" /stypes="app*4004*20170221*" /stext=" 21:.+((SYSTEM_STATE.+slice.+state.+changed )|(ment ac)|(multiple cpu faults)|(system.+state.+changed )|(\[timeout)|(PRM\|1\|D)|(kpr)|(kdp)|(\|lc)|(penalty))" /e /r /s</v>
      </c>
      <c r="AG93" s="1" t="str">
        <f t="shared" si="42"/>
        <v>EC</v>
      </c>
      <c r="AH93" s="86" t="str">
        <f t="shared" si="45"/>
        <v>"%USERPROFILE%\Documents\GitHub\eaglep3\Utilities\RefineRTDCRunTimes.py" --tripid 178-21 --locoid 4004 --swversion DE.1.0.9.0 --startMP 204:232978 --initTime 2017-02-21T14:03:28 --startdatetime 2017-02-21T14:11:24 --delay 1 --endMP 204:149 --enddatetime 2017-02-21T14:49:38 --enforcementcount 0 &gt;&gt;C:\Users\stu\Documents\GitHub\eaglep3-reporting\EC\2017-02-21-refined-times.txt</v>
      </c>
      <c r="AI93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{"issue":{"subject":"","project_id":79,"tracker_id":40,"status_id":1,"priority_id":2,"assigned_to_id":23,"start_date":"2017-02-21","description":"","custom_fields":[{"id":1,"name":"Subdivision","value":"EC"},{"id":4,"name":"Milepost","value":"0.0149"},{"id":17,"name":"Train ID","value":"178-21"},{"id":16,"name":"Locomotive ID","value":"4004"},{"id":130,"name":"Impact","value":""},{"id":150,"name":"Time of Event (Mountain Time)","value":"14:49:38"},{"id":151,"name":"Denver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47"/>
        <v>start /low /b %USERPROFILE%\Documents\GitHub\eaglep3\Utilities\DownloadLogsFromS3.py --loco 4004 --day 2017-02-21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"%USERPROFILE%\AppData\Local\Temp\OnboardLogs"\RTDC4004\*4004*20170221* | grep -SE "(Enforcement Action)|(\[TIMEOUT)|(CHR.+\|PRM\|1\|D.+(SWITCH|SIGNAL).+UNKNOWN)" - &gt;&gt; 2017-02-21-UncaughtWiMAX.txt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591</v>
      </c>
      <c r="B94" s="7">
        <v>4027</v>
      </c>
      <c r="C94" s="21" t="s">
        <v>359</v>
      </c>
      <c r="D94" s="21" t="s">
        <v>257</v>
      </c>
      <c r="E94" s="13">
        <v>42787.55841435185</v>
      </c>
      <c r="F94" s="13">
        <v>42787.562650462962</v>
      </c>
      <c r="G94" s="7">
        <v>1</v>
      </c>
      <c r="H94" s="21" t="s">
        <v>734</v>
      </c>
      <c r="I94" s="13">
        <v>42787.588564814818</v>
      </c>
      <c r="J94" s="7">
        <v>0</v>
      </c>
      <c r="K94" s="98" t="str">
        <f t="shared" si="32"/>
        <v>4027/4028</v>
      </c>
      <c r="L94" s="21" t="str">
        <f>VLOOKUP(A94,'Trips&amp;Operators'!$C$1:$G$99999,5,FALSE)</f>
        <v>CLARK KATHLEEN</v>
      </c>
      <c r="M94" s="6">
        <f t="shared" si="33"/>
        <v>2.5914351856044959E-2</v>
      </c>
      <c r="N94" s="7">
        <f t="shared" si="31"/>
        <v>37.316666672704741</v>
      </c>
      <c r="O94" s="7"/>
      <c r="P94" s="7"/>
      <c r="Q94" s="22"/>
      <c r="R94" s="22"/>
      <c r="S94" s="31">
        <f t="shared" si="30"/>
        <v>1</v>
      </c>
      <c r="T94" s="46" t="str">
        <f t="shared" si="34"/>
        <v>NorthBound</v>
      </c>
      <c r="U94" s="193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4" t="str">
        <f t="shared" si="35"/>
        <v>https://d0f6bd738d7f1b3e5a7ca70fe4ff75f0.us-east-1.aws.found.io/app/kibana#/discover/Steve-Slow-Train-Analysis-(2080s-and-2083s)?_g=(refreshInterval:(display:Off,pause:!f,section:0,value:0),time:(from:'2017-02-21T12:24:07-0700',mode:absolute,to:'2017-02-21T15:07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4" s="195" t="str">
        <f t="shared" si="36"/>
        <v>N</v>
      </c>
      <c r="X94" s="195">
        <f t="shared" si="37"/>
        <v>1</v>
      </c>
      <c r="Y94" s="62">
        <f t="shared" si="43"/>
        <v>4.5499999999999999E-2</v>
      </c>
      <c r="Z94" s="62">
        <f t="shared" si="44"/>
        <v>23.327999999999999</v>
      </c>
      <c r="AA94" s="62">
        <f t="shared" si="38"/>
        <v>23.282499999999999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9"/>
        <v>0179-21</v>
      </c>
      <c r="AE94" s="85" t="str">
        <f t="shared" si="40"/>
        <v>aws s3 cp s3://rtdc.mdm.uploadarchive.raw/RTDC4027/ "%USERPROFILE%\AppData\Local\Temp\OnboardLogs"\RTDC4027\2017-02-21 --exclude "*" --recursive --include "*20170221*" &amp; "%USERPROFILE%\Documents\GitHub\mrs-test-scripts\Headless Mode &amp; Sideloading\WalkAndUnGZ.bat" "%USERPROFILE%\AppData\Local\Temp\OnboardLogs"\RTDC4027\2017-02-21 &amp; aws s3 cp s3://rtdc.mdm.uploadarchive.raw/RTDC4027/ "%USERPROFILE%\AppData\Local\Temp\OnboardLogs"\RTDC4027\2017-02-22 --exclude "*" --recursive --include "*20170222*" &amp; "%USERPROFILE%\Documents\GitHub\mrs-test-scripts\Headless Mode &amp; Sideloading\WalkAndUnGZ.bat" "%USERPROFILE%\AppData\Local\Temp\OnboardLogs"\RTDC4027\2017-02-22</v>
      </c>
      <c r="AF94" s="82" t="str">
        <f t="shared" si="41"/>
        <v>"C:\Program Files (x86)\AstroGrep\AstroGrep.exe" /spath="%USERPROFILE%\AppData\Local\Temp\OnboardLogs" /stypes="app*4027*20170221*" /stext=" 21:.+((SYSTEM_STATE.+slice.+state.+changed )|(ment ac)|(multiple cpu faults)|(system.+state.+changed )|(\[timeout)|(PRM\|1\|D)|(kpr)|(kdp)|(\|lc)|(penalty))" /e /r /s</v>
      </c>
      <c r="AG94" s="1" t="str">
        <f t="shared" si="42"/>
        <v>EC</v>
      </c>
      <c r="AH94" s="86" t="str">
        <f t="shared" si="45"/>
        <v>"%USERPROFILE%\Documents\GitHub\eaglep3\Utilities\RefineRTDCRunTimes.py" --tripid 179-21 --locoid 4027 --swversion DE.1.0.9.0 --startMP 204:455 --initTime 2017-02-21T13:24:07 --startdatetime 2017-02-21T13:30:13 --delay 1 --endMP 204:233280 --enddatetime 2017-02-21T14:07:32 --enforcementcount 0 &gt;&gt;C:\Users\stu\Documents\GitHub\eaglep3-reporting\EC\2017-02-21-refined-times.txt</v>
      </c>
      <c r="AI94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{"issue":{"subject":"","project_id":79,"tracker_id":40,"status_id":1,"priority_id":2,"assigned_to_id":23,"start_date":"2017-02-21","description":"","custom_fields":[{"id":1,"name":"Subdivision","value":"EC"},{"id":4,"name":"Milepost","value":"23.328"},{"id":17,"name":"Train ID","value":"179-21"},{"id":16,"name":"Locomotive ID","value":"4027"},{"id":130,"name":"Impact","value":""},{"id":150,"name":"Time of Event (Mountain Time)","value":"14:07:32"},{"id":151,"name":"Denver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47"/>
        <v>start /low /b %USERPROFILE%\Documents\GitHub\eaglep3\Utilities\DownloadLogsFromS3.py --loco 4027 --day 2017-02-21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"%USERPROFILE%\AppData\Local\Temp\OnboardLogs"\RTDC4027\*4027*20170221* | grep -SE "(Enforcement Action)|(\[TIMEOUT)|(CHR.+\|PRM\|1\|D.+(SWITCH|SIGNAL).+UNKNOWN)" - &gt;&gt; 2017-02-21-UncaughtWiMAX.txt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600</v>
      </c>
      <c r="B95" s="7">
        <v>4028</v>
      </c>
      <c r="C95" s="21" t="s">
        <v>359</v>
      </c>
      <c r="D95" s="21" t="s">
        <v>735</v>
      </c>
      <c r="E95" s="13">
        <v>42787.597442129627</v>
      </c>
      <c r="F95" s="13">
        <v>42787.6016087963</v>
      </c>
      <c r="G95" s="7">
        <v>1</v>
      </c>
      <c r="H95" s="21" t="s">
        <v>423</v>
      </c>
      <c r="I95" s="13">
        <v>42787.628807870373</v>
      </c>
      <c r="J95" s="7">
        <v>0</v>
      </c>
      <c r="K95" s="98" t="str">
        <f t="shared" si="32"/>
        <v>4027/4028</v>
      </c>
      <c r="L95" s="21" t="str">
        <f>VLOOKUP(A95,'Trips&amp;Operators'!$C$1:$G$99999,5,FALSE)</f>
        <v>CLARK KATHLEEN</v>
      </c>
      <c r="M95" s="6">
        <f t="shared" si="33"/>
        <v>2.7199074072996154E-2</v>
      </c>
      <c r="N95" s="7">
        <f t="shared" si="31"/>
        <v>39.166666665114462</v>
      </c>
      <c r="O95" s="7"/>
      <c r="P95" s="7"/>
      <c r="Q95" s="22"/>
      <c r="R95" s="22"/>
      <c r="S95" s="31">
        <f t="shared" si="30"/>
        <v>1</v>
      </c>
      <c r="T95" s="46" t="str">
        <f t="shared" si="34"/>
        <v>Southbound</v>
      </c>
      <c r="U95" s="193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4" t="str">
        <f t="shared" si="35"/>
        <v>https://d0f6bd738d7f1b3e5a7ca70fe4ff75f0.us-east-1.aws.found.io/app/kibana#/discover/Steve-Slow-Train-Analysis-(2080s-and-2083s)?_g=(refreshInterval:(display:Off,pause:!f,section:0,value:0),time:(from:'2017-02-21T13:20:19-0700',mode:absolute,to:'2017-02-21T16:05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5" s="195" t="str">
        <f t="shared" si="36"/>
        <v>N</v>
      </c>
      <c r="X95" s="195">
        <f t="shared" si="37"/>
        <v>1</v>
      </c>
      <c r="Y95" s="62">
        <f t="shared" si="43"/>
        <v>23.297000000000001</v>
      </c>
      <c r="Z95" s="62">
        <f t="shared" si="44"/>
        <v>1.72E-2</v>
      </c>
      <c r="AA95" s="62">
        <f t="shared" si="38"/>
        <v>23.279800000000002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9"/>
        <v>0180-21</v>
      </c>
      <c r="AE95" s="85" t="str">
        <f t="shared" si="40"/>
        <v>aws s3 cp s3://rtdc.mdm.uploadarchive.raw/RTDC4028/ "%USERPROFILE%\AppData\Local\Temp\OnboardLogs"\RTDC4028\2017-02-21 --exclude "*" --recursive --include "*20170221*" &amp; "%USERPROFILE%\Documents\GitHub\mrs-test-scripts\Headless Mode &amp; Sideloading\WalkAndUnGZ.bat" "%USERPROFILE%\AppData\Local\Temp\OnboardLogs"\RTDC4028\2017-02-21 &amp; aws s3 cp s3://rtdc.mdm.uploadarchive.raw/RTDC4028/ "%USERPROFILE%\AppData\Local\Temp\OnboardLogs"\RTDC4028\2017-02-22 --exclude "*" --recursive --include "*20170222*" &amp; "%USERPROFILE%\Documents\GitHub\mrs-test-scripts\Headless Mode &amp; Sideloading\WalkAndUnGZ.bat" "%USERPROFILE%\AppData\Local\Temp\OnboardLogs"\RTDC4028\2017-02-22</v>
      </c>
      <c r="AF95" s="82" t="str">
        <f t="shared" si="41"/>
        <v>"C:\Program Files (x86)\AstroGrep\AstroGrep.exe" /spath="%USERPROFILE%\AppData\Local\Temp\OnboardLogs" /stypes="app*4028*20170221*" /stext=" 22:.+((SYSTEM_STATE.+slice.+state.+changed )|(ment ac)|(multiple cpu faults)|(system.+state.+changed )|(\[timeout)|(PRM\|1\|D)|(kpr)|(kdp)|(\|lc)|(penalty))" /e /r /s</v>
      </c>
      <c r="AG95" s="1" t="str">
        <f t="shared" si="42"/>
        <v>EC</v>
      </c>
      <c r="AH95" s="86" t="str">
        <f t="shared" si="45"/>
        <v>"%USERPROFILE%\Documents\GitHub\eaglep3\Utilities\RefineRTDCRunTimes.py" --tripid 180-21 --locoid 4028 --swversion DE.1.0.9.0 --startMP 204:232970 --initTime 2017-02-21T14:20:19 --startdatetime 2017-02-21T14:26:19 --delay 1 --endMP 204:172 --enddatetime 2017-02-21T15:05:29 --enforcementcount 0 &gt;&gt;C:\Users\stu\Documents\GitHub\eaglep3-reporting\EC\2017-02-21-refined-times.txt</v>
      </c>
      <c r="AI95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{"issue":{"subject":"","project_id":79,"tracker_id":40,"status_id":1,"priority_id":2,"assigned_to_id":23,"start_date":"2017-02-21","description":"","custom_fields":[{"id":1,"name":"Subdivision","value":"EC"},{"id":4,"name":"Milepost","value":"0.0172"},{"id":17,"name":"Train ID","value":"180-21"},{"id":16,"name":"Locomotive ID","value":"4028"},{"id":130,"name":"Impact","value":""},{"id":150,"name":"Time of Event (Mountain Time)","value":"15:05:29"},{"id":151,"name":"Denver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47"/>
        <v>start /low /b %USERPROFILE%\Documents\GitHub\eaglep3\Utilities\DownloadLogsFromS3.py --loco 4028 --day 2017-02-21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"%USERPROFILE%\AppData\Local\Temp\OnboardLogs"\RTDC4028\*4028*20170221* | grep -SE "(Enforcement Action)|(\[TIMEOUT)|(CHR.+\|PRM\|1\|D.+(SWITCH|SIGNAL).+UNKNOWN)" - &gt;&gt; 2017-02-21-UncaughtWiMAX.txt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594</v>
      </c>
      <c r="B96" s="7">
        <v>4025</v>
      </c>
      <c r="C96" s="21" t="s">
        <v>359</v>
      </c>
      <c r="D96" s="21" t="s">
        <v>298</v>
      </c>
      <c r="E96" s="13">
        <v>42787.568124999998</v>
      </c>
      <c r="F96" s="13">
        <v>42787.573148148149</v>
      </c>
      <c r="G96" s="7">
        <v>1</v>
      </c>
      <c r="H96" s="21" t="s">
        <v>422</v>
      </c>
      <c r="I96" s="13">
        <v>42787.598321759258</v>
      </c>
      <c r="J96" s="7">
        <v>0</v>
      </c>
      <c r="K96" s="98" t="str">
        <f t="shared" si="32"/>
        <v>4025/4026</v>
      </c>
      <c r="L96" s="21" t="str">
        <f>VLOOKUP(A96,'Trips&amp;Operators'!$C$1:$G$99999,5,FALSE)</f>
        <v>CRAYTON QUNTRELL</v>
      </c>
      <c r="M96" s="6">
        <f t="shared" si="33"/>
        <v>2.5173611109494232E-2</v>
      </c>
      <c r="N96" s="7">
        <f t="shared" si="31"/>
        <v>36.249999997671694</v>
      </c>
      <c r="O96" s="7"/>
      <c r="P96" s="7"/>
      <c r="Q96" s="22"/>
      <c r="R96" s="22"/>
      <c r="S96" s="31">
        <f t="shared" si="30"/>
        <v>1</v>
      </c>
      <c r="T96" s="46" t="str">
        <f t="shared" si="34"/>
        <v>NorthBound</v>
      </c>
      <c r="U96" s="193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4" t="str">
        <f t="shared" si="35"/>
        <v>https://d0f6bd738d7f1b3e5a7ca70fe4ff75f0.us-east-1.aws.found.io/app/kibana#/discover/Steve-Slow-Train-Analysis-(2080s-and-2083s)?_g=(refreshInterval:(display:Off,pause:!f,section:0,value:0),time:(from:'2017-02-21T12:38:06-0700',mode:absolute,to:'2017-02-21T15:21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6" s="195" t="str">
        <f t="shared" si="36"/>
        <v>N</v>
      </c>
      <c r="X96" s="195">
        <f t="shared" si="37"/>
        <v>1</v>
      </c>
      <c r="Y96" s="62">
        <f t="shared" si="43"/>
        <v>4.7300000000000002E-2</v>
      </c>
      <c r="Z96" s="62">
        <f t="shared" si="44"/>
        <v>23.328900000000001</v>
      </c>
      <c r="AA96" s="62">
        <f t="shared" si="38"/>
        <v>23.281600000000001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9"/>
        <v>0181-21</v>
      </c>
      <c r="AE96" s="85" t="str">
        <f t="shared" si="40"/>
        <v>aws s3 cp s3://rtdc.mdm.uploadarchive.raw/RTDC4025/ "%USERPROFILE%\AppData\Local\Temp\OnboardLogs"\RTDC4025\2017-02-21 --exclude "*" --recursive --include "*20170221*" &amp; "%USERPROFILE%\Documents\GitHub\mrs-test-scripts\Headless Mode &amp; Sideloading\WalkAndUnGZ.bat" "%USERPROFILE%\AppData\Local\Temp\OnboardLogs"\RTDC4025\2017-02-21 &amp; aws s3 cp s3://rtdc.mdm.uploadarchive.raw/RTDC4025/ "%USERPROFILE%\AppData\Local\Temp\OnboardLogs"\RTDC4025\2017-02-22 --exclude "*" --recursive --include "*20170222*" &amp; "%USERPROFILE%\Documents\GitHub\mrs-test-scripts\Headless Mode &amp; Sideloading\WalkAndUnGZ.bat" "%USERPROFILE%\AppData\Local\Temp\OnboardLogs"\RTDC4025\2017-02-22</v>
      </c>
      <c r="AF96" s="82" t="str">
        <f t="shared" si="41"/>
        <v>"C:\Program Files (x86)\AstroGrep\AstroGrep.exe" /spath="%USERPROFILE%\AppData\Local\Temp\OnboardLogs" /stypes="app*4025*20170221*" /stext=" 21:.+((SYSTEM_STATE.+slice.+state.+changed )|(ment ac)|(multiple cpu faults)|(system.+state.+changed )|(\[timeout)|(PRM\|1\|D)|(kpr)|(kdp)|(\|lc)|(penalty))" /e /r /s</v>
      </c>
      <c r="AG96" s="1" t="str">
        <f t="shared" si="42"/>
        <v>EC</v>
      </c>
      <c r="AH96" s="86" t="str">
        <f t="shared" si="45"/>
        <v>"%USERPROFILE%\Documents\GitHub\eaglep3\Utilities\RefineRTDCRunTimes.py" --tripid 181-21 --locoid 4025 --swversion DE.1.0.9.0 --startMP 204:473 --initTime 2017-02-21T13:38:06 --startdatetime 2017-02-21T13:45:20 --delay 1 --endMP 204:233289 --enddatetime 2017-02-21T14:21:35 --enforcementcount 0 &gt;&gt;C:\Users\stu\Documents\GitHub\eaglep3-reporting\EC\2017-02-21-refined-times.txt</v>
      </c>
      <c r="AI96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{"issue":{"subject":"","project_id":79,"tracker_id":40,"status_id":1,"priority_id":2,"assigned_to_id":23,"start_date":"2017-02-21","description":"","custom_fields":[{"id":1,"name":"Subdivision","value":"EC"},{"id":4,"name":"Milepost","value":"23.3289"},{"id":17,"name":"Train ID","value":"181-21"},{"id":16,"name":"Locomotive ID","value":"4025"},{"id":130,"name":"Impact","value":""},{"id":150,"name":"Time of Event (Mountain Time)","value":"14:21:35"},{"id":151,"name":"Denver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47"/>
        <v>start /low /b %USERPROFILE%\Documents\GitHub\eaglep3\Utilities\DownloadLogsFromS3.py --loco 4025 --day 2017-02-21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"%USERPROFILE%\AppData\Local\Temp\OnboardLogs"\RTDC4025\*4025*20170221* | grep -SE "(Enforcement Action)|(\[TIMEOUT)|(CHR.+\|PRM\|1\|D.+(SWITCH|SIGNAL).+UNKNOWN)" - &gt;&gt; 2017-02-21-UncaughtWiMAX.txt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602</v>
      </c>
      <c r="B97" s="7">
        <v>4026</v>
      </c>
      <c r="C97" s="21" t="s">
        <v>359</v>
      </c>
      <c r="D97" s="21" t="s">
        <v>417</v>
      </c>
      <c r="E97" s="13">
        <v>42787.607488425929</v>
      </c>
      <c r="F97" s="13">
        <v>42787.612025462964</v>
      </c>
      <c r="G97" s="7">
        <v>1</v>
      </c>
      <c r="H97" s="21" t="s">
        <v>203</v>
      </c>
      <c r="I97" s="13">
        <v>42787.638599537036</v>
      </c>
      <c r="J97" s="7">
        <v>0</v>
      </c>
      <c r="K97" s="98" t="str">
        <f t="shared" si="32"/>
        <v>4025/4026</v>
      </c>
      <c r="L97" s="21" t="str">
        <f>VLOOKUP(A97,'Trips&amp;Operators'!$C$1:$G$99999,5,FALSE)</f>
        <v>CRAYTON QUNTRELL</v>
      </c>
      <c r="M97" s="6">
        <f t="shared" si="33"/>
        <v>2.6574074072414078E-2</v>
      </c>
      <c r="N97" s="7">
        <f t="shared" si="31"/>
        <v>38.266666664276272</v>
      </c>
      <c r="O97" s="7"/>
      <c r="P97" s="7"/>
      <c r="Q97" s="22"/>
      <c r="R97" s="22"/>
      <c r="S97" s="31">
        <f t="shared" si="30"/>
        <v>1</v>
      </c>
      <c r="T97" s="46" t="str">
        <f t="shared" si="34"/>
        <v>Southbound</v>
      </c>
      <c r="U97" s="193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4" t="str">
        <f t="shared" si="35"/>
        <v>https://d0f6bd738d7f1b3e5a7ca70fe4ff75f0.us-east-1.aws.found.io/app/kibana#/discover/Steve-Slow-Train-Analysis-(2080s-and-2083s)?_g=(refreshInterval:(display:Off,pause:!f,section:0,value:0),time:(from:'2017-02-21T13:34:47-0700',mode:absolute,to:'2017-02-21T16:19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7" s="195" t="str">
        <f t="shared" si="36"/>
        <v>N</v>
      </c>
      <c r="X97" s="195">
        <f t="shared" si="37"/>
        <v>1</v>
      </c>
      <c r="Y97" s="62">
        <f t="shared" si="43"/>
        <v>23.296900000000001</v>
      </c>
      <c r="Z97" s="62">
        <f t="shared" si="44"/>
        <v>1.6E-2</v>
      </c>
      <c r="AA97" s="62">
        <f t="shared" si="38"/>
        <v>23.280900000000003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9"/>
        <v>0182-21</v>
      </c>
      <c r="AE97" s="85" t="str">
        <f t="shared" si="40"/>
        <v>aws s3 cp s3://rtdc.mdm.uploadarchive.raw/RTDC4026/ "%USERPROFILE%\AppData\Local\Temp\OnboardLogs"\RTDC4026\2017-02-21 --exclude "*" --recursive --include "*20170221*" &amp; "%USERPROFILE%\Documents\GitHub\mrs-test-scripts\Headless Mode &amp; Sideloading\WalkAndUnGZ.bat" "%USERPROFILE%\AppData\Local\Temp\OnboardLogs"\RTDC4026\2017-02-21 &amp; aws s3 cp s3://rtdc.mdm.uploadarchive.raw/RTDC4026/ "%USERPROFILE%\AppData\Local\Temp\OnboardLogs"\RTDC4026\2017-02-22 --exclude "*" --recursive --include "*20170222*" &amp; "%USERPROFILE%\Documents\GitHub\mrs-test-scripts\Headless Mode &amp; Sideloading\WalkAndUnGZ.bat" "%USERPROFILE%\AppData\Local\Temp\OnboardLogs"\RTDC4026\2017-02-22</v>
      </c>
      <c r="AF97" s="82" t="str">
        <f t="shared" si="41"/>
        <v>"C:\Program Files (x86)\AstroGrep\AstroGrep.exe" /spath="%USERPROFILE%\AppData\Local\Temp\OnboardLogs" /stypes="app*4026*20170221*" /stext=" 22:.+((SYSTEM_STATE.+slice.+state.+changed )|(ment ac)|(multiple cpu faults)|(system.+state.+changed )|(\[timeout)|(PRM\|1\|D)|(kpr)|(kdp)|(\|lc)|(penalty))" /e /r /s</v>
      </c>
      <c r="AG97" s="1" t="str">
        <f t="shared" si="42"/>
        <v>EC</v>
      </c>
      <c r="AH97" s="86" t="str">
        <f t="shared" si="45"/>
        <v>"%USERPROFILE%\Documents\GitHub\eaglep3\Utilities\RefineRTDCRunTimes.py" --tripid 182-21 --locoid 4026 --swversion DE.1.0.9.0 --startMP 204:232969 --initTime 2017-02-21T14:34:47 --startdatetime 2017-02-21T14:41:19 --delay 1 --endMP 204:160 --enddatetime 2017-02-21T15:19:35 --enforcementcount 0 &gt;&gt;C:\Users\stu\Documents\GitHub\eaglep3-reporting\EC\2017-02-21-refined-times.txt</v>
      </c>
      <c r="AI97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{"issue":{"subject":"","project_id":79,"tracker_id":40,"status_id":1,"priority_id":2,"assigned_to_id":23,"start_date":"2017-02-21","description":"","custom_fields":[{"id":1,"name":"Subdivision","value":"EC"},{"id":4,"name":"Milepost","value":"0.016"},{"id":17,"name":"Train ID","value":"182-21"},{"id":16,"name":"Locomotive ID","value":"4026"},{"id":130,"name":"Impact","value":""},{"id":150,"name":"Time of Event (Mountain Time)","value":"15:19:35"},{"id":151,"name":"Denver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47"/>
        <v>start /low /b %USERPROFILE%\Documents\GitHub\eaglep3\Utilities\DownloadLogsFromS3.py --loco 4026 --day 2017-02-21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"%USERPROFILE%\AppData\Local\Temp\OnboardLogs"\RTDC4026\*4026*20170221* | grep -SE "(Enforcement Action)|(\[TIMEOUT)|(CHR.+\|PRM\|1\|D.+(SWITCH|SIGNAL).+UNKNOWN)" - &gt;&gt; 2017-02-21-UncaughtWiMAX.txt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596</v>
      </c>
      <c r="B98" s="7">
        <v>4006</v>
      </c>
      <c r="C98" s="21" t="s">
        <v>359</v>
      </c>
      <c r="D98" s="21" t="s">
        <v>204</v>
      </c>
      <c r="E98" s="13">
        <v>42787.578194444446</v>
      </c>
      <c r="F98" s="13">
        <v>42787.583495370367</v>
      </c>
      <c r="G98" s="7">
        <v>1</v>
      </c>
      <c r="H98" s="21" t="s">
        <v>320</v>
      </c>
      <c r="I98" s="13">
        <v>42787.607951388891</v>
      </c>
      <c r="J98" s="7">
        <v>0</v>
      </c>
      <c r="K98" s="98" t="str">
        <f t="shared" si="32"/>
        <v>4005/4006</v>
      </c>
      <c r="L98" s="21" t="str">
        <f>VLOOKUP(A98,'Trips&amp;Operators'!$C$1:$G$99999,5,FALSE)</f>
        <v>ROMERO CHAD</v>
      </c>
      <c r="M98" s="6">
        <f t="shared" si="33"/>
        <v>2.4456018523778766E-2</v>
      </c>
      <c r="N98" s="7">
        <f t="shared" si="31"/>
        <v>35.216666674241424</v>
      </c>
      <c r="O98" s="7"/>
      <c r="P98" s="7"/>
      <c r="Q98" s="22"/>
      <c r="R98" s="22"/>
      <c r="S98" s="31">
        <f t="shared" si="30"/>
        <v>1</v>
      </c>
      <c r="T98" s="46" t="str">
        <f t="shared" si="34"/>
        <v>NorthBound</v>
      </c>
      <c r="U98" s="193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4" t="str">
        <f t="shared" si="35"/>
        <v>https://d0f6bd738d7f1b3e5a7ca70fe4ff75f0.us-east-1.aws.found.io/app/kibana#/discover/Steve-Slow-Train-Analysis-(2080s-and-2083s)?_g=(refreshInterval:(display:Off,pause:!f,section:0,value:0),time:(from:'2017-02-21T12:52:36-0700',mode:absolute,to:'2017-02-21T15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8" s="195" t="str">
        <f t="shared" si="36"/>
        <v>N</v>
      </c>
      <c r="X98" s="195">
        <f t="shared" si="37"/>
        <v>1</v>
      </c>
      <c r="Y98" s="62">
        <f t="shared" si="43"/>
        <v>4.6199999999999998E-2</v>
      </c>
      <c r="Z98" s="62">
        <f t="shared" si="44"/>
        <v>23.331700000000001</v>
      </c>
      <c r="AA98" s="62">
        <f t="shared" si="38"/>
        <v>23.285500000000003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9"/>
        <v>0183-21</v>
      </c>
      <c r="AE98" s="85" t="str">
        <f t="shared" si="40"/>
        <v>aws s3 cp s3://rtdc.mdm.uploadarchive.raw/RTDC4006/ "%USERPROFILE%\AppData\Local\Temp\OnboardLogs"\RTDC4006\2017-02-21 --exclude "*" --recursive --include "*20170221*" &amp; "%USERPROFILE%\Documents\GitHub\mrs-test-scripts\Headless Mode &amp; Sideloading\WalkAndUnGZ.bat" "%USERPROFILE%\AppData\Local\Temp\OnboardLogs"\RTDC4006\2017-02-21 &amp; aws s3 cp s3://rtdc.mdm.uploadarchive.raw/RTDC4006/ "%USERPROFILE%\AppData\Local\Temp\OnboardLogs"\RTDC4006\2017-02-22 --exclude "*" --recursive --include "*20170222*" &amp; "%USERPROFILE%\Documents\GitHub\mrs-test-scripts\Headless Mode &amp; Sideloading\WalkAndUnGZ.bat" "%USERPROFILE%\AppData\Local\Temp\OnboardLogs"\RTDC4006\2017-02-22</v>
      </c>
      <c r="AF98" s="82" t="str">
        <f t="shared" si="41"/>
        <v>"C:\Program Files (x86)\AstroGrep\AstroGrep.exe" /spath="%USERPROFILE%\AppData\Local\Temp\OnboardLogs" /stypes="app*4006*20170221*" /stext=" 21:.+((SYSTEM_STATE.+slice.+state.+changed )|(ment ac)|(multiple cpu faults)|(system.+state.+changed )|(\[timeout)|(PRM\|1\|D)|(kpr)|(kdp)|(\|lc)|(penalty))" /e /r /s</v>
      </c>
      <c r="AG98" s="1" t="str">
        <f t="shared" si="42"/>
        <v>EC</v>
      </c>
      <c r="AH98" s="86" t="str">
        <f t="shared" si="45"/>
        <v>"%USERPROFILE%\Documents\GitHub\eaglep3\Utilities\RefineRTDCRunTimes.py" --tripid 183-21 --locoid 4006 --swversion DE.1.0.9.0 --startMP 204:462 --initTime 2017-02-21T13:52:36 --startdatetime 2017-02-21T14:00:14 --delay 1 --endMP 204:233317 --enddatetime 2017-02-21T14:35:27 --enforcementcount 0 &gt;&gt;C:\Users\stu\Documents\GitHub\eaglep3-reporting\EC\2017-02-21-refined-times.txt</v>
      </c>
      <c r="AI98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{"issue":{"subject":"","project_id":79,"tracker_id":40,"status_id":1,"priority_id":2,"assigned_to_id":23,"start_date":"2017-02-21","description":"","custom_fields":[{"id":1,"name":"Subdivision","value":"EC"},{"id":4,"name":"Milepost","value":"23.3317"},{"id":17,"name":"Train ID","value":"183-21"},{"id":16,"name":"Locomotive ID","value":"4006"},{"id":130,"name":"Impact","value":""},{"id":150,"name":"Time of Event (Mountain Time)","value":"14:35:27"},{"id":151,"name":"Denver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47"/>
        <v>start /low /b %USERPROFILE%\Documents\GitHub\eaglep3\Utilities\DownloadLogsFromS3.py --loco 4006 --day 2017-02-21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"%USERPROFILE%\AppData\Local\Temp\OnboardLogs"\RTDC4006\*4006*20170221* | grep -SE "(Enforcement Action)|(\[TIMEOUT)|(CHR.+\|PRM\|1\|D.+(SWITCH|SIGNAL).+UNKNOWN)" - &gt;&gt; 2017-02-21-UncaughtWiMAX.txt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605</v>
      </c>
      <c r="B99" s="7">
        <v>4005</v>
      </c>
      <c r="C99" s="21" t="s">
        <v>359</v>
      </c>
      <c r="D99" s="21" t="s">
        <v>273</v>
      </c>
      <c r="E99" s="13">
        <v>42787.616932870369</v>
      </c>
      <c r="F99" s="13">
        <v>42787.622511574074</v>
      </c>
      <c r="G99" s="7">
        <v>1</v>
      </c>
      <c r="H99" s="21" t="s">
        <v>194</v>
      </c>
      <c r="I99" s="13">
        <v>42787.648831018516</v>
      </c>
      <c r="J99" s="7">
        <v>0</v>
      </c>
      <c r="K99" s="98" t="str">
        <f t="shared" si="32"/>
        <v>4005/4006</v>
      </c>
      <c r="L99" s="21" t="str">
        <f>VLOOKUP(A99,'Trips&amp;Operators'!$C$1:$G$99999,5,FALSE)</f>
        <v>ROMERO CHAD</v>
      </c>
      <c r="M99" s="6">
        <f t="shared" si="33"/>
        <v>2.6319444441469386E-2</v>
      </c>
      <c r="N99" s="7">
        <f t="shared" si="31"/>
        <v>37.899999995715916</v>
      </c>
      <c r="O99" s="7"/>
      <c r="P99" s="7"/>
      <c r="Q99" s="22"/>
      <c r="R99" s="22"/>
      <c r="S99" s="31">
        <f t="shared" ref="S99:S130" si="48">SUM(U99:U99)/IF(AG99="EC",12,1)</f>
        <v>1</v>
      </c>
      <c r="T99" s="46" t="str">
        <f t="shared" si="34"/>
        <v>Southbound</v>
      </c>
      <c r="U99" s="193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4" t="str">
        <f t="shared" si="35"/>
        <v>https://d0f6bd738d7f1b3e5a7ca70fe4ff75f0.us-east-1.aws.found.io/app/kibana#/discover/Steve-Slow-Train-Analysis-(2080s-and-2083s)?_g=(refreshInterval:(display:Off,pause:!f,section:0,value:0),time:(from:'2017-02-21T13:48:23-0700',mode:absolute,to:'2017-02-21T16:34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9" s="195" t="str">
        <f t="shared" si="36"/>
        <v>N</v>
      </c>
      <c r="X99" s="195">
        <f t="shared" si="37"/>
        <v>1</v>
      </c>
      <c r="Y99" s="62">
        <f t="shared" si="43"/>
        <v>23.299600000000002</v>
      </c>
      <c r="Z99" s="62">
        <f t="shared" si="44"/>
        <v>1.4999999999999999E-2</v>
      </c>
      <c r="AA99" s="62">
        <f t="shared" si="38"/>
        <v>23.284600000000001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9"/>
        <v>0184-21</v>
      </c>
      <c r="AE99" s="85" t="str">
        <f t="shared" si="40"/>
        <v>aws s3 cp s3://rtdc.mdm.uploadarchive.raw/RTDC4005/ "%USERPROFILE%\AppData\Local\Temp\OnboardLogs"\RTDC4005\2017-02-21 --exclude "*" --recursive --include "*20170221*" &amp; "%USERPROFILE%\Documents\GitHub\mrs-test-scripts\Headless Mode &amp; Sideloading\WalkAndUnGZ.bat" "%USERPROFILE%\AppData\Local\Temp\OnboardLogs"\RTDC4005\2017-02-21 &amp; aws s3 cp s3://rtdc.mdm.uploadarchive.raw/RTDC4005/ "%USERPROFILE%\AppData\Local\Temp\OnboardLogs"\RTDC4005\2017-02-22 --exclude "*" --recursive --include "*20170222*" &amp; "%USERPROFILE%\Documents\GitHub\mrs-test-scripts\Headless Mode &amp; Sideloading\WalkAndUnGZ.bat" "%USERPROFILE%\AppData\Local\Temp\OnboardLogs"\RTDC4005\2017-02-22</v>
      </c>
      <c r="AF99" s="82" t="str">
        <f t="shared" si="41"/>
        <v>"C:\Program Files (x86)\AstroGrep\AstroGrep.exe" /spath="%USERPROFILE%\AppData\Local\Temp\OnboardLogs" /stypes="app*4005*20170221*" /stext=" 22:.+((SYSTEM_STATE.+slice.+state.+changed )|(ment ac)|(multiple cpu faults)|(system.+state.+changed )|(\[timeout)|(PRM\|1\|D)|(kpr)|(kdp)|(\|lc)|(penalty))" /e /r /s</v>
      </c>
      <c r="AG99" s="1" t="str">
        <f t="shared" si="42"/>
        <v>EC</v>
      </c>
      <c r="AH99" s="86" t="str">
        <f t="shared" si="45"/>
        <v>"%USERPROFILE%\Documents\GitHub\eaglep3\Utilities\RefineRTDCRunTimes.py" --tripid 184-21 --locoid 4005 --swversion DE.1.0.9.0 --startMP 204:232996 --initTime 2017-02-21T14:48:23 --startdatetime 2017-02-21T14:56:25 --delay 1 --endMP 204:150 --enddatetime 2017-02-21T15:34:19 --enforcementcount 0 &gt;&gt;C:\Users\stu\Documents\GitHub\eaglep3-reporting\EC\2017-02-21-refined-times.txt</v>
      </c>
      <c r="AI99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{"issue":{"subject":"","project_id":79,"tracker_id":40,"status_id":1,"priority_id":2,"assigned_to_id":23,"start_date":"2017-02-21","description":"","custom_fields":[{"id":1,"name":"Subdivision","value":"EC"},{"id":4,"name":"Milepost","value":"0.015"},{"id":17,"name":"Train ID","value":"184-21"},{"id":16,"name":"Locomotive ID","value":"4005"},{"id":130,"name":"Impact","value":""},{"id":150,"name":"Time of Event (Mountain Time)","value":"15:34:19"},{"id":151,"name":"Denver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47"/>
        <v>start /low /b %USERPROFILE%\Documents\GitHub\eaglep3\Utilities\DownloadLogsFromS3.py --loco 4005 --day 2017-02-21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"%USERPROFILE%\AppData\Local\Temp\OnboardLogs"\RTDC4005\*4005*20170221* | grep -SE "(Enforcement Action)|(\[TIMEOUT)|(CHR.+\|PRM\|1\|D.+(SWITCH|SIGNAL).+UNKNOWN)" - &gt;&gt; 2017-02-21-UncaughtWiMAX.txt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3" t="s">
        <v>599</v>
      </c>
      <c r="B100" s="7">
        <v>4029</v>
      </c>
      <c r="C100" s="21" t="s">
        <v>359</v>
      </c>
      <c r="D100" s="21" t="s">
        <v>736</v>
      </c>
      <c r="E100" s="13">
        <v>42787.586736111109</v>
      </c>
      <c r="F100" s="13">
        <v>42787.593935185185</v>
      </c>
      <c r="G100" s="7">
        <v>1</v>
      </c>
      <c r="H100" s="21" t="s">
        <v>418</v>
      </c>
      <c r="I100" s="13">
        <v>42787.618495370371</v>
      </c>
      <c r="J100" s="7">
        <v>0</v>
      </c>
      <c r="K100" s="98" t="str">
        <f t="shared" si="32"/>
        <v>4029/4030</v>
      </c>
      <c r="L100" s="21" t="str">
        <f>VLOOKUP(A100,'Trips&amp;Operators'!$C$1:$G$99999,5,FALSE)</f>
        <v>NEWELL JAMES</v>
      </c>
      <c r="M100" s="6">
        <f t="shared" si="33"/>
        <v>2.4560185185691807E-2</v>
      </c>
      <c r="N100" s="7">
        <f t="shared" si="31"/>
        <v>35.366666667396203</v>
      </c>
      <c r="O100" s="7"/>
      <c r="P100" s="7"/>
      <c r="Q100" s="22"/>
      <c r="R100" s="22"/>
      <c r="S100" s="31">
        <f t="shared" si="48"/>
        <v>1</v>
      </c>
      <c r="T100" s="46" t="str">
        <f t="shared" si="34"/>
        <v>NorthBound</v>
      </c>
      <c r="U100" s="193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4" t="str">
        <f t="shared" si="35"/>
        <v>https://d0f6bd738d7f1b3e5a7ca70fe4ff75f0.us-east-1.aws.found.io/app/kibana#/discover/Steve-Slow-Train-Analysis-(2080s-and-2083s)?_g=(refreshInterval:(display:Off,pause:!f,section:0,value:0),time:(from:'2017-02-21T13:04:54-0700',mode:absolute,to:'2017-02-21T15:50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0" s="195" t="str">
        <f t="shared" si="36"/>
        <v>N</v>
      </c>
      <c r="X100" s="195">
        <f t="shared" si="37"/>
        <v>1</v>
      </c>
      <c r="Y100" s="62">
        <f t="shared" si="43"/>
        <v>4.9500000000000002E-2</v>
      </c>
      <c r="Z100" s="62">
        <f t="shared" si="44"/>
        <v>23.329699999999999</v>
      </c>
      <c r="AA100" s="62">
        <f t="shared" si="38"/>
        <v>23.280200000000001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9"/>
        <v>0185-21</v>
      </c>
      <c r="AE100" s="85" t="str">
        <f t="shared" si="40"/>
        <v>aws s3 cp s3://rtdc.mdm.uploadarchive.raw/RTDC4029/ "%USERPROFILE%\AppData\Local\Temp\OnboardLogs"\RTDC4029\2017-02-21 --exclude "*" --recursive --include "*20170221*" &amp; "%USERPROFILE%\Documents\GitHub\mrs-test-scripts\Headless Mode &amp; Sideloading\WalkAndUnGZ.bat" "%USERPROFILE%\AppData\Local\Temp\OnboardLogs"\RTDC4029\2017-02-21 &amp; aws s3 cp s3://rtdc.mdm.uploadarchive.raw/RTDC4029/ "%USERPROFILE%\AppData\Local\Temp\OnboardLogs"\RTDC4029\2017-02-22 --exclude "*" --recursive --include "*20170222*" &amp; "%USERPROFILE%\Documents\GitHub\mrs-test-scripts\Headless Mode &amp; Sideloading\WalkAndUnGZ.bat" "%USERPROFILE%\AppData\Local\Temp\OnboardLogs"\RTDC4029\2017-02-22</v>
      </c>
      <c r="AF100" s="82" t="str">
        <f t="shared" si="41"/>
        <v>"C:\Program Files (x86)\AstroGrep\AstroGrep.exe" /spath="%USERPROFILE%\AppData\Local\Temp\OnboardLogs" /stypes="app*4029*20170221*" /stext=" 21:.+((SYSTEM_STATE.+slice.+state.+changed )|(ment ac)|(multiple cpu faults)|(system.+state.+changed )|(\[timeout)|(PRM\|1\|D)|(kpr)|(kdp)|(\|lc)|(penalty))" /e /r /s</v>
      </c>
      <c r="AG100" s="1" t="str">
        <f t="shared" si="42"/>
        <v>EC</v>
      </c>
      <c r="AH100" s="86" t="str">
        <f t="shared" si="45"/>
        <v>"%USERPROFILE%\Documents\GitHub\eaglep3\Utilities\RefineRTDCRunTimes.py" --tripid 185-21 --locoid 4029 --swversion DE.1.0.9.0 --startMP 204:495 --initTime 2017-02-21T14:04:54 --startdatetime 2017-02-21T14:15:16 --delay 1 --endMP 204:233297 --enddatetime 2017-02-21T14:50:38 --enforcementcount 0 &gt;&gt;C:\Users\stu\Documents\GitHub\eaglep3-reporting\EC\2017-02-21-refined-times.txt</v>
      </c>
      <c r="AI100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{"issue":{"subject":"","project_id":79,"tracker_id":40,"status_id":1,"priority_id":2,"assigned_to_id":23,"start_date":"2017-02-21","description":"","custom_fields":[{"id":1,"name":"Subdivision","value":"EC"},{"id":4,"name":"Milepost","value":"23.3297"},{"id":17,"name":"Train ID","value":"185-21"},{"id":16,"name":"Locomotive ID","value":"4029"},{"id":130,"name":"Impact","value":""},{"id":150,"name":"Time of Event (Mountain Time)","value":"14:50:38"},{"id":151,"name":"Denver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47"/>
        <v>start /low /b %USERPROFILE%\Documents\GitHub\eaglep3\Utilities\DownloadLogsFromS3.py --loco 4029 --day 2017-02-21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"%USERPROFILE%\AppData\Local\Temp\OnboardLogs"\RTDC4029\*4029*20170221* | grep -SE "(Enforcement Action)|(\[TIMEOUT)|(CHR.+\|PRM\|1\|D.+(SWITCH|SIGNAL).+UNKNOWN)" - &gt;&gt; 2017-02-21-UncaughtWiMAX.txt</v>
      </c>
    </row>
    <row r="101" spans="1:91" s="20" customFormat="1" x14ac:dyDescent="0.25">
      <c r="A101" s="33" t="s">
        <v>606</v>
      </c>
      <c r="B101" s="7">
        <v>4030</v>
      </c>
      <c r="C101" s="21" t="s">
        <v>359</v>
      </c>
      <c r="D101" s="21" t="s">
        <v>322</v>
      </c>
      <c r="E101" s="13">
        <v>42787.620428240742</v>
      </c>
      <c r="F101" s="13">
        <v>42787.632939814815</v>
      </c>
      <c r="G101" s="7">
        <v>1</v>
      </c>
      <c r="H101" s="21" t="s">
        <v>184</v>
      </c>
      <c r="I101" s="13">
        <v>42787.658680555556</v>
      </c>
      <c r="J101" s="7">
        <v>0</v>
      </c>
      <c r="K101" s="98" t="str">
        <f t="shared" si="32"/>
        <v>4029/4030</v>
      </c>
      <c r="L101" s="21" t="str">
        <f>VLOOKUP(A101,'Trips&amp;Operators'!$C$1:$G$99999,5,FALSE)</f>
        <v>NEWELL JAMES</v>
      </c>
      <c r="M101" s="6">
        <f t="shared" si="33"/>
        <v>2.5740740740729962E-2</v>
      </c>
      <c r="N101" s="7">
        <f t="shared" ref="N101:N132" si="49">24*60*SUM($M101:$M101)</f>
        <v>37.066666666651145</v>
      </c>
      <c r="O101" s="7"/>
      <c r="P101" s="7"/>
      <c r="Q101" s="22"/>
      <c r="R101" s="22"/>
      <c r="S101" s="31">
        <f t="shared" si="48"/>
        <v>1</v>
      </c>
      <c r="T101" s="46" t="str">
        <f t="shared" si="34"/>
        <v>Southbound</v>
      </c>
      <c r="U101" s="193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4" t="str">
        <f t="shared" si="35"/>
        <v>https://d0f6bd738d7f1b3e5a7ca70fe4ff75f0.us-east-1.aws.found.io/app/kibana#/discover/Steve-Slow-Train-Analysis-(2080s-and-2083s)?_g=(refreshInterval:(display:Off,pause:!f,section:0,value:0),time:(from:'2017-02-21T13:53:25-0700',mode:absolute,to:'2017-02-21T16:48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1" s="195" t="str">
        <f t="shared" si="36"/>
        <v>N</v>
      </c>
      <c r="X101" s="195">
        <f t="shared" si="37"/>
        <v>1</v>
      </c>
      <c r="Y101" s="62">
        <f t="shared" si="43"/>
        <v>23.2973</v>
      </c>
      <c r="Z101" s="62">
        <f t="shared" si="44"/>
        <v>1.49E-2</v>
      </c>
      <c r="AA101" s="62">
        <f t="shared" si="38"/>
        <v>23.282399999999999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9"/>
        <v>0186-21</v>
      </c>
      <c r="AE101" s="85" t="str">
        <f t="shared" si="40"/>
        <v>aws s3 cp s3://rtdc.mdm.uploadarchive.raw/RTDC4030/ "%USERPROFILE%\AppData\Local\Temp\OnboardLogs"\RTDC4030\2017-02-21 --exclude "*" --recursive --include "*20170221*" &amp; "%USERPROFILE%\Documents\GitHub\mrs-test-scripts\Headless Mode &amp; Sideloading\WalkAndUnGZ.bat" "%USERPROFILE%\AppData\Local\Temp\OnboardLogs"\RTDC4030\2017-02-21 &amp; aws s3 cp s3://rtdc.mdm.uploadarchive.raw/RTDC4030/ "%USERPROFILE%\AppData\Local\Temp\OnboardLogs"\RTDC4030\2017-02-22 --exclude "*" --recursive --include "*20170222*" &amp; "%USERPROFILE%\Documents\GitHub\mrs-test-scripts\Headless Mode &amp; Sideloading\WalkAndUnGZ.bat" "%USERPROFILE%\AppData\Local\Temp\OnboardLogs"\RTDC4030\2017-02-22</v>
      </c>
      <c r="AF101" s="82" t="str">
        <f t="shared" si="41"/>
        <v>"C:\Program Files (x86)\AstroGrep\AstroGrep.exe" /spath="%USERPROFILE%\AppData\Local\Temp\OnboardLogs" /stypes="app*4030*20170221*" /stext=" 22:.+((SYSTEM_STATE.+slice.+state.+changed )|(ment ac)|(multiple cpu faults)|(system.+state.+changed )|(\[timeout)|(PRM\|1\|D)|(kpr)|(kdp)|(\|lc)|(penalty))" /e /r /s</v>
      </c>
      <c r="AG101" s="1" t="str">
        <f t="shared" si="42"/>
        <v>EC</v>
      </c>
      <c r="AH101" s="86" t="str">
        <f t="shared" si="45"/>
        <v>"%USERPROFILE%\Documents\GitHub\eaglep3\Utilities\RefineRTDCRunTimes.py" --tripid 186-21 --locoid 4030 --swversion DE.1.0.9.0 --startMP 204:232973 --initTime 2017-02-21T14:53:25 --startdatetime 2017-02-21T15:11:26 --delay 1 --endMP 204:149 --enddatetime 2017-02-21T15:48:30 --enforcementcount 0 &gt;&gt;C:\Users\stu\Documents\GitHub\eaglep3-reporting\EC\2017-02-21-refined-times.txt</v>
      </c>
      <c r="AI101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{"issue":{"subject":"","project_id":79,"tracker_id":40,"status_id":1,"priority_id":2,"assigned_to_id":23,"start_date":"2017-02-21","description":"","custom_fields":[{"id":1,"name":"Subdivision","value":"EC"},{"id":4,"name":"Milepost","value":"0.0149"},{"id":17,"name":"Train ID","value":"186-21"},{"id":16,"name":"Locomotive ID","value":"4030"},{"id":130,"name":"Impact","value":""},{"id":150,"name":"Time of Event (Mountain Time)","value":"15:48:30"},{"id":151,"name":"Denver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47"/>
        <v>start /low /b %USERPROFILE%\Documents\GitHub\eaglep3\Utilities\DownloadLogsFromS3.py --loco 4030 --day 2017-02-21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"%USERPROFILE%\AppData\Local\Temp\OnboardLogs"\RTDC4030\*4030*20170221* | grep -SE "(Enforcement Action)|(\[TIMEOUT)|(CHR.+\|PRM\|1\|D.+(SWITCH|SIGNAL).+UNKNOWN)" - &gt;&gt; 2017-02-21-UncaughtWiMAX.txt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x14ac:dyDescent="0.25">
      <c r="A102" s="33" t="s">
        <v>601</v>
      </c>
      <c r="B102" s="7">
        <v>4014</v>
      </c>
      <c r="C102" s="21" t="s">
        <v>359</v>
      </c>
      <c r="D102" s="21" t="s">
        <v>299</v>
      </c>
      <c r="E102" s="13">
        <v>42787.602650462963</v>
      </c>
      <c r="F102" s="13">
        <v>42787.604756944442</v>
      </c>
      <c r="G102" s="7">
        <v>1</v>
      </c>
      <c r="H102" s="21" t="s">
        <v>373</v>
      </c>
      <c r="I102" s="13">
        <v>42787.630925925929</v>
      </c>
      <c r="J102" s="7">
        <v>0</v>
      </c>
      <c r="K102" s="98" t="str">
        <f t="shared" si="32"/>
        <v>4013/4014</v>
      </c>
      <c r="L102" s="21" t="str">
        <f>VLOOKUP(A102,'Trips&amp;Operators'!$C$1:$G$99999,5,FALSE)</f>
        <v>DAVIS MICHAEL</v>
      </c>
      <c r="M102" s="6">
        <f t="shared" si="33"/>
        <v>2.6168981486989651E-2</v>
      </c>
      <c r="N102" s="7">
        <f t="shared" si="49"/>
        <v>37.683333341265097</v>
      </c>
      <c r="O102" s="7"/>
      <c r="P102" s="7"/>
      <c r="Q102" s="22"/>
      <c r="R102" s="22"/>
      <c r="S102" s="31">
        <f t="shared" si="48"/>
        <v>1</v>
      </c>
      <c r="T102" s="46" t="str">
        <f t="shared" si="34"/>
        <v>NorthBound</v>
      </c>
      <c r="U102" s="193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4" t="str">
        <f t="shared" si="35"/>
        <v>https://d0f6bd738d7f1b3e5a7ca70fe4ff75f0.us-east-1.aws.found.io/app/kibana#/discover/Steve-Slow-Train-Analysis-(2080s-and-2083s)?_g=(refreshInterval:(display:Off,pause:!f,section:0,value:0),time:(from:'2017-02-21T13:27:49-0700',mode:absolute,to:'2017-02-21T16:08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2" s="195" t="str">
        <f t="shared" si="36"/>
        <v>N</v>
      </c>
      <c r="X102" s="195">
        <f t="shared" si="37"/>
        <v>1</v>
      </c>
      <c r="Y102" s="62">
        <f t="shared" si="43"/>
        <v>4.7100000000000003E-2</v>
      </c>
      <c r="Z102" s="62">
        <f t="shared" si="44"/>
        <v>23.329799999999999</v>
      </c>
      <c r="AA102" s="62">
        <f t="shared" si="38"/>
        <v>23.282699999999998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9"/>
        <v>0187-21</v>
      </c>
      <c r="AE102" s="85" t="str">
        <f t="shared" si="40"/>
        <v>aws s3 cp s3://rtdc.mdm.uploadarchive.raw/RTDC4014/ "%USERPROFILE%\AppData\Local\Temp\OnboardLogs"\RTDC4014\2017-02-21 --exclude "*" --recursive --include "*20170221*" &amp; "%USERPROFILE%\Documents\GitHub\mrs-test-scripts\Headless Mode &amp; Sideloading\WalkAndUnGZ.bat" "%USERPROFILE%\AppData\Local\Temp\OnboardLogs"\RTDC4014\2017-02-21 &amp; aws s3 cp s3://rtdc.mdm.uploadarchive.raw/RTDC4014/ "%USERPROFILE%\AppData\Local\Temp\OnboardLogs"\RTDC4014\2017-02-22 --exclude "*" --recursive --include "*20170222*" &amp; "%USERPROFILE%\Documents\GitHub\mrs-test-scripts\Headless Mode &amp; Sideloading\WalkAndUnGZ.bat" "%USERPROFILE%\AppData\Local\Temp\OnboardLogs"\RTDC4014\2017-02-22</v>
      </c>
      <c r="AF102" s="82" t="str">
        <f t="shared" si="41"/>
        <v>"C:\Program Files (x86)\AstroGrep\AstroGrep.exe" /spath="%USERPROFILE%\AppData\Local\Temp\OnboardLogs" /stypes="app*4014*20170221*" /stext=" 22:.+((SYSTEM_STATE.+slice.+state.+changed )|(ment ac)|(multiple cpu faults)|(system.+state.+changed )|(\[timeout)|(PRM\|1\|D)|(kpr)|(kdp)|(\|lc)|(penalty))" /e /r /s</v>
      </c>
      <c r="AG102" s="1" t="str">
        <f t="shared" si="42"/>
        <v>EC</v>
      </c>
      <c r="AH102" s="86" t="str">
        <f t="shared" si="45"/>
        <v>"%USERPROFILE%\Documents\GitHub\eaglep3\Utilities\RefineRTDCRunTimes.py" --tripid 187-21 --locoid 4014 --swversion DE.1.0.9.0 --startMP 204:471 --initTime 2017-02-21T14:27:49 --startdatetime 2017-02-21T14:30:51 --delay 1 --endMP 204:233298 --enddatetime 2017-02-21T15:08:32 --enforcementcount 0 &gt;&gt;C:\Users\stu\Documents\GitHub\eaglep3-reporting\EC\2017-02-21-refined-times.txt</v>
      </c>
      <c r="AI102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{"issue":{"subject":"","project_id":79,"tracker_id":40,"status_id":1,"priority_id":2,"assigned_to_id":23,"start_date":"2017-02-21","description":"","custom_fields":[{"id":1,"name":"Subdivision","value":"EC"},{"id":4,"name":"Milepost","value":"23.3298"},{"id":17,"name":"Train ID","value":"187-21"},{"id":16,"name":"Locomotive ID","value":"4014"},{"id":130,"name":"Impact","value":""},{"id":150,"name":"Time of Event (Mountain Time)","value":"15:08:32"},{"id":151,"name":"Denver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47"/>
        <v>start /low /b %USERPROFILE%\Documents\GitHub\eaglep3\Utilities\DownloadLogsFromS3.py --loco 4014 --day 2017-02-21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"%USERPROFILE%\AppData\Local\Temp\OnboardLogs"\RTDC4014\*4014*20170221* | grep -SE "(Enforcement Action)|(\[TIMEOUT)|(CHR.+\|PRM\|1\|D.+(SWITCH|SIGNAL).+UNKNOWN)" - &gt;&gt; 2017-02-21-UncaughtWiMAX.txt</v>
      </c>
    </row>
    <row r="103" spans="1:91" s="20" customFormat="1" x14ac:dyDescent="0.25">
      <c r="A103" s="33" t="s">
        <v>612</v>
      </c>
      <c r="B103" s="7">
        <v>4013</v>
      </c>
      <c r="C103" s="21" t="s">
        <v>359</v>
      </c>
      <c r="D103" s="21" t="s">
        <v>374</v>
      </c>
      <c r="E103" s="13">
        <v>42787.640648148146</v>
      </c>
      <c r="F103" s="13">
        <v>42787.643483796295</v>
      </c>
      <c r="G103" s="7">
        <v>1</v>
      </c>
      <c r="H103" s="21" t="s">
        <v>292</v>
      </c>
      <c r="I103" s="13">
        <v>42787.671203703707</v>
      </c>
      <c r="J103" s="7">
        <v>0</v>
      </c>
      <c r="K103" s="98" t="str">
        <f t="shared" si="32"/>
        <v>4013/4014</v>
      </c>
      <c r="L103" s="21" t="str">
        <f>VLOOKUP(A103,'Trips&amp;Operators'!$C$1:$G$99999,5,FALSE)</f>
        <v>DAVIS MICHAEL</v>
      </c>
      <c r="M103" s="6">
        <f t="shared" si="33"/>
        <v>2.771990741166519E-2</v>
      </c>
      <c r="N103" s="7">
        <f t="shared" si="49"/>
        <v>39.916666672797874</v>
      </c>
      <c r="O103" s="7"/>
      <c r="P103" s="7"/>
      <c r="Q103" s="22"/>
      <c r="R103" s="22"/>
      <c r="S103" s="31">
        <f t="shared" si="48"/>
        <v>1</v>
      </c>
      <c r="T103" s="46" t="str">
        <f t="shared" si="34"/>
        <v>Southbound</v>
      </c>
      <c r="U103" s="193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4" t="str">
        <f t="shared" si="35"/>
        <v>https://d0f6bd738d7f1b3e5a7ca70fe4ff75f0.us-east-1.aws.found.io/app/kibana#/discover/Steve-Slow-Train-Analysis-(2080s-and-2083s)?_g=(refreshInterval:(display:Off,pause:!f,section:0,value:0),time:(from:'2017-02-21T14:22:32-0700',mode:absolute,to:'2017-02-21T17:06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3" s="195" t="str">
        <f t="shared" si="36"/>
        <v>N</v>
      </c>
      <c r="X103" s="195">
        <f t="shared" si="37"/>
        <v>1</v>
      </c>
      <c r="Y103" s="62">
        <f t="shared" si="43"/>
        <v>23.299399999999999</v>
      </c>
      <c r="Z103" s="62">
        <f t="shared" si="44"/>
        <v>1.38E-2</v>
      </c>
      <c r="AA103" s="62">
        <f t="shared" si="38"/>
        <v>23.285599999999999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9"/>
        <v>0188-21</v>
      </c>
      <c r="AE103" s="85" t="str">
        <f t="shared" si="40"/>
        <v>aws s3 cp s3://rtdc.mdm.uploadarchive.raw/RTDC4013/ "%USERPROFILE%\AppData\Local\Temp\OnboardLogs"\RTDC4013\2017-02-21 --exclude "*" --recursive --include "*20170221*" &amp; "%USERPROFILE%\Documents\GitHub\mrs-test-scripts\Headless Mode &amp; Sideloading\WalkAndUnGZ.bat" "%USERPROFILE%\AppData\Local\Temp\OnboardLogs"\RTDC4013\2017-02-21 &amp; aws s3 cp s3://rtdc.mdm.uploadarchive.raw/RTDC4013/ "%USERPROFILE%\AppData\Local\Temp\OnboardLogs"\RTDC4013\2017-02-22 --exclude "*" --recursive --include "*20170222*" &amp; "%USERPROFILE%\Documents\GitHub\mrs-test-scripts\Headless Mode &amp; Sideloading\WalkAndUnGZ.bat" "%USERPROFILE%\AppData\Local\Temp\OnboardLogs"\RTDC4013\2017-02-22</v>
      </c>
      <c r="AF103" s="82" t="str">
        <f t="shared" si="41"/>
        <v>"C:\Program Files (x86)\AstroGrep\AstroGrep.exe" /spath="%USERPROFILE%\AppData\Local\Temp\OnboardLogs" /stypes="app*4013*20170221*" /stext=" 23:.+((SYSTEM_STATE.+slice.+state.+changed )|(ment ac)|(multiple cpu faults)|(system.+state.+changed )|(\[timeout)|(PRM\|1\|D)|(kpr)|(kdp)|(\|lc)|(penalty))" /e /r /s</v>
      </c>
      <c r="AG103" s="1" t="str">
        <f t="shared" si="42"/>
        <v>EC</v>
      </c>
      <c r="AH103" s="86" t="str">
        <f t="shared" si="45"/>
        <v>"%USERPROFILE%\Documents\GitHub\eaglep3\Utilities\RefineRTDCRunTimes.py" --tripid 188-21 --locoid 4013 --swversion DE.1.0.9.0 --startMP 204:232994 --initTime 2017-02-21T15:22:32 --startdatetime 2017-02-21T15:26:37 --delay 1 --endMP 204:138 --enddatetime 2017-02-21T16:06:32 --enforcementcount 0 &gt;&gt;C:\Users\stu\Documents\GitHub\eaglep3-reporting\EC\2017-02-21-refined-times.txt</v>
      </c>
      <c r="AI103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{"issue":{"subject":"","project_id":79,"tracker_id":40,"status_id":1,"priority_id":2,"assigned_to_id":23,"start_date":"2017-02-21","description":"","custom_fields":[{"id":1,"name":"Subdivision","value":"EC"},{"id":4,"name":"Milepost","value":"0.0138"},{"id":17,"name":"Train ID","value":"188-21"},{"id":16,"name":"Locomotive ID","value":"4013"},{"id":130,"name":"Impact","value":""},{"id":150,"name":"Time of Event (Mountain Time)","value":"16:06:32"},{"id":151,"name":"Denver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47"/>
        <v>start /low /b %USERPROFILE%\Documents\GitHub\eaglep3\Utilities\DownloadLogsFromS3.py --loco 4013 --day 2017-02-21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"%USERPROFILE%\AppData\Local\Temp\OnboardLogs"\RTDC4013\*4013*20170221* | grep -SE "(Enforcement Action)|(\[TIMEOUT)|(CHR.+\|PRM\|1\|D.+(SWITCH|SIGNAL).+UNKNOWN)" - &gt;&gt; 2017-02-21-UncaughtWiMAX.txt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604</v>
      </c>
      <c r="B104" s="7">
        <v>4051</v>
      </c>
      <c r="C104" s="21" t="s">
        <v>359</v>
      </c>
      <c r="D104" s="21" t="s">
        <v>737</v>
      </c>
      <c r="E104" s="13">
        <v>42787.611516203702</v>
      </c>
      <c r="F104" s="13">
        <v>42787.61513888889</v>
      </c>
      <c r="G104" s="7">
        <v>2</v>
      </c>
      <c r="H104" s="21" t="s">
        <v>709</v>
      </c>
      <c r="I104" s="13">
        <v>42787.640034722222</v>
      </c>
      <c r="J104" s="7">
        <v>0</v>
      </c>
      <c r="K104" s="98" t="str">
        <f t="shared" si="32"/>
        <v>4051/4052</v>
      </c>
      <c r="L104" s="21" t="str">
        <f>VLOOKUP(A104,'Trips&amp;Operators'!$C$1:$G$99999,5,FALSE)</f>
        <v>MOSES BRADLEY</v>
      </c>
      <c r="M104" s="6">
        <f t="shared" si="33"/>
        <v>2.4895833332266193E-2</v>
      </c>
      <c r="N104" s="7">
        <f t="shared" si="49"/>
        <v>35.849999998463318</v>
      </c>
      <c r="O104" s="7"/>
      <c r="P104" s="7"/>
      <c r="Q104" s="22"/>
      <c r="R104" s="22"/>
      <c r="S104" s="31">
        <f t="shared" si="48"/>
        <v>1</v>
      </c>
      <c r="T104" s="46" t="str">
        <f t="shared" si="34"/>
        <v>NorthBound</v>
      </c>
      <c r="U104" s="193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4" t="str">
        <f t="shared" si="35"/>
        <v>https://d0f6bd738d7f1b3e5a7ca70fe4ff75f0.us-east-1.aws.found.io/app/kibana#/discover/Steve-Slow-Train-Analysis-(2080s-and-2083s)?_g=(refreshInterval:(display:Off,pause:!f,section:0,value:0),time:(from:'2017-02-21T13:40:35-0700',mode:absolute,to:'2017-02-21T16:21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4" s="195" t="str">
        <f t="shared" si="36"/>
        <v>N</v>
      </c>
      <c r="X104" s="195">
        <f t="shared" si="37"/>
        <v>1</v>
      </c>
      <c r="Y104" s="62">
        <f t="shared" si="43"/>
        <v>4.9799999999999997E-2</v>
      </c>
      <c r="Z104" s="62">
        <f t="shared" si="44"/>
        <v>23.331800000000001</v>
      </c>
      <c r="AA104" s="62">
        <f t="shared" si="38"/>
        <v>23.282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9"/>
        <v>0189-21</v>
      </c>
      <c r="AE104" s="85" t="str">
        <f t="shared" si="40"/>
        <v>aws s3 cp s3://rtdc.mdm.uploadarchive.raw/RTDC4051/ "%USERPROFILE%\AppData\Local\Temp\OnboardLogs"\RTDC4051\2017-02-21 --exclude "*" --recursive --include "*20170221*" &amp; "%USERPROFILE%\Documents\GitHub\mrs-test-scripts\Headless Mode &amp; Sideloading\WalkAndUnGZ.bat" "%USERPROFILE%\AppData\Local\Temp\OnboardLogs"\RTDC4051\2017-02-21 &amp; aws s3 cp s3://rtdc.mdm.uploadarchive.raw/RTDC4051/ "%USERPROFILE%\AppData\Local\Temp\OnboardLogs"\RTDC4051\2017-02-22 --exclude "*" --recursive --include "*20170222*" &amp; "%USERPROFILE%\Documents\GitHub\mrs-test-scripts\Headless Mode &amp; Sideloading\WalkAndUnGZ.bat" "%USERPROFILE%\AppData\Local\Temp\OnboardLogs"\RTDC4051\2017-02-22</v>
      </c>
      <c r="AF104" s="82" t="str">
        <f t="shared" si="41"/>
        <v>"C:\Program Files (x86)\AstroGrep\AstroGrep.exe" /spath="%USERPROFILE%\AppData\Local\Temp\OnboardLogs" /stypes="app*4051*20170221*" /stext=" 22:.+((SYSTEM_STATE.+slice.+state.+changed )|(ment ac)|(multiple cpu faults)|(system.+state.+changed )|(\[timeout)|(PRM\|1\|D)|(kpr)|(kdp)|(\|lc)|(penalty))" /e /r /s</v>
      </c>
      <c r="AG104" s="1" t="str">
        <f t="shared" si="42"/>
        <v>EC</v>
      </c>
      <c r="AH104" s="86" t="str">
        <f t="shared" si="45"/>
        <v>"%USERPROFILE%\Documents\GitHub\eaglep3\Utilities\RefineRTDCRunTimes.py" --tripid 189-21 --locoid 4051 --swversion DE.1.0.9.0 --startMP 204:498 --initTime 2017-02-21T14:40:35 --startdatetime 2017-02-21T14:45:48 --delay 2 --endMP 204:233318 --enddatetime 2017-02-21T15:21:39 --enforcementcount 0 &gt;&gt;C:\Users\stu\Documents\GitHub\eaglep3-reporting\EC\2017-02-21-refined-times.txt</v>
      </c>
      <c r="AI104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{"issue":{"subject":"","project_id":79,"tracker_id":40,"status_id":1,"priority_id":2,"assigned_to_id":23,"start_date":"2017-02-21","description":"","custom_fields":[{"id":1,"name":"Subdivision","value":"EC"},{"id":4,"name":"Milepost","value":"23.3318"},{"id":17,"name":"Train ID","value":"189-21"},{"id":16,"name":"Locomotive ID","value":"4051"},{"id":130,"name":"Impact","value":""},{"id":150,"name":"Time of Event (Mountain Time)","value":"15:21:39"},{"id":151,"name":"Denver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47"/>
        <v>start /low /b %USERPROFILE%\Documents\GitHub\eaglep3\Utilities\DownloadLogsFromS3.py --loco 4051 --day 2017-02-21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"%USERPROFILE%\AppData\Local\Temp\OnboardLogs"\RTDC4051\*4051*20170221* | grep -SE "(Enforcement Action)|(\[TIMEOUT)|(CHR.+\|PRM\|1\|D.+(SWITCH|SIGNAL).+UNKNOWN)" - &gt;&gt; 2017-02-21-UncaughtWiMAX.txt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613</v>
      </c>
      <c r="B105" s="7">
        <v>4052</v>
      </c>
      <c r="C105" s="21" t="s">
        <v>359</v>
      </c>
      <c r="D105" s="21" t="s">
        <v>738</v>
      </c>
      <c r="E105" s="13">
        <v>42787.65011574074</v>
      </c>
      <c r="F105" s="13">
        <v>42787.65384259259</v>
      </c>
      <c r="G105" s="7">
        <v>1</v>
      </c>
      <c r="H105" s="21" t="s">
        <v>194</v>
      </c>
      <c r="I105" s="13">
        <v>42787.680555555555</v>
      </c>
      <c r="J105" s="7">
        <v>0</v>
      </c>
      <c r="K105" s="98" t="str">
        <f t="shared" si="32"/>
        <v>4051/4052</v>
      </c>
      <c r="L105" s="21" t="str">
        <f>VLOOKUP(A105,'Trips&amp;Operators'!$C$1:$G$99999,5,FALSE)</f>
        <v>MOSES BRADLEY</v>
      </c>
      <c r="M105" s="6">
        <f t="shared" si="33"/>
        <v>2.6712962964666076E-2</v>
      </c>
      <c r="N105" s="7">
        <f t="shared" si="49"/>
        <v>38.466666669119149</v>
      </c>
      <c r="O105" s="7"/>
      <c r="P105" s="7"/>
      <c r="Q105" s="22"/>
      <c r="R105" s="22"/>
      <c r="S105" s="31">
        <f t="shared" si="48"/>
        <v>1</v>
      </c>
      <c r="T105" s="46" t="str">
        <f t="shared" si="34"/>
        <v>Southbound</v>
      </c>
      <c r="U105" s="193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4" t="str">
        <f t="shared" si="35"/>
        <v>https://d0f6bd738d7f1b3e5a7ca70fe4ff75f0.us-east-1.aws.found.io/app/kibana#/discover/Steve-Slow-Train-Analysis-(2080s-and-2083s)?_g=(refreshInterval:(display:Off,pause:!f,section:0,value:0),time:(from:'2017-02-21T14:36:10-0700',mode:absolute,to:'2017-02-21T17:20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05" s="195" t="str">
        <f t="shared" si="36"/>
        <v>N</v>
      </c>
      <c r="X105" s="195">
        <f t="shared" si="37"/>
        <v>1</v>
      </c>
      <c r="Y105" s="62">
        <f t="shared" si="43"/>
        <v>23.2988</v>
      </c>
      <c r="Z105" s="62">
        <f t="shared" si="44"/>
        <v>1.4999999999999999E-2</v>
      </c>
      <c r="AA105" s="62">
        <f t="shared" si="38"/>
        <v>23.283799999999999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9"/>
        <v>0190-21</v>
      </c>
      <c r="AE105" s="85" t="str">
        <f t="shared" si="40"/>
        <v>aws s3 cp s3://rtdc.mdm.uploadarchive.raw/RTDC4052/ "%USERPROFILE%\AppData\Local\Temp\OnboardLogs"\RTDC4052\2017-02-21 --exclude "*" --recursive --include "*20170221*" &amp; "%USERPROFILE%\Documents\GitHub\mrs-test-scripts\Headless Mode &amp; Sideloading\WalkAndUnGZ.bat" "%USERPROFILE%\AppData\Local\Temp\OnboardLogs"\RTDC4052\2017-02-21 &amp; aws s3 cp s3://rtdc.mdm.uploadarchive.raw/RTDC4052/ "%USERPROFILE%\AppData\Local\Temp\OnboardLogs"\RTDC4052\2017-02-22 --exclude "*" --recursive --include "*20170222*" &amp; "%USERPROFILE%\Documents\GitHub\mrs-test-scripts\Headless Mode &amp; Sideloading\WalkAndUnGZ.bat" "%USERPROFILE%\AppData\Local\Temp\OnboardLogs"\RTDC4052\2017-02-22</v>
      </c>
      <c r="AF105" s="82" t="str">
        <f t="shared" si="41"/>
        <v>"C:\Program Files (x86)\AstroGrep\AstroGrep.exe" /spath="%USERPROFILE%\AppData\Local\Temp\OnboardLogs" /stypes="app*4052*20170221*" /stext=" 23:.+((SYSTEM_STATE.+slice.+state.+changed )|(ment ac)|(multiple cpu faults)|(system.+state.+changed )|(\[timeout)|(PRM\|1\|D)|(kpr)|(kdp)|(\|lc)|(penalty))" /e /r /s</v>
      </c>
      <c r="AG105" s="1" t="str">
        <f t="shared" si="42"/>
        <v>EC</v>
      </c>
      <c r="AH105" s="86" t="str">
        <f t="shared" si="45"/>
        <v>"%USERPROFILE%\Documents\GitHub\eaglep3\Utilities\RefineRTDCRunTimes.py" --tripid 190-21 --locoid 4052 --swversion DE.1.0.9.0 --startMP 204:232988 --initTime 2017-02-21T15:36:10 --startdatetime 2017-02-21T15:41:32 --delay 1 --endMP 204:150 --enddatetime 2017-02-21T16:20:00 --enforcementcount 0 &gt;&gt;C:\Users\stu\Documents\GitHub\eaglep3-reporting\EC\2017-02-21-refined-times.txt</v>
      </c>
      <c r="AI105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{"issue":{"subject":"","project_id":79,"tracker_id":40,"status_id":1,"priority_id":2,"assigned_to_id":23,"start_date":"2017-02-21","description":"","custom_fields":[{"id":1,"name":"Subdivision","value":"EC"},{"id":4,"name":"Milepost","value":"0.015"},{"id":17,"name":"Train ID","value":"190-21"},{"id":16,"name":"Locomotive ID","value":"4052"},{"id":130,"name":"Impact","value":""},{"id":150,"name":"Time of Event (Mountain Time)","value":"16:20:00"},{"id":151,"name":"Denver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47"/>
        <v>start /low /b %USERPROFILE%\Documents\GitHub\eaglep3\Utilities\DownloadLogsFromS3.py --loco 4052 --day 2017-02-21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"%USERPROFILE%\AppData\Local\Temp\OnboardLogs"\RTDC4052\*4052*20170221* | grep -SE "(Enforcement Action)|(\[TIMEOUT)|(CHR.+\|PRM\|1\|D.+(SWITCH|SIGNAL).+UNKNOWN)" - &gt;&gt; 2017-02-21-UncaughtWiMAX.txt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607</v>
      </c>
      <c r="B106" s="7">
        <v>4003</v>
      </c>
      <c r="C106" s="21" t="s">
        <v>359</v>
      </c>
      <c r="D106" s="21" t="s">
        <v>331</v>
      </c>
      <c r="E106" s="13">
        <v>42787.623113425929</v>
      </c>
      <c r="F106" s="13">
        <v>42787.625219907408</v>
      </c>
      <c r="G106" s="7">
        <v>1</v>
      </c>
      <c r="H106" s="21" t="s">
        <v>421</v>
      </c>
      <c r="I106" s="13">
        <v>42787.650289351855</v>
      </c>
      <c r="J106" s="7">
        <v>0</v>
      </c>
      <c r="K106" s="98" t="str">
        <f t="shared" si="32"/>
        <v>4003/4004</v>
      </c>
      <c r="L106" s="21" t="str">
        <f>VLOOKUP(A106,'Trips&amp;Operators'!$C$1:$G$99999,5,FALSE)</f>
        <v>LEVERE CRAIG</v>
      </c>
      <c r="M106" s="6">
        <f t="shared" si="33"/>
        <v>2.5069444447581191E-2</v>
      </c>
      <c r="N106" s="7">
        <f t="shared" si="49"/>
        <v>36.100000004516914</v>
      </c>
      <c r="O106" s="7"/>
      <c r="P106" s="7"/>
      <c r="Q106" s="22"/>
      <c r="R106" s="22"/>
      <c r="S106" s="31">
        <f t="shared" si="48"/>
        <v>1</v>
      </c>
      <c r="T106" s="46" t="str">
        <f t="shared" si="34"/>
        <v>NorthBound</v>
      </c>
      <c r="U106" s="193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4" t="str">
        <f t="shared" si="35"/>
        <v>https://d0f6bd738d7f1b3e5a7ca70fe4ff75f0.us-east-1.aws.found.io/app/kibana#/discover/Steve-Slow-Train-Analysis-(2080s-and-2083s)?_g=(refreshInterval:(display:Off,pause:!f,section:0,value:0),time:(from:'2017-02-21T13:57:17-0700',mode:absolute,to:'2017-02-21T16:36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6" s="195" t="str">
        <f t="shared" si="36"/>
        <v>N</v>
      </c>
      <c r="X106" s="195">
        <f t="shared" si="37"/>
        <v>1</v>
      </c>
      <c r="Y106" s="62">
        <f t="shared" si="43"/>
        <v>4.7500000000000001E-2</v>
      </c>
      <c r="Z106" s="62">
        <f t="shared" si="44"/>
        <v>23.333100000000002</v>
      </c>
      <c r="AA106" s="62">
        <f t="shared" si="38"/>
        <v>23.285600000000002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9"/>
        <v>0191-21</v>
      </c>
      <c r="AE106" s="85" t="str">
        <f t="shared" si="40"/>
        <v>aws s3 cp s3://rtdc.mdm.uploadarchive.raw/RTDC4003/ "%USERPROFILE%\AppData\Local\Temp\OnboardLogs"\RTDC4003\2017-02-21 --exclude "*" --recursive --include "*20170221*" &amp; "%USERPROFILE%\Documents\GitHub\mrs-test-scripts\Headless Mode &amp; Sideloading\WalkAndUnGZ.bat" "%USERPROFILE%\AppData\Local\Temp\OnboardLogs"\RTDC4003\2017-02-21 &amp; aws s3 cp s3://rtdc.mdm.uploadarchive.raw/RTDC4003/ "%USERPROFILE%\AppData\Local\Temp\OnboardLogs"\RTDC4003\2017-02-22 --exclude "*" --recursive --include "*20170222*" &amp; "%USERPROFILE%\Documents\GitHub\mrs-test-scripts\Headless Mode &amp; Sideloading\WalkAndUnGZ.bat" "%USERPROFILE%\AppData\Local\Temp\OnboardLogs"\RTDC4003\2017-02-22</v>
      </c>
      <c r="AF106" s="82" t="str">
        <f t="shared" si="41"/>
        <v>"C:\Program Files (x86)\AstroGrep\AstroGrep.exe" /spath="%USERPROFILE%\AppData\Local\Temp\OnboardLogs" /stypes="app*4003*20170221*" /stext=" 22:.+((SYSTEM_STATE.+slice.+state.+changed )|(ment ac)|(multiple cpu faults)|(system.+state.+changed )|(\[timeout)|(PRM\|1\|D)|(kpr)|(kdp)|(\|lc)|(penalty))" /e /r /s</v>
      </c>
      <c r="AG106" s="1" t="str">
        <f t="shared" si="42"/>
        <v>EC</v>
      </c>
      <c r="AH106" s="86" t="str">
        <f t="shared" si="45"/>
        <v>"%USERPROFILE%\Documents\GitHub\eaglep3\Utilities\RefineRTDCRunTimes.py" --tripid 191-21 --locoid 4003 --swversion DE.1.0.9.0 --startMP 204:475 --initTime 2017-02-21T14:57:17 --startdatetime 2017-02-21T15:00:19 --delay 1 --endMP 204:233331 --enddatetime 2017-02-21T15:36:25 --enforcementcount 0 &gt;&gt;C:\Users\stu\Documents\GitHub\eaglep3-reporting\EC\2017-02-21-refined-times.txt</v>
      </c>
      <c r="AI106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{"issue":{"subject":"","project_id":79,"tracker_id":40,"status_id":1,"priority_id":2,"assigned_to_id":23,"start_date":"2017-02-21","description":"","custom_fields":[{"id":1,"name":"Subdivision","value":"EC"},{"id":4,"name":"Milepost","value":"23.3331"},{"id":17,"name":"Train ID","value":"191-21"},{"id":16,"name":"Locomotive ID","value":"4003"},{"id":130,"name":"Impact","value":""},{"id":150,"name":"Time of Event (Mountain Time)","value":"15:36:25"},{"id":151,"name":"Denver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47"/>
        <v>start /low /b %USERPROFILE%\Documents\GitHub\eaglep3\Utilities\DownloadLogsFromS3.py --loco 4003 --day 2017-02-21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"%USERPROFILE%\AppData\Local\Temp\OnboardLogs"\RTDC4003\*4003*20170221* | grep -SE "(Enforcement Action)|(\[TIMEOUT)|(CHR.+\|PRM\|1\|D.+(SWITCH|SIGNAL).+UNKNOWN)" - &gt;&gt; 2017-02-21-UncaughtWiMAX.txt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616</v>
      </c>
      <c r="B107" s="7">
        <v>4004</v>
      </c>
      <c r="C107" s="21" t="s">
        <v>359</v>
      </c>
      <c r="D107" s="21" t="s">
        <v>426</v>
      </c>
      <c r="E107" s="13">
        <v>42787.657384259262</v>
      </c>
      <c r="F107" s="13">
        <v>42787.664166666669</v>
      </c>
      <c r="G107" s="7">
        <v>1</v>
      </c>
      <c r="H107" s="21" t="s">
        <v>206</v>
      </c>
      <c r="I107" s="13">
        <v>42787.691018518519</v>
      </c>
      <c r="J107" s="7">
        <v>0</v>
      </c>
      <c r="K107" s="98" t="str">
        <f t="shared" si="32"/>
        <v>4003/4004</v>
      </c>
      <c r="L107" s="21" t="str">
        <f>VLOOKUP(A107,'Trips&amp;Operators'!$C$1:$G$99999,5,FALSE)</f>
        <v>LEVERE CRAIG</v>
      </c>
      <c r="M107" s="6">
        <f t="shared" si="33"/>
        <v>2.6851851849642117E-2</v>
      </c>
      <c r="N107" s="7">
        <f t="shared" si="49"/>
        <v>38.666666663484648</v>
      </c>
      <c r="O107" s="7"/>
      <c r="P107" s="7"/>
      <c r="Q107" s="22"/>
      <c r="R107" s="22"/>
      <c r="S107" s="31">
        <f t="shared" si="48"/>
        <v>1</v>
      </c>
      <c r="T107" s="46" t="str">
        <f t="shared" si="34"/>
        <v>Southbound</v>
      </c>
      <c r="U107" s="193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4" t="str">
        <f t="shared" si="35"/>
        <v>https://d0f6bd738d7f1b3e5a7ca70fe4ff75f0.us-east-1.aws.found.io/app/kibana#/discover/Steve-Slow-Train-Analysis-(2080s-and-2083s)?_g=(refreshInterval:(display:Off,pause:!f,section:0,value:0),time:(from:'2017-02-21T14:46:38-0700',mode:absolute,to:'2017-02-21T17:35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7" s="195" t="str">
        <f t="shared" si="36"/>
        <v>N</v>
      </c>
      <c r="X107" s="195">
        <f t="shared" si="37"/>
        <v>1</v>
      </c>
      <c r="Y107" s="62">
        <f t="shared" si="43"/>
        <v>23.3</v>
      </c>
      <c r="Z107" s="62">
        <f t="shared" si="44"/>
        <v>1.52E-2</v>
      </c>
      <c r="AA107" s="62">
        <f t="shared" si="38"/>
        <v>23.284800000000001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9"/>
        <v>0192-21</v>
      </c>
      <c r="AE107" s="85" t="str">
        <f t="shared" si="40"/>
        <v>aws s3 cp s3://rtdc.mdm.uploadarchive.raw/RTDC4004/ "%USERPROFILE%\AppData\Local\Temp\OnboardLogs"\RTDC4004\2017-02-21 --exclude "*" --recursive --include "*20170221*" &amp; "%USERPROFILE%\Documents\GitHub\mrs-test-scripts\Headless Mode &amp; Sideloading\WalkAndUnGZ.bat" "%USERPROFILE%\AppData\Local\Temp\OnboardLogs"\RTDC4004\2017-02-21 &amp; aws s3 cp s3://rtdc.mdm.uploadarchive.raw/RTDC4004/ "%USERPROFILE%\AppData\Local\Temp\OnboardLogs"\RTDC4004\2017-02-22 --exclude "*" --recursive --include "*20170222*" &amp; "%USERPROFILE%\Documents\GitHub\mrs-test-scripts\Headless Mode &amp; Sideloading\WalkAndUnGZ.bat" "%USERPROFILE%\AppData\Local\Temp\OnboardLogs"\RTDC4004\2017-02-22</v>
      </c>
      <c r="AF107" s="82" t="str">
        <f t="shared" si="41"/>
        <v>"C:\Program Files (x86)\AstroGrep\AstroGrep.exe" /spath="%USERPROFILE%\AppData\Local\Temp\OnboardLogs" /stypes="app*4004*20170221*" /stext=" 23:.+((SYSTEM_STATE.+slice.+state.+changed )|(ment ac)|(multiple cpu faults)|(system.+state.+changed )|(\[timeout)|(PRM\|1\|D)|(kpr)|(kdp)|(\|lc)|(penalty))" /e /r /s</v>
      </c>
      <c r="AG107" s="1" t="str">
        <f t="shared" si="42"/>
        <v>EC</v>
      </c>
      <c r="AH107" s="86" t="str">
        <f t="shared" si="45"/>
        <v>"%USERPROFILE%\Documents\GitHub\eaglep3\Utilities\RefineRTDCRunTimes.py" --tripid 192-21 --locoid 4004 --swversion DE.1.0.9.0 --startMP 204:233000 --initTime 2017-02-21T15:46:38 --startdatetime 2017-02-21T15:56:24 --delay 1 --endMP 204:152 --enddatetime 2017-02-21T16:35:04 --enforcementcount 0 &gt;&gt;C:\Users\stu\Documents\GitHub\eaglep3-reporting\EC\2017-02-21-refined-times.txt</v>
      </c>
      <c r="AI107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{"issue":{"subject":"","project_id":79,"tracker_id":40,"status_id":1,"priority_id":2,"assigned_to_id":23,"start_date":"2017-02-21","description":"","custom_fields":[{"id":1,"name":"Subdivision","value":"EC"},{"id":4,"name":"Milepost","value":"0.0152"},{"id":17,"name":"Train ID","value":"192-21"},{"id":16,"name":"Locomotive ID","value":"4004"},{"id":130,"name":"Impact","value":""},{"id":150,"name":"Time of Event (Mountain Time)","value":"16:35:04"},{"id":151,"name":"Denver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47"/>
        <v>start /low /b %USERPROFILE%\Documents\GitHub\eaglep3\Utilities\DownloadLogsFromS3.py --loco 4004 --day 2017-02-21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"%USERPROFILE%\AppData\Local\Temp\OnboardLogs"\RTDC4004\*4004*20170221* | grep -SE "(Enforcement Action)|(\[TIMEOUT)|(CHR.+\|PRM\|1\|D.+(SWITCH|SIGNAL).+UNKNOWN)" - &gt;&gt; 2017-02-21-UncaughtWiMAX.txt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608</v>
      </c>
      <c r="B108" s="7">
        <v>4027</v>
      </c>
      <c r="C108" s="21" t="s">
        <v>359</v>
      </c>
      <c r="D108" s="21" t="s">
        <v>291</v>
      </c>
      <c r="E108" s="13">
        <v>42787.630011574074</v>
      </c>
      <c r="F108" s="13">
        <v>42787.635578703703</v>
      </c>
      <c r="G108" s="7">
        <v>1</v>
      </c>
      <c r="H108" s="21" t="s">
        <v>739</v>
      </c>
      <c r="I108" s="13">
        <v>42787.661944444444</v>
      </c>
      <c r="J108" s="7">
        <v>0</v>
      </c>
      <c r="K108" s="98" t="str">
        <f t="shared" si="32"/>
        <v>4027/4028</v>
      </c>
      <c r="L108" s="21" t="str">
        <f>VLOOKUP(A108,'Trips&amp;Operators'!$C$1:$G$99999,5,FALSE)</f>
        <v>CLARK KATHLEEN</v>
      </c>
      <c r="M108" s="6">
        <f t="shared" si="33"/>
        <v>2.6365740741312038E-2</v>
      </c>
      <c r="N108" s="7">
        <f t="shared" si="49"/>
        <v>37.966666667489335</v>
      </c>
      <c r="O108" s="7"/>
      <c r="P108" s="7"/>
      <c r="Q108" s="22"/>
      <c r="R108" s="22"/>
      <c r="S108" s="31">
        <f t="shared" si="48"/>
        <v>1</v>
      </c>
      <c r="T108" s="46" t="str">
        <f t="shared" si="34"/>
        <v>NorthBound</v>
      </c>
      <c r="U108" s="193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4" t="str">
        <f t="shared" si="35"/>
        <v>https://d0f6bd738d7f1b3e5a7ca70fe4ff75f0.us-east-1.aws.found.io/app/kibana#/discover/Steve-Slow-Train-Analysis-(2080s-and-2083s)?_g=(refreshInterval:(display:Off,pause:!f,section:0,value:0),time:(from:'2017-02-21T14:07:13-0700',mode:absolute,to:'2017-02-21T16:53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8" s="195" t="str">
        <f t="shared" si="36"/>
        <v>N</v>
      </c>
      <c r="X108" s="195">
        <f t="shared" si="37"/>
        <v>1</v>
      </c>
      <c r="Y108" s="62">
        <f t="shared" si="43"/>
        <v>4.7699999999999999E-2</v>
      </c>
      <c r="Z108" s="62">
        <f t="shared" si="44"/>
        <v>23.325299999999999</v>
      </c>
      <c r="AA108" s="62">
        <f t="shared" si="38"/>
        <v>23.2776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9"/>
        <v>0193-21</v>
      </c>
      <c r="AE108" s="85" t="str">
        <f t="shared" si="40"/>
        <v>aws s3 cp s3://rtdc.mdm.uploadarchive.raw/RTDC4027/ "%USERPROFILE%\AppData\Local\Temp\OnboardLogs"\RTDC4027\2017-02-21 --exclude "*" --recursive --include "*20170221*" &amp; "%USERPROFILE%\Documents\GitHub\mrs-test-scripts\Headless Mode &amp; Sideloading\WalkAndUnGZ.bat" "%USERPROFILE%\AppData\Local\Temp\OnboardLogs"\RTDC4027\2017-02-21 &amp; aws s3 cp s3://rtdc.mdm.uploadarchive.raw/RTDC4027/ "%USERPROFILE%\AppData\Local\Temp\OnboardLogs"\RTDC4027\2017-02-22 --exclude "*" --recursive --include "*20170222*" &amp; "%USERPROFILE%\Documents\GitHub\mrs-test-scripts\Headless Mode &amp; Sideloading\WalkAndUnGZ.bat" "%USERPROFILE%\AppData\Local\Temp\OnboardLogs"\RTDC4027\2017-02-22</v>
      </c>
      <c r="AF108" s="82" t="str">
        <f t="shared" si="41"/>
        <v>"C:\Program Files (x86)\AstroGrep\AstroGrep.exe" /spath="%USERPROFILE%\AppData\Local\Temp\OnboardLogs" /stypes="app*4027*20170221*" /stext=" 22:.+((SYSTEM_STATE.+slice.+state.+changed )|(ment ac)|(multiple cpu faults)|(system.+state.+changed )|(\[timeout)|(PRM\|1\|D)|(kpr)|(kdp)|(\|lc)|(penalty))" /e /r /s</v>
      </c>
      <c r="AG108" s="1" t="str">
        <f t="shared" si="42"/>
        <v>EC</v>
      </c>
      <c r="AH108" s="86" t="str">
        <f t="shared" si="45"/>
        <v>"%USERPROFILE%\Documents\GitHub\eaglep3\Utilities\RefineRTDCRunTimes.py" --tripid 193-21 --locoid 4027 --swversion DE.1.0.9.0 --startMP 204:477 --initTime 2017-02-21T15:07:13 --startdatetime 2017-02-21T15:15:14 --delay 1 --endMP 204:233253 --enddatetime 2017-02-21T15:53:12 --enforcementcount 0 &gt;&gt;C:\Users\stu\Documents\GitHub\eaglep3-reporting\EC\2017-02-21-refined-times.txt</v>
      </c>
      <c r="AI108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{"issue":{"subject":"","project_id":79,"tracker_id":40,"status_id":1,"priority_id":2,"assigned_to_id":23,"start_date":"2017-02-21","description":"","custom_fields":[{"id":1,"name":"Subdivision","value":"EC"},{"id":4,"name":"Milepost","value":"23.3253"},{"id":17,"name":"Train ID","value":"193-21"},{"id":16,"name":"Locomotive ID","value":"4027"},{"id":130,"name":"Impact","value":""},{"id":150,"name":"Time of Event (Mountain Time)","value":"15:53:12"},{"id":151,"name":"Denver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47"/>
        <v>start /low /b %USERPROFILE%\Documents\GitHub\eaglep3\Utilities\DownloadLogsFromS3.py --loco 4027 --day 2017-02-21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"%USERPROFILE%\AppData\Local\Temp\OnboardLogs"\RTDC4027\*4027*20170221* | grep -SE "(Enforcement Action)|(\[TIMEOUT)|(CHR.+\|PRM\|1\|D.+(SWITCH|SIGNAL).+UNKNOWN)" - &gt;&gt; 2017-02-21-UncaughtWiMAX.txt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618</v>
      </c>
      <c r="B109" s="7">
        <v>4028</v>
      </c>
      <c r="C109" s="21" t="s">
        <v>359</v>
      </c>
      <c r="D109" s="21" t="s">
        <v>740</v>
      </c>
      <c r="E109" s="13">
        <v>42787.666400462964</v>
      </c>
      <c r="F109" s="13">
        <v>42787.674467592595</v>
      </c>
      <c r="G109" s="7">
        <v>1</v>
      </c>
      <c r="H109" s="21" t="s">
        <v>741</v>
      </c>
      <c r="I109" s="13">
        <v>42787.702210648145</v>
      </c>
      <c r="J109" s="7">
        <v>0</v>
      </c>
      <c r="K109" s="98" t="str">
        <f t="shared" si="32"/>
        <v>4027/4028</v>
      </c>
      <c r="L109" s="21" t="str">
        <f>VLOOKUP(A109,'Trips&amp;Operators'!$C$1:$G$99999,5,FALSE)</f>
        <v>CLARK KATHLEEN</v>
      </c>
      <c r="M109" s="6">
        <f t="shared" si="33"/>
        <v>2.774305555067258E-2</v>
      </c>
      <c r="N109" s="7">
        <f t="shared" si="49"/>
        <v>39.949999992968515</v>
      </c>
      <c r="O109" s="7"/>
      <c r="P109" s="7"/>
      <c r="Q109" s="22"/>
      <c r="R109" s="22"/>
      <c r="S109" s="31">
        <f t="shared" si="48"/>
        <v>1</v>
      </c>
      <c r="T109" s="46" t="str">
        <f t="shared" si="34"/>
        <v>Southbound</v>
      </c>
      <c r="U109" s="193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4" t="str">
        <f t="shared" si="35"/>
        <v>https://d0f6bd738d7f1b3e5a7ca70fe4ff75f0.us-east-1.aws.found.io/app/kibana#/discover/Steve-Slow-Train-Analysis-(2080s-and-2083s)?_g=(refreshInterval:(display:Off,pause:!f,section:0,value:0),time:(from:'2017-02-21T14:59:37-0700',mode:absolute,to:'2017-02-21T17:51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9" s="195" t="str">
        <f t="shared" si="36"/>
        <v>N</v>
      </c>
      <c r="X109" s="195">
        <f t="shared" ref="X109:X115" si="50">VALUE(LEFT(AD109,4))-VALUE(LEFT(AD108,4))</f>
        <v>1</v>
      </c>
      <c r="Y109" s="62">
        <f t="shared" si="43"/>
        <v>23.293600000000001</v>
      </c>
      <c r="Z109" s="62">
        <f t="shared" si="44"/>
        <v>2.0299999999999999E-2</v>
      </c>
      <c r="AA109" s="62">
        <f t="shared" si="38"/>
        <v>23.273300000000003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9"/>
        <v>0194-21</v>
      </c>
      <c r="AE109" s="85" t="str">
        <f t="shared" si="40"/>
        <v>aws s3 cp s3://rtdc.mdm.uploadarchive.raw/RTDC4028/ "%USERPROFILE%\AppData\Local\Temp\OnboardLogs"\RTDC4028\2017-02-21 --exclude "*" --recursive --include "*20170221*" &amp; "%USERPROFILE%\Documents\GitHub\mrs-test-scripts\Headless Mode &amp; Sideloading\WalkAndUnGZ.bat" "%USERPROFILE%\AppData\Local\Temp\OnboardLogs"\RTDC4028\2017-02-21 &amp; aws s3 cp s3://rtdc.mdm.uploadarchive.raw/RTDC4028/ "%USERPROFILE%\AppData\Local\Temp\OnboardLogs"\RTDC4028\2017-02-22 --exclude "*" --recursive --include "*20170222*" &amp; "%USERPROFILE%\Documents\GitHub\mrs-test-scripts\Headless Mode &amp; Sideloading\WalkAndUnGZ.bat" "%USERPROFILE%\AppData\Local\Temp\OnboardLogs"\RTDC4028\2017-02-22</v>
      </c>
      <c r="AF109" s="82" t="str">
        <f t="shared" si="41"/>
        <v>"C:\Program Files (x86)\AstroGrep\AstroGrep.exe" /spath="%USERPROFILE%\AppData\Local\Temp\OnboardLogs" /stypes="app*4028*20170221*" /stext=" 23:.+((SYSTEM_STATE.+slice.+state.+changed )|(ment ac)|(multiple cpu faults)|(system.+state.+changed )|(\[timeout)|(PRM\|1\|D)|(kpr)|(kdp)|(\|lc)|(penalty))" /e /r /s</v>
      </c>
      <c r="AG109" s="1" t="str">
        <f t="shared" si="42"/>
        <v>EC</v>
      </c>
      <c r="AH109" s="86" t="str">
        <f t="shared" si="45"/>
        <v>"%USERPROFILE%\Documents\GitHub\eaglep3\Utilities\RefineRTDCRunTimes.py" --tripid 194-21 --locoid 4028 --swversion DE.1.0.9.0 --startMP 204:232936 --initTime 2017-02-21T15:59:37 --startdatetime 2017-02-21T16:11:14 --delay 1 --endMP 204:203 --enddatetime 2017-02-21T16:51:11 --enforcementcount 0 &gt;&gt;C:\Users\stu\Documents\GitHub\eaglep3-reporting\EC\2017-02-21-refined-times.txt</v>
      </c>
      <c r="AI109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{"issue":{"subject":"","project_id":79,"tracker_id":40,"status_id":1,"priority_id":2,"assigned_to_id":23,"start_date":"2017-02-21","description":"","custom_fields":[{"id":1,"name":"Subdivision","value":"EC"},{"id":4,"name":"Milepost","value":"0.0203"},{"id":17,"name":"Train ID","value":"194-21"},{"id":16,"name":"Locomotive ID","value":"4028"},{"id":130,"name":"Impact","value":""},{"id":150,"name":"Time of Event (Mountain Time)","value":"16:51:11"},{"id":151,"name":"Denver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47"/>
        <v>start /low /b %USERPROFILE%\Documents\GitHub\eaglep3\Utilities\DownloadLogsFromS3.py --loco 4028 --day 2017-02-21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"%USERPROFILE%\AppData\Local\Temp\OnboardLogs"\RTDC4028\*4028*20170221* | grep -SE "(Enforcement Action)|(\[TIMEOUT)|(CHR.+\|PRM\|1\|D.+(SWITCH|SIGNAL).+UNKNOWN)" - &gt;&gt; 2017-02-21-UncaughtWiMAX.txt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611</v>
      </c>
      <c r="B110" s="7">
        <v>4025</v>
      </c>
      <c r="C110" s="21" t="s">
        <v>359</v>
      </c>
      <c r="D110" s="21" t="s">
        <v>742</v>
      </c>
      <c r="E110" s="13">
        <v>42787.640659722223</v>
      </c>
      <c r="F110" s="13">
        <v>42787.646099537036</v>
      </c>
      <c r="G110" s="7">
        <v>1</v>
      </c>
      <c r="H110" s="21" t="s">
        <v>743</v>
      </c>
      <c r="I110" s="13">
        <v>42787.671203703707</v>
      </c>
      <c r="J110" s="7">
        <v>0</v>
      </c>
      <c r="K110" s="98" t="str">
        <f t="shared" si="32"/>
        <v>4025/4026</v>
      </c>
      <c r="L110" s="21" t="str">
        <f>VLOOKUP(A110,'Trips&amp;Operators'!$C$1:$G$99999,5,FALSE)</f>
        <v>CRAYTON QUNTRELL</v>
      </c>
      <c r="M110" s="6">
        <f t="shared" si="33"/>
        <v>2.510416667064419E-2</v>
      </c>
      <c r="N110" s="7">
        <f t="shared" si="49"/>
        <v>36.150000005727634</v>
      </c>
      <c r="O110" s="7"/>
      <c r="P110" s="7"/>
      <c r="Q110" s="22"/>
      <c r="R110" s="22"/>
      <c r="S110" s="31">
        <f t="shared" si="48"/>
        <v>1</v>
      </c>
      <c r="T110" s="46" t="str">
        <f t="shared" si="34"/>
        <v>NorthBound</v>
      </c>
      <c r="U110" s="193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4" t="str">
        <f t="shared" si="35"/>
        <v>https://d0f6bd738d7f1b3e5a7ca70fe4ff75f0.us-east-1.aws.found.io/app/kibana#/discover/Steve-Slow-Train-Analysis-(2080s-and-2083s)?_g=(refreshInterval:(display:Off,pause:!f,section:0,value:0),time:(from:'2017-02-21T14:22:33-0700',mode:absolute,to:'2017-02-21T17:06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0" s="195" t="str">
        <f t="shared" si="36"/>
        <v>N</v>
      </c>
      <c r="X110" s="195">
        <f t="shared" si="50"/>
        <v>1</v>
      </c>
      <c r="Y110" s="62">
        <f t="shared" si="43"/>
        <v>4.8599999999999997E-2</v>
      </c>
      <c r="Z110" s="62">
        <f t="shared" si="44"/>
        <v>23.330200000000001</v>
      </c>
      <c r="AA110" s="62">
        <f t="shared" si="38"/>
        <v>23.281600000000001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9"/>
        <v>0195-21</v>
      </c>
      <c r="AE110" s="85" t="str">
        <f t="shared" si="40"/>
        <v>aws s3 cp s3://rtdc.mdm.uploadarchive.raw/RTDC4025/ "%USERPROFILE%\AppData\Local\Temp\OnboardLogs"\RTDC4025\2017-02-21 --exclude "*" --recursive --include "*20170221*" &amp; "%USERPROFILE%\Documents\GitHub\mrs-test-scripts\Headless Mode &amp; Sideloading\WalkAndUnGZ.bat" "%USERPROFILE%\AppData\Local\Temp\OnboardLogs"\RTDC4025\2017-02-21 &amp; aws s3 cp s3://rtdc.mdm.uploadarchive.raw/RTDC4025/ "%USERPROFILE%\AppData\Local\Temp\OnboardLogs"\RTDC4025\2017-02-22 --exclude "*" --recursive --include "*20170222*" &amp; "%USERPROFILE%\Documents\GitHub\mrs-test-scripts\Headless Mode &amp; Sideloading\WalkAndUnGZ.bat" "%USERPROFILE%\AppData\Local\Temp\OnboardLogs"\RTDC4025\2017-02-22</v>
      </c>
      <c r="AF110" s="82" t="str">
        <f t="shared" si="41"/>
        <v>"C:\Program Files (x86)\AstroGrep\AstroGrep.exe" /spath="%USERPROFILE%\AppData\Local\Temp\OnboardLogs" /stypes="app*4025*20170221*" /stext=" 23:.+((SYSTEM_STATE.+slice.+state.+changed )|(ment ac)|(multiple cpu faults)|(system.+state.+changed )|(\[timeout)|(PRM\|1\|D)|(kpr)|(kdp)|(\|lc)|(penalty))" /e /r /s</v>
      </c>
      <c r="AG110" s="1" t="str">
        <f t="shared" si="42"/>
        <v>EC</v>
      </c>
      <c r="AH110" s="86" t="str">
        <f t="shared" si="45"/>
        <v>"%USERPROFILE%\Documents\GitHub\eaglep3\Utilities\RefineRTDCRunTimes.py" --tripid 195-21 --locoid 4025 --swversion DE.1.0.9.0 --startMP 204:486 --initTime 2017-02-21T15:22:33 --startdatetime 2017-02-21T15:30:23 --delay 1 --endMP 204:233302 --enddatetime 2017-02-21T16:06:32 --enforcementcount 0 &gt;&gt;C:\Users\stu\Documents\GitHub\eaglep3-reporting\EC\2017-02-21-refined-times.txt</v>
      </c>
      <c r="AI110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{"issue":{"subject":"","project_id":79,"tracker_id":40,"status_id":1,"priority_id":2,"assigned_to_id":23,"start_date":"2017-02-21","description":"","custom_fields":[{"id":1,"name":"Subdivision","value":"EC"},{"id":4,"name":"Milepost","value":"23.3302"},{"id":17,"name":"Train ID","value":"195-21"},{"id":16,"name":"Locomotive ID","value":"4025"},{"id":130,"name":"Impact","value":""},{"id":150,"name":"Time of Event (Mountain Time)","value":"16:06:32"},{"id":151,"name":"Denver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47"/>
        <v>start /low /b %USERPROFILE%\Documents\GitHub\eaglep3\Utilities\DownloadLogsFromS3.py --loco 4025 --day 2017-02-21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"%USERPROFILE%\AppData\Local\Temp\OnboardLogs"\RTDC4025\*4025*20170221* | grep -SE "(Enforcement Action)|(\[TIMEOUT)|(CHR.+\|PRM\|1\|D.+(SWITCH|SIGNAL).+UNKNOWN)" - &gt;&gt; 2017-02-21-UncaughtWiMAX.txt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621</v>
      </c>
      <c r="B111" s="7">
        <v>4026</v>
      </c>
      <c r="C111" s="21" t="s">
        <v>359</v>
      </c>
      <c r="D111" s="21" t="s">
        <v>376</v>
      </c>
      <c r="E111" s="13">
        <v>42787.677731481483</v>
      </c>
      <c r="F111" s="13">
        <v>42787.684895833336</v>
      </c>
      <c r="G111" s="7">
        <v>1</v>
      </c>
      <c r="H111" s="21" t="s">
        <v>286</v>
      </c>
      <c r="I111" s="13">
        <v>42787.713101851848</v>
      </c>
      <c r="J111" s="7">
        <v>0</v>
      </c>
      <c r="K111" s="98" t="str">
        <f t="shared" si="32"/>
        <v>4025/4026</v>
      </c>
      <c r="L111" s="21" t="str">
        <f>VLOOKUP(A111,'Trips&amp;Operators'!$C$1:$G$99999,5,FALSE)</f>
        <v>CRAYTON QUNTRELL</v>
      </c>
      <c r="M111" s="6">
        <f t="shared" si="33"/>
        <v>2.8206018512719311E-2</v>
      </c>
      <c r="N111" s="7">
        <f t="shared" si="49"/>
        <v>40.616666658315808</v>
      </c>
      <c r="O111" s="7"/>
      <c r="P111" s="7"/>
      <c r="Q111" s="22"/>
      <c r="R111" s="22"/>
      <c r="S111" s="31">
        <f t="shared" si="48"/>
        <v>1</v>
      </c>
      <c r="T111" s="46" t="str">
        <f t="shared" si="34"/>
        <v>Southbound</v>
      </c>
      <c r="U111" s="193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4" t="str">
        <f t="shared" si="35"/>
        <v>https://d0f6bd738d7f1b3e5a7ca70fe4ff75f0.us-east-1.aws.found.io/app/kibana#/discover/Steve-Slow-Train-Analysis-(2080s-and-2083s)?_g=(refreshInterval:(display:Off,pause:!f,section:0,value:0),time:(from:'2017-02-21T15:15:56-0700',mode:absolute,to:'2017-02-21T18:06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1" s="195" t="str">
        <f t="shared" si="36"/>
        <v>N</v>
      </c>
      <c r="X111" s="195">
        <f t="shared" si="50"/>
        <v>1</v>
      </c>
      <c r="Y111" s="62">
        <f t="shared" si="43"/>
        <v>23.2974</v>
      </c>
      <c r="Z111" s="62">
        <f t="shared" si="44"/>
        <v>1.5599999999999999E-2</v>
      </c>
      <c r="AA111" s="62">
        <f t="shared" si="38"/>
        <v>23.2818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9"/>
        <v>0196-21</v>
      </c>
      <c r="AE111" s="85" t="str">
        <f t="shared" si="40"/>
        <v>aws s3 cp s3://rtdc.mdm.uploadarchive.raw/RTDC4026/ "%USERPROFILE%\AppData\Local\Temp\OnboardLogs"\RTDC4026\2017-02-21 --exclude "*" --recursive --include "*20170221*" &amp; "%USERPROFILE%\Documents\GitHub\mrs-test-scripts\Headless Mode &amp; Sideloading\WalkAndUnGZ.bat" "%USERPROFILE%\AppData\Local\Temp\OnboardLogs"\RTDC4026\2017-02-21 &amp; aws s3 cp s3://rtdc.mdm.uploadarchive.raw/RTDC4026/ "%USERPROFILE%\AppData\Local\Temp\OnboardLogs"\RTDC4026\2017-02-22 --exclude "*" --recursive --include "*20170222*" &amp; "%USERPROFILE%\Documents\GitHub\mrs-test-scripts\Headless Mode &amp; Sideloading\WalkAndUnGZ.bat" "%USERPROFILE%\AppData\Local\Temp\OnboardLogs"\RTDC4026\2017-02-22</v>
      </c>
      <c r="AF111" s="82" t="str">
        <f t="shared" si="41"/>
        <v>"C:\Program Files (x86)\AstroGrep\AstroGrep.exe" /spath="%USERPROFILE%\AppData\Local\Temp\OnboardLogs" /stypes="app*4026*20170222*" /stext=" 00:.+((SYSTEM_STATE.+slice.+state.+changed )|(ment ac)|(multiple cpu faults)|(system.+state.+changed )|(\[timeout)|(PRM\|1\|D)|(kpr)|(kdp)|(\|lc)|(penalty))" /e /r /s</v>
      </c>
      <c r="AG111" s="1" t="str">
        <f t="shared" si="42"/>
        <v>EC</v>
      </c>
      <c r="AH111" s="86" t="str">
        <f t="shared" si="45"/>
        <v>"%USERPROFILE%\Documents\GitHub\eaglep3\Utilities\RefineRTDCRunTimes.py" --tripid 196-21 --locoid 4026 --swversion DE.1.0.9.0 --startMP 204:232974 --initTime 2017-02-21T16:15:56 --startdatetime 2017-02-21T16:26:15 --delay 1 --endMP 204:156 --enddatetime 2017-02-21T17:06:52 --enforcementcount 0 &gt;&gt;C:\Users\stu\Documents\GitHub\eaglep3-reporting\EC\2017-02-21-refined-times.txt</v>
      </c>
      <c r="AI111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{"issue":{"subject":"","project_id":79,"tracker_id":40,"status_id":1,"priority_id":2,"assigned_to_id":23,"start_date":"2017-02-21","description":"","custom_fields":[{"id":1,"name":"Subdivision","value":"EC"},{"id":4,"name":"Milepost","value":"0.0156"},{"id":17,"name":"Train ID","value":"196-21"},{"id":16,"name":"Locomotive ID","value":"4026"},{"id":130,"name":"Impact","value":""},{"id":150,"name":"Time of Event (Mountain Time)","value":"17:06:52"},{"id":151,"name":"Denver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47"/>
        <v>start /low /b %USERPROFILE%\Documents\GitHub\eaglep3\Utilities\DownloadLogsFromS3.py --loco 4026 --day 2017-02-21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"%USERPROFILE%\AppData\Local\Temp\OnboardLogs"\RTDC4026\*4026*20170221* | grep -SE "(Enforcement Action)|(\[TIMEOUT)|(CHR.+\|PRM\|1\|D.+(SWITCH|SIGNAL).+UNKNOWN)" - &gt;&gt; 2017-02-21-UncaughtWiMAX.txt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615</v>
      </c>
      <c r="B112" s="7">
        <v>4006</v>
      </c>
      <c r="C112" s="21" t="s">
        <v>359</v>
      </c>
      <c r="D112" s="21" t="s">
        <v>699</v>
      </c>
      <c r="E112" s="13">
        <v>42787.651446759257</v>
      </c>
      <c r="F112" s="13">
        <v>42787.656400462962</v>
      </c>
      <c r="G112" s="7">
        <v>1</v>
      </c>
      <c r="H112" s="21" t="s">
        <v>334</v>
      </c>
      <c r="I112" s="13">
        <v>42787.681585648148</v>
      </c>
      <c r="J112" s="7">
        <v>0</v>
      </c>
      <c r="K112" s="98" t="str">
        <f t="shared" si="32"/>
        <v>4005/4006</v>
      </c>
      <c r="L112" s="21" t="str">
        <f>VLOOKUP(A112,'Trips&amp;Operators'!$C$1:$G$99999,5,FALSE)</f>
        <v>ROMERO CHAD</v>
      </c>
      <c r="M112" s="6">
        <f t="shared" si="33"/>
        <v>2.5185185186273884E-2</v>
      </c>
      <c r="N112" s="7">
        <f t="shared" si="49"/>
        <v>36.266666668234393</v>
      </c>
      <c r="O112" s="7"/>
      <c r="P112" s="7"/>
      <c r="Q112" s="22"/>
      <c r="R112" s="22"/>
      <c r="S112" s="31">
        <f t="shared" si="48"/>
        <v>1</v>
      </c>
      <c r="T112" s="46" t="str">
        <f t="shared" si="34"/>
        <v>NorthBound</v>
      </c>
      <c r="U112" s="193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4" t="str">
        <f t="shared" si="35"/>
        <v>https://d0f6bd738d7f1b3e5a7ca70fe4ff75f0.us-east-1.aws.found.io/app/kibana#/discover/Steve-Slow-Train-Analysis-(2080s-and-2083s)?_g=(refreshInterval:(display:Off,pause:!f,section:0,value:0),time:(from:'2017-02-21T14:38:05-0700',mode:absolute,to:'2017-02-21T17:21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2" s="195" t="str">
        <f t="shared" si="36"/>
        <v>N</v>
      </c>
      <c r="X112" s="195">
        <f t="shared" si="50"/>
        <v>1</v>
      </c>
      <c r="Y112" s="62">
        <f t="shared" si="43"/>
        <v>4.3299999999999998E-2</v>
      </c>
      <c r="Z112" s="62">
        <f t="shared" si="44"/>
        <v>23.330300000000001</v>
      </c>
      <c r="AA112" s="62">
        <f t="shared" si="38"/>
        <v>23.287000000000003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9"/>
        <v>0197-21</v>
      </c>
      <c r="AE112" s="85" t="str">
        <f t="shared" si="40"/>
        <v>aws s3 cp s3://rtdc.mdm.uploadarchive.raw/RTDC4006/ "%USERPROFILE%\AppData\Local\Temp\OnboardLogs"\RTDC4006\2017-02-21 --exclude "*" --recursive --include "*20170221*" &amp; "%USERPROFILE%\Documents\GitHub\mrs-test-scripts\Headless Mode &amp; Sideloading\WalkAndUnGZ.bat" "%USERPROFILE%\AppData\Local\Temp\OnboardLogs"\RTDC4006\2017-02-21 &amp; aws s3 cp s3://rtdc.mdm.uploadarchive.raw/RTDC4006/ "%USERPROFILE%\AppData\Local\Temp\OnboardLogs"\RTDC4006\2017-02-22 --exclude "*" --recursive --include "*20170222*" &amp; "%USERPROFILE%\Documents\GitHub\mrs-test-scripts\Headless Mode &amp; Sideloading\WalkAndUnGZ.bat" "%USERPROFILE%\AppData\Local\Temp\OnboardLogs"\RTDC4006\2017-02-22</v>
      </c>
      <c r="AF112" s="82" t="str">
        <f t="shared" si="41"/>
        <v>"C:\Program Files (x86)\AstroGrep\AstroGrep.exe" /spath="%USERPROFILE%\AppData\Local\Temp\OnboardLogs" /stypes="app*4006*20170221*" /stext=" 23:.+((SYSTEM_STATE.+slice.+state.+changed )|(ment ac)|(multiple cpu faults)|(system.+state.+changed )|(\[timeout)|(PRM\|1\|D)|(kpr)|(kdp)|(\|lc)|(penalty))" /e /r /s</v>
      </c>
      <c r="AG112" s="1" t="str">
        <f t="shared" si="42"/>
        <v>EC</v>
      </c>
      <c r="AH112" s="86" t="str">
        <f t="shared" si="45"/>
        <v>"%USERPROFILE%\Documents\GitHub\eaglep3\Utilities\RefineRTDCRunTimes.py" --tripid 197-21 --locoid 4006 --swversion DE.1.0.9.0 --startMP 204:433 --initTime 2017-02-21T15:38:05 --startdatetime 2017-02-21T15:45:13 --delay 1 --endMP 204:233303 --enddatetime 2017-02-21T16:21:29 --enforcementcount 0 &gt;&gt;C:\Users\stu\Documents\GitHub\eaglep3-reporting\EC\2017-02-21-refined-times.txt</v>
      </c>
      <c r="AI112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{"issue":{"subject":"","project_id":79,"tracker_id":40,"status_id":1,"priority_id":2,"assigned_to_id":23,"start_date":"2017-02-21","description":"","custom_fields":[{"id":1,"name":"Subdivision","value":"EC"},{"id":4,"name":"Milepost","value":"23.3303"},{"id":17,"name":"Train ID","value":"197-21"},{"id":16,"name":"Locomotive ID","value":"4006"},{"id":130,"name":"Impact","value":""},{"id":150,"name":"Time of Event (Mountain Time)","value":"16:21:29"},{"id":151,"name":"Denver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47"/>
        <v>start /low /b %USERPROFILE%\Documents\GitHub\eaglep3\Utilities\DownloadLogsFromS3.py --loco 4006 --day 2017-02-21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"%USERPROFILE%\AppData\Local\Temp\OnboardLogs"\RTDC4006\*4006*20170221* | grep -SE "(Enforcement Action)|(\[TIMEOUT)|(CHR.+\|PRM\|1\|D.+(SWITCH|SIGNAL).+UNKNOWN)" - &gt;&gt; 2017-02-21-UncaughtWiMAX.txt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481</v>
      </c>
      <c r="B113" s="7">
        <v>4005</v>
      </c>
      <c r="C113" s="21" t="s">
        <v>359</v>
      </c>
      <c r="D113" s="21" t="s">
        <v>710</v>
      </c>
      <c r="E113" s="13">
        <v>42787.683506944442</v>
      </c>
      <c r="F113" s="13">
        <v>42787.695497685185</v>
      </c>
      <c r="G113" s="7">
        <v>1</v>
      </c>
      <c r="H113" s="21" t="s">
        <v>289</v>
      </c>
      <c r="I113" s="13">
        <v>42787.722592592596</v>
      </c>
      <c r="J113" s="7">
        <v>0</v>
      </c>
      <c r="K113" s="98" t="str">
        <f t="shared" si="32"/>
        <v>4005/4006</v>
      </c>
      <c r="L113" s="21" t="str">
        <f>VLOOKUP(A113,'Trips&amp;Operators'!$C$1:$G$99999,5,FALSE)</f>
        <v>ROMERO CHAD</v>
      </c>
      <c r="M113" s="6">
        <f t="shared" si="33"/>
        <v>2.7094907411083113E-2</v>
      </c>
      <c r="N113" s="7">
        <f t="shared" si="49"/>
        <v>39.016666671959683</v>
      </c>
      <c r="O113" s="7"/>
      <c r="P113" s="7"/>
      <c r="Q113" s="22"/>
      <c r="R113" s="22"/>
      <c r="S113" s="31">
        <f t="shared" si="48"/>
        <v>1</v>
      </c>
      <c r="T113" s="46" t="str">
        <f t="shared" si="34"/>
        <v>Southbound</v>
      </c>
      <c r="U113" s="193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4" t="str">
        <f t="shared" si="35"/>
        <v>https://d0f6bd738d7f1b3e5a7ca70fe4ff75f0.us-east-1.aws.found.io/app/kibana#/discover/Steve-Slow-Train-Analysis-(2080s-and-2083s)?_g=(refreshInterval:(display:Off,pause:!f,section:0,value:0),time:(from:'2017-02-21T15:24:15-0700',mode:absolute,to:'2017-02-21T18:20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3" s="195" t="str">
        <f t="shared" si="36"/>
        <v>N</v>
      </c>
      <c r="X113" s="195">
        <f t="shared" si="50"/>
        <v>1</v>
      </c>
      <c r="Y113" s="62">
        <f t="shared" si="43"/>
        <v>23.2986</v>
      </c>
      <c r="Z113" s="62">
        <f t="shared" si="44"/>
        <v>1.47E-2</v>
      </c>
      <c r="AA113" s="62">
        <f t="shared" si="38"/>
        <v>23.283899999999999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9"/>
        <v>0198-21</v>
      </c>
      <c r="AE113" s="85" t="str">
        <f t="shared" si="40"/>
        <v>aws s3 cp s3://rtdc.mdm.uploadarchive.raw/RTDC4005/ "%USERPROFILE%\AppData\Local\Temp\OnboardLogs"\RTDC4005\2017-02-21 --exclude "*" --recursive --include "*20170221*" &amp; "%USERPROFILE%\Documents\GitHub\mrs-test-scripts\Headless Mode &amp; Sideloading\WalkAndUnGZ.bat" "%USERPROFILE%\AppData\Local\Temp\OnboardLogs"\RTDC4005\2017-02-21 &amp; aws s3 cp s3://rtdc.mdm.uploadarchive.raw/RTDC4005/ "%USERPROFILE%\AppData\Local\Temp\OnboardLogs"\RTDC4005\2017-02-22 --exclude "*" --recursive --include "*20170222*" &amp; "%USERPROFILE%\Documents\GitHub\mrs-test-scripts\Headless Mode &amp; Sideloading\WalkAndUnGZ.bat" "%USERPROFILE%\AppData\Local\Temp\OnboardLogs"\RTDC4005\2017-02-22</v>
      </c>
      <c r="AF113" s="82" t="str">
        <f t="shared" si="41"/>
        <v>"C:\Program Files (x86)\AstroGrep\AstroGrep.exe" /spath="%USERPROFILE%\AppData\Local\Temp\OnboardLogs" /stypes="app*4005*20170222*" /stext=" 00:.+((SYSTEM_STATE.+slice.+state.+changed )|(ment ac)|(multiple cpu faults)|(system.+state.+changed )|(\[timeout)|(PRM\|1\|D)|(kpr)|(kdp)|(\|lc)|(penalty))" /e /r /s</v>
      </c>
      <c r="AG113" s="1" t="str">
        <f t="shared" si="42"/>
        <v>EC</v>
      </c>
      <c r="AH113" s="86" t="str">
        <f t="shared" si="45"/>
        <v>"%USERPROFILE%\Documents\GitHub\eaglep3\Utilities\RefineRTDCRunTimes.py" --tripid 198-21 --locoid 4005 --swversion DE.1.0.9.0 --startMP 204:232986 --initTime 2017-02-21T16:24:15 --startdatetime 2017-02-21T16:41:31 --delay 1 --endMP 204:147 --enddatetime 2017-02-21T17:20:32 --enforcementcount 0 &gt;&gt;C:\Users\stu\Documents\GitHub\eaglep3-reporting\EC\2017-02-21-refined-times.txt</v>
      </c>
      <c r="AI113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{"issue":{"subject":"","project_id":79,"tracker_id":40,"status_id":1,"priority_id":2,"assigned_to_id":23,"start_date":"2017-02-21","description":"","custom_fields":[{"id":1,"name":"Subdivision","value":"EC"},{"id":4,"name":"Milepost","value":"0.0147"},{"id":17,"name":"Train ID","value":"198-21"},{"id":16,"name":"Locomotive ID","value":"4005"},{"id":130,"name":"Impact","value":""},{"id":150,"name":"Time of Event (Mountain Time)","value":"17:20:32"},{"id":151,"name":"Denver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47"/>
        <v>start /low /b %USERPROFILE%\Documents\GitHub\eaglep3\Utilities\DownloadLogsFromS3.py --loco 4005 --day 2017-02-21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"%USERPROFILE%\AppData\Local\Temp\OnboardLogs"\RTDC4005\*4005*20170222* | grep -SE "(Enforcement Action)|(\[TIMEOUT)|(CHR.+\|PRM\|1\|D.+(SWITCH|SIGNAL).+UNKNOWN)" - &gt;&gt; 2017-02-21-UncaughtWiMAX.txt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617</v>
      </c>
      <c r="B114" s="7">
        <v>4029</v>
      </c>
      <c r="C114" s="21" t="s">
        <v>359</v>
      </c>
      <c r="D114" s="21" t="s">
        <v>361</v>
      </c>
      <c r="E114" s="13">
        <v>42787.660115740742</v>
      </c>
      <c r="F114" s="13">
        <v>42787.667071759257</v>
      </c>
      <c r="G114" s="7">
        <v>1</v>
      </c>
      <c r="H114" s="21" t="s">
        <v>297</v>
      </c>
      <c r="I114" s="13">
        <v>42787.694085648145</v>
      </c>
      <c r="J114" s="7">
        <v>0</v>
      </c>
      <c r="K114" s="98" t="str">
        <f t="shared" si="32"/>
        <v>4029/4030</v>
      </c>
      <c r="L114" s="21" t="str">
        <f>VLOOKUP(A114,'Trips&amp;Operators'!$C$1:$G$99999,5,FALSE)</f>
        <v>STRICKLAND EVAN</v>
      </c>
      <c r="M114" s="6">
        <f t="shared" si="33"/>
        <v>2.7013888888177462E-2</v>
      </c>
      <c r="N114" s="7">
        <f t="shared" si="49"/>
        <v>38.899999998975545</v>
      </c>
      <c r="O114" s="7"/>
      <c r="P114" s="7"/>
      <c r="Q114" s="22"/>
      <c r="R114" s="22"/>
      <c r="S114" s="31">
        <f t="shared" si="48"/>
        <v>1</v>
      </c>
      <c r="T114" s="46" t="str">
        <f t="shared" si="34"/>
        <v>NorthBound</v>
      </c>
      <c r="U114" s="193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4" t="str">
        <f t="shared" si="35"/>
        <v>https://d0f6bd738d7f1b3e5a7ca70fe4ff75f0.us-east-1.aws.found.io/app/kibana#/discover/Steve-Slow-Train-Analysis-(2080s-and-2083s)?_g=(refreshInterval:(display:Off,pause:!f,section:0,value:0),time:(from:'2017-02-21T14:50:34-0700',mode:absolute,to:'2017-02-21T17:39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4" s="195" t="str">
        <f t="shared" si="36"/>
        <v>N</v>
      </c>
      <c r="X114" s="195">
        <f t="shared" si="50"/>
        <v>1</v>
      </c>
      <c r="Y114" s="62">
        <f t="shared" si="43"/>
        <v>4.58E-2</v>
      </c>
      <c r="Z114" s="62">
        <f t="shared" si="44"/>
        <v>23.3278</v>
      </c>
      <c r="AA114" s="62">
        <f t="shared" si="38"/>
        <v>23.282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9"/>
        <v>0199-21</v>
      </c>
      <c r="AE114" s="85" t="str">
        <f t="shared" si="40"/>
        <v>aws s3 cp s3://rtdc.mdm.uploadarchive.raw/RTDC4029/ "%USERPROFILE%\AppData\Local\Temp\OnboardLogs"\RTDC4029\2017-02-21 --exclude "*" --recursive --include "*20170221*" &amp; "%USERPROFILE%\Documents\GitHub\mrs-test-scripts\Headless Mode &amp; Sideloading\WalkAndUnGZ.bat" "%USERPROFILE%\AppData\Local\Temp\OnboardLogs"\RTDC4029\2017-02-21 &amp; aws s3 cp s3://rtdc.mdm.uploadarchive.raw/RTDC4029/ "%USERPROFILE%\AppData\Local\Temp\OnboardLogs"\RTDC4029\2017-02-22 --exclude "*" --recursive --include "*20170222*" &amp; "%USERPROFILE%\Documents\GitHub\mrs-test-scripts\Headless Mode &amp; Sideloading\WalkAndUnGZ.bat" "%USERPROFILE%\AppData\Local\Temp\OnboardLogs"\RTDC4029\2017-02-22</v>
      </c>
      <c r="AF114" s="82" t="str">
        <f t="shared" si="41"/>
        <v>"C:\Program Files (x86)\AstroGrep\AstroGrep.exe" /spath="%USERPROFILE%\AppData\Local\Temp\OnboardLogs" /stypes="app*4029*20170221*" /stext=" 23:.+((SYSTEM_STATE.+slice.+state.+changed )|(ment ac)|(multiple cpu faults)|(system.+state.+changed )|(\[timeout)|(PRM\|1\|D)|(kpr)|(kdp)|(\|lc)|(penalty))" /e /r /s</v>
      </c>
      <c r="AG114" s="1" t="str">
        <f t="shared" si="42"/>
        <v>EC</v>
      </c>
      <c r="AH114" s="86" t="str">
        <f t="shared" si="45"/>
        <v>"%USERPROFILE%\Documents\GitHub\eaglep3\Utilities\RefineRTDCRunTimes.py" --tripid 199-21 --locoid 4029 --swversion DE.1.0.9.0 --startMP 204:458 --initTime 2017-02-21T15:50:34 --startdatetime 2017-02-21T16:00:35 --delay 1 --endMP 204:233278 --enddatetime 2017-02-21T16:39:29 --enforcementcount 0 &gt;&gt;C:\Users\stu\Documents\GitHub\eaglep3-reporting\EC\2017-02-21-refined-times.txt</v>
      </c>
      <c r="AI114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{"issue":{"subject":"","project_id":79,"tracker_id":40,"status_id":1,"priority_id":2,"assigned_to_id":23,"start_date":"2017-02-21","description":"","custom_fields":[{"id":1,"name":"Subdivision","value":"EC"},{"id":4,"name":"Milepost","value":"23.3278"},{"id":17,"name":"Train ID","value":"199-21"},{"id":16,"name":"Locomotive ID","value":"4029"},{"id":130,"name":"Impact","value":""},{"id":150,"name":"Time of Event (Mountain Time)","value":"16:39:29"},{"id":151,"name":"Denver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47"/>
        <v>start /low /b %USERPROFILE%\Documents\GitHub\eaglep3\Utilities\DownloadLogsFromS3.py --loco 4029 --day 2017-02-21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"%USERPROFILE%\AppData\Local\Temp\OnboardLogs"\RTDC4029\*4029*20170221* | grep -SE "(Enforcement Action)|(\[TIMEOUT)|(CHR.+\|PRM\|1\|D.+(SWITCH|SIGNAL).+UNKNOWN)" - &gt;&gt; 2017-02-21-UncaughtWiMAX.txt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625</v>
      </c>
      <c r="B115" s="7">
        <v>4030</v>
      </c>
      <c r="C115" s="21" t="s">
        <v>359</v>
      </c>
      <c r="D115" s="21" t="s">
        <v>429</v>
      </c>
      <c r="E115" s="13">
        <v>42787.701215277775</v>
      </c>
      <c r="F115" s="13">
        <v>42787.705763888887</v>
      </c>
      <c r="G115" s="7">
        <v>1</v>
      </c>
      <c r="H115" s="21" t="s">
        <v>213</v>
      </c>
      <c r="I115" s="13">
        <v>42787.735034722224</v>
      </c>
      <c r="J115" s="7">
        <v>0</v>
      </c>
      <c r="K115" s="98" t="str">
        <f t="shared" si="32"/>
        <v>4029/4030</v>
      </c>
      <c r="L115" s="21" t="str">
        <f>VLOOKUP(A115,'Trips&amp;Operators'!$C$1:$G$99999,5,FALSE)</f>
        <v>STRICKLAND EVAN</v>
      </c>
      <c r="M115" s="6">
        <f t="shared" si="33"/>
        <v>2.9270833336340729E-2</v>
      </c>
      <c r="N115" s="7">
        <f t="shared" si="49"/>
        <v>42.15000000433065</v>
      </c>
      <c r="O115" s="7"/>
      <c r="P115" s="7"/>
      <c r="Q115" s="22"/>
      <c r="R115" s="22"/>
      <c r="S115" s="31">
        <f t="shared" si="48"/>
        <v>1</v>
      </c>
      <c r="T115" s="46" t="str">
        <f t="shared" si="34"/>
        <v>Southbound</v>
      </c>
      <c r="U115" s="193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4" t="str">
        <f t="shared" si="35"/>
        <v>https://d0f6bd738d7f1b3e5a7ca70fe4ff75f0.us-east-1.aws.found.io/app/kibana#/discover/Steve-Slow-Train-Analysis-(2080s-and-2083s)?_g=(refreshInterval:(display:Off,pause:!f,section:0,value:0),time:(from:'2017-02-21T15:49:45-0700',mode:absolute,to:'2017-02-21T18:38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5" s="195" t="str">
        <f t="shared" si="36"/>
        <v>N</v>
      </c>
      <c r="X115" s="195">
        <f t="shared" si="50"/>
        <v>1</v>
      </c>
      <c r="Y115" s="62">
        <f t="shared" si="43"/>
        <v>23.297599999999999</v>
      </c>
      <c r="Z115" s="62">
        <f t="shared" si="44"/>
        <v>1.54E-2</v>
      </c>
      <c r="AA115" s="62">
        <f t="shared" si="38"/>
        <v>23.2822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9"/>
        <v>0200-21</v>
      </c>
      <c r="AE115" s="85" t="str">
        <f t="shared" si="40"/>
        <v>aws s3 cp s3://rtdc.mdm.uploadarchive.raw/RTDC4030/ "%USERPROFILE%\AppData\Local\Temp\OnboardLogs"\RTDC4030\2017-02-21 --exclude "*" --recursive --include "*20170221*" &amp; "%USERPROFILE%\Documents\GitHub\mrs-test-scripts\Headless Mode &amp; Sideloading\WalkAndUnGZ.bat" "%USERPROFILE%\AppData\Local\Temp\OnboardLogs"\RTDC4030\2017-02-21 &amp; aws s3 cp s3://rtdc.mdm.uploadarchive.raw/RTDC4030/ "%USERPROFILE%\AppData\Local\Temp\OnboardLogs"\RTDC4030\2017-02-22 --exclude "*" --recursive --include "*20170222*" &amp; "%USERPROFILE%\Documents\GitHub\mrs-test-scripts\Headless Mode &amp; Sideloading\WalkAndUnGZ.bat" "%USERPROFILE%\AppData\Local\Temp\OnboardLogs"\RTDC4030\2017-02-22</v>
      </c>
      <c r="AF115" s="82" t="str">
        <f t="shared" si="41"/>
        <v>"C:\Program Files (x86)\AstroGrep\AstroGrep.exe" /spath="%USERPROFILE%\AppData\Local\Temp\OnboardLogs" /stypes="app*4030*20170222*" /stext=" 00:.+((SYSTEM_STATE.+slice.+state.+changed )|(ment ac)|(multiple cpu faults)|(system.+state.+changed )|(\[timeout)|(PRM\|1\|D)|(kpr)|(kdp)|(\|lc)|(penalty))" /e /r /s</v>
      </c>
      <c r="AG115" s="1" t="str">
        <f t="shared" si="42"/>
        <v>EC</v>
      </c>
      <c r="AH115" s="86" t="str">
        <f t="shared" si="45"/>
        <v>"%USERPROFILE%\Documents\GitHub\eaglep3\Utilities\RefineRTDCRunTimes.py" --tripid 200-21 --locoid 4030 --swversion DE.1.0.9.0 --startMP 204:232976 --initTime 2017-02-21T16:49:45 --startdatetime 2017-02-21T16:56:18 --delay 1 --endMP 204:154 --enddatetime 2017-02-21T17:38:27 --enforcementcount 0 &gt;&gt;C:\Users\stu\Documents\GitHub\eaglep3-reporting\EC\2017-02-21-refined-times.txt</v>
      </c>
      <c r="AI115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{"issue":{"subject":"","project_id":79,"tracker_id":40,"status_id":1,"priority_id":2,"assigned_to_id":23,"start_date":"2017-02-21","description":"","custom_fields":[{"id":1,"name":"Subdivision","value":"EC"},{"id":4,"name":"Milepost","value":"0.0154"},{"id":17,"name":"Train ID","value":"200-21"},{"id":16,"name":"Locomotive ID","value":"4030"},{"id":130,"name":"Impact","value":""},{"id":150,"name":"Time of Event (Mountain Time)","value":"17:38:27"},{"id":151,"name":"Denver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47"/>
        <v>start /low /b %USERPROFILE%\Documents\GitHub\eaglep3\Utilities\DownloadLogsFromS3.py --loco 4030 --day 2017-02-21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"%USERPROFILE%\AppData\Local\Temp\OnboardLogs"\RTDC4030\*4030*20170222* | grep -SE "(Enforcement Action)|(\[TIMEOUT)|(CHR.+\|PRM\|1\|D.+(SWITCH|SIGNAL).+UNKNOWN)" - &gt;&gt; 2017-02-21-UncaughtWiMAX.txt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620</v>
      </c>
      <c r="B116" s="7">
        <v>4014</v>
      </c>
      <c r="C116" s="21" t="s">
        <v>359</v>
      </c>
      <c r="D116" s="21" t="s">
        <v>696</v>
      </c>
      <c r="E116" s="13">
        <v>42787.675046296295</v>
      </c>
      <c r="F116" s="13">
        <v>42787.677395833336</v>
      </c>
      <c r="G116" s="7">
        <v>1</v>
      </c>
      <c r="H116" s="21" t="s">
        <v>418</v>
      </c>
      <c r="I116" s="13">
        <v>42787.704467592594</v>
      </c>
      <c r="J116" s="7">
        <v>0</v>
      </c>
      <c r="K116" s="98" t="str">
        <f t="shared" si="32"/>
        <v>4013/4014</v>
      </c>
      <c r="L116" s="21" t="str">
        <f>VLOOKUP(A116,'Trips&amp;Operators'!$C$1:$G$99999,5,FALSE)</f>
        <v>DAVIS MICHAEL</v>
      </c>
      <c r="M116" s="6">
        <f t="shared" si="33"/>
        <v>2.7071759257523809E-2</v>
      </c>
      <c r="N116" s="7">
        <f t="shared" si="49"/>
        <v>38.983333330834284</v>
      </c>
      <c r="O116" s="7"/>
      <c r="P116" s="7"/>
      <c r="Q116" s="22"/>
      <c r="R116" s="22"/>
      <c r="S116" s="31">
        <f t="shared" si="48"/>
        <v>1</v>
      </c>
      <c r="T116" s="46" t="str">
        <f t="shared" si="34"/>
        <v>NorthBound</v>
      </c>
      <c r="U116" s="193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4" t="str">
        <f t="shared" si="35"/>
        <v>https://d0f6bd738d7f1b3e5a7ca70fe4ff75f0.us-east-1.aws.found.io/app/kibana#/discover/Steve-Slow-Train-Analysis-(2080s-and-2083s)?_g=(refreshInterval:(display:Off,pause:!f,section:0,value:0),time:(from:'2017-02-21T15:12:04-0700',mode:absolute,to:'2017-02-21T17:54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6" s="195" t="str">
        <f t="shared" si="36"/>
        <v>N</v>
      </c>
      <c r="X116" s="195">
        <f t="shared" ref="X116:X119" si="51">VALUE(LEFT(AD116,4))-VALUE(LEFT(AD115,4))</f>
        <v>1</v>
      </c>
      <c r="Y116" s="62">
        <f t="shared" si="43"/>
        <v>4.4900000000000002E-2</v>
      </c>
      <c r="Z116" s="62">
        <f t="shared" si="44"/>
        <v>23.329699999999999</v>
      </c>
      <c r="AA116" s="62">
        <f t="shared" si="38"/>
        <v>23.284800000000001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9"/>
        <v>0201-21</v>
      </c>
      <c r="AE116" s="85" t="str">
        <f t="shared" si="40"/>
        <v>aws s3 cp s3://rtdc.mdm.uploadarchive.raw/RTDC4014/ "%USERPROFILE%\AppData\Local\Temp\OnboardLogs"\RTDC4014\2017-02-21 --exclude "*" --recursive --include "*20170221*" &amp; "%USERPROFILE%\Documents\GitHub\mrs-test-scripts\Headless Mode &amp; Sideloading\WalkAndUnGZ.bat" "%USERPROFILE%\AppData\Local\Temp\OnboardLogs"\RTDC4014\2017-02-21 &amp; aws s3 cp s3://rtdc.mdm.uploadarchive.raw/RTDC4014/ "%USERPROFILE%\AppData\Local\Temp\OnboardLogs"\RTDC4014\2017-02-22 --exclude "*" --recursive --include "*20170222*" &amp; "%USERPROFILE%\Documents\GitHub\mrs-test-scripts\Headless Mode &amp; Sideloading\WalkAndUnGZ.bat" "%USERPROFILE%\AppData\Local\Temp\OnboardLogs"\RTDC4014\2017-02-22</v>
      </c>
      <c r="AF116" s="82" t="str">
        <f t="shared" si="41"/>
        <v>"C:\Program Files (x86)\AstroGrep\AstroGrep.exe" /spath="%USERPROFILE%\AppData\Local\Temp\OnboardLogs" /stypes="app*4014*20170221*" /stext=" 23:.+((SYSTEM_STATE.+slice.+state.+changed )|(ment ac)|(multiple cpu faults)|(system.+state.+changed )|(\[timeout)|(PRM\|1\|D)|(kpr)|(kdp)|(\|lc)|(penalty))" /e /r /s</v>
      </c>
      <c r="AG116" s="1" t="str">
        <f t="shared" si="42"/>
        <v>EC</v>
      </c>
      <c r="AH116" s="86" t="str">
        <f t="shared" si="45"/>
        <v>"%USERPROFILE%\Documents\GitHub\eaglep3\Utilities\RefineRTDCRunTimes.py" --tripid 201-21 --locoid 4014 --swversion DE.1.0.9.0 --startMP 204:449 --initTime 2017-02-21T16:12:04 --startdatetime 2017-02-21T16:15:27 --delay 1 --endMP 204:233297 --enddatetime 2017-02-21T16:54:26 --enforcementcount 0 &gt;&gt;C:\Users\stu\Documents\GitHub\eaglep3-reporting\EC\2017-02-21-refined-times.txt</v>
      </c>
      <c r="AI116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{"issue":{"subject":"","project_id":79,"tracker_id":40,"status_id":1,"priority_id":2,"assigned_to_id":23,"start_date":"2017-02-21","description":"","custom_fields":[{"id":1,"name":"Subdivision","value":"EC"},{"id":4,"name":"Milepost","value":"23.3297"},{"id":17,"name":"Train ID","value":"201-21"},{"id":16,"name":"Locomotive ID","value":"4014"},{"id":130,"name":"Impact","value":""},{"id":150,"name":"Time of Event (Mountain Time)","value":"16:54:26"},{"id":151,"name":"Denver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47"/>
        <v>start /low /b %USERPROFILE%\Documents\GitHub\eaglep3\Utilities\DownloadLogsFromS3.py --loco 4014 --day 2017-02-21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"%USERPROFILE%\AppData\Local\Temp\OnboardLogs"\RTDC4014\*4014*20170221* | grep -SE "(Enforcement Action)|(\[TIMEOUT)|(CHR.+\|PRM\|1\|D.+(SWITCH|SIGNAL).+UNKNOWN)" - &gt;&gt; 2017-02-21-UncaughtWiMAX.txt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627</v>
      </c>
      <c r="B117" s="7">
        <v>4013</v>
      </c>
      <c r="C117" s="21" t="s">
        <v>359</v>
      </c>
      <c r="D117" s="21" t="s">
        <v>318</v>
      </c>
      <c r="E117" s="13">
        <v>42787.713923611111</v>
      </c>
      <c r="F117" s="13">
        <v>42787.716365740744</v>
      </c>
      <c r="G117" s="7">
        <v>1</v>
      </c>
      <c r="H117" s="21" t="s">
        <v>330</v>
      </c>
      <c r="I117" s="13">
        <v>42787.744409722225</v>
      </c>
      <c r="J117" s="7">
        <v>0</v>
      </c>
      <c r="K117" s="98" t="str">
        <f t="shared" si="32"/>
        <v>4013/4014</v>
      </c>
      <c r="L117" s="21" t="str">
        <f>VLOOKUP(A117,'Trips&amp;Operators'!$C$1:$G$99999,5,FALSE)</f>
        <v>DAVIS MICHAEL</v>
      </c>
      <c r="M117" s="6">
        <f t="shared" si="33"/>
        <v>2.8043981481459923E-2</v>
      </c>
      <c r="N117" s="7">
        <f t="shared" si="49"/>
        <v>40.383333333302289</v>
      </c>
      <c r="O117" s="7"/>
      <c r="P117" s="7"/>
      <c r="Q117" s="22"/>
      <c r="R117" s="22"/>
      <c r="S117" s="31">
        <f t="shared" si="48"/>
        <v>1</v>
      </c>
      <c r="T117" s="46" t="str">
        <f t="shared" si="34"/>
        <v>Southbound</v>
      </c>
      <c r="U117" s="193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4" t="str">
        <f t="shared" si="35"/>
        <v>https://d0f6bd738d7f1b3e5a7ca70fe4ff75f0.us-east-1.aws.found.io/app/kibana#/discover/Steve-Slow-Train-Analysis-(2080s-and-2083s)?_g=(refreshInterval:(display:Off,pause:!f,section:0,value:0),time:(from:'2017-02-21T16:08:03-0700',mode:absolute,to:'2017-02-21T18:51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7" s="195" t="str">
        <f t="shared" si="36"/>
        <v>N</v>
      </c>
      <c r="X117" s="195">
        <f t="shared" si="51"/>
        <v>1</v>
      </c>
      <c r="Y117" s="62">
        <f t="shared" si="43"/>
        <v>23.297499999999999</v>
      </c>
      <c r="Z117" s="62">
        <f t="shared" si="44"/>
        <v>1.6299999999999999E-2</v>
      </c>
      <c r="AA117" s="62">
        <f t="shared" si="38"/>
        <v>23.281199999999998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9"/>
        <v>0202-21</v>
      </c>
      <c r="AE117" s="85" t="str">
        <f t="shared" si="40"/>
        <v>aws s3 cp s3://rtdc.mdm.uploadarchive.raw/RTDC4013/ "%USERPROFILE%\AppData\Local\Temp\OnboardLogs"\RTDC4013\2017-02-21 --exclude "*" --recursive --include "*20170221*" &amp; "%USERPROFILE%\Documents\GitHub\mrs-test-scripts\Headless Mode &amp; Sideloading\WalkAndUnGZ.bat" "%USERPROFILE%\AppData\Local\Temp\OnboardLogs"\RTDC4013\2017-02-21 &amp; aws s3 cp s3://rtdc.mdm.uploadarchive.raw/RTDC4013/ "%USERPROFILE%\AppData\Local\Temp\OnboardLogs"\RTDC4013\2017-02-22 --exclude "*" --recursive --include "*20170222*" &amp; "%USERPROFILE%\Documents\GitHub\mrs-test-scripts\Headless Mode &amp; Sideloading\WalkAndUnGZ.bat" "%USERPROFILE%\AppData\Local\Temp\OnboardLogs"\RTDC4013\2017-02-22</v>
      </c>
      <c r="AF117" s="82" t="str">
        <f t="shared" si="41"/>
        <v>"C:\Program Files (x86)\AstroGrep\AstroGrep.exe" /spath="%USERPROFILE%\AppData\Local\Temp\OnboardLogs" /stypes="app*4013*20170222*" /stext=" 00:.+((SYSTEM_STATE.+slice.+state.+changed )|(ment ac)|(multiple cpu faults)|(system.+state.+changed )|(\[timeout)|(PRM\|1\|D)|(kpr)|(kdp)|(\|lc)|(penalty))" /e /r /s</v>
      </c>
      <c r="AG117" s="1" t="str">
        <f t="shared" si="42"/>
        <v>EC</v>
      </c>
      <c r="AH117" s="86" t="str">
        <f t="shared" si="45"/>
        <v>"%USERPROFILE%\Documents\GitHub\eaglep3\Utilities\RefineRTDCRunTimes.py" --tripid 202-21 --locoid 4013 --swversion DE.1.0.9.0 --startMP 204:232975 --initTime 2017-02-21T17:08:03 --startdatetime 2017-02-21T17:11:34 --delay 1 --endMP 204:163 --enddatetime 2017-02-21T17:51:57 --enforcementcount 0 &gt;&gt;C:\Users\stu\Documents\GitHub\eaglep3-reporting\EC\2017-02-21-refined-times.txt</v>
      </c>
      <c r="AI117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{"issue":{"subject":"","project_id":79,"tracker_id":40,"status_id":1,"priority_id":2,"assigned_to_id":23,"start_date":"2017-02-21","description":"","custom_fields":[{"id":1,"name":"Subdivision","value":"EC"},{"id":4,"name":"Milepost","value":"0.0163"},{"id":17,"name":"Train ID","value":"202-21"},{"id":16,"name":"Locomotive ID","value":"4013"},{"id":130,"name":"Impact","value":""},{"id":150,"name":"Time of Event (Mountain Time)","value":"17:51:57"},{"id":151,"name":"Denver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47"/>
        <v>start /low /b %USERPROFILE%\Documents\GitHub\eaglep3\Utilities\DownloadLogsFromS3.py --loco 4013 --day 2017-02-21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"%USERPROFILE%\AppData\Local\Temp\OnboardLogs"\RTDC4013\*4013*20170222* | grep -SE "(Enforcement Action)|(\[TIMEOUT)|(CHR.+\|PRM\|1\|D.+(SWITCH|SIGNAL).+UNKNOWN)" - &gt;&gt; 2017-02-21-UncaughtWiMAX.txt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622</v>
      </c>
      <c r="B118" s="7">
        <v>4051</v>
      </c>
      <c r="C118" s="21" t="s">
        <v>359</v>
      </c>
      <c r="D118" s="21" t="s">
        <v>204</v>
      </c>
      <c r="E118" s="13">
        <v>42787.685578703706</v>
      </c>
      <c r="F118" s="13">
        <v>42787.687858796293</v>
      </c>
      <c r="G118" s="7">
        <v>1</v>
      </c>
      <c r="H118" s="21" t="s">
        <v>300</v>
      </c>
      <c r="I118" s="13">
        <v>42787.712858796294</v>
      </c>
      <c r="J118" s="7">
        <v>0</v>
      </c>
      <c r="K118" s="98" t="str">
        <f t="shared" si="32"/>
        <v>4051/4052</v>
      </c>
      <c r="L118" s="21" t="str">
        <f>VLOOKUP(A118,'Trips&amp;Operators'!$C$1:$G$99999,5,FALSE)</f>
        <v>MOSES BRADLEY</v>
      </c>
      <c r="M118" s="6">
        <f t="shared" si="33"/>
        <v>2.5000000001455192E-2</v>
      </c>
      <c r="N118" s="7">
        <f t="shared" si="49"/>
        <v>36.000000002095476</v>
      </c>
      <c r="O118" s="7"/>
      <c r="P118" s="7"/>
      <c r="Q118" s="22"/>
      <c r="R118" s="22"/>
      <c r="S118" s="31">
        <f t="shared" si="48"/>
        <v>1</v>
      </c>
      <c r="T118" s="46" t="str">
        <f t="shared" si="34"/>
        <v>NorthBound</v>
      </c>
      <c r="U118" s="193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4" t="str">
        <f t="shared" si="35"/>
        <v>https://d0f6bd738d7f1b3e5a7ca70fe4ff75f0.us-east-1.aws.found.io/app/kibana#/discover/Steve-Slow-Train-Analysis-(2080s-and-2083s)?_g=(refreshInterval:(display:Off,pause:!f,section:0,value:0),time:(from:'2017-02-21T15:27:14-0700',mode:absolute,to:'2017-02-21T18:06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8" s="195" t="str">
        <f t="shared" si="36"/>
        <v>N</v>
      </c>
      <c r="X118" s="195">
        <f t="shared" si="51"/>
        <v>1</v>
      </c>
      <c r="Y118" s="62">
        <f t="shared" si="43"/>
        <v>4.6199999999999998E-2</v>
      </c>
      <c r="Z118" s="62">
        <f t="shared" si="44"/>
        <v>23.3306</v>
      </c>
      <c r="AA118" s="62">
        <f t="shared" si="38"/>
        <v>23.284400000000002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9"/>
        <v>0203-21</v>
      </c>
      <c r="AE118" s="85" t="str">
        <f t="shared" si="40"/>
        <v>aws s3 cp s3://rtdc.mdm.uploadarchive.raw/RTDC4051/ "%USERPROFILE%\AppData\Local\Temp\OnboardLogs"\RTDC4051\2017-02-21 --exclude "*" --recursive --include "*20170221*" &amp; "%USERPROFILE%\Documents\GitHub\mrs-test-scripts\Headless Mode &amp; Sideloading\WalkAndUnGZ.bat" "%USERPROFILE%\AppData\Local\Temp\OnboardLogs"\RTDC4051\2017-02-21 &amp; aws s3 cp s3://rtdc.mdm.uploadarchive.raw/RTDC4051/ "%USERPROFILE%\AppData\Local\Temp\OnboardLogs"\RTDC4051\2017-02-22 --exclude "*" --recursive --include "*20170222*" &amp; "%USERPROFILE%\Documents\GitHub\mrs-test-scripts\Headless Mode &amp; Sideloading\WalkAndUnGZ.bat" "%USERPROFILE%\AppData\Local\Temp\OnboardLogs"\RTDC4051\2017-02-22</v>
      </c>
      <c r="AF118" s="82" t="str">
        <f t="shared" si="41"/>
        <v>"C:\Program Files (x86)\AstroGrep\AstroGrep.exe" /spath="%USERPROFILE%\AppData\Local\Temp\OnboardLogs" /stypes="app*4051*20170222*" /stext=" 00:.+((SYSTEM_STATE.+slice.+state.+changed )|(ment ac)|(multiple cpu faults)|(system.+state.+changed )|(\[timeout)|(PRM\|1\|D)|(kpr)|(kdp)|(\|lc)|(penalty))" /e /r /s</v>
      </c>
      <c r="AG118" s="1" t="str">
        <f t="shared" si="42"/>
        <v>EC</v>
      </c>
      <c r="AH118" s="86" t="str">
        <f t="shared" si="45"/>
        <v>"%USERPROFILE%\Documents\GitHub\eaglep3\Utilities\RefineRTDCRunTimes.py" --tripid 203-21 --locoid 4051 --swversion DE.1.0.9.0 --startMP 204:462 --initTime 2017-02-21T16:27:14 --startdatetime 2017-02-21T16:30:31 --delay 1 --endMP 204:233306 --enddatetime 2017-02-21T17:06:31 --enforcementcount 0 &gt;&gt;C:\Users\stu\Documents\GitHub\eaglep3-reporting\EC\2017-02-21-refined-times.txt</v>
      </c>
      <c r="AI118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{"issue":{"subject":"","project_id":79,"tracker_id":40,"status_id":1,"priority_id":2,"assigned_to_id":23,"start_date":"2017-02-21","description":"","custom_fields":[{"id":1,"name":"Subdivision","value":"EC"},{"id":4,"name":"Milepost","value":"23.3306"},{"id":17,"name":"Train ID","value":"203-21"},{"id":16,"name":"Locomotive ID","value":"4051"},{"id":130,"name":"Impact","value":""},{"id":150,"name":"Time of Event (Mountain Time)","value":"17:06:31"},{"id":151,"name":"Denver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47"/>
        <v>start /low /b %USERPROFILE%\Documents\GitHub\eaglep3\Utilities\DownloadLogsFromS3.py --loco 4051 --day 2017-02-21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"%USERPROFILE%\AppData\Local\Temp\OnboardLogs"\RTDC4051\*4051*20170221* | grep -SE "(Enforcement Action)|(\[TIMEOUT)|(CHR.+\|PRM\|1\|D.+(SWITCH|SIGNAL).+UNKNOWN)" - &gt;&gt; 2017-02-21-UncaughtWiMAX.txt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629</v>
      </c>
      <c r="B119" s="7">
        <v>4052</v>
      </c>
      <c r="C119" s="21" t="s">
        <v>359</v>
      </c>
      <c r="D119" s="21" t="s">
        <v>425</v>
      </c>
      <c r="E119" s="13">
        <v>42787.723715277774</v>
      </c>
      <c r="F119" s="13">
        <v>42787.726956018516</v>
      </c>
      <c r="G119" s="7">
        <v>2</v>
      </c>
      <c r="H119" s="21" t="s">
        <v>213</v>
      </c>
      <c r="I119" s="13">
        <v>42787.75372685185</v>
      </c>
      <c r="J119" s="7">
        <v>0</v>
      </c>
      <c r="K119" s="98" t="str">
        <f t="shared" si="32"/>
        <v>4051/4052</v>
      </c>
      <c r="L119" s="21" t="str">
        <f>VLOOKUP(A119,'Trips&amp;Operators'!$C$1:$G$99999,5,FALSE)</f>
        <v>MOSES BRADLEY</v>
      </c>
      <c r="M119" s="6">
        <f t="shared" si="33"/>
        <v>2.6770833334012423E-2</v>
      </c>
      <c r="N119" s="7">
        <f t="shared" si="49"/>
        <v>38.550000000977889</v>
      </c>
      <c r="O119" s="7"/>
      <c r="P119" s="7"/>
      <c r="Q119" s="22"/>
      <c r="R119" s="22"/>
      <c r="S119" s="31">
        <f t="shared" si="48"/>
        <v>1</v>
      </c>
      <c r="T119" s="46" t="str">
        <f t="shared" si="34"/>
        <v>Southbound</v>
      </c>
      <c r="U119" s="193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4" t="str">
        <f t="shared" si="35"/>
        <v>https://d0f6bd738d7f1b3e5a7ca70fe4ff75f0.us-east-1.aws.found.io/app/kibana#/discover/Steve-Slow-Train-Analysis-(2080s-and-2083s)?_g=(refreshInterval:(display:Off,pause:!f,section:0,value:0),time:(from:'2017-02-21T16:22:09-0700',mode:absolute,to:'2017-02-21T19:05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9" s="195" t="str">
        <f t="shared" si="36"/>
        <v>N</v>
      </c>
      <c r="X119" s="195">
        <f t="shared" si="51"/>
        <v>1</v>
      </c>
      <c r="Y119" s="62">
        <f t="shared" si="43"/>
        <v>23.297899999999998</v>
      </c>
      <c r="Z119" s="62">
        <f t="shared" si="44"/>
        <v>1.54E-2</v>
      </c>
      <c r="AA119" s="62">
        <f t="shared" si="38"/>
        <v>23.282499999999999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9"/>
        <v>0204-21</v>
      </c>
      <c r="AE119" s="85" t="str">
        <f t="shared" si="40"/>
        <v>aws s3 cp s3://rtdc.mdm.uploadarchive.raw/RTDC4052/ "%USERPROFILE%\AppData\Local\Temp\OnboardLogs"\RTDC4052\2017-02-21 --exclude "*" --recursive --include "*20170221*" &amp; "%USERPROFILE%\Documents\GitHub\mrs-test-scripts\Headless Mode &amp; Sideloading\WalkAndUnGZ.bat" "%USERPROFILE%\AppData\Local\Temp\OnboardLogs"\RTDC4052\2017-02-21 &amp; aws s3 cp s3://rtdc.mdm.uploadarchive.raw/RTDC4052/ "%USERPROFILE%\AppData\Local\Temp\OnboardLogs"\RTDC4052\2017-02-22 --exclude "*" --recursive --include "*20170222*" &amp; "%USERPROFILE%\Documents\GitHub\mrs-test-scripts\Headless Mode &amp; Sideloading\WalkAndUnGZ.bat" "%USERPROFILE%\AppData\Local\Temp\OnboardLogs"\RTDC4052\2017-02-22</v>
      </c>
      <c r="AF119" s="82" t="str">
        <f t="shared" si="41"/>
        <v>"C:\Program Files (x86)\AstroGrep\AstroGrep.exe" /spath="%USERPROFILE%\AppData\Local\Temp\OnboardLogs" /stypes="app*4052*20170222*" /stext=" 01:.+((SYSTEM_STATE.+slice.+state.+changed )|(ment ac)|(multiple cpu faults)|(system.+state.+changed )|(\[timeout)|(PRM\|1\|D)|(kpr)|(kdp)|(\|lc)|(penalty))" /e /r /s</v>
      </c>
      <c r="AG119" s="1" t="str">
        <f t="shared" si="42"/>
        <v>EC</v>
      </c>
      <c r="AH119" s="86" t="str">
        <f t="shared" si="45"/>
        <v>"%USERPROFILE%\Documents\GitHub\eaglep3\Utilities\RefineRTDCRunTimes.py" --tripid 204-21 --locoid 4052 --swversion DE.1.0.9.0 --startMP 204:232979 --initTime 2017-02-21T17:22:09 --startdatetime 2017-02-21T17:26:49 --delay 2 --endMP 204:154 --enddatetime 2017-02-21T18:05:22 --enforcementcount 0 &gt;&gt;C:\Users\stu\Documents\GitHub\eaglep3-reporting\EC\2017-02-21-refined-times.txt</v>
      </c>
      <c r="AI119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{"issue":{"subject":"","project_id":79,"tracker_id":40,"status_id":1,"priority_id":2,"assigned_to_id":23,"start_date":"2017-02-21","description":"","custom_fields":[{"id":1,"name":"Subdivision","value":"EC"},{"id":4,"name":"Milepost","value":"0.0154"},{"id":17,"name":"Train ID","value":"204-21"},{"id":16,"name":"Locomotive ID","value":"4052"},{"id":130,"name":"Impact","value":""},{"id":150,"name":"Time of Event (Mountain Time)","value":"18:05:22"},{"id":151,"name":"Denver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47"/>
        <v>start /low /b %USERPROFILE%\Documents\GitHub\eaglep3\Utilities\DownloadLogsFromS3.py --loco 4052 --day 2017-02-21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"%USERPROFILE%\AppData\Local\Temp\OnboardLogs"\RTDC4052\*4052*20170222* | grep -SE "(Enforcement Action)|(\[TIMEOUT)|(CHR.+\|PRM\|1\|D.+(SWITCH|SIGNAL).+UNKNOWN)" - &gt;&gt; 2017-02-21-UncaughtWiMAX.txt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624</v>
      </c>
      <c r="B120" s="7">
        <v>4003</v>
      </c>
      <c r="C120" s="21" t="s">
        <v>359</v>
      </c>
      <c r="D120" s="21" t="s">
        <v>255</v>
      </c>
      <c r="E120" s="13">
        <v>42787.694872685184</v>
      </c>
      <c r="F120" s="13">
        <v>42787.698182870372</v>
      </c>
      <c r="G120" s="7">
        <v>1</v>
      </c>
      <c r="H120" s="21" t="s">
        <v>418</v>
      </c>
      <c r="I120" s="13">
        <v>42787.724351851852</v>
      </c>
      <c r="J120" s="7">
        <v>0</v>
      </c>
      <c r="K120" s="98" t="str">
        <f t="shared" si="32"/>
        <v>4003/4004</v>
      </c>
      <c r="L120" s="21" t="str">
        <f>VLOOKUP(A120,'Trips&amp;Operators'!$C$1:$G$99999,5,FALSE)</f>
        <v>LEVERE CRAIG</v>
      </c>
      <c r="M120" s="6">
        <f t="shared" si="33"/>
        <v>2.6168981479713693E-2</v>
      </c>
      <c r="N120" s="7">
        <f t="shared" si="49"/>
        <v>37.683333330787718</v>
      </c>
      <c r="O120" s="7"/>
      <c r="P120" s="7"/>
      <c r="Q120" s="22"/>
      <c r="R120" s="22"/>
      <c r="S120" s="31">
        <f t="shared" si="48"/>
        <v>1</v>
      </c>
      <c r="T120" s="46" t="str">
        <f t="shared" si="34"/>
        <v>NorthBound</v>
      </c>
      <c r="U120" s="193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4" t="str">
        <f t="shared" si="35"/>
        <v>https://d0f6bd738d7f1b3e5a7ca70fe4ff75f0.us-east-1.aws.found.io/app/kibana#/discover/Steve-Slow-Train-Analysis-(2080s-and-2083s)?_g=(refreshInterval:(display:Off,pause:!f,section:0,value:0),time:(from:'2017-02-21T15:40:37-0700',mode:absolute,to:'2017-02-21T18:23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0" s="195" t="str">
        <f t="shared" si="36"/>
        <v>N</v>
      </c>
      <c r="X120" s="195">
        <f t="shared" ref="X120:X126" si="52">VALUE(LEFT(AD120,4))-VALUE(LEFT(AD119,4))</f>
        <v>1</v>
      </c>
      <c r="Y120" s="62">
        <f t="shared" si="43"/>
        <v>4.6699999999999998E-2</v>
      </c>
      <c r="Z120" s="62">
        <f t="shared" si="44"/>
        <v>23.329699999999999</v>
      </c>
      <c r="AA120" s="62">
        <f t="shared" si="38"/>
        <v>23.282999999999998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9"/>
        <v>0205-21</v>
      </c>
      <c r="AE120" s="85" t="str">
        <f t="shared" si="40"/>
        <v>aws s3 cp s3://rtdc.mdm.uploadarchive.raw/RTDC4003/ "%USERPROFILE%\AppData\Local\Temp\OnboardLogs"\RTDC4003\2017-02-21 --exclude "*" --recursive --include "*20170221*" &amp; "%USERPROFILE%\Documents\GitHub\mrs-test-scripts\Headless Mode &amp; Sideloading\WalkAndUnGZ.bat" "%USERPROFILE%\AppData\Local\Temp\OnboardLogs"\RTDC4003\2017-02-21 &amp; aws s3 cp s3://rtdc.mdm.uploadarchive.raw/RTDC4003/ "%USERPROFILE%\AppData\Local\Temp\OnboardLogs"\RTDC4003\2017-02-22 --exclude "*" --recursive --include "*20170222*" &amp; "%USERPROFILE%\Documents\GitHub\mrs-test-scripts\Headless Mode &amp; Sideloading\WalkAndUnGZ.bat" "%USERPROFILE%\AppData\Local\Temp\OnboardLogs"\RTDC4003\2017-02-22</v>
      </c>
      <c r="AF120" s="82" t="str">
        <f t="shared" si="41"/>
        <v>"C:\Program Files (x86)\AstroGrep\AstroGrep.exe" /spath="%USERPROFILE%\AppData\Local\Temp\OnboardLogs" /stypes="app*4003*20170222*" /stext=" 00:.+((SYSTEM_STATE.+slice.+state.+changed )|(ment ac)|(multiple cpu faults)|(system.+state.+changed )|(\[timeout)|(PRM\|1\|D)|(kpr)|(kdp)|(\|lc)|(penalty))" /e /r /s</v>
      </c>
      <c r="AG120" s="1" t="str">
        <f t="shared" si="42"/>
        <v>EC</v>
      </c>
      <c r="AH120" s="86" t="str">
        <f t="shared" si="45"/>
        <v>"%USERPROFILE%\Documents\GitHub\eaglep3\Utilities\RefineRTDCRunTimes.py" --tripid 205-21 --locoid 4003 --swversion DE.1.0.9.0 --startMP 204:467 --initTime 2017-02-21T16:40:37 --startdatetime 2017-02-21T16:45:23 --delay 1 --endMP 204:233297 --enddatetime 2017-02-21T17:23:04 --enforcementcount 0 &gt;&gt;C:\Users\stu\Documents\GitHub\eaglep3-reporting\EC\2017-02-21-refined-times.txt</v>
      </c>
      <c r="AI120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{"issue":{"subject":"","project_id":79,"tracker_id":40,"status_id":1,"priority_id":2,"assigned_to_id":23,"start_date":"2017-02-21","description":"","custom_fields":[{"id":1,"name":"Subdivision","value":"EC"},{"id":4,"name":"Milepost","value":"23.3297"},{"id":17,"name":"Train ID","value":"205-21"},{"id":16,"name":"Locomotive ID","value":"4003"},{"id":130,"name":"Impact","value":""},{"id":150,"name":"Time of Event (Mountain Time)","value":"17:23:04"},{"id":151,"name":"Denver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47"/>
        <v>start /low /b %USERPROFILE%\Documents\GitHub\eaglep3\Utilities\DownloadLogsFromS3.py --loco 4003 --day 2017-02-21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"%USERPROFILE%\AppData\Local\Temp\OnboardLogs"\RTDC4003\*4003*20170222* | grep -SE "(Enforcement Action)|(\[TIMEOUT)|(CHR.+\|PRM\|1\|D.+(SWITCH|SIGNAL).+UNKNOWN)" - &gt;&gt; 2017-02-21-UncaughtWiMAX.txt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635</v>
      </c>
      <c r="B121" s="7">
        <v>4004</v>
      </c>
      <c r="C121" s="21" t="s">
        <v>359</v>
      </c>
      <c r="D121" s="21" t="s">
        <v>710</v>
      </c>
      <c r="E121" s="13">
        <v>42787.729456018518</v>
      </c>
      <c r="F121" s="13">
        <v>42787.737037037034</v>
      </c>
      <c r="G121" s="7">
        <v>1</v>
      </c>
      <c r="H121" s="21" t="s">
        <v>330</v>
      </c>
      <c r="I121" s="13">
        <v>42787.764467592591</v>
      </c>
      <c r="J121" s="7">
        <v>0</v>
      </c>
      <c r="K121" s="98" t="str">
        <f t="shared" si="32"/>
        <v>4003/4004</v>
      </c>
      <c r="L121" s="21" t="str">
        <f>VLOOKUP(A121,'Trips&amp;Operators'!$C$1:$G$99999,5,FALSE)</f>
        <v>LEVERE CRAIG</v>
      </c>
      <c r="M121" s="6">
        <f t="shared" si="33"/>
        <v>2.7430555557657499E-2</v>
      </c>
      <c r="N121" s="7">
        <f t="shared" si="49"/>
        <v>39.500000003026798</v>
      </c>
      <c r="O121" s="7"/>
      <c r="P121" s="7"/>
      <c r="Q121" s="22"/>
      <c r="R121" s="22"/>
      <c r="S121" s="31">
        <f t="shared" si="48"/>
        <v>1</v>
      </c>
      <c r="T121" s="46" t="str">
        <f t="shared" si="34"/>
        <v>Southbound</v>
      </c>
      <c r="U121" s="193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4" t="str">
        <f t="shared" si="35"/>
        <v>https://d0f6bd738d7f1b3e5a7ca70fe4ff75f0.us-east-1.aws.found.io/app/kibana#/discover/Steve-Slow-Train-Analysis-(2080s-and-2083s)?_g=(refreshInterval:(display:Off,pause:!f,section:0,value:0),time:(from:'2017-02-21T16:30:25-0700',mode:absolute,to:'2017-02-21T19:20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1" s="195" t="str">
        <f t="shared" si="36"/>
        <v>N</v>
      </c>
      <c r="X121" s="195">
        <f t="shared" si="52"/>
        <v>1</v>
      </c>
      <c r="Y121" s="62">
        <f t="shared" si="43"/>
        <v>23.2986</v>
      </c>
      <c r="Z121" s="62">
        <f t="shared" si="44"/>
        <v>1.6299999999999999E-2</v>
      </c>
      <c r="AA121" s="62">
        <f t="shared" si="38"/>
        <v>23.282299999999999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9"/>
        <v>0206-21</v>
      </c>
      <c r="AE121" s="85" t="str">
        <f t="shared" si="40"/>
        <v>aws s3 cp s3://rtdc.mdm.uploadarchive.raw/RTDC4004/ "%USERPROFILE%\AppData\Local\Temp\OnboardLogs"\RTDC4004\2017-02-21 --exclude "*" --recursive --include "*20170221*" &amp; "%USERPROFILE%\Documents\GitHub\mrs-test-scripts\Headless Mode &amp; Sideloading\WalkAndUnGZ.bat" "%USERPROFILE%\AppData\Local\Temp\OnboardLogs"\RTDC4004\2017-02-21 &amp; aws s3 cp s3://rtdc.mdm.uploadarchive.raw/RTDC4004/ "%USERPROFILE%\AppData\Local\Temp\OnboardLogs"\RTDC4004\2017-02-22 --exclude "*" --recursive --include "*20170222*" &amp; "%USERPROFILE%\Documents\GitHub\mrs-test-scripts\Headless Mode &amp; Sideloading\WalkAndUnGZ.bat" "%USERPROFILE%\AppData\Local\Temp\OnboardLogs"\RTDC4004\2017-02-22</v>
      </c>
      <c r="AF121" s="82" t="str">
        <f t="shared" si="41"/>
        <v>"C:\Program Files (x86)\AstroGrep\AstroGrep.exe" /spath="%USERPROFILE%\AppData\Local\Temp\OnboardLogs" /stypes="app*4004*20170222*" /stext=" 01:.+((SYSTEM_STATE.+slice.+state.+changed )|(ment ac)|(multiple cpu faults)|(system.+state.+changed )|(\[timeout)|(PRM\|1\|D)|(kpr)|(kdp)|(\|lc)|(penalty))" /e /r /s</v>
      </c>
      <c r="AG121" s="1" t="str">
        <f t="shared" si="42"/>
        <v>EC</v>
      </c>
      <c r="AH121" s="86" t="str">
        <f t="shared" si="45"/>
        <v>"%USERPROFILE%\Documents\GitHub\eaglep3\Utilities\RefineRTDCRunTimes.py" --tripid 206-21 --locoid 4004 --swversion DE.1.0.9.0 --startMP 204:232986 --initTime 2017-02-21T17:30:25 --startdatetime 2017-02-21T17:41:20 --delay 1 --endMP 204:163 --enddatetime 2017-02-21T18:20:50 --enforcementcount 0 &gt;&gt;C:\Users\stu\Documents\GitHub\eaglep3-reporting\EC\2017-02-21-refined-times.txt</v>
      </c>
      <c r="AI121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{"issue":{"subject":"","project_id":79,"tracker_id":40,"status_id":1,"priority_id":2,"assigned_to_id":23,"start_date":"2017-02-21","description":"","custom_fields":[{"id":1,"name":"Subdivision","value":"EC"},{"id":4,"name":"Milepost","value":"0.0163"},{"id":17,"name":"Train ID","value":"206-21"},{"id":16,"name":"Locomotive ID","value":"4004"},{"id":130,"name":"Impact","value":""},{"id":150,"name":"Time of Event (Mountain Time)","value":"18:20:50"},{"id":151,"name":"Denver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47"/>
        <v>start /low /b %USERPROFILE%\Documents\GitHub\eaglep3\Utilities\DownloadLogsFromS3.py --loco 4004 --day 2017-02-21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"%USERPROFILE%\AppData\Local\Temp\OnboardLogs"\RTDC4004\*4004*20170222* | grep -SE "(Enforcement Action)|(\[TIMEOUT)|(CHR.+\|PRM\|1\|D.+(SWITCH|SIGNAL).+UNKNOWN)" - &gt;&gt; 2017-02-21-UncaughtWiMAX.txt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626</v>
      </c>
      <c r="B122" s="7">
        <v>4027</v>
      </c>
      <c r="C122" s="21" t="s">
        <v>359</v>
      </c>
      <c r="D122" s="21" t="s">
        <v>744</v>
      </c>
      <c r="E122" s="13">
        <v>42787.704907407409</v>
      </c>
      <c r="F122" s="13">
        <v>42787.708472222221</v>
      </c>
      <c r="G122" s="7">
        <v>1</v>
      </c>
      <c r="H122" s="21" t="s">
        <v>745</v>
      </c>
      <c r="I122" s="13">
        <v>42787.734768518516</v>
      </c>
      <c r="J122" s="7">
        <v>0</v>
      </c>
      <c r="K122" s="98" t="str">
        <f t="shared" si="32"/>
        <v>4027/4028</v>
      </c>
      <c r="L122" s="21" t="str">
        <f>VLOOKUP(A122,'Trips&amp;Operators'!$C$1:$G$99999,5,FALSE)</f>
        <v>CLARK KATHLEEN</v>
      </c>
      <c r="M122" s="6">
        <f t="shared" si="33"/>
        <v>2.6296296295186039E-2</v>
      </c>
      <c r="N122" s="7">
        <f t="shared" si="49"/>
        <v>37.866666665067896</v>
      </c>
      <c r="O122" s="7"/>
      <c r="P122" s="7"/>
      <c r="Q122" s="22"/>
      <c r="R122" s="22"/>
      <c r="S122" s="31">
        <f t="shared" si="48"/>
        <v>1</v>
      </c>
      <c r="T122" s="46" t="str">
        <f t="shared" si="34"/>
        <v>NorthBound</v>
      </c>
      <c r="U122" s="193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4" t="str">
        <f t="shared" si="35"/>
        <v>https://d0f6bd738d7f1b3e5a7ca70fe4ff75f0.us-east-1.aws.found.io/app/kibana#/discover/Steve-Slow-Train-Analysis-(2080s-and-2083s)?_g=(refreshInterval:(display:Off,pause:!f,section:0,value:0),time:(from:'2017-02-21T15:55:04-0700',mode:absolute,to:'2017-02-21T18:38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2" s="195" t="str">
        <f t="shared" si="36"/>
        <v>N</v>
      </c>
      <c r="X122" s="195">
        <f t="shared" si="52"/>
        <v>1</v>
      </c>
      <c r="Y122" s="62">
        <f t="shared" si="43"/>
        <v>5.0900000000000001E-2</v>
      </c>
      <c r="Z122" s="62">
        <f t="shared" si="44"/>
        <v>23.3276</v>
      </c>
      <c r="AA122" s="62">
        <f t="shared" si="38"/>
        <v>23.276700000000002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9"/>
        <v>0207-21</v>
      </c>
      <c r="AE122" s="85" t="str">
        <f t="shared" si="40"/>
        <v>aws s3 cp s3://rtdc.mdm.uploadarchive.raw/RTDC4027/ "%USERPROFILE%\AppData\Local\Temp\OnboardLogs"\RTDC4027\2017-02-21 --exclude "*" --recursive --include "*20170221*" &amp; "%USERPROFILE%\Documents\GitHub\mrs-test-scripts\Headless Mode &amp; Sideloading\WalkAndUnGZ.bat" "%USERPROFILE%\AppData\Local\Temp\OnboardLogs"\RTDC4027\2017-02-21 &amp; aws s3 cp s3://rtdc.mdm.uploadarchive.raw/RTDC4027/ "%USERPROFILE%\AppData\Local\Temp\OnboardLogs"\RTDC4027\2017-02-22 --exclude "*" --recursive --include "*20170222*" &amp; "%USERPROFILE%\Documents\GitHub\mrs-test-scripts\Headless Mode &amp; Sideloading\WalkAndUnGZ.bat" "%USERPROFILE%\AppData\Local\Temp\OnboardLogs"\RTDC4027\2017-02-22</v>
      </c>
      <c r="AF122" s="82" t="str">
        <f t="shared" si="41"/>
        <v>"C:\Program Files (x86)\AstroGrep\AstroGrep.exe" /spath="%USERPROFILE%\AppData\Local\Temp\OnboardLogs" /stypes="app*4027*20170222*" /stext=" 00:.+((SYSTEM_STATE.+slice.+state.+changed )|(ment ac)|(multiple cpu faults)|(system.+state.+changed )|(\[timeout)|(PRM\|1\|D)|(kpr)|(kdp)|(\|lc)|(penalty))" /e /r /s</v>
      </c>
      <c r="AG122" s="1" t="str">
        <f t="shared" si="42"/>
        <v>EC</v>
      </c>
      <c r="AH122" s="86" t="str">
        <f t="shared" si="45"/>
        <v>"%USERPROFILE%\Documents\GitHub\eaglep3\Utilities\RefineRTDCRunTimes.py" --tripid 207-21 --locoid 4027 --swversion DE.1.0.9.0 --startMP 204:509 --initTime 2017-02-21T16:55:04 --startdatetime 2017-02-21T17:00:12 --delay 1 --endMP 204:233276 --enddatetime 2017-02-21T17:38:04 --enforcementcount 0 &gt;&gt;C:\Users\stu\Documents\GitHub\eaglep3-reporting\EC\2017-02-21-refined-times.txt</v>
      </c>
      <c r="AI122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{"issue":{"subject":"","project_id":79,"tracker_id":40,"status_id":1,"priority_id":2,"assigned_to_id":23,"start_date":"2017-02-21","description":"","custom_fields":[{"id":1,"name":"Subdivision","value":"EC"},{"id":4,"name":"Milepost","value":"23.3276"},{"id":17,"name":"Train ID","value":"207-21"},{"id":16,"name":"Locomotive ID","value":"4027"},{"id":130,"name":"Impact","value":""},{"id":150,"name":"Time of Event (Mountain Time)","value":"17:38:04"},{"id":151,"name":"Denver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47"/>
        <v>start /low /b %USERPROFILE%\Documents\GitHub\eaglep3\Utilities\DownloadLogsFromS3.py --loco 4027 --day 2017-02-21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"%USERPROFILE%\AppData\Local\Temp\OnboardLogs"\RTDC4027\*4027*20170222* | grep -SE "(Enforcement Action)|(\[TIMEOUT)|(CHR.+\|PRM\|1\|D.+(SWITCH|SIGNAL).+UNKNOWN)" - &gt;&gt; 2017-02-21-UncaughtWiMAX.txt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638</v>
      </c>
      <c r="B123" s="7">
        <v>4028</v>
      </c>
      <c r="C123" s="21" t="s">
        <v>359</v>
      </c>
      <c r="D123" s="21" t="s">
        <v>746</v>
      </c>
      <c r="E123" s="13">
        <v>42787.74181712963</v>
      </c>
      <c r="F123" s="13">
        <v>42787.747395833336</v>
      </c>
      <c r="G123" s="7">
        <v>0</v>
      </c>
      <c r="H123" s="21" t="s">
        <v>412</v>
      </c>
      <c r="I123" s="13">
        <v>42787.775081018517</v>
      </c>
      <c r="J123" s="7">
        <v>0</v>
      </c>
      <c r="K123" s="98" t="str">
        <f t="shared" si="32"/>
        <v>4027/4028</v>
      </c>
      <c r="L123" s="21" t="str">
        <f>VLOOKUP(A123,'Trips&amp;Operators'!$C$1:$G$99999,5,FALSE)</f>
        <v>CLARK KATHLEEN</v>
      </c>
      <c r="M123" s="6">
        <f t="shared" si="33"/>
        <v>2.7685185181326233E-2</v>
      </c>
      <c r="N123" s="7">
        <f t="shared" si="49"/>
        <v>39.866666661109775</v>
      </c>
      <c r="O123" s="7"/>
      <c r="P123" s="7"/>
      <c r="Q123" s="22"/>
      <c r="R123" s="22"/>
      <c r="S123" s="31">
        <f t="shared" si="48"/>
        <v>1</v>
      </c>
      <c r="T123" s="46" t="str">
        <f t="shared" si="34"/>
        <v>Southbound</v>
      </c>
      <c r="U123" s="193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4" t="str">
        <f t="shared" si="35"/>
        <v>https://d0f6bd738d7f1b3e5a7ca70fe4ff75f0.us-east-1.aws.found.io/app/kibana#/discover/Steve-Slow-Train-Analysis-(2080s-and-2083s)?_g=(refreshInterval:(display:Off,pause:!f,section:0,value:0),time:(from:'2017-02-21T16:48:13-0700',mode:absolute,to:'2017-02-21T19:36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3" s="195" t="str">
        <f t="shared" si="36"/>
        <v>N</v>
      </c>
      <c r="X123" s="195">
        <f t="shared" si="52"/>
        <v>1</v>
      </c>
      <c r="Y123" s="62">
        <f t="shared" si="43"/>
        <v>23.295999999999999</v>
      </c>
      <c r="Z123" s="62">
        <f t="shared" si="44"/>
        <v>1.7999999999999999E-2</v>
      </c>
      <c r="AA123" s="62">
        <f t="shared" si="38"/>
        <v>23.277999999999999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9"/>
        <v>0208-21</v>
      </c>
      <c r="AE123" s="85" t="str">
        <f t="shared" si="40"/>
        <v>aws s3 cp s3://rtdc.mdm.uploadarchive.raw/RTDC4028/ "%USERPROFILE%\AppData\Local\Temp\OnboardLogs"\RTDC4028\2017-02-21 --exclude "*" --recursive --include "*20170221*" &amp; "%USERPROFILE%\Documents\GitHub\mrs-test-scripts\Headless Mode &amp; Sideloading\WalkAndUnGZ.bat" "%USERPROFILE%\AppData\Local\Temp\OnboardLogs"\RTDC4028\2017-02-21 &amp; aws s3 cp s3://rtdc.mdm.uploadarchive.raw/RTDC4028/ "%USERPROFILE%\AppData\Local\Temp\OnboardLogs"\RTDC4028\2017-02-22 --exclude "*" --recursive --include "*20170222*" &amp; "%USERPROFILE%\Documents\GitHub\mrs-test-scripts\Headless Mode &amp; Sideloading\WalkAndUnGZ.bat" "%USERPROFILE%\AppData\Local\Temp\OnboardLogs"\RTDC4028\2017-02-22</v>
      </c>
      <c r="AF123" s="82" t="str">
        <f t="shared" si="41"/>
        <v>"C:\Program Files (x86)\AstroGrep\AstroGrep.exe" /spath="%USERPROFILE%\AppData\Local\Temp\OnboardLogs" /stypes="app*4028*20170222*" /stext=" 01:.+((SYSTEM_STATE.+slice.+state.+changed )|(ment ac)|(multiple cpu faults)|(system.+state.+changed )|(\[timeout)|(PRM\|1\|D)|(kpr)|(kdp)|(\|lc)|(penalty))" /e /r /s</v>
      </c>
      <c r="AG123" s="1" t="str">
        <f t="shared" si="42"/>
        <v>EC</v>
      </c>
      <c r="AH123" s="86" t="str">
        <f t="shared" si="45"/>
        <v>"%USERPROFILE%\Documents\GitHub\eaglep3\Utilities\RefineRTDCRunTimes.py" --tripid 208-21 --locoid 4028 --swversion DE.1.0.9.0 --startMP 204:232960 --initTime 2017-02-21T17:48:13 --startdatetime 2017-02-21T17:56:15 --delay 0 --endMP 204:180 --enddatetime 2017-02-21T18:36:07 --enforcementcount 0 &gt;&gt;C:\Users\stu\Documents\GitHub\eaglep3-reporting\EC\2017-02-21-refined-times.txt</v>
      </c>
      <c r="AI123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{"issue":{"subject":"","project_id":79,"tracker_id":40,"status_id":1,"priority_id":2,"assigned_to_id":23,"start_date":"2017-02-21","description":"","custom_fields":[{"id":1,"name":"Subdivision","value":"EC"},{"id":4,"name":"Milepost","value":"0.018"},{"id":17,"name":"Train ID","value":"208-21"},{"id":16,"name":"Locomotive ID","value":"4028"},{"id":130,"name":"Impact","value":""},{"id":150,"name":"Time of Event (Mountain Time)","value":"18:36:07"},{"id":151,"name":"Denver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47"/>
        <v>start /low /b %USERPROFILE%\Documents\GitHub\eaglep3\Utilities\DownloadLogsFromS3.py --loco 4028 --day 2017-02-21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"%USERPROFILE%\AppData\Local\Temp\OnboardLogs"\RTDC4028\*4028*20170222* | grep -SE "(Enforcement Action)|(\[TIMEOUT)|(CHR.+\|PRM\|1\|D.+(SWITCH|SIGNAL).+UNKNOWN)" - &gt;&gt; 2017-02-21-UncaughtWiMAX.txt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628</v>
      </c>
      <c r="B124" s="7">
        <v>4025</v>
      </c>
      <c r="C124" s="21" t="s">
        <v>359</v>
      </c>
      <c r="D124" s="21" t="s">
        <v>291</v>
      </c>
      <c r="E124" s="13">
        <v>42787.718032407407</v>
      </c>
      <c r="F124" s="13">
        <v>42787.719236111108</v>
      </c>
      <c r="G124" s="7">
        <v>1</v>
      </c>
      <c r="H124" s="21" t="s">
        <v>694</v>
      </c>
      <c r="I124" s="13">
        <v>42787.744444444441</v>
      </c>
      <c r="J124" s="7">
        <v>0</v>
      </c>
      <c r="K124" s="98" t="str">
        <f t="shared" si="32"/>
        <v>4025/4026</v>
      </c>
      <c r="L124" s="21" t="str">
        <f>VLOOKUP(A124,'Trips&amp;Operators'!$C$1:$G$99999,5,FALSE)</f>
        <v>CHANDLER KELVIN</v>
      </c>
      <c r="M124" s="6">
        <f t="shared" si="33"/>
        <v>2.5208333332557231E-2</v>
      </c>
      <c r="N124" s="7">
        <f t="shared" si="49"/>
        <v>36.299999998882413</v>
      </c>
      <c r="O124" s="7"/>
      <c r="P124" s="7"/>
      <c r="Q124" s="22"/>
      <c r="R124" s="22"/>
      <c r="S124" s="31">
        <f t="shared" si="48"/>
        <v>1</v>
      </c>
      <c r="T124" s="46" t="str">
        <f t="shared" si="34"/>
        <v>NorthBound</v>
      </c>
      <c r="U124" s="193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4" t="str">
        <f t="shared" si="35"/>
        <v>https://d0f6bd738d7f1b3e5a7ca70fe4ff75f0.us-east-1.aws.found.io/app/kibana#/discover/Steve-Slow-Train-Analysis-(2080s-and-2083s)?_g=(refreshInterval:(display:Off,pause:!f,section:0,value:0),time:(from:'2017-02-21T16:13:58-0700',mode:absolute,to:'2017-02-21T18:52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4" s="195" t="str">
        <f t="shared" si="36"/>
        <v>N</v>
      </c>
      <c r="X124" s="195">
        <f t="shared" si="52"/>
        <v>1</v>
      </c>
      <c r="Y124" s="62">
        <f t="shared" si="43"/>
        <v>4.7699999999999999E-2</v>
      </c>
      <c r="Z124" s="62">
        <f t="shared" si="44"/>
        <v>23.329499999999999</v>
      </c>
      <c r="AA124" s="62">
        <f t="shared" si="38"/>
        <v>23.2818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9"/>
        <v>0209-21</v>
      </c>
      <c r="AE124" s="85" t="str">
        <f t="shared" si="40"/>
        <v>aws s3 cp s3://rtdc.mdm.uploadarchive.raw/RTDC4025/ "%USERPROFILE%\AppData\Local\Temp\OnboardLogs"\RTDC4025\2017-02-21 --exclude "*" --recursive --include "*20170221*" &amp; "%USERPROFILE%\Documents\GitHub\mrs-test-scripts\Headless Mode &amp; Sideloading\WalkAndUnGZ.bat" "%USERPROFILE%\AppData\Local\Temp\OnboardLogs"\RTDC4025\2017-02-21 &amp; aws s3 cp s3://rtdc.mdm.uploadarchive.raw/RTDC4025/ "%USERPROFILE%\AppData\Local\Temp\OnboardLogs"\RTDC4025\2017-02-22 --exclude "*" --recursive --include "*20170222*" &amp; "%USERPROFILE%\Documents\GitHub\mrs-test-scripts\Headless Mode &amp; Sideloading\WalkAndUnGZ.bat" "%USERPROFILE%\AppData\Local\Temp\OnboardLogs"\RTDC4025\2017-02-22</v>
      </c>
      <c r="AF124" s="82" t="str">
        <f t="shared" si="41"/>
        <v>"C:\Program Files (x86)\AstroGrep\AstroGrep.exe" /spath="%USERPROFILE%\AppData\Local\Temp\OnboardLogs" /stypes="app*4025*20170222*" /stext=" 00:.+((SYSTEM_STATE.+slice.+state.+changed )|(ment ac)|(multiple cpu faults)|(system.+state.+changed )|(\[timeout)|(PRM\|1\|D)|(kpr)|(kdp)|(\|lc)|(penalty))" /e /r /s</v>
      </c>
      <c r="AG124" s="1" t="str">
        <f t="shared" si="42"/>
        <v>EC</v>
      </c>
      <c r="AH124" s="86" t="str">
        <f t="shared" si="45"/>
        <v>"%USERPROFILE%\Documents\GitHub\eaglep3\Utilities\RefineRTDCRunTimes.py" --tripid 209-21 --locoid 4025 --swversion DE.1.0.9.0 --startMP 204:477 --initTime 2017-02-21T17:13:58 --startdatetime 2017-02-21T17:15:42 --delay 1 --endMP 204:233295 --enddatetime 2017-02-21T17:52:00 --enforcementcount 0 &gt;&gt;C:\Users\stu\Documents\GitHub\eaglep3-reporting\EC\2017-02-21-refined-times.txt</v>
      </c>
      <c r="AI124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{"issue":{"subject":"","project_id":79,"tracker_id":40,"status_id":1,"priority_id":2,"assigned_to_id":23,"start_date":"2017-02-21","description":"","custom_fields":[{"id":1,"name":"Subdivision","value":"EC"},{"id":4,"name":"Milepost","value":"23.3295"},{"id":17,"name":"Train ID","value":"209-21"},{"id":16,"name":"Locomotive ID","value":"4025"},{"id":130,"name":"Impact","value":""},{"id":150,"name":"Time of Event (Mountain Time)","value":"17:52:00"},{"id":151,"name":"Denver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47"/>
        <v>start /low /b %USERPROFILE%\Documents\GitHub\eaglep3\Utilities\DownloadLogsFromS3.py --loco 4025 --day 2017-02-21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"%USERPROFILE%\AppData\Local\Temp\OnboardLogs"\RTDC4025\*4025*20170222* | grep -SE "(Enforcement Action)|(\[TIMEOUT)|(CHR.+\|PRM\|1\|D.+(SWITCH|SIGNAL).+UNKNOWN)" - &gt;&gt; 2017-02-21-UncaughtWiMAX.txt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644</v>
      </c>
      <c r="B125" s="7">
        <v>4026</v>
      </c>
      <c r="C125" s="21" t="s">
        <v>359</v>
      </c>
      <c r="D125" s="21" t="s">
        <v>322</v>
      </c>
      <c r="E125" s="13">
        <v>42787.755729166667</v>
      </c>
      <c r="F125" s="13">
        <v>42787.7580787037</v>
      </c>
      <c r="G125" s="7">
        <v>1</v>
      </c>
      <c r="H125" s="21" t="s">
        <v>207</v>
      </c>
      <c r="I125" s="13">
        <v>42787.786041666666</v>
      </c>
      <c r="J125" s="7">
        <v>0</v>
      </c>
      <c r="K125" s="98" t="str">
        <f t="shared" si="32"/>
        <v>4025/4026</v>
      </c>
      <c r="L125" s="21" t="str">
        <f>VLOOKUP(A125,'Trips&amp;Operators'!$C$1:$G$99999,5,FALSE)</f>
        <v>CHANDLER KELVIN</v>
      </c>
      <c r="M125" s="6">
        <f t="shared" si="33"/>
        <v>2.7962962965830229E-2</v>
      </c>
      <c r="N125" s="7">
        <f t="shared" si="49"/>
        <v>40.26666667079553</v>
      </c>
      <c r="O125" s="7"/>
      <c r="P125" s="7"/>
      <c r="Q125" s="22"/>
      <c r="R125" s="22"/>
      <c r="S125" s="31">
        <f t="shared" si="48"/>
        <v>1</v>
      </c>
      <c r="T125" s="46" t="str">
        <f t="shared" si="34"/>
        <v>Southbound</v>
      </c>
      <c r="U125" s="193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4" t="str">
        <f t="shared" si="35"/>
        <v>https://d0f6bd738d7f1b3e5a7ca70fe4ff75f0.us-east-1.aws.found.io/app/kibana#/discover/Steve-Slow-Train-Analysis-(2080s-and-2083s)?_g=(refreshInterval:(display:Off,pause:!f,section:0,value:0),time:(from:'2017-02-21T17:08:15-0700',mode:absolute,to:'2017-02-21T19:51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5" s="195" t="str">
        <f t="shared" si="36"/>
        <v>N</v>
      </c>
      <c r="X125" s="195">
        <f t="shared" si="52"/>
        <v>1</v>
      </c>
      <c r="Y125" s="62">
        <f t="shared" si="43"/>
        <v>23.2973</v>
      </c>
      <c r="Z125" s="62">
        <f t="shared" si="44"/>
        <v>1.5800000000000002E-2</v>
      </c>
      <c r="AA125" s="62">
        <f t="shared" si="38"/>
        <v>23.281500000000001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9"/>
        <v>0210-21</v>
      </c>
      <c r="AE125" s="85" t="str">
        <f t="shared" si="40"/>
        <v>aws s3 cp s3://rtdc.mdm.uploadarchive.raw/RTDC4026/ "%USERPROFILE%\AppData\Local\Temp\OnboardLogs"\RTDC4026\2017-02-21 --exclude "*" --recursive --include "*20170221*" &amp; "%USERPROFILE%\Documents\GitHub\mrs-test-scripts\Headless Mode &amp; Sideloading\WalkAndUnGZ.bat" "%USERPROFILE%\AppData\Local\Temp\OnboardLogs"\RTDC4026\2017-02-21 &amp; aws s3 cp s3://rtdc.mdm.uploadarchive.raw/RTDC4026/ "%USERPROFILE%\AppData\Local\Temp\OnboardLogs"\RTDC4026\2017-02-22 --exclude "*" --recursive --include "*20170222*" &amp; "%USERPROFILE%\Documents\GitHub\mrs-test-scripts\Headless Mode &amp; Sideloading\WalkAndUnGZ.bat" "%USERPROFILE%\AppData\Local\Temp\OnboardLogs"\RTDC4026\2017-02-22</v>
      </c>
      <c r="AF125" s="82" t="str">
        <f t="shared" si="41"/>
        <v>"C:\Program Files (x86)\AstroGrep\AstroGrep.exe" /spath="%USERPROFILE%\AppData\Local\Temp\OnboardLogs" /stypes="app*4026*20170222*" /stext=" 01:.+((SYSTEM_STATE.+slice.+state.+changed )|(ment ac)|(multiple cpu faults)|(system.+state.+changed )|(\[timeout)|(PRM\|1\|D)|(kpr)|(kdp)|(\|lc)|(penalty))" /e /r /s</v>
      </c>
      <c r="AG125" s="1" t="str">
        <f t="shared" si="42"/>
        <v>EC</v>
      </c>
      <c r="AH125" s="86" t="str">
        <f t="shared" si="45"/>
        <v>"%USERPROFILE%\Documents\GitHub\eaglep3\Utilities\RefineRTDCRunTimes.py" --tripid 210-21 --locoid 4026 --swversion DE.1.0.9.0 --startMP 204:232973 --initTime 2017-02-21T18:08:15 --startdatetime 2017-02-21T18:11:38 --delay 1 --endMP 204:158 --enddatetime 2017-02-21T18:51:54 --enforcementcount 0 &gt;&gt;C:\Users\stu\Documents\GitHub\eaglep3-reporting\EC\2017-02-21-refined-times.txt</v>
      </c>
      <c r="AI125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{"issue":{"subject":"","project_id":79,"tracker_id":40,"status_id":1,"priority_id":2,"assigned_to_id":23,"start_date":"2017-02-21","description":"","custom_fields":[{"id":1,"name":"Subdivision","value":"EC"},{"id":4,"name":"Milepost","value":"0.0158"},{"id":17,"name":"Train ID","value":"210-21"},{"id":16,"name":"Locomotive ID","value":"4026"},{"id":130,"name":"Impact","value":""},{"id":150,"name":"Time of Event (Mountain Time)","value":"18:51:54"},{"id":151,"name":"Denver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47"/>
        <v>start /low /b %USERPROFILE%\Documents\GitHub\eaglep3\Utilities\DownloadLogsFromS3.py --loco 4026 --day 2017-02-21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"%USERPROFILE%\AppData\Local\Temp\OnboardLogs"\RTDC4026\*4026*20170222* | grep -SE "(Enforcement Action)|(\[TIMEOUT)|(CHR.+\|PRM\|1\|D.+(SWITCH|SIGNAL).+UNKNOWN)" - &gt;&gt; 2017-02-21-UncaughtWiMAX.txt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630</v>
      </c>
      <c r="B126" s="7">
        <v>4006</v>
      </c>
      <c r="C126" s="21" t="s">
        <v>359</v>
      </c>
      <c r="D126" s="21" t="s">
        <v>747</v>
      </c>
      <c r="E126" s="13">
        <v>42787.725219907406</v>
      </c>
      <c r="F126" s="13">
        <v>42787.729351851849</v>
      </c>
      <c r="G126" s="7">
        <v>6</v>
      </c>
      <c r="H126" s="21" t="s">
        <v>364</v>
      </c>
      <c r="I126" s="13">
        <v>42787.754537037035</v>
      </c>
      <c r="J126" s="7">
        <v>0</v>
      </c>
      <c r="K126" s="98" t="str">
        <f t="shared" si="32"/>
        <v>4005/4006</v>
      </c>
      <c r="L126" s="21" t="str">
        <f>VLOOKUP(A126,'Trips&amp;Operators'!$C$1:$G$99999,5,FALSE)</f>
        <v>CRAYTON QUNTRELL</v>
      </c>
      <c r="M126" s="6">
        <f t="shared" si="33"/>
        <v>2.5185185186273884E-2</v>
      </c>
      <c r="N126" s="7">
        <f t="shared" si="49"/>
        <v>36.266666668234393</v>
      </c>
      <c r="O126" s="7"/>
      <c r="P126" s="7"/>
      <c r="Q126" s="22"/>
      <c r="R126" s="22"/>
      <c r="S126" s="31">
        <f t="shared" si="48"/>
        <v>1</v>
      </c>
      <c r="T126" s="46" t="str">
        <f t="shared" si="34"/>
        <v>NorthBound</v>
      </c>
      <c r="U126" s="193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4" t="str">
        <f t="shared" si="35"/>
        <v>https://d0f6bd738d7f1b3e5a7ca70fe4ff75f0.us-east-1.aws.found.io/app/kibana#/discover/Steve-Slow-Train-Analysis-(2080s-and-2083s)?_g=(refreshInterval:(display:Off,pause:!f,section:0,value:0),time:(from:'2017-02-21T16:24:19-0700',mode:absolute,to:'2017-02-21T19:06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6" s="195" t="str">
        <f t="shared" si="36"/>
        <v>N</v>
      </c>
      <c r="X126" s="195">
        <f t="shared" si="52"/>
        <v>1</v>
      </c>
      <c r="Y126" s="62">
        <f t="shared" si="43"/>
        <v>0.1908</v>
      </c>
      <c r="Z126" s="62">
        <f t="shared" si="44"/>
        <v>23.3291</v>
      </c>
      <c r="AA126" s="62">
        <f t="shared" si="38"/>
        <v>23.138300000000001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9"/>
        <v>0211-21</v>
      </c>
      <c r="AE126" s="85" t="str">
        <f t="shared" si="40"/>
        <v>aws s3 cp s3://rtdc.mdm.uploadarchive.raw/RTDC4006/ "%USERPROFILE%\AppData\Local\Temp\OnboardLogs"\RTDC4006\2017-02-21 --exclude "*" --recursive --include "*20170221*" &amp; "%USERPROFILE%\Documents\GitHub\mrs-test-scripts\Headless Mode &amp; Sideloading\WalkAndUnGZ.bat" "%USERPROFILE%\AppData\Local\Temp\OnboardLogs"\RTDC4006\2017-02-21 &amp; aws s3 cp s3://rtdc.mdm.uploadarchive.raw/RTDC4006/ "%USERPROFILE%\AppData\Local\Temp\OnboardLogs"\RTDC4006\2017-02-22 --exclude "*" --recursive --include "*20170222*" &amp; "%USERPROFILE%\Documents\GitHub\mrs-test-scripts\Headless Mode &amp; Sideloading\WalkAndUnGZ.bat" "%USERPROFILE%\AppData\Local\Temp\OnboardLogs"\RTDC4006\2017-02-22</v>
      </c>
      <c r="AF126" s="82" t="str">
        <f t="shared" si="41"/>
        <v>"C:\Program Files (x86)\AstroGrep\AstroGrep.exe" /spath="%USERPROFILE%\AppData\Local\Temp\OnboardLogs" /stypes="app*4006*20170222*" /stext=" 01:.+((SYSTEM_STATE.+slice.+state.+changed )|(ment ac)|(multiple cpu faults)|(system.+state.+changed )|(\[timeout)|(PRM\|1\|D)|(kpr)|(kdp)|(\|lc)|(penalty))" /e /r /s</v>
      </c>
      <c r="AG126" s="1" t="str">
        <f t="shared" si="42"/>
        <v>EC</v>
      </c>
      <c r="AH126" s="86" t="str">
        <f t="shared" si="45"/>
        <v>"%USERPROFILE%\Documents\GitHub\eaglep3\Utilities\RefineRTDCRunTimes.py" --tripid 211-21 --locoid 4006 --swversion DE.1.0.9.0 --startMP 204:1908 --initTime 2017-02-21T17:24:19 --startdatetime 2017-02-21T17:30:16 --delay 6 --endMP 204:233291 --enddatetime 2017-02-21T18:06:32 --enforcementcount 0 &gt;&gt;C:\Users\stu\Documents\GitHub\eaglep3-reporting\EC\2017-02-21-refined-times.txt</v>
      </c>
      <c r="AI126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{"issue":{"subject":"","project_id":79,"tracker_id":40,"status_id":1,"priority_id":2,"assigned_to_id":23,"start_date":"2017-02-21","description":"","custom_fields":[{"id":1,"name":"Subdivision","value":"EC"},{"id":4,"name":"Milepost","value":"23.3291"},{"id":17,"name":"Train ID","value":"211-21"},{"id":16,"name":"Locomotive ID","value":"4006"},{"id":130,"name":"Impact","value":""},{"id":150,"name":"Time of Event (Mountain Time)","value":"18:06:32"},{"id":151,"name":"Denver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47"/>
        <v>start /low /b %USERPROFILE%\Documents\GitHub\eaglep3\Utilities\DownloadLogsFromS3.py --loco 4006 --day 2017-02-21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"%USERPROFILE%\AppData\Local\Temp\OnboardLogs"\RTDC4006\*4006*20170222* | grep -SE "(Enforcement Action)|(\[TIMEOUT)|(CHR.+\|PRM\|1\|D.+(SWITCH|SIGNAL).+UNKNOWN)" - &gt;&gt; 2017-02-21-UncaughtWiMAX.txt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647</v>
      </c>
      <c r="B127" s="7">
        <v>4005</v>
      </c>
      <c r="C127" s="21" t="s">
        <v>359</v>
      </c>
      <c r="D127" s="21" t="s">
        <v>748</v>
      </c>
      <c r="E127" s="13">
        <v>42787.762465277781</v>
      </c>
      <c r="F127" s="13">
        <v>42787.76840277778</v>
      </c>
      <c r="G127" s="7">
        <v>1</v>
      </c>
      <c r="H127" s="21" t="s">
        <v>749</v>
      </c>
      <c r="I127" s="13">
        <v>42787.795243055552</v>
      </c>
      <c r="J127" s="7">
        <v>0</v>
      </c>
      <c r="K127" s="98" t="str">
        <f t="shared" si="32"/>
        <v>4005/4006</v>
      </c>
      <c r="L127" s="21" t="str">
        <f>VLOOKUP(A127,'Trips&amp;Operators'!$C$1:$G$99999,5,FALSE)</f>
        <v>CRAYTON QUNTRELL</v>
      </c>
      <c r="M127" s="6">
        <f t="shared" si="33"/>
        <v>2.6840277772862464E-2</v>
      </c>
      <c r="N127" s="7">
        <f t="shared" si="49"/>
        <v>38.649999992921948</v>
      </c>
      <c r="O127" s="7"/>
      <c r="P127" s="7"/>
      <c r="Q127" s="22"/>
      <c r="R127" s="22"/>
      <c r="S127" s="31">
        <f t="shared" si="48"/>
        <v>1</v>
      </c>
      <c r="T127" s="46" t="str">
        <f t="shared" si="34"/>
        <v>Southbound</v>
      </c>
      <c r="U127" s="193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4" t="str">
        <f t="shared" si="35"/>
        <v>https://d0f6bd738d7f1b3e5a7ca70fe4ff75f0.us-east-1.aws.found.io/app/kibana#/discover/Steve-Slow-Train-Analysis-(2080s-and-2083s)?_g=(refreshInterval:(display:Off,pause:!f,section:0,value:0),time:(from:'2017-02-21T17:17:57-0700',mode:absolute,to:'2017-02-21T20:05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7" s="195" t="str">
        <f t="shared" si="36"/>
        <v>N</v>
      </c>
      <c r="X127" s="195">
        <f t="shared" ref="X127:X128" si="53">VALUE(LEFT(AD127,4))-VALUE(LEFT(AD126,4))</f>
        <v>1</v>
      </c>
      <c r="Y127" s="62">
        <f t="shared" si="43"/>
        <v>23.296600000000002</v>
      </c>
      <c r="Z127" s="62">
        <f t="shared" si="44"/>
        <v>1.7399999999999999E-2</v>
      </c>
      <c r="AA127" s="62">
        <f t="shared" si="38"/>
        <v>23.279200000000003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9"/>
        <v>0212-21</v>
      </c>
      <c r="AE127" s="85" t="str">
        <f t="shared" si="40"/>
        <v>aws s3 cp s3://rtdc.mdm.uploadarchive.raw/RTDC4005/ "%USERPROFILE%\AppData\Local\Temp\OnboardLogs"\RTDC4005\2017-02-21 --exclude "*" --recursive --include "*20170221*" &amp; "%USERPROFILE%\Documents\GitHub\mrs-test-scripts\Headless Mode &amp; Sideloading\WalkAndUnGZ.bat" "%USERPROFILE%\AppData\Local\Temp\OnboardLogs"\RTDC4005\2017-02-21 &amp; aws s3 cp s3://rtdc.mdm.uploadarchive.raw/RTDC4005/ "%USERPROFILE%\AppData\Local\Temp\OnboardLogs"\RTDC4005\2017-02-22 --exclude "*" --recursive --include "*20170222*" &amp; "%USERPROFILE%\Documents\GitHub\mrs-test-scripts\Headless Mode &amp; Sideloading\WalkAndUnGZ.bat" "%USERPROFILE%\AppData\Local\Temp\OnboardLogs"\RTDC4005\2017-02-22</v>
      </c>
      <c r="AF127" s="82" t="str">
        <f t="shared" si="41"/>
        <v>"C:\Program Files (x86)\AstroGrep\AstroGrep.exe" /spath="%USERPROFILE%\AppData\Local\Temp\OnboardLogs" /stypes="app*4005*20170222*" /stext=" 02:.+((SYSTEM_STATE.+slice.+state.+changed )|(ment ac)|(multiple cpu faults)|(system.+state.+changed )|(\[timeout)|(PRM\|1\|D)|(kpr)|(kdp)|(\|lc)|(penalty))" /e /r /s</v>
      </c>
      <c r="AG127" s="1" t="str">
        <f t="shared" si="42"/>
        <v>EC</v>
      </c>
      <c r="AH127" s="86" t="str">
        <f t="shared" si="45"/>
        <v>"%USERPROFILE%\Documents\GitHub\eaglep3\Utilities\RefineRTDCRunTimes.py" --tripid 212-21 --locoid 4005 --swversion DE.1.0.9.0 --startMP 204:232966 --initTime 2017-02-21T18:17:57 --startdatetime 2017-02-21T18:26:30 --delay 1 --endMP 204:174 --enddatetime 2017-02-21T19:05:09 --enforcementcount 0 &gt;&gt;C:\Users\stu\Documents\GitHub\eaglep3-reporting\EC\2017-02-21-refined-times.txt</v>
      </c>
      <c r="AI127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{"issue":{"subject":"","project_id":79,"tracker_id":40,"status_id":1,"priority_id":2,"assigned_to_id":23,"start_date":"2017-02-21","description":"","custom_fields":[{"id":1,"name":"Subdivision","value":"EC"},{"id":4,"name":"Milepost","value":"0.0174"},{"id":17,"name":"Train ID","value":"212-21"},{"id":16,"name":"Locomotive ID","value":"4005"},{"id":130,"name":"Impact","value":""},{"id":150,"name":"Time of Event (Mountain Time)","value":"19:05:09"},{"id":151,"name":"Denver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47"/>
        <v>start /low /b %USERPROFILE%\Documents\GitHub\eaglep3\Utilities\DownloadLogsFromS3.py --loco 4005 --day 2017-02-21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"%USERPROFILE%\AppData\Local\Temp\OnboardLogs"\RTDC4005\*4005*20170222* | grep -SE "(Enforcement Action)|(\[TIMEOUT)|(CHR.+\|PRM\|1\|D.+(SWITCH|SIGNAL).+UNKNOWN)" - &gt;&gt; 2017-02-21-UncaughtWiMAX.txt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637</v>
      </c>
      <c r="B128" s="7">
        <v>4029</v>
      </c>
      <c r="C128" s="21" t="s">
        <v>359</v>
      </c>
      <c r="D128" s="21" t="s">
        <v>331</v>
      </c>
      <c r="E128" s="13">
        <v>42787.738356481481</v>
      </c>
      <c r="F128" s="13">
        <v>42787.74009259259</v>
      </c>
      <c r="G128" s="7">
        <v>2</v>
      </c>
      <c r="H128" s="21" t="s">
        <v>750</v>
      </c>
      <c r="I128" s="13">
        <v>42787.766562500001</v>
      </c>
      <c r="J128" s="7">
        <v>0</v>
      </c>
      <c r="K128" s="98" t="str">
        <f t="shared" si="32"/>
        <v>4029/4030</v>
      </c>
      <c r="L128" s="21" t="str">
        <f>VLOOKUP(A128,'Trips&amp;Operators'!$C$1:$G$99999,5,FALSE)</f>
        <v>NELSON ARIANE</v>
      </c>
      <c r="M128" s="6">
        <f t="shared" si="33"/>
        <v>2.6469907410501037E-2</v>
      </c>
      <c r="N128" s="7">
        <f t="shared" si="49"/>
        <v>38.116666671121493</v>
      </c>
      <c r="O128" s="7"/>
      <c r="P128" s="7"/>
      <c r="Q128" s="22"/>
      <c r="R128" s="22"/>
      <c r="S128" s="31">
        <f t="shared" si="48"/>
        <v>1</v>
      </c>
      <c r="T128" s="46" t="str">
        <f t="shared" si="34"/>
        <v>NorthBound</v>
      </c>
      <c r="U128" s="193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4" t="str">
        <f t="shared" si="35"/>
        <v>https://d0f6bd738d7f1b3e5a7ca70fe4ff75f0.us-east-1.aws.found.io/app/kibana#/discover/Steve-Slow-Train-Analysis-(2080s-and-2083s)?_g=(refreshInterval:(display:Off,pause:!f,section:0,value:0),time:(from:'2017-02-21T16:43:14-0700',mode:absolute,to:'2017-02-21T19:23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8" s="195" t="str">
        <f t="shared" si="36"/>
        <v>N</v>
      </c>
      <c r="X128" s="195">
        <f t="shared" si="53"/>
        <v>1</v>
      </c>
      <c r="Y128" s="62">
        <f t="shared" si="43"/>
        <v>4.7500000000000001E-2</v>
      </c>
      <c r="Z128" s="62">
        <f t="shared" si="44"/>
        <v>23.326599999999999</v>
      </c>
      <c r="AA128" s="62">
        <f t="shared" si="38"/>
        <v>23.2791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9"/>
        <v>0213-21</v>
      </c>
      <c r="AE128" s="85" t="str">
        <f t="shared" si="40"/>
        <v>aws s3 cp s3://rtdc.mdm.uploadarchive.raw/RTDC4029/ "%USERPROFILE%\AppData\Local\Temp\OnboardLogs"\RTDC4029\2017-02-21 --exclude "*" --recursive --include "*20170221*" &amp; "%USERPROFILE%\Documents\GitHub\mrs-test-scripts\Headless Mode &amp; Sideloading\WalkAndUnGZ.bat" "%USERPROFILE%\AppData\Local\Temp\OnboardLogs"\RTDC4029\2017-02-21 &amp; aws s3 cp s3://rtdc.mdm.uploadarchive.raw/RTDC4029/ "%USERPROFILE%\AppData\Local\Temp\OnboardLogs"\RTDC4029\2017-02-22 --exclude "*" --recursive --include "*20170222*" &amp; "%USERPROFILE%\Documents\GitHub\mrs-test-scripts\Headless Mode &amp; Sideloading\WalkAndUnGZ.bat" "%USERPROFILE%\AppData\Local\Temp\OnboardLogs"\RTDC4029\2017-02-22</v>
      </c>
      <c r="AF128" s="82" t="str">
        <f t="shared" si="41"/>
        <v>"C:\Program Files (x86)\AstroGrep\AstroGrep.exe" /spath="%USERPROFILE%\AppData\Local\Temp\OnboardLogs" /stypes="app*4029*20170222*" /stext=" 01:.+((SYSTEM_STATE.+slice.+state.+changed )|(ment ac)|(multiple cpu faults)|(system.+state.+changed )|(\[timeout)|(PRM\|1\|D)|(kpr)|(kdp)|(\|lc)|(penalty))" /e /r /s</v>
      </c>
      <c r="AG128" s="1" t="str">
        <f t="shared" si="42"/>
        <v>EC</v>
      </c>
      <c r="AH128" s="86" t="str">
        <f t="shared" si="45"/>
        <v>"%USERPROFILE%\Documents\GitHub\eaglep3\Utilities\RefineRTDCRunTimes.py" --tripid 213-21 --locoid 4029 --swversion DE.1.0.9.0 --startMP 204:475 --initTime 2017-02-21T17:43:14 --startdatetime 2017-02-21T17:45:44 --delay 2 --endMP 204:233266 --enddatetime 2017-02-21T18:23:51 --enforcementcount 0 &gt;&gt;C:\Users\stu\Documents\GitHub\eaglep3-reporting\EC\2017-02-21-refined-times.txt</v>
      </c>
      <c r="AI128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{"issue":{"subject":"","project_id":79,"tracker_id":40,"status_id":1,"priority_id":2,"assigned_to_id":23,"start_date":"2017-02-21","description":"","custom_fields":[{"id":1,"name":"Subdivision","value":"EC"},{"id":4,"name":"Milepost","value":"23.3266"},{"id":17,"name":"Train ID","value":"213-21"},{"id":16,"name":"Locomotive ID","value":"4029"},{"id":130,"name":"Impact","value":""},{"id":150,"name":"Time of Event (Mountain Time)","value":"18:23:51"},{"id":151,"name":"Denver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47"/>
        <v>start /low /b %USERPROFILE%\Documents\GitHub\eaglep3\Utilities\DownloadLogsFromS3.py --loco 4029 --day 2017-02-21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"%USERPROFILE%\AppData\Local\Temp\OnboardLogs"\RTDC4029\*4029*20170222* | grep -SE "(Enforcement Action)|(\[TIMEOUT)|(CHR.+\|PRM\|1\|D.+(SWITCH|SIGNAL).+UNKNOWN)" - &gt;&gt; 2017-02-21-UncaughtWiMAX.txt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652</v>
      </c>
      <c r="B129" s="7">
        <v>4030</v>
      </c>
      <c r="C129" s="21" t="s">
        <v>359</v>
      </c>
      <c r="D129" s="21" t="s">
        <v>740</v>
      </c>
      <c r="E129" s="13">
        <v>42787.778090277781</v>
      </c>
      <c r="F129" s="13">
        <v>42787.779606481483</v>
      </c>
      <c r="G129" s="7">
        <v>1</v>
      </c>
      <c r="H129" s="21" t="s">
        <v>194</v>
      </c>
      <c r="I129" s="13">
        <v>42787.807500000003</v>
      </c>
      <c r="J129" s="7">
        <v>0</v>
      </c>
      <c r="K129" s="98" t="str">
        <f t="shared" si="32"/>
        <v>4029/4030</v>
      </c>
      <c r="L129" s="21" t="str">
        <f>VLOOKUP(A129,'Trips&amp;Operators'!$C$1:$G$99999,5,FALSE)</f>
        <v>NELSON ARIANE</v>
      </c>
      <c r="M129" s="6">
        <f t="shared" si="33"/>
        <v>2.789351851970423E-2</v>
      </c>
      <c r="N129" s="7">
        <f t="shared" si="49"/>
        <v>40.166666668374091</v>
      </c>
      <c r="O129" s="7"/>
      <c r="P129" s="7"/>
      <c r="Q129" s="22"/>
      <c r="R129" s="22"/>
      <c r="S129" s="31">
        <f t="shared" si="48"/>
        <v>1</v>
      </c>
      <c r="T129" s="46" t="str">
        <f t="shared" si="34"/>
        <v>Southbound</v>
      </c>
      <c r="U129" s="193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4" t="str">
        <f t="shared" si="35"/>
        <v>https://d0f6bd738d7f1b3e5a7ca70fe4ff75f0.us-east-1.aws.found.io/app/kibana#/discover/Steve-Slow-Train-Analysis-(2080s-and-2083s)?_g=(refreshInterval:(display:Off,pause:!f,section:0,value:0),time:(from:'2017-02-21T17:40:27-0700',mode:absolute,to:'2017-02-21T20:22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9" s="195" t="str">
        <f t="shared" si="36"/>
        <v>N</v>
      </c>
      <c r="X129" s="195">
        <f t="shared" ref="X129:X166" si="54">VALUE(LEFT(AD129,4))-VALUE(LEFT(AD128,4))</f>
        <v>1</v>
      </c>
      <c r="Y129" s="62">
        <f t="shared" si="43"/>
        <v>23.293600000000001</v>
      </c>
      <c r="Z129" s="62">
        <f t="shared" si="44"/>
        <v>1.4999999999999999E-2</v>
      </c>
      <c r="AA129" s="62">
        <f t="shared" si="38"/>
        <v>23.278600000000001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9"/>
        <v>0214-21</v>
      </c>
      <c r="AE129" s="85" t="str">
        <f t="shared" si="40"/>
        <v>aws s3 cp s3://rtdc.mdm.uploadarchive.raw/RTDC4030/ "%USERPROFILE%\AppData\Local\Temp\OnboardLogs"\RTDC4030\2017-02-21 --exclude "*" --recursive --include "*20170221*" &amp; "%USERPROFILE%\Documents\GitHub\mrs-test-scripts\Headless Mode &amp; Sideloading\WalkAndUnGZ.bat" "%USERPROFILE%\AppData\Local\Temp\OnboardLogs"\RTDC4030\2017-02-21 &amp; aws s3 cp s3://rtdc.mdm.uploadarchive.raw/RTDC4030/ "%USERPROFILE%\AppData\Local\Temp\OnboardLogs"\RTDC4030\2017-02-22 --exclude "*" --recursive --include "*20170222*" &amp; "%USERPROFILE%\Documents\GitHub\mrs-test-scripts\Headless Mode &amp; Sideloading\WalkAndUnGZ.bat" "%USERPROFILE%\AppData\Local\Temp\OnboardLogs"\RTDC4030\2017-02-22</v>
      </c>
      <c r="AF129" s="82" t="str">
        <f t="shared" si="41"/>
        <v>"C:\Program Files (x86)\AstroGrep\AstroGrep.exe" /spath="%USERPROFILE%\AppData\Local\Temp\OnboardLogs" /stypes="app*4030*20170222*" /stext=" 02:.+((SYSTEM_STATE.+slice.+state.+changed )|(ment ac)|(multiple cpu faults)|(system.+state.+changed )|(\[timeout)|(PRM\|1\|D)|(kpr)|(kdp)|(\|lc)|(penalty))" /e /r /s</v>
      </c>
      <c r="AG129" s="1" t="str">
        <f t="shared" si="42"/>
        <v>EC</v>
      </c>
      <c r="AH129" s="86" t="str">
        <f t="shared" si="45"/>
        <v>"%USERPROFILE%\Documents\GitHub\eaglep3\Utilities\RefineRTDCRunTimes.py" --tripid 214-21 --locoid 4030 --swversion DE.1.0.9.0 --startMP 204:232936 --initTime 2017-02-21T18:40:27 --startdatetime 2017-02-21T18:42:38 --delay 1 --endMP 204:150 --enddatetime 2017-02-21T19:22:48 --enforcementcount 0 &gt;&gt;C:\Users\stu\Documents\GitHub\eaglep3-reporting\EC\2017-02-21-refined-times.txt</v>
      </c>
      <c r="AI129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{"issue":{"subject":"","project_id":79,"tracker_id":40,"status_id":1,"priority_id":2,"assigned_to_id":23,"start_date":"2017-02-21","description":"","custom_fields":[{"id":1,"name":"Subdivision","value":"EC"},{"id":4,"name":"Milepost","value":"0.015"},{"id":17,"name":"Train ID","value":"214-21"},{"id":16,"name":"Locomotive ID","value":"4030"},{"id":130,"name":"Impact","value":""},{"id":150,"name":"Time of Event (Mountain Time)","value":"19:22:48"},{"id":151,"name":"Denver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47"/>
        <v>start /low /b %USERPROFILE%\Documents\GitHub\eaglep3\Utilities\DownloadLogsFromS3.py --loco 4030 --day 2017-02-21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"%USERPROFILE%\AppData\Local\Temp\OnboardLogs"\RTDC4030\*4030*20170222* | grep -SE "(Enforcement Action)|(\[TIMEOUT)|(CHR.+\|PRM\|1\|D.+(SWITCH|SIGNAL).+UNKNOWN)" - &gt;&gt; 2017-02-21-UncaughtWiMAX.txt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643</v>
      </c>
      <c r="B130" s="7">
        <v>4014</v>
      </c>
      <c r="C130" s="21" t="s">
        <v>359</v>
      </c>
      <c r="D130" s="21" t="s">
        <v>256</v>
      </c>
      <c r="E130" s="13">
        <v>42787.746921296297</v>
      </c>
      <c r="F130" s="13">
        <v>42787.750185185185</v>
      </c>
      <c r="G130" s="7">
        <v>1</v>
      </c>
      <c r="H130" s="21" t="s">
        <v>274</v>
      </c>
      <c r="I130" s="13">
        <v>42787.774768518517</v>
      </c>
      <c r="J130" s="7">
        <v>0</v>
      </c>
      <c r="K130" s="98" t="str">
        <f t="shared" si="32"/>
        <v>4013/4014</v>
      </c>
      <c r="L130" s="21" t="str">
        <f>VLOOKUP(A130,'Trips&amp;Operators'!$C$1:$G$99999,5,FALSE)</f>
        <v>LALONDE GREGORY</v>
      </c>
      <c r="M130" s="6">
        <f t="shared" si="33"/>
        <v>2.4583333331975155E-2</v>
      </c>
      <c r="N130" s="7">
        <f t="shared" si="49"/>
        <v>35.399999998044223</v>
      </c>
      <c r="O130" s="7"/>
      <c r="P130" s="7"/>
      <c r="Q130" s="22"/>
      <c r="R130" s="22"/>
      <c r="S130" s="31">
        <f t="shared" si="48"/>
        <v>1</v>
      </c>
      <c r="T130" s="46" t="str">
        <f t="shared" si="34"/>
        <v>NorthBound</v>
      </c>
      <c r="U130" s="193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4" t="str">
        <f t="shared" si="35"/>
        <v>https://d0f6bd738d7f1b3e5a7ca70fe4ff75f0.us-east-1.aws.found.io/app/kibana#/discover/Steve-Slow-Train-Analysis-(2080s-and-2083s)?_g=(refreshInterval:(display:Off,pause:!f,section:0,value:0),time:(from:'2017-02-21T16:55:34-0700',mode:absolute,to:'2017-02-21T19:35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0" s="195" t="str">
        <f t="shared" si="36"/>
        <v>N</v>
      </c>
      <c r="X130" s="195">
        <f t="shared" si="54"/>
        <v>1</v>
      </c>
      <c r="Y130" s="62">
        <f t="shared" si="43"/>
        <v>4.4600000000000001E-2</v>
      </c>
      <c r="Z130" s="62">
        <f t="shared" si="44"/>
        <v>23.331199999999999</v>
      </c>
      <c r="AA130" s="62">
        <f t="shared" si="38"/>
        <v>23.2866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9"/>
        <v>0215-21</v>
      </c>
      <c r="AE130" s="85" t="str">
        <f t="shared" si="40"/>
        <v>aws s3 cp s3://rtdc.mdm.uploadarchive.raw/RTDC4014/ "%USERPROFILE%\AppData\Local\Temp\OnboardLogs"\RTDC4014\2017-02-21 --exclude "*" --recursive --include "*20170221*" &amp; "%USERPROFILE%\Documents\GitHub\mrs-test-scripts\Headless Mode &amp; Sideloading\WalkAndUnGZ.bat" "%USERPROFILE%\AppData\Local\Temp\OnboardLogs"\RTDC4014\2017-02-21 &amp; aws s3 cp s3://rtdc.mdm.uploadarchive.raw/RTDC4014/ "%USERPROFILE%\AppData\Local\Temp\OnboardLogs"\RTDC4014\2017-02-22 --exclude "*" --recursive --include "*20170222*" &amp; "%USERPROFILE%\Documents\GitHub\mrs-test-scripts\Headless Mode &amp; Sideloading\WalkAndUnGZ.bat" "%USERPROFILE%\AppData\Local\Temp\OnboardLogs"\RTDC4014\2017-02-22</v>
      </c>
      <c r="AF130" s="82" t="str">
        <f t="shared" si="41"/>
        <v>"C:\Program Files (x86)\AstroGrep\AstroGrep.exe" /spath="%USERPROFILE%\AppData\Local\Temp\OnboardLogs" /stypes="app*4014*20170222*" /stext=" 01:.+((SYSTEM_STATE.+slice.+state.+changed )|(ment ac)|(multiple cpu faults)|(system.+state.+changed )|(\[timeout)|(PRM\|1\|D)|(kpr)|(kdp)|(\|lc)|(penalty))" /e /r /s</v>
      </c>
      <c r="AG130" s="1" t="str">
        <f t="shared" si="42"/>
        <v>EC</v>
      </c>
      <c r="AH130" s="86" t="str">
        <f t="shared" si="45"/>
        <v>"%USERPROFILE%\Documents\GitHub\eaglep3\Utilities\RefineRTDCRunTimes.py" --tripid 215-21 --locoid 4014 --swversion DE.1.0.9.0 --startMP 204:446 --initTime 2017-02-21T17:55:34 --startdatetime 2017-02-21T18:00:16 --delay 1 --endMP 204:233312 --enddatetime 2017-02-21T18:35:40 --enforcementcount 0 &gt;&gt;C:\Users\stu\Documents\GitHub\eaglep3-reporting\EC\2017-02-21-refined-times.txt</v>
      </c>
      <c r="AI130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{"issue":{"subject":"","project_id":79,"tracker_id":40,"status_id":1,"priority_id":2,"assigned_to_id":23,"start_date":"2017-02-21","description":"","custom_fields":[{"id":1,"name":"Subdivision","value":"EC"},{"id":4,"name":"Milepost","value":"23.3312"},{"id":17,"name":"Train ID","value":"215-21"},{"id":16,"name":"Locomotive ID","value":"4014"},{"id":130,"name":"Impact","value":""},{"id":150,"name":"Time of Event (Mountain Time)","value":"18:35:40"},{"id":151,"name":"Denver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47"/>
        <v>start /low /b %USERPROFILE%\Documents\GitHub\eaglep3\Utilities\DownloadLogsFromS3.py --loco 4014 --day 2017-02-21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"%USERPROFILE%\AppData\Local\Temp\OnboardLogs"\RTDC4014\*4014*20170222* | grep -SE "(Enforcement Action)|(\[TIMEOUT)|(CHR.+\|PRM\|1\|D.+(SWITCH|SIGNAL).+UNKNOWN)" - &gt;&gt; 2017-02-21-UncaughtWiMAX.txt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487</v>
      </c>
      <c r="B131" s="7">
        <v>4013</v>
      </c>
      <c r="C131" s="21" t="s">
        <v>359</v>
      </c>
      <c r="D131" s="21" t="s">
        <v>260</v>
      </c>
      <c r="E131" s="13">
        <v>42787.78224537037</v>
      </c>
      <c r="F131" s="13">
        <v>42787.7890625</v>
      </c>
      <c r="G131" s="7">
        <v>1</v>
      </c>
      <c r="H131" s="21" t="s">
        <v>286</v>
      </c>
      <c r="I131" s="13">
        <v>42787.815162037034</v>
      </c>
      <c r="J131" s="7">
        <v>0</v>
      </c>
      <c r="K131" s="98" t="str">
        <f t="shared" si="32"/>
        <v>4013/4014</v>
      </c>
      <c r="L131" s="21" t="str">
        <f>VLOOKUP(A131,'Trips&amp;Operators'!$C$1:$G$99999,5,FALSE)</f>
        <v>LALONDE GREGORY</v>
      </c>
      <c r="M131" s="6">
        <f t="shared" si="33"/>
        <v>2.6099537033587694E-2</v>
      </c>
      <c r="N131" s="7">
        <f t="shared" si="49"/>
        <v>37.58333332836628</v>
      </c>
      <c r="O131" s="7"/>
      <c r="P131" s="7"/>
      <c r="Q131" s="22"/>
      <c r="R131" s="22"/>
      <c r="S131" s="31">
        <f t="shared" ref="S131:S162" si="55">SUM(U131:U131)/IF(AG131="EC",12,1)</f>
        <v>1</v>
      </c>
      <c r="T131" s="46" t="str">
        <f t="shared" si="34"/>
        <v>Southbound</v>
      </c>
      <c r="U131" s="193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4" t="str">
        <f t="shared" si="35"/>
        <v>https://d0f6bd738d7f1b3e5a7ca70fe4ff75f0.us-east-1.aws.found.io/app/kibana#/discover/Steve-Slow-Train-Analysis-(2080s-and-2083s)?_g=(refreshInterval:(display:Off,pause:!f,section:0,value:0),time:(from:'2017-02-21T17:46:26-0700',mode:absolute,to:'2017-02-21T20:33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1" s="195" t="str">
        <f t="shared" si="36"/>
        <v>N</v>
      </c>
      <c r="X131" s="195">
        <f t="shared" si="54"/>
        <v>1</v>
      </c>
      <c r="Y131" s="62">
        <f t="shared" si="43"/>
        <v>23.299299999999999</v>
      </c>
      <c r="Z131" s="62">
        <f t="shared" si="44"/>
        <v>1.5599999999999999E-2</v>
      </c>
      <c r="AA131" s="62">
        <f t="shared" si="38"/>
        <v>23.2837</v>
      </c>
      <c r="AB131" s="59" t="str">
        <f>VLOOKUP(A131,Enforcements!$C$7:$K$13,8,0)</f>
        <v>Bulletin (2)</v>
      </c>
      <c r="AC131" s="55" t="str">
        <f>VLOOKUP(A131,Enforcements!$C$7:$E$13,3,0)</f>
        <v>GRADE CROSSING</v>
      </c>
      <c r="AD131" s="56" t="str">
        <f t="shared" si="39"/>
        <v>0216-21</v>
      </c>
      <c r="AE131" s="85" t="str">
        <f t="shared" si="40"/>
        <v>aws s3 cp s3://rtdc.mdm.uploadarchive.raw/RTDC4013/ "%USERPROFILE%\AppData\Local\Temp\OnboardLogs"\RTDC4013\2017-02-21 --exclude "*" --recursive --include "*20170221*" &amp; "%USERPROFILE%\Documents\GitHub\mrs-test-scripts\Headless Mode &amp; Sideloading\WalkAndUnGZ.bat" "%USERPROFILE%\AppData\Local\Temp\OnboardLogs"\RTDC4013\2017-02-21 &amp; aws s3 cp s3://rtdc.mdm.uploadarchive.raw/RTDC4013/ "%USERPROFILE%\AppData\Local\Temp\OnboardLogs"\RTDC4013\2017-02-22 --exclude "*" --recursive --include "*20170222*" &amp; "%USERPROFILE%\Documents\GitHub\mrs-test-scripts\Headless Mode &amp; Sideloading\WalkAndUnGZ.bat" "%USERPROFILE%\AppData\Local\Temp\OnboardLogs"\RTDC4013\2017-02-22</v>
      </c>
      <c r="AF131" s="82" t="str">
        <f t="shared" si="41"/>
        <v>"C:\Program Files (x86)\AstroGrep\AstroGrep.exe" /spath="%USERPROFILE%\AppData\Local\Temp\OnboardLogs" /stypes="app*4013*20170222*" /stext=" 02:.+((SYSTEM_STATE.+slice.+state.+changed )|(ment ac)|(multiple cpu faults)|(system.+state.+changed )|(\[timeout)|(PRM\|1\|D)|(kpr)|(kdp)|(\|lc)|(penalty))" /e /r /s</v>
      </c>
      <c r="AG131" s="1" t="str">
        <f t="shared" si="42"/>
        <v>EC</v>
      </c>
      <c r="AH131" s="86" t="str">
        <f t="shared" si="45"/>
        <v>"%USERPROFILE%\Documents\GitHub\eaglep3\Utilities\RefineRTDCRunTimes.py" --tripid 216-21 --locoid 4013 --swversion DE.1.0.9.0 --startMP 204:232993 --initTime 2017-02-21T18:46:26 --startdatetime 2017-02-21T18:56:15 --delay 1 --endMP 204:156 --enddatetime 2017-02-21T19:33:50 --enforcementcount 0 &gt;&gt;C:\Users\stu\Documents\GitHub\eaglep3-reporting\EC\2017-02-21-refined-times.txt</v>
      </c>
      <c r="AI131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{"issue":{"subject":"","project_id":79,"tracker_id":40,"status_id":1,"priority_id":2,"assigned_to_id":23,"start_date":"2017-02-21","description":"","custom_fields":[{"id":1,"name":"Subdivision","value":"EC"},{"id":4,"name":"Milepost","value":"0.0156"},{"id":17,"name":"Train ID","value":"216-21"},{"id":16,"name":"Locomotive ID","value":"4013"},{"id":130,"name":"Impact","value":""},{"id":150,"name":"Time of Event (Mountain Time)","value":"19:33:50"},{"id":151,"name":"Denver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47"/>
        <v>start /low /b %USERPROFILE%\Documents\GitHub\eaglep3\Utilities\DownloadLogsFromS3.py --loco 4013 --day 2017-02-21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"%USERPROFILE%\AppData\Local\Temp\OnboardLogs"\RTDC4013\*4013*20170222* | grep -SE "(Enforcement Action)|(\[TIMEOUT)|(CHR.+\|PRM\|1\|D.+(SWITCH|SIGNAL).+UNKNOWN)" - &gt;&gt; 2017-02-21-UncaughtWiMAX.txt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645</v>
      </c>
      <c r="B132" s="7">
        <v>4051</v>
      </c>
      <c r="C132" s="21" t="s">
        <v>359</v>
      </c>
      <c r="D132" s="21" t="s">
        <v>266</v>
      </c>
      <c r="E132" s="13">
        <v>42787.756041666667</v>
      </c>
      <c r="F132" s="13">
        <v>42787.761307870373</v>
      </c>
      <c r="G132" s="7">
        <v>2</v>
      </c>
      <c r="H132" s="21" t="s">
        <v>372</v>
      </c>
      <c r="I132" s="13">
        <v>42787.787673611114</v>
      </c>
      <c r="J132" s="7">
        <v>0</v>
      </c>
      <c r="K132" s="98" t="str">
        <f t="shared" si="32"/>
        <v>4051/4052</v>
      </c>
      <c r="L132" s="21" t="str">
        <f>VLOOKUP(A132,'Trips&amp;Operators'!$C$1:$G$99999,5,FALSE)</f>
        <v>DAVIDSON DAVID</v>
      </c>
      <c r="M132" s="6">
        <f t="shared" si="33"/>
        <v>2.6365740741312038E-2</v>
      </c>
      <c r="N132" s="7">
        <f t="shared" si="49"/>
        <v>37.966666667489335</v>
      </c>
      <c r="O132" s="7"/>
      <c r="P132" s="7"/>
      <c r="Q132" s="22"/>
      <c r="R132" s="22"/>
      <c r="S132" s="31">
        <f t="shared" si="55"/>
        <v>1</v>
      </c>
      <c r="T132" s="46" t="str">
        <f t="shared" si="34"/>
        <v>NorthBound</v>
      </c>
      <c r="U132" s="193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4" t="str">
        <f t="shared" si="35"/>
        <v>https://d0f6bd738d7f1b3e5a7ca70fe4ff75f0.us-east-1.aws.found.io/app/kibana#/discover/Steve-Slow-Train-Analysis-(2080s-and-2083s)?_g=(refreshInterval:(display:Off,pause:!f,section:0,value:0),time:(from:'2017-02-21T17:08:42-0700',mode:absolute,to:'2017-02-21T19:54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2" s="195" t="str">
        <f t="shared" si="36"/>
        <v>N</v>
      </c>
      <c r="X132" s="195">
        <f t="shared" si="54"/>
        <v>1</v>
      </c>
      <c r="Y132" s="62">
        <f t="shared" si="43"/>
        <v>4.6399999999999997E-2</v>
      </c>
      <c r="Z132" s="62">
        <f t="shared" si="44"/>
        <v>23.332000000000001</v>
      </c>
      <c r="AA132" s="62">
        <f t="shared" si="38"/>
        <v>23.285600000000002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9"/>
        <v>0217-21</v>
      </c>
      <c r="AE132" s="85" t="str">
        <f t="shared" si="40"/>
        <v>aws s3 cp s3://rtdc.mdm.uploadarchive.raw/RTDC4051/ "%USERPROFILE%\AppData\Local\Temp\OnboardLogs"\RTDC4051\2017-02-21 --exclude "*" --recursive --include "*20170221*" &amp; "%USERPROFILE%\Documents\GitHub\mrs-test-scripts\Headless Mode &amp; Sideloading\WalkAndUnGZ.bat" "%USERPROFILE%\AppData\Local\Temp\OnboardLogs"\RTDC4051\2017-02-21 &amp; aws s3 cp s3://rtdc.mdm.uploadarchive.raw/RTDC4051/ "%USERPROFILE%\AppData\Local\Temp\OnboardLogs"\RTDC4051\2017-02-22 --exclude "*" --recursive --include "*20170222*" &amp; "%USERPROFILE%\Documents\GitHub\mrs-test-scripts\Headless Mode &amp; Sideloading\WalkAndUnGZ.bat" "%USERPROFILE%\AppData\Local\Temp\OnboardLogs"\RTDC4051\2017-02-22</v>
      </c>
      <c r="AF132" s="82" t="str">
        <f t="shared" si="41"/>
        <v>"C:\Program Files (x86)\AstroGrep\AstroGrep.exe" /spath="%USERPROFILE%\AppData\Local\Temp\OnboardLogs" /stypes="app*4051*20170222*" /stext=" 01:.+((SYSTEM_STATE.+slice.+state.+changed )|(ment ac)|(multiple cpu faults)|(system.+state.+changed )|(\[timeout)|(PRM\|1\|D)|(kpr)|(kdp)|(\|lc)|(penalty))" /e /r /s</v>
      </c>
      <c r="AG132" s="1" t="str">
        <f t="shared" si="42"/>
        <v>EC</v>
      </c>
      <c r="AH132" s="86" t="str">
        <f t="shared" si="45"/>
        <v>"%USERPROFILE%\Documents\GitHub\eaglep3\Utilities\RefineRTDCRunTimes.py" --tripid 217-21 --locoid 4051 --swversion DE.1.0.9.0 --startMP 204:464 --initTime 2017-02-21T18:08:42 --startdatetime 2017-02-21T18:16:17 --delay 2 --endMP 204:233320 --enddatetime 2017-02-21T18:54:15 --enforcementcount 0 &gt;&gt;C:\Users\stu\Documents\GitHub\eaglep3-reporting\EC\2017-02-21-refined-times.txt</v>
      </c>
      <c r="AI132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{"issue":{"subject":"","project_id":79,"tracker_id":40,"status_id":1,"priority_id":2,"assigned_to_id":23,"start_date":"2017-02-21","description":"","custom_fields":[{"id":1,"name":"Subdivision","value":"EC"},{"id":4,"name":"Milepost","value":"23.332"},{"id":17,"name":"Train ID","value":"217-21"},{"id":16,"name":"Locomotive ID","value":"4051"},{"id":130,"name":"Impact","value":""},{"id":150,"name":"Time of Event (Mountain Time)","value":"18:54:15"},{"id":151,"name":"Denver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47"/>
        <v>start /low /b %USERPROFILE%\Documents\GitHub\eaglep3\Utilities\DownloadLogsFromS3.py --loco 4051 --day 2017-02-21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"%USERPROFILE%\AppData\Local\Temp\OnboardLogs"\RTDC4051\*4051*20170222* | grep -SE "(Enforcement Action)|(\[TIMEOUT)|(CHR.+\|PRM\|1\|D.+(SWITCH|SIGNAL).+UNKNOWN)" - &gt;&gt; 2017-02-21-UncaughtWiMAX.txt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654</v>
      </c>
      <c r="B133" s="7">
        <v>4052</v>
      </c>
      <c r="C133" s="21" t="s">
        <v>359</v>
      </c>
      <c r="D133" s="21" t="s">
        <v>261</v>
      </c>
      <c r="E133" s="13">
        <v>42787.795185185183</v>
      </c>
      <c r="F133" s="13">
        <v>42787.799675925926</v>
      </c>
      <c r="G133" s="7">
        <v>1</v>
      </c>
      <c r="H133" s="21" t="s">
        <v>213</v>
      </c>
      <c r="I133" s="13">
        <v>42787.826562499999</v>
      </c>
      <c r="J133" s="7">
        <v>0</v>
      </c>
      <c r="K133" s="98" t="str">
        <f t="shared" si="32"/>
        <v>4051/4052</v>
      </c>
      <c r="L133" s="21" t="str">
        <f>VLOOKUP(A133,'Trips&amp;Operators'!$C$1:$G$99999,5,FALSE)</f>
        <v>DAVIDSON DAVID</v>
      </c>
      <c r="M133" s="6">
        <f t="shared" si="33"/>
        <v>2.6886574072705116E-2</v>
      </c>
      <c r="N133" s="7">
        <f t="shared" ref="N133:N164" si="56">24*60*SUM($M133:$M133)</f>
        <v>38.716666664695367</v>
      </c>
      <c r="O133" s="7"/>
      <c r="P133" s="7"/>
      <c r="Q133" s="22"/>
      <c r="R133" s="22"/>
      <c r="S133" s="31">
        <f t="shared" si="55"/>
        <v>1</v>
      </c>
      <c r="T133" s="46" t="str">
        <f t="shared" si="34"/>
        <v>Southbound</v>
      </c>
      <c r="U133" s="193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4" t="str">
        <f t="shared" si="35"/>
        <v>https://d0f6bd738d7f1b3e5a7ca70fe4ff75f0.us-east-1.aws.found.io/app/kibana#/discover/Steve-Slow-Train-Analysis-(2080s-and-2083s)?_g=(refreshInterval:(display:Off,pause:!f,section:0,value:0),time:(from:'2017-02-21T18:05:04-0700',mode:absolute,to:'2017-02-21T20:50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3" s="195" t="str">
        <f t="shared" si="36"/>
        <v>N</v>
      </c>
      <c r="X133" s="195">
        <f t="shared" si="54"/>
        <v>1</v>
      </c>
      <c r="Y133" s="62">
        <f t="shared" si="43"/>
        <v>23.297699999999999</v>
      </c>
      <c r="Z133" s="62">
        <f t="shared" si="44"/>
        <v>1.54E-2</v>
      </c>
      <c r="AA133" s="62">
        <f t="shared" si="38"/>
        <v>23.282299999999999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9"/>
        <v>0218-21</v>
      </c>
      <c r="AE133" s="85" t="str">
        <f t="shared" si="40"/>
        <v>aws s3 cp s3://rtdc.mdm.uploadarchive.raw/RTDC4052/ "%USERPROFILE%\AppData\Local\Temp\OnboardLogs"\RTDC4052\2017-02-21 --exclude "*" --recursive --include "*20170221*" &amp; "%USERPROFILE%\Documents\GitHub\mrs-test-scripts\Headless Mode &amp; Sideloading\WalkAndUnGZ.bat" "%USERPROFILE%\AppData\Local\Temp\OnboardLogs"\RTDC4052\2017-02-21 &amp; aws s3 cp s3://rtdc.mdm.uploadarchive.raw/RTDC4052/ "%USERPROFILE%\AppData\Local\Temp\OnboardLogs"\RTDC4052\2017-02-22 --exclude "*" --recursive --include "*20170222*" &amp; "%USERPROFILE%\Documents\GitHub\mrs-test-scripts\Headless Mode &amp; Sideloading\WalkAndUnGZ.bat" "%USERPROFILE%\AppData\Local\Temp\OnboardLogs"\RTDC4052\2017-02-22</v>
      </c>
      <c r="AF133" s="82" t="str">
        <f t="shared" si="41"/>
        <v>"C:\Program Files (x86)\AstroGrep\AstroGrep.exe" /spath="%USERPROFILE%\AppData\Local\Temp\OnboardLogs" /stypes="app*4052*20170222*" /stext=" 02:.+((SYSTEM_STATE.+slice.+state.+changed )|(ment ac)|(multiple cpu faults)|(system.+state.+changed )|(\[timeout)|(PRM\|1\|D)|(kpr)|(kdp)|(\|lc)|(penalty))" /e /r /s</v>
      </c>
      <c r="AG133" s="1" t="str">
        <f t="shared" si="42"/>
        <v>EC</v>
      </c>
      <c r="AH133" s="86" t="str">
        <f t="shared" si="45"/>
        <v>"%USERPROFILE%\Documents\GitHub\eaglep3\Utilities\RefineRTDCRunTimes.py" --tripid 218-21 --locoid 4052 --swversion DE.1.0.9.0 --startMP 204:232977 --initTime 2017-02-21T19:05:04 --startdatetime 2017-02-21T19:11:32 --delay 1 --endMP 204:154 --enddatetime 2017-02-21T19:50:15 --enforcementcount 0 &gt;&gt;C:\Users\stu\Documents\GitHub\eaglep3-reporting\EC\2017-02-21-refined-times.txt</v>
      </c>
      <c r="AI133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{"issue":{"subject":"","project_id":79,"tracker_id":40,"status_id":1,"priority_id":2,"assigned_to_id":23,"start_date":"2017-02-21","description":"","custom_fields":[{"id":1,"name":"Subdivision","value":"EC"},{"id":4,"name":"Milepost","value":"0.0154"},{"id":17,"name":"Train ID","value":"218-21"},{"id":16,"name":"Locomotive ID","value":"4052"},{"id":130,"name":"Impact","value":""},{"id":150,"name":"Time of Event (Mountain Time)","value":"19:50:15"},{"id":151,"name":"Denver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47"/>
        <v>start /low /b %USERPROFILE%\Documents\GitHub\eaglep3\Utilities\DownloadLogsFromS3.py --loco 4052 --day 2017-02-21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"%USERPROFILE%\AppData\Local\Temp\OnboardLogs"\RTDC4052\*4052*20170222* | grep -SE "(Enforcement Action)|(\[TIMEOUT)|(CHR.+\|PRM\|1\|D.+(SWITCH|SIGNAL).+UNKNOWN)" - &gt;&gt; 2017-02-21-UncaughtWiMAX.txt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648</v>
      </c>
      <c r="B134" s="7">
        <v>4003</v>
      </c>
      <c r="C134" s="21" t="s">
        <v>359</v>
      </c>
      <c r="D134" s="21" t="s">
        <v>331</v>
      </c>
      <c r="E134" s="13">
        <v>42787.767916666664</v>
      </c>
      <c r="F134" s="13">
        <v>42787.771307870367</v>
      </c>
      <c r="G134" s="7">
        <v>2</v>
      </c>
      <c r="H134" s="21" t="s">
        <v>300</v>
      </c>
      <c r="I134" s="13">
        <v>42787.795844907407</v>
      </c>
      <c r="J134" s="7">
        <v>0</v>
      </c>
      <c r="K134" s="98" t="str">
        <f t="shared" si="32"/>
        <v>4003/4004</v>
      </c>
      <c r="L134" s="21" t="str">
        <f>VLOOKUP(A134,'Trips&amp;Operators'!$C$1:$G$99999,5,FALSE)</f>
        <v>STAMBAUGH JAMES</v>
      </c>
      <c r="M134" s="6">
        <f t="shared" si="33"/>
        <v>2.453703703940846E-2</v>
      </c>
      <c r="N134" s="7">
        <f t="shared" si="56"/>
        <v>35.333333336748183</v>
      </c>
      <c r="O134" s="7"/>
      <c r="P134" s="7"/>
      <c r="Q134" s="22"/>
      <c r="R134" s="22"/>
      <c r="S134" s="31">
        <f t="shared" si="55"/>
        <v>1</v>
      </c>
      <c r="T134" s="46" t="str">
        <f t="shared" si="34"/>
        <v>NorthBound</v>
      </c>
      <c r="U134" s="193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4" t="str">
        <f t="shared" si="35"/>
        <v>https://d0f6bd738d7f1b3e5a7ca70fe4ff75f0.us-east-1.aws.found.io/app/kibana#/discover/Steve-Slow-Train-Analysis-(2080s-and-2083s)?_g=(refreshInterval:(display:Off,pause:!f,section:0,value:0),time:(from:'2017-02-21T17:25:48-0700',mode:absolute,to:'2017-02-21T20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4" s="195" t="str">
        <f t="shared" si="36"/>
        <v>N</v>
      </c>
      <c r="X134" s="195">
        <f t="shared" si="54"/>
        <v>1</v>
      </c>
      <c r="Y134" s="62">
        <f t="shared" si="43"/>
        <v>4.7500000000000001E-2</v>
      </c>
      <c r="Z134" s="62">
        <f t="shared" si="44"/>
        <v>23.3306</v>
      </c>
      <c r="AA134" s="62">
        <f t="shared" si="38"/>
        <v>23.283100000000001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9"/>
        <v>0219-21</v>
      </c>
      <c r="AE134" s="85" t="str">
        <f t="shared" si="40"/>
        <v>aws s3 cp s3://rtdc.mdm.uploadarchive.raw/RTDC4003/ "%USERPROFILE%\AppData\Local\Temp\OnboardLogs"\RTDC4003\2017-02-21 --exclude "*" --recursive --include "*20170221*" &amp; "%USERPROFILE%\Documents\GitHub\mrs-test-scripts\Headless Mode &amp; Sideloading\WalkAndUnGZ.bat" "%USERPROFILE%\AppData\Local\Temp\OnboardLogs"\RTDC4003\2017-02-21 &amp; aws s3 cp s3://rtdc.mdm.uploadarchive.raw/RTDC4003/ "%USERPROFILE%\AppData\Local\Temp\OnboardLogs"\RTDC4003\2017-02-22 --exclude "*" --recursive --include "*20170222*" &amp; "%USERPROFILE%\Documents\GitHub\mrs-test-scripts\Headless Mode &amp; Sideloading\WalkAndUnGZ.bat" "%USERPROFILE%\AppData\Local\Temp\OnboardLogs"\RTDC4003\2017-02-22</v>
      </c>
      <c r="AF134" s="82" t="str">
        <f t="shared" si="41"/>
        <v>"C:\Program Files (x86)\AstroGrep\AstroGrep.exe" /spath="%USERPROFILE%\AppData\Local\Temp\OnboardLogs" /stypes="app*4003*20170222*" /stext=" 02:.+((SYSTEM_STATE.+slice.+state.+changed )|(ment ac)|(multiple cpu faults)|(system.+state.+changed )|(\[timeout)|(PRM\|1\|D)|(kpr)|(kdp)|(\|lc)|(penalty))" /e /r /s</v>
      </c>
      <c r="AG134" s="1" t="str">
        <f t="shared" si="42"/>
        <v>EC</v>
      </c>
      <c r="AH134" s="86" t="str">
        <f t="shared" si="45"/>
        <v>"%USERPROFILE%\Documents\GitHub\eaglep3\Utilities\RefineRTDCRunTimes.py" --tripid 219-21 --locoid 4003 --swversion DE.1.0.9.0 --startMP 204:475 --initTime 2017-02-21T18:25:48 --startdatetime 2017-02-21T18:30:41 --delay 2 --endMP 204:233306 --enddatetime 2017-02-21T19:06:01 --enforcementcount 0 &gt;&gt;C:\Users\stu\Documents\GitHub\eaglep3-reporting\EC\2017-02-21-refined-times.txt</v>
      </c>
      <c r="AI134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{"issue":{"subject":"","project_id":79,"tracker_id":40,"status_id":1,"priority_id":2,"assigned_to_id":23,"start_date":"2017-02-21","description":"","custom_fields":[{"id":1,"name":"Subdivision","value":"EC"},{"id":4,"name":"Milepost","value":"23.3306"},{"id":17,"name":"Train ID","value":"219-21"},{"id":16,"name":"Locomotive ID","value":"4003"},{"id":130,"name":"Impact","value":""},{"id":150,"name":"Time of Event (Mountain Time)","value":"19:06:01"},{"id":151,"name":"Denver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47"/>
        <v>start /low /b %USERPROFILE%\Documents\GitHub\eaglep3\Utilities\DownloadLogsFromS3.py --loco 4003 --day 2017-02-21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"%USERPROFILE%\AppData\Local\Temp\OnboardLogs"\RTDC4003\*4003*20170222* | grep -SE "(Enforcement Action)|(\[TIMEOUT)|(CHR.+\|PRM\|1\|D.+(SWITCH|SIGNAL).+UNKNOWN)" - &gt;&gt; 2017-02-21-UncaughtWiMAX.txt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x14ac:dyDescent="0.25">
      <c r="A135" s="33" t="s">
        <v>657</v>
      </c>
      <c r="B135" s="7">
        <v>4004</v>
      </c>
      <c r="C135" s="21" t="s">
        <v>359</v>
      </c>
      <c r="D135" s="21" t="s">
        <v>260</v>
      </c>
      <c r="E135" s="13">
        <v>42787.798518518517</v>
      </c>
      <c r="F135" s="13">
        <v>42787.810069444444</v>
      </c>
      <c r="G135" s="7">
        <v>1</v>
      </c>
      <c r="H135" s="21" t="s">
        <v>206</v>
      </c>
      <c r="I135" s="13">
        <v>42787.835844907408</v>
      </c>
      <c r="J135" s="7">
        <v>0</v>
      </c>
      <c r="K135" s="98" t="str">
        <f t="shared" si="32"/>
        <v>4003/4004</v>
      </c>
      <c r="L135" s="21" t="str">
        <f>VLOOKUP(A135,'Trips&amp;Operators'!$C$1:$G$99999,5,FALSE)</f>
        <v>STAMBAUGH JAMES</v>
      </c>
      <c r="M135" s="6">
        <f t="shared" si="33"/>
        <v>2.5775462963792961E-2</v>
      </c>
      <c r="N135" s="7">
        <f t="shared" si="56"/>
        <v>37.116666667861864</v>
      </c>
      <c r="O135" s="7"/>
      <c r="P135" s="7"/>
      <c r="Q135" s="22"/>
      <c r="R135" s="22"/>
      <c r="S135" s="31">
        <f t="shared" si="55"/>
        <v>1</v>
      </c>
      <c r="T135" s="46" t="str">
        <f t="shared" si="34"/>
        <v>Southbound</v>
      </c>
      <c r="U135" s="193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4" t="str">
        <f t="shared" si="35"/>
        <v>https://d0f6bd738d7f1b3e5a7ca70fe4ff75f0.us-east-1.aws.found.io/app/kibana#/discover/Steve-Slow-Train-Analysis-(2080s-and-2083s)?_g=(refreshInterval:(display:Off,pause:!f,section:0,value:0),time:(from:'2017-02-21T18:09:52-0700',mode:absolute,to:'2017-02-21T21:03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5" s="195" t="str">
        <f t="shared" si="36"/>
        <v>N</v>
      </c>
      <c r="X135" s="195">
        <f t="shared" si="54"/>
        <v>1</v>
      </c>
      <c r="Y135" s="62">
        <f t="shared" si="43"/>
        <v>23.299299999999999</v>
      </c>
      <c r="Z135" s="62">
        <f t="shared" si="44"/>
        <v>1.52E-2</v>
      </c>
      <c r="AA135" s="62">
        <f t="shared" si="38"/>
        <v>23.284099999999999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9"/>
        <v>0220-21</v>
      </c>
      <c r="AE135" s="85" t="str">
        <f t="shared" si="40"/>
        <v>aws s3 cp s3://rtdc.mdm.uploadarchive.raw/RTDC4004/ "%USERPROFILE%\AppData\Local\Temp\OnboardLogs"\RTDC4004\2017-02-21 --exclude "*" --recursive --include "*20170221*" &amp; "%USERPROFILE%\Documents\GitHub\mrs-test-scripts\Headless Mode &amp; Sideloading\WalkAndUnGZ.bat" "%USERPROFILE%\AppData\Local\Temp\OnboardLogs"\RTDC4004\2017-02-21 &amp; aws s3 cp s3://rtdc.mdm.uploadarchive.raw/RTDC4004/ "%USERPROFILE%\AppData\Local\Temp\OnboardLogs"\RTDC4004\2017-02-22 --exclude "*" --recursive --include "*20170222*" &amp; "%USERPROFILE%\Documents\GitHub\mrs-test-scripts\Headless Mode &amp; Sideloading\WalkAndUnGZ.bat" "%USERPROFILE%\AppData\Local\Temp\OnboardLogs"\RTDC4004\2017-02-22</v>
      </c>
      <c r="AF135" s="82" t="str">
        <f t="shared" si="41"/>
        <v>"C:\Program Files (x86)\AstroGrep\AstroGrep.exe" /spath="%USERPROFILE%\AppData\Local\Temp\OnboardLogs" /stypes="app*4004*20170222*" /stext=" 03:.+((SYSTEM_STATE.+slice.+state.+changed )|(ment ac)|(multiple cpu faults)|(system.+state.+changed )|(\[timeout)|(PRM\|1\|D)|(kpr)|(kdp)|(\|lc)|(penalty))" /e /r /s</v>
      </c>
      <c r="AG135" s="1" t="str">
        <f t="shared" si="42"/>
        <v>EC</v>
      </c>
      <c r="AH135" s="86" t="str">
        <f t="shared" si="45"/>
        <v>"%USERPROFILE%\Documents\GitHub\eaglep3\Utilities\RefineRTDCRunTimes.py" --tripid 220-21 --locoid 4004 --swversion DE.1.0.9.0 --startMP 204:232993 --initTime 2017-02-21T19:09:52 --startdatetime 2017-02-21T19:26:30 --delay 1 --endMP 204:152 --enddatetime 2017-02-21T20:03:37 --enforcementcount 0 &gt;&gt;C:\Users\stu\Documents\GitHub\eaglep3-reporting\EC\2017-02-21-refined-times.txt</v>
      </c>
      <c r="AI135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{"issue":{"subject":"","project_id":79,"tracker_id":40,"status_id":1,"priority_id":2,"assigned_to_id":23,"start_date":"2017-02-21","description":"","custom_fields":[{"id":1,"name":"Subdivision","value":"EC"},{"id":4,"name":"Milepost","value":"0.0152"},{"id":17,"name":"Train ID","value":"220-21"},{"id":16,"name":"Locomotive ID","value":"4004"},{"id":130,"name":"Impact","value":""},{"id":150,"name":"Time of Event (Mountain Time)","value":"20:03:37"},{"id":151,"name":"Denver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47"/>
        <v>start /low /b %USERPROFILE%\Documents\GitHub\eaglep3\Utilities\DownloadLogsFromS3.py --loco 4004 --day 2017-02-21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"%USERPROFILE%\AppData\Local\Temp\OnboardLogs"\RTDC4004\*4004*20170222* | grep -SE "(Enforcement Action)|(\[TIMEOUT)|(CHR.+\|PRM\|1\|D.+(SWITCH|SIGNAL).+UNKNOWN)" - &gt;&gt; 2017-02-21-UncaughtWiMAX.txt</v>
      </c>
    </row>
    <row r="136" spans="1:91" s="20" customFormat="1" x14ac:dyDescent="0.25">
      <c r="A136" s="33" t="s">
        <v>653</v>
      </c>
      <c r="B136" s="7">
        <v>4025</v>
      </c>
      <c r="C136" s="21" t="s">
        <v>359</v>
      </c>
      <c r="D136" s="21" t="s">
        <v>225</v>
      </c>
      <c r="E136" s="13">
        <v>42787.789988425924</v>
      </c>
      <c r="F136" s="13">
        <v>42787.791932870372</v>
      </c>
      <c r="G136" s="7">
        <v>1</v>
      </c>
      <c r="H136" s="21" t="s">
        <v>264</v>
      </c>
      <c r="I136" s="13">
        <v>42787.816759259258</v>
      </c>
      <c r="J136" s="7">
        <v>0</v>
      </c>
      <c r="K136" s="98" t="str">
        <f t="shared" si="32"/>
        <v>4025/4026</v>
      </c>
      <c r="L136" s="21" t="str">
        <f>VLOOKUP(A136,'Trips&amp;Operators'!$C$1:$G$99999,5,FALSE)</f>
        <v>CHANDLER KELVIN</v>
      </c>
      <c r="M136" s="6">
        <f t="shared" si="33"/>
        <v>2.4826388886140194E-2</v>
      </c>
      <c r="N136" s="7">
        <f t="shared" si="56"/>
        <v>35.749999996041879</v>
      </c>
      <c r="O136" s="7"/>
      <c r="P136" s="7"/>
      <c r="Q136" s="22"/>
      <c r="R136" s="22"/>
      <c r="S136" s="31">
        <f t="shared" si="55"/>
        <v>1</v>
      </c>
      <c r="T136" s="46" t="str">
        <f t="shared" si="34"/>
        <v>NorthBound</v>
      </c>
      <c r="U136" s="193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4" t="str">
        <f t="shared" si="35"/>
        <v>https://d0f6bd738d7f1b3e5a7ca70fe4ff75f0.us-east-1.aws.found.io/app/kibana#/discover/Steve-Slow-Train-Analysis-(2080s-and-2083s)?_g=(refreshInterval:(display:Off,pause:!f,section:0,value:0),time:(from:'2017-02-21T17:57:35-0700',mode:absolute,to:'2017-02-21T20:36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6" s="195" t="str">
        <f t="shared" si="36"/>
        <v>N</v>
      </c>
      <c r="X136" s="195">
        <f t="shared" si="54"/>
        <v>1</v>
      </c>
      <c r="Y136" s="62">
        <f t="shared" si="43"/>
        <v>4.5100000000000001E-2</v>
      </c>
      <c r="Z136" s="62">
        <f t="shared" si="44"/>
        <v>23.3293</v>
      </c>
      <c r="AA136" s="62">
        <f t="shared" si="38"/>
        <v>23.284199999999998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9"/>
        <v>0221-21</v>
      </c>
      <c r="AE136" s="85" t="str">
        <f t="shared" si="40"/>
        <v>aws s3 cp s3://rtdc.mdm.uploadarchive.raw/RTDC4025/ "%USERPROFILE%\AppData\Local\Temp\OnboardLogs"\RTDC4025\2017-02-21 --exclude "*" --recursive --include "*20170221*" &amp; "%USERPROFILE%\Documents\GitHub\mrs-test-scripts\Headless Mode &amp; Sideloading\WalkAndUnGZ.bat" "%USERPROFILE%\AppData\Local\Temp\OnboardLogs"\RTDC4025\2017-02-21 &amp; aws s3 cp s3://rtdc.mdm.uploadarchive.raw/RTDC4025/ "%USERPROFILE%\AppData\Local\Temp\OnboardLogs"\RTDC4025\2017-02-22 --exclude "*" --recursive --include "*20170222*" &amp; "%USERPROFILE%\Documents\GitHub\mrs-test-scripts\Headless Mode &amp; Sideloading\WalkAndUnGZ.bat" "%USERPROFILE%\AppData\Local\Temp\OnboardLogs"\RTDC4025\2017-02-22</v>
      </c>
      <c r="AF136" s="82" t="str">
        <f t="shared" si="41"/>
        <v>"C:\Program Files (x86)\AstroGrep\AstroGrep.exe" /spath="%USERPROFILE%\AppData\Local\Temp\OnboardLogs" /stypes="app*4025*20170222*" /stext=" 02:.+((SYSTEM_STATE.+slice.+state.+changed )|(ment ac)|(multiple cpu faults)|(system.+state.+changed )|(\[timeout)|(PRM\|1\|D)|(kpr)|(kdp)|(\|lc)|(penalty))" /e /r /s</v>
      </c>
      <c r="AG136" s="1" t="str">
        <f t="shared" si="42"/>
        <v>EC</v>
      </c>
      <c r="AH136" s="86" t="str">
        <f t="shared" si="45"/>
        <v>"%USERPROFILE%\Documents\GitHub\eaglep3\Utilities\RefineRTDCRunTimes.py" --tripid 221-21 --locoid 4025 --swversion DE.1.0.9.0 --startMP 204:451 --initTime 2017-02-21T18:57:35 --startdatetime 2017-02-21T19:00:23 --delay 1 --endMP 204:233293 --enddatetime 2017-02-21T19:36:08 --enforcementcount 0 &gt;&gt;C:\Users\stu\Documents\GitHub\eaglep3-reporting\EC\2017-02-21-refined-times.txt</v>
      </c>
      <c r="AI136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{"issue":{"subject":"","project_id":79,"tracker_id":40,"status_id":1,"priority_id":2,"assigned_to_id":23,"start_date":"2017-02-21","description":"","custom_fields":[{"id":1,"name":"Subdivision","value":"EC"},{"id":4,"name":"Milepost","value":"23.3293"},{"id":17,"name":"Train ID","value":"221-21"},{"id":16,"name":"Locomotive ID","value":"4025"},{"id":130,"name":"Impact","value":""},{"id":150,"name":"Time of Event (Mountain Time)","value":"19:36:08"},{"id":151,"name":"Denver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47"/>
        <v>start /low /b %USERPROFILE%\Documents\GitHub\eaglep3\Utilities\DownloadLogsFromS3.py --loco 4025 --day 2017-02-21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"%USERPROFILE%\AppData\Local\Temp\OnboardLogs"\RTDC4025\*4025*20170222* | grep -SE "(Enforcement Action)|(\[TIMEOUT)|(CHR.+\|PRM\|1\|D.+(SWITCH|SIGNAL).+UNKNOWN)" - &gt;&gt; 2017-02-21-UncaughtWiMAX.txt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663</v>
      </c>
      <c r="B137" s="7">
        <v>4026</v>
      </c>
      <c r="C137" s="21" t="s">
        <v>359</v>
      </c>
      <c r="D137" s="21" t="s">
        <v>296</v>
      </c>
      <c r="E137" s="13">
        <v>42787.828831018516</v>
      </c>
      <c r="F137" s="13">
        <v>42787.83090277778</v>
      </c>
      <c r="G137" s="7">
        <v>1</v>
      </c>
      <c r="H137" s="21" t="s">
        <v>330</v>
      </c>
      <c r="I137" s="13">
        <v>42787.8591087963</v>
      </c>
      <c r="J137" s="7">
        <v>0</v>
      </c>
      <c r="K137" s="98" t="str">
        <f t="shared" si="32"/>
        <v>4025/4026</v>
      </c>
      <c r="L137" s="21" t="str">
        <f>VLOOKUP(A137,'Trips&amp;Operators'!$C$1:$G$99999,5,FALSE)</f>
        <v>CHANDLER KELVIN</v>
      </c>
      <c r="M137" s="6">
        <f t="shared" si="33"/>
        <v>2.8206018519995268E-2</v>
      </c>
      <c r="N137" s="7">
        <f t="shared" si="56"/>
        <v>40.616666668793187</v>
      </c>
      <c r="O137" s="7"/>
      <c r="P137" s="7"/>
      <c r="Q137" s="22"/>
      <c r="R137" s="22"/>
      <c r="S137" s="31">
        <f t="shared" si="55"/>
        <v>1</v>
      </c>
      <c r="T137" s="46" t="str">
        <f t="shared" si="34"/>
        <v>Southbound</v>
      </c>
      <c r="U137" s="193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4" t="str">
        <f t="shared" si="35"/>
        <v>https://d0f6bd738d7f1b3e5a7ca70fe4ff75f0.us-east-1.aws.found.io/app/kibana#/discover/Steve-Slow-Train-Analysis-(2080s-and-2083s)?_g=(refreshInterval:(display:Off,pause:!f,section:0,value:0),time:(from:'2017-02-21T18:53:31-0700',mode:absolute,to:'2017-02-21T21:37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7" s="195" t="str">
        <f t="shared" si="36"/>
        <v>N</v>
      </c>
      <c r="X137" s="195">
        <f t="shared" si="54"/>
        <v>1</v>
      </c>
      <c r="Y137" s="62">
        <f t="shared" si="43"/>
        <v>23.298500000000001</v>
      </c>
      <c r="Z137" s="62">
        <f t="shared" si="44"/>
        <v>1.6299999999999999E-2</v>
      </c>
      <c r="AA137" s="62">
        <f t="shared" si="38"/>
        <v>23.2822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9"/>
        <v>0222-21</v>
      </c>
      <c r="AE137" s="85" t="str">
        <f t="shared" si="40"/>
        <v>aws s3 cp s3://rtdc.mdm.uploadarchive.raw/RTDC4026/ "%USERPROFILE%\AppData\Local\Temp\OnboardLogs"\RTDC4026\2017-02-21 --exclude "*" --recursive --include "*20170221*" &amp; "%USERPROFILE%\Documents\GitHub\mrs-test-scripts\Headless Mode &amp; Sideloading\WalkAndUnGZ.bat" "%USERPROFILE%\AppData\Local\Temp\OnboardLogs"\RTDC4026\2017-02-21 &amp; aws s3 cp s3://rtdc.mdm.uploadarchive.raw/RTDC4026/ "%USERPROFILE%\AppData\Local\Temp\OnboardLogs"\RTDC4026\2017-02-22 --exclude "*" --recursive --include "*20170222*" &amp; "%USERPROFILE%\Documents\GitHub\mrs-test-scripts\Headless Mode &amp; Sideloading\WalkAndUnGZ.bat" "%USERPROFILE%\AppData\Local\Temp\OnboardLogs"\RTDC4026\2017-02-22</v>
      </c>
      <c r="AF137" s="82" t="str">
        <f t="shared" si="41"/>
        <v>"C:\Program Files (x86)\AstroGrep\AstroGrep.exe" /spath="%USERPROFILE%\AppData\Local\Temp\OnboardLogs" /stypes="app*4026*20170222*" /stext=" 03:.+((SYSTEM_STATE.+slice.+state.+changed )|(ment ac)|(multiple cpu faults)|(system.+state.+changed )|(\[timeout)|(PRM\|1\|D)|(kpr)|(kdp)|(\|lc)|(penalty))" /e /r /s</v>
      </c>
      <c r="AG137" s="1" t="str">
        <f t="shared" si="42"/>
        <v>EC</v>
      </c>
      <c r="AH137" s="86" t="str">
        <f t="shared" si="45"/>
        <v>"%USERPROFILE%\Documents\GitHub\eaglep3\Utilities\RefineRTDCRunTimes.py" --tripid 222-21 --locoid 4026 --swversion DE.1.0.9.0 --startMP 204:232985 --initTime 2017-02-21T19:53:31 --startdatetime 2017-02-21T19:56:30 --delay 1 --endMP 204:163 --enddatetime 2017-02-21T20:37:07 --enforcementcount 0 &gt;&gt;C:\Users\stu\Documents\GitHub\eaglep3-reporting\EC\2017-02-21-refined-times.txt</v>
      </c>
      <c r="AI137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{"issue":{"subject":"","project_id":79,"tracker_id":40,"status_id":1,"priority_id":2,"assigned_to_id":23,"start_date":"2017-02-21","description":"","custom_fields":[{"id":1,"name":"Subdivision","value":"EC"},{"id":4,"name":"Milepost","value":"0.0163"},{"id":17,"name":"Train ID","value":"222-21"},{"id":16,"name":"Locomotive ID","value":"4026"},{"id":130,"name":"Impact","value":""},{"id":150,"name":"Time of Event (Mountain Time)","value":"20:37:07"},{"id":151,"name":"Denver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47"/>
        <v>start /low /b %USERPROFILE%\Documents\GitHub\eaglep3\Utilities\DownloadLogsFromS3.py --loco 4026 --day 2017-02-21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"%USERPROFILE%\AppData\Local\Temp\OnboardLogs"\RTDC4026\*4026*20170222* | grep -SE "(Enforcement Action)|(\[TIMEOUT)|(CHR.+\|PRM\|1\|D.+(SWITCH|SIGNAL).+UNKNOWN)" - &gt;&gt; 2017-02-21-UncaughtWiMAX.txt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659</v>
      </c>
      <c r="B138" s="7">
        <v>4029</v>
      </c>
      <c r="C138" s="21" t="s">
        <v>359</v>
      </c>
      <c r="D138" s="21" t="s">
        <v>257</v>
      </c>
      <c r="E138" s="13">
        <v>42787.810231481482</v>
      </c>
      <c r="F138" s="13">
        <v>42787.812708333331</v>
      </c>
      <c r="G138" s="7">
        <v>2</v>
      </c>
      <c r="H138" s="21" t="s">
        <v>743</v>
      </c>
      <c r="I138" s="13">
        <v>42787.839930555558</v>
      </c>
      <c r="J138" s="7">
        <v>0</v>
      </c>
      <c r="K138" s="98" t="str">
        <f t="shared" si="32"/>
        <v>4029/4030</v>
      </c>
      <c r="L138" s="21" t="str">
        <f>VLOOKUP(A138,'Trips&amp;Operators'!$C$1:$G$99999,5,FALSE)</f>
        <v>NELSON ARIANE</v>
      </c>
      <c r="M138" s="6">
        <f t="shared" si="33"/>
        <v>2.7222222226555459E-2</v>
      </c>
      <c r="N138" s="7">
        <f t="shared" si="56"/>
        <v>39.200000006239861</v>
      </c>
      <c r="O138" s="7"/>
      <c r="P138" s="7"/>
      <c r="Q138" s="22"/>
      <c r="R138" s="22"/>
      <c r="S138" s="31">
        <f t="shared" si="55"/>
        <v>1</v>
      </c>
      <c r="T138" s="46" t="str">
        <f t="shared" si="34"/>
        <v>NorthBound</v>
      </c>
      <c r="U138" s="193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4" t="str">
        <f t="shared" si="35"/>
        <v>https://d0f6bd738d7f1b3e5a7ca70fe4ff75f0.us-east-1.aws.found.io/app/kibana#/discover/Steve-Slow-Train-Analysis-(2080s-and-2083s)?_g=(refreshInterval:(display:Off,pause:!f,section:0,value:0),time:(from:'2017-02-21T18:26:44-0700',mode:absolute,to:'2017-02-21T21:09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8" s="195" t="str">
        <f t="shared" si="36"/>
        <v>N</v>
      </c>
      <c r="X138" s="195">
        <f t="shared" si="54"/>
        <v>1</v>
      </c>
      <c r="Y138" s="62">
        <f t="shared" si="43"/>
        <v>4.5499999999999999E-2</v>
      </c>
      <c r="Z138" s="62">
        <f t="shared" si="44"/>
        <v>23.330200000000001</v>
      </c>
      <c r="AA138" s="62">
        <f t="shared" si="38"/>
        <v>23.284700000000001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9"/>
        <v>0223-21</v>
      </c>
      <c r="AE138" s="85" t="str">
        <f t="shared" si="40"/>
        <v>aws s3 cp s3://rtdc.mdm.uploadarchive.raw/RTDC4029/ "%USERPROFILE%\AppData\Local\Temp\OnboardLogs"\RTDC4029\2017-02-21 --exclude "*" --recursive --include "*20170221*" &amp; "%USERPROFILE%\Documents\GitHub\mrs-test-scripts\Headless Mode &amp; Sideloading\WalkAndUnGZ.bat" "%USERPROFILE%\AppData\Local\Temp\OnboardLogs"\RTDC4029\2017-02-21 &amp; aws s3 cp s3://rtdc.mdm.uploadarchive.raw/RTDC4029/ "%USERPROFILE%\AppData\Local\Temp\OnboardLogs"\RTDC4029\2017-02-22 --exclude "*" --recursive --include "*20170222*" &amp; "%USERPROFILE%\Documents\GitHub\mrs-test-scripts\Headless Mode &amp; Sideloading\WalkAndUnGZ.bat" "%USERPROFILE%\AppData\Local\Temp\OnboardLogs"\RTDC4029\2017-02-22</v>
      </c>
      <c r="AF138" s="82" t="str">
        <f t="shared" si="41"/>
        <v>"C:\Program Files (x86)\AstroGrep\AstroGrep.exe" /spath="%USERPROFILE%\AppData\Local\Temp\OnboardLogs" /stypes="app*4029*20170222*" /stext=" 03:.+((SYSTEM_STATE.+slice.+state.+changed )|(ment ac)|(multiple cpu faults)|(system.+state.+changed )|(\[timeout)|(PRM\|1\|D)|(kpr)|(kdp)|(\|lc)|(penalty))" /e /r /s</v>
      </c>
      <c r="AG138" s="1" t="str">
        <f t="shared" si="42"/>
        <v>EC</v>
      </c>
      <c r="AH138" s="86" t="str">
        <f t="shared" si="45"/>
        <v>"%USERPROFILE%\Documents\GitHub\eaglep3\Utilities\RefineRTDCRunTimes.py" --tripid 223-21 --locoid 4029 --swversion DE.1.0.9.0 --startMP 204:455 --initTime 2017-02-21T19:26:44 --startdatetime 2017-02-21T19:30:18 --delay 2 --endMP 204:233302 --enddatetime 2017-02-21T20:09:30 --enforcementcount 0 &gt;&gt;C:\Users\stu\Documents\GitHub\eaglep3-reporting\EC\2017-02-21-refined-times.txt</v>
      </c>
      <c r="AI138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{"issue":{"subject":"","project_id":79,"tracker_id":40,"status_id":1,"priority_id":2,"assigned_to_id":23,"start_date":"2017-02-21","description":"","custom_fields":[{"id":1,"name":"Subdivision","value":"EC"},{"id":4,"name":"Milepost","value":"23.3302"},{"id":17,"name":"Train ID","value":"223-21"},{"id":16,"name":"Locomotive ID","value":"4029"},{"id":130,"name":"Impact","value":""},{"id":150,"name":"Time of Event (Mountain Time)","value":"20:09:30"},{"id":151,"name":"Denver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47"/>
        <v>start /low /b %USERPROFILE%\Documents\GitHub\eaglep3\Utilities\DownloadLogsFromS3.py --loco 4029 --day 2017-02-21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"%USERPROFILE%\AppData\Local\Temp\OnboardLogs"\RTDC4029\*4029*20170222* | grep -SE "(Enforcement Action)|(\[TIMEOUT)|(CHR.+\|PRM\|1\|D.+(SWITCH|SIGNAL).+UNKNOWN)" - &gt;&gt; 2017-02-21-UncaughtWiMAX.txt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666</v>
      </c>
      <c r="B139" s="7">
        <v>4030</v>
      </c>
      <c r="C139" s="21" t="s">
        <v>359</v>
      </c>
      <c r="D139" s="21" t="s">
        <v>751</v>
      </c>
      <c r="E139" s="13">
        <v>42787.850416666668</v>
      </c>
      <c r="F139" s="13">
        <v>42787.851759259262</v>
      </c>
      <c r="G139" s="7">
        <v>1</v>
      </c>
      <c r="H139" s="21" t="s">
        <v>720</v>
      </c>
      <c r="I139" s="13">
        <v>42787.879513888889</v>
      </c>
      <c r="J139" s="7">
        <v>0</v>
      </c>
      <c r="K139" s="98" t="str">
        <f t="shared" si="32"/>
        <v>4029/4030</v>
      </c>
      <c r="L139" s="21" t="str">
        <f>VLOOKUP(A139,'Trips&amp;Operators'!$C$1:$G$99999,5,FALSE)</f>
        <v>NELSON ARIANE</v>
      </c>
      <c r="M139" s="6">
        <f t="shared" si="33"/>
        <v>2.7754629627452232E-2</v>
      </c>
      <c r="N139" s="7">
        <f t="shared" si="56"/>
        <v>39.966666663531214</v>
      </c>
      <c r="O139" s="7"/>
      <c r="P139" s="7"/>
      <c r="Q139" s="22"/>
      <c r="R139" s="22"/>
      <c r="S139" s="31">
        <f t="shared" si="55"/>
        <v>1</v>
      </c>
      <c r="T139" s="46" t="str">
        <f t="shared" si="34"/>
        <v>Southbound</v>
      </c>
      <c r="U139" s="193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4" t="str">
        <f t="shared" si="35"/>
        <v>https://d0f6bd738d7f1b3e5a7ca70fe4ff75f0.us-east-1.aws.found.io/app/kibana#/discover/Steve-Slow-Train-Analysis-(2080s-and-2083s)?_g=(refreshInterval:(display:Off,pause:!f,section:0,value:0),time:(from:'2017-02-21T19:24:36-0700',mode:absolute,to:'2017-02-21T22:06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9" s="195" t="str">
        <f t="shared" si="36"/>
        <v>N</v>
      </c>
      <c r="X139" s="195">
        <f t="shared" si="54"/>
        <v>1</v>
      </c>
      <c r="Y139" s="62">
        <f t="shared" si="43"/>
        <v>23.2972</v>
      </c>
      <c r="Z139" s="62">
        <f t="shared" si="44"/>
        <v>1.6500000000000001E-2</v>
      </c>
      <c r="AA139" s="62">
        <f t="shared" si="38"/>
        <v>23.2807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9"/>
        <v>0224-21</v>
      </c>
      <c r="AE139" s="85" t="str">
        <f t="shared" si="40"/>
        <v>aws s3 cp s3://rtdc.mdm.uploadarchive.raw/RTDC4030/ "%USERPROFILE%\AppData\Local\Temp\OnboardLogs"\RTDC4030\2017-02-21 --exclude "*" --recursive --include "*20170221*" &amp; "%USERPROFILE%\Documents\GitHub\mrs-test-scripts\Headless Mode &amp; Sideloading\WalkAndUnGZ.bat" "%USERPROFILE%\AppData\Local\Temp\OnboardLogs"\RTDC4030\2017-02-21 &amp; aws s3 cp s3://rtdc.mdm.uploadarchive.raw/RTDC4030/ "%USERPROFILE%\AppData\Local\Temp\OnboardLogs"\RTDC4030\2017-02-22 --exclude "*" --recursive --include "*20170222*" &amp; "%USERPROFILE%\Documents\GitHub\mrs-test-scripts\Headless Mode &amp; Sideloading\WalkAndUnGZ.bat" "%USERPROFILE%\AppData\Local\Temp\OnboardLogs"\RTDC4030\2017-02-22</v>
      </c>
      <c r="AF139" s="82" t="str">
        <f t="shared" si="41"/>
        <v>"C:\Program Files (x86)\AstroGrep\AstroGrep.exe" /spath="%USERPROFILE%\AppData\Local\Temp\OnboardLogs" /stypes="app*4030*20170222*" /stext=" 04:.+((SYSTEM_STATE.+slice.+state.+changed )|(ment ac)|(multiple cpu faults)|(system.+state.+changed )|(\[timeout)|(PRM\|1\|D)|(kpr)|(kdp)|(\|lc)|(penalty))" /e /r /s</v>
      </c>
      <c r="AG139" s="1" t="str">
        <f t="shared" si="42"/>
        <v>EC</v>
      </c>
      <c r="AH139" s="86" t="str">
        <f t="shared" si="45"/>
        <v>"%USERPROFILE%\Documents\GitHub\eaglep3\Utilities\RefineRTDCRunTimes.py" --tripid 224-21 --locoid 4030 --swversion DE.1.0.9.0 --startMP 204:232972 --initTime 2017-02-21T20:24:36 --startdatetime 2017-02-21T20:26:32 --delay 1 --endMP 204:165 --enddatetime 2017-02-21T21:06:30 --enforcementcount 0 &gt;&gt;C:\Users\stu\Documents\GitHub\eaglep3-reporting\EC\2017-02-21-refined-times.txt</v>
      </c>
      <c r="AI139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{"issue":{"subject":"","project_id":79,"tracker_id":40,"status_id":1,"priority_id":2,"assigned_to_id":23,"start_date":"2017-02-21","description":"","custom_fields":[{"id":1,"name":"Subdivision","value":"EC"},{"id":4,"name":"Milepost","value":"0.0165"},{"id":17,"name":"Train ID","value":"224-21"},{"id":16,"name":"Locomotive ID","value":"4030"},{"id":130,"name":"Impact","value":""},{"id":150,"name":"Time of Event (Mountain Time)","value":"21:06:30"},{"id":151,"name":"Denver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47"/>
        <v>start /low /b %USERPROFILE%\Documents\GitHub\eaglep3\Utilities\DownloadLogsFromS3.py --loco 4030 --day 2017-02-21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"%USERPROFILE%\AppData\Local\Temp\OnboardLogs"\RTDC4030\*4030*20170222* | grep -SE "(Enforcement Action)|(\[TIMEOUT)|(CHR.+\|PRM\|1\|D.+(SWITCH|SIGNAL).+UNKNOWN)" - &gt;&gt; 2017-02-21-UncaughtWiMAX.txt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662</v>
      </c>
      <c r="B140" s="7">
        <v>4051</v>
      </c>
      <c r="C140" s="21" t="s">
        <v>359</v>
      </c>
      <c r="D140" s="21" t="s">
        <v>204</v>
      </c>
      <c r="E140" s="13">
        <v>42787.8278587963</v>
      </c>
      <c r="F140" s="13">
        <v>42787.833692129629</v>
      </c>
      <c r="G140" s="7">
        <v>1</v>
      </c>
      <c r="H140" s="21" t="s">
        <v>362</v>
      </c>
      <c r="I140" s="13">
        <v>42787.858518518522</v>
      </c>
      <c r="J140" s="7">
        <v>0</v>
      </c>
      <c r="K140" s="98" t="str">
        <f t="shared" si="32"/>
        <v>4051/4052</v>
      </c>
      <c r="L140" s="21" t="str">
        <f>VLOOKUP(A140,'Trips&amp;Operators'!$C$1:$G$99999,5,FALSE)</f>
        <v>STORY SAMANTHA</v>
      </c>
      <c r="M140" s="6">
        <f t="shared" si="33"/>
        <v>2.4826388893416151E-2</v>
      </c>
      <c r="N140" s="7">
        <f t="shared" si="56"/>
        <v>35.750000006519258</v>
      </c>
      <c r="O140" s="7"/>
      <c r="P140" s="7"/>
      <c r="Q140" s="22"/>
      <c r="R140" s="22"/>
      <c r="S140" s="31">
        <f t="shared" si="55"/>
        <v>1</v>
      </c>
      <c r="T140" s="46" t="str">
        <f t="shared" si="34"/>
        <v>NorthBound</v>
      </c>
      <c r="U140" s="193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4" t="str">
        <f t="shared" si="35"/>
        <v>https://d0f6bd738d7f1b3e5a7ca70fe4ff75f0.us-east-1.aws.found.io/app/kibana#/discover/Steve-Slow-Train-Analysis-(2080s-and-2083s)?_g=(refreshInterval:(display:Off,pause:!f,section:0,value:0),time:(from:'2017-02-21T18:52:07-0700',mode:absolute,to:'2017-02-21T21:36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0" s="195" t="str">
        <f t="shared" si="36"/>
        <v>N</v>
      </c>
      <c r="X140" s="195">
        <f t="shared" si="54"/>
        <v>1</v>
      </c>
      <c r="Y140" s="62">
        <f t="shared" si="43"/>
        <v>4.6199999999999998E-2</v>
      </c>
      <c r="Z140" s="62">
        <f t="shared" si="44"/>
        <v>23.333200000000001</v>
      </c>
      <c r="AA140" s="62">
        <f t="shared" si="38"/>
        <v>23.287000000000003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9"/>
        <v>0225-21</v>
      </c>
      <c r="AE140" s="85" t="str">
        <f t="shared" si="40"/>
        <v>aws s3 cp s3://rtdc.mdm.uploadarchive.raw/RTDC4051/ "%USERPROFILE%\AppData\Local\Temp\OnboardLogs"\RTDC4051\2017-02-21 --exclude "*" --recursive --include "*20170221*" &amp; "%USERPROFILE%\Documents\GitHub\mrs-test-scripts\Headless Mode &amp; Sideloading\WalkAndUnGZ.bat" "%USERPROFILE%\AppData\Local\Temp\OnboardLogs"\RTDC4051\2017-02-21 &amp; aws s3 cp s3://rtdc.mdm.uploadarchive.raw/RTDC4051/ "%USERPROFILE%\AppData\Local\Temp\OnboardLogs"\RTDC4051\2017-02-22 --exclude "*" --recursive --include "*20170222*" &amp; "%USERPROFILE%\Documents\GitHub\mrs-test-scripts\Headless Mode &amp; Sideloading\WalkAndUnGZ.bat" "%USERPROFILE%\AppData\Local\Temp\OnboardLogs"\RTDC4051\2017-02-22</v>
      </c>
      <c r="AF140" s="82" t="str">
        <f t="shared" si="41"/>
        <v>"C:\Program Files (x86)\AstroGrep\AstroGrep.exe" /spath="%USERPROFILE%\AppData\Local\Temp\OnboardLogs" /stypes="app*4051*20170222*" /stext=" 03:.+((SYSTEM_STATE.+slice.+state.+changed )|(ment ac)|(multiple cpu faults)|(system.+state.+changed )|(\[timeout)|(PRM\|1\|D)|(kpr)|(kdp)|(\|lc)|(penalty))" /e /r /s</v>
      </c>
      <c r="AG140" s="1" t="str">
        <f t="shared" si="42"/>
        <v>EC</v>
      </c>
      <c r="AH140" s="86" t="str">
        <f t="shared" si="45"/>
        <v>"%USERPROFILE%\Documents\GitHub\eaglep3\Utilities\RefineRTDCRunTimes.py" --tripid 225-21 --locoid 4051 --swversion DE.1.0.9.0 --startMP 204:462 --initTime 2017-02-21T19:52:07 --startdatetime 2017-02-21T20:00:31 --delay 1 --endMP 204:233332 --enddatetime 2017-02-21T20:36:16 --enforcementcount 0 &gt;&gt;C:\Users\stu\Documents\GitHub\eaglep3-reporting\EC\2017-02-21-refined-times.txt</v>
      </c>
      <c r="AI140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{"issue":{"subject":"","project_id":79,"tracker_id":40,"status_id":1,"priority_id":2,"assigned_to_id":23,"start_date":"2017-02-21","description":"","custom_fields":[{"id":1,"name":"Subdivision","value":"EC"},{"id":4,"name":"Milepost","value":"23.3332"},{"id":17,"name":"Train ID","value":"225-21"},{"id":16,"name":"Locomotive ID","value":"4051"},{"id":130,"name":"Impact","value":""},{"id":150,"name":"Time of Event (Mountain Time)","value":"20:36:16"},{"id":151,"name":"Denver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47"/>
        <v>start /low /b %USERPROFILE%\Documents\GitHub\eaglep3\Utilities\DownloadLogsFromS3.py --loco 4051 --day 2017-02-21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"%USERPROFILE%\AppData\Local\Temp\OnboardLogs"\RTDC4051\*4051*20170222* | grep -SE "(Enforcement Action)|(\[TIMEOUT)|(CHR.+\|PRM\|1\|D.+(SWITCH|SIGNAL).+UNKNOWN)" - &gt;&gt; 2017-02-21-UncaughtWiMAX.txt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x14ac:dyDescent="0.25">
      <c r="A141" s="33" t="s">
        <v>668</v>
      </c>
      <c r="B141" s="7">
        <v>4052</v>
      </c>
      <c r="C141" s="21" t="s">
        <v>359</v>
      </c>
      <c r="D141" s="21" t="s">
        <v>752</v>
      </c>
      <c r="E141" s="13">
        <v>42787.867789351854</v>
      </c>
      <c r="F141" s="13">
        <v>42787.872615740744</v>
      </c>
      <c r="G141" s="7">
        <v>2</v>
      </c>
      <c r="H141" s="21" t="s">
        <v>412</v>
      </c>
      <c r="I141" s="13">
        <v>42787.899305555555</v>
      </c>
      <c r="J141" s="7">
        <v>0</v>
      </c>
      <c r="K141" s="98" t="str">
        <f t="shared" ref="K141:K204" si="57">IF(ISEVEN(B141),(B141-1)&amp;"/"&amp;B141,B141&amp;"/"&amp;(B141+1))</f>
        <v>4051/4052</v>
      </c>
      <c r="L141" s="21" t="str">
        <f>VLOOKUP(A141,'Trips&amp;Operators'!$C$1:$G$99999,5,FALSE)</f>
        <v>STORY SAMANTHA</v>
      </c>
      <c r="M141" s="6">
        <f t="shared" ref="M141:M204" si="58">I141-F141</f>
        <v>2.6689814811106771E-2</v>
      </c>
      <c r="N141" s="7">
        <f t="shared" si="56"/>
        <v>38.433333327993751</v>
      </c>
      <c r="O141" s="7"/>
      <c r="P141" s="7"/>
      <c r="Q141" s="22"/>
      <c r="R141" s="22"/>
      <c r="S141" s="31">
        <f t="shared" si="55"/>
        <v>1</v>
      </c>
      <c r="T141" s="46" t="str">
        <f t="shared" ref="T141:T204" si="59">IF(ISEVEN(LEFT(AD141,4)),"Southbound","NorthBound")</f>
        <v>Southbound</v>
      </c>
      <c r="U141" s="193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4" t="str">
        <f t="shared" ref="V141:V204" si="60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-02-21T19:49:37-0700',mode:absolute,to:'2017-02-21T22:35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1" s="195" t="str">
        <f t="shared" ref="W141:W204" si="61">IF(AA141&lt;IF(AG141="EC",23,5.65),"Y","N")</f>
        <v>N</v>
      </c>
      <c r="X141" s="195">
        <f t="shared" si="54"/>
        <v>1</v>
      </c>
      <c r="Y141" s="62">
        <f t="shared" si="43"/>
        <v>23.302299999999999</v>
      </c>
      <c r="Z141" s="62">
        <f t="shared" si="44"/>
        <v>1.7999999999999999E-2</v>
      </c>
      <c r="AA141" s="62">
        <f t="shared" ref="AA141:AA204" si="62">ABS(Z141-Y141)</f>
        <v>23.284299999999998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63">IF(LEN(A141)=6,"0"&amp;A141,A141)</f>
        <v>0226-21</v>
      </c>
      <c r="AE141" s="85" t="str">
        <f t="shared" ref="AE141:AE204" si="64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s3://rtdc.mdm.uploadarchive.raw/RTDC4052/ "%USERPROFILE%\AppData\Local\Temp\OnboardLogs"\RTDC4052\2017-02-21 --exclude "*" --recursive --include "*20170221*" &amp; "%USERPROFILE%\Documents\GitHub\mrs-test-scripts\Headless Mode &amp; Sideloading\WalkAndUnGZ.bat" "%USERPROFILE%\AppData\Local\Temp\OnboardLogs"\RTDC4052\2017-02-21 &amp; aws s3 cp s3://rtdc.mdm.uploadarchive.raw/RTDC4052/ "%USERPROFILE%\AppData\Local\Temp\OnboardLogs"\RTDC4052\2017-02-22 --exclude "*" --recursive --include "*20170222*" &amp; "%USERPROFILE%\Documents\GitHub\mrs-test-scripts\Headless Mode &amp; Sideloading\WalkAndUnGZ.bat" "%USERPROFILE%\AppData\Local\Temp\OnboardLogs"\RTDC4052\2017-02-22</v>
      </c>
      <c r="AF141" s="82" t="str">
        <f t="shared" ref="AF141:AF204" si="65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/stypes="app*4052*20170222*" /stext=" 04:.+((SYSTEM_STATE.+slice.+state.+changed )|(ment ac)|(multiple cpu faults)|(system.+state.+changed )|(\[timeout)|(PRM\|1\|D)|(kpr)|(kdp)|(\|lc)|(penalty))" /e /r /s</v>
      </c>
      <c r="AG141" s="1" t="str">
        <f t="shared" ref="AG141:AG204" si="66">IFERROR(IF(VALUE(LEFT(AD141,2))&lt;=2,"EC",IF(OR(VALUE(LEFT(AD141,2))=8,VALUE(LEFT(AD141,2))=18),"NW","Other")),"Other")</f>
        <v>EC</v>
      </c>
      <c r="AH141" s="86" t="str">
        <f t="shared" si="45"/>
        <v>"%USERPROFILE%\Documents\GitHub\eaglep3\Utilities\RefineRTDCRunTimes.py" --tripid 226-21 --locoid 4052 --swversion DE.1.0.9.0 --startMP 204:233023 --initTime 2017-02-21T20:49:37 --startdatetime 2017-02-21T20:56:34 --delay 2 --endMP 204:180 --enddatetime 2017-02-21T21:35:00 --enforcementcount 0 &gt;&gt;C:\Users\stu\Documents\GitHub\eaglep3-reporting\EC\2017-02-21-refined-times.txt</v>
      </c>
      <c r="AI141" s="108" t="str">
        <f t="shared" si="46"/>
        <v>echo {"issue":{"subject":"","project_id":79,"tracker_id":40,"status_id":1,"priority_id":2,"assigned_to_id":23,"start_date":"2017-02-21","description":"","custom_fields":[{"id":1,"name":"Subdivision","value":"EC"},{"id":4,"name":"Milepost","value":"0.018"},{"id":17,"name":"Train ID","value":"226-21"},{"id":16,"name":"Locomotive ID","value":"4052"},{"id":130,"name":"Impact","value":""},{"id":150,"name":"Time of Event (Mountain Time)","value":"21:35:00"},{"id":151,"name":"Denver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47"/>
        <v>start /low /b %USERPROFILE%\Documents\GitHub\eaglep3\Utilities\DownloadLogsFromS3.py --loco 4052 --day 2017-02-21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"%USERPROFILE%\AppData\Local\Temp\OnboardLogs"\RTDC4052\*4052*20170222* | grep -SE "(Enforcement Action)|(\[TIMEOUT)|(CHR.+\|PRM\|1\|D.+(SWITCH|SIGNAL).+UNKNOWN)" - &gt;&gt; 2017-02-21-UncaughtWiMAX.txt</v>
      </c>
    </row>
    <row r="142" spans="1:91" s="20" customFormat="1" x14ac:dyDescent="0.25">
      <c r="A142" s="33" t="s">
        <v>665</v>
      </c>
      <c r="B142" s="7">
        <v>4003</v>
      </c>
      <c r="C142" s="21" t="s">
        <v>359</v>
      </c>
      <c r="D142" s="21" t="s">
        <v>333</v>
      </c>
      <c r="E142" s="13">
        <v>42787.847951388889</v>
      </c>
      <c r="F142" s="13">
        <v>42787.854409722226</v>
      </c>
      <c r="G142" s="7">
        <v>1</v>
      </c>
      <c r="H142" s="21" t="s">
        <v>416</v>
      </c>
      <c r="I142" s="13">
        <v>42787.879525462966</v>
      </c>
      <c r="J142" s="7">
        <v>0</v>
      </c>
      <c r="K142" s="98" t="str">
        <f t="shared" si="57"/>
        <v>4003/4004</v>
      </c>
      <c r="L142" s="21" t="str">
        <f>VLOOKUP(A142,'Trips&amp;Operators'!$C$1:$G$99999,5,FALSE)</f>
        <v>MAGEE KENYA</v>
      </c>
      <c r="M142" s="6">
        <f t="shared" si="58"/>
        <v>2.5115740740147885E-2</v>
      </c>
      <c r="N142" s="7">
        <f t="shared" si="56"/>
        <v>36.166666665812954</v>
      </c>
      <c r="O142" s="7"/>
      <c r="P142" s="7"/>
      <c r="Q142" s="22"/>
      <c r="R142" s="22"/>
      <c r="S142" s="31">
        <f t="shared" si="55"/>
        <v>1</v>
      </c>
      <c r="T142" s="46" t="str">
        <f t="shared" si="59"/>
        <v>NorthBound</v>
      </c>
      <c r="U142" s="193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4" t="str">
        <f t="shared" si="60"/>
        <v>https://d0f6bd738d7f1b3e5a7ca70fe4ff75f0.us-east-1.aws.found.io/app/kibana#/discover/Steve-Slow-Train-Analysis-(2080s-and-2083s)?_g=(refreshInterval:(display:Off,pause:!f,section:0,value:0),time:(from:'2017-02-21T19:21:03-0700',mode:absolute,to:'2017-02-21T22:06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2" s="195" t="str">
        <f t="shared" si="61"/>
        <v>N</v>
      </c>
      <c r="X142" s="195">
        <f t="shared" si="54"/>
        <v>1</v>
      </c>
      <c r="Y142" s="62">
        <f t="shared" si="43"/>
        <v>4.6600000000000003E-2</v>
      </c>
      <c r="Z142" s="62">
        <f t="shared" si="44"/>
        <v>23.331399999999999</v>
      </c>
      <c r="AA142" s="62">
        <f t="shared" si="62"/>
        <v>23.284799999999997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63"/>
        <v>0227-21</v>
      </c>
      <c r="AE142" s="85" t="str">
        <f t="shared" si="64"/>
        <v>aws s3 cp s3://rtdc.mdm.uploadarchive.raw/RTDC4003/ "%USERPROFILE%\AppData\Local\Temp\OnboardLogs"\RTDC4003\2017-02-21 --exclude "*" --recursive --include "*20170221*" &amp; "%USERPROFILE%\Documents\GitHub\mrs-test-scripts\Headless Mode &amp; Sideloading\WalkAndUnGZ.bat" "%USERPROFILE%\AppData\Local\Temp\OnboardLogs"\RTDC4003\2017-02-21 &amp; aws s3 cp s3://rtdc.mdm.uploadarchive.raw/RTDC4003/ "%USERPROFILE%\AppData\Local\Temp\OnboardLogs"\RTDC4003\2017-02-22 --exclude "*" --recursive --include "*20170222*" &amp; "%USERPROFILE%\Documents\GitHub\mrs-test-scripts\Headless Mode &amp; Sideloading\WalkAndUnGZ.bat" "%USERPROFILE%\AppData\Local\Temp\OnboardLogs"\RTDC4003\2017-02-22</v>
      </c>
      <c r="AF142" s="82" t="str">
        <f t="shared" si="65"/>
        <v>"C:\Program Files (x86)\AstroGrep\AstroGrep.exe" /spath="%USERPROFILE%\AppData\Local\Temp\OnboardLogs" /stypes="app*4003*20170222*" /stext=" 04:.+((SYSTEM_STATE.+slice.+state.+changed )|(ment ac)|(multiple cpu faults)|(system.+state.+changed )|(\[timeout)|(PRM\|1\|D)|(kpr)|(kdp)|(\|lc)|(penalty))" /e /r /s</v>
      </c>
      <c r="AG142" s="1" t="str">
        <f t="shared" si="66"/>
        <v>EC</v>
      </c>
      <c r="AH142" s="86" t="str">
        <f t="shared" ref="AH142:AH204" si="67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227-21 --locoid 4003 --swversion DE.1.0.9.0 --startMP 204:466 --initTime 2017-02-21T20:21:03 --startdatetime 2017-02-21T20:30:21 --delay 1 --endMP 204:233314 --enddatetime 2017-02-21T21:06:31 --enforcementcount 0 &gt;&gt;C:\Users\stu\Documents\GitHub\eaglep3-reporting\EC\2017-02-21-refined-times.txt</v>
      </c>
      <c r="AI142" s="108" t="str">
        <f t="shared" ref="AI142:AI204" si="68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{"issue":{"subject":"","project_id":79,"tracker_id":40,"status_id":1,"priority_id":2,"assigned_to_id":23,"start_date":"2017-02-21","description":"","custom_fields":[{"id":1,"name":"Subdivision","value":"EC"},{"id":4,"name":"Milepost","value":"23.3314"},{"id":17,"name":"Train ID","value":"227-21"},{"id":16,"name":"Locomotive ID","value":"4003"},{"id":130,"name":"Impact","value":""},{"id":150,"name":"Time of Event (Mountain Time)","value":"21:06:31"},{"id":151,"name":"Denver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ref="AM142:AM204" si="69">"start /low /b "&amp;dls3logs&amp;" --loco "&amp;B142&amp;" --day "&amp;TEXT(F142,"YYYY-MM-DD")</f>
        <v>start /low /b %USERPROFILE%\Documents\GitHub\eaglep3\Utilities\DownloadLogsFromS3.py --loco 4003 --day 2017-02-21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"%USERPROFILE%\AppData\Local\Temp\OnboardLogs"\RTDC4003\*4003*20170222* | grep -SE "(Enforcement Action)|(\[TIMEOUT)|(CHR.+\|PRM\|1\|D.+(SWITCH|SIGNAL).+UNKNOWN)" - &gt;&gt; 2017-02-21-UncaughtWiMAX.txt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670</v>
      </c>
      <c r="B143" s="7">
        <v>4004</v>
      </c>
      <c r="C143" s="21" t="s">
        <v>359</v>
      </c>
      <c r="D143" s="21" t="s">
        <v>753</v>
      </c>
      <c r="E143" s="13">
        <v>42787.887754629628</v>
      </c>
      <c r="F143" s="13">
        <v>42787.893541666665</v>
      </c>
      <c r="G143" s="7">
        <v>1</v>
      </c>
      <c r="H143" s="21" t="s">
        <v>207</v>
      </c>
      <c r="I143" s="13">
        <v>42787.920949074076</v>
      </c>
      <c r="J143" s="7">
        <v>0</v>
      </c>
      <c r="K143" s="98" t="str">
        <f t="shared" si="57"/>
        <v>4003/4004</v>
      </c>
      <c r="L143" s="21" t="str">
        <f>VLOOKUP(A143,'Trips&amp;Operators'!$C$1:$G$99999,5,FALSE)</f>
        <v>MAGEE KENYA</v>
      </c>
      <c r="M143" s="6">
        <f t="shared" si="58"/>
        <v>2.7407407411374152E-2</v>
      </c>
      <c r="N143" s="7">
        <f t="shared" si="56"/>
        <v>39.466666672378778</v>
      </c>
      <c r="O143" s="7"/>
      <c r="P143" s="7"/>
      <c r="Q143" s="22"/>
      <c r="R143" s="22"/>
      <c r="S143" s="31">
        <f t="shared" si="55"/>
        <v>1</v>
      </c>
      <c r="T143" s="46" t="str">
        <f t="shared" si="59"/>
        <v>Southbound</v>
      </c>
      <c r="U143" s="193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4" t="str">
        <f t="shared" si="60"/>
        <v>https://d0f6bd738d7f1b3e5a7ca70fe4ff75f0.us-east-1.aws.found.io/app/kibana#/discover/Steve-Slow-Train-Analysis-(2080s-and-2083s)?_g=(refreshInterval:(display:Off,pause:!f,section:0,value:0),time:(from:'2017-02-21T20:18:22-0700',mode:absolute,to:'2017-02-21T23:06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3" s="195" t="str">
        <f t="shared" si="61"/>
        <v>N</v>
      </c>
      <c r="X143" s="195">
        <f t="shared" si="54"/>
        <v>1</v>
      </c>
      <c r="Y143" s="62">
        <f t="shared" ref="Y143:Y206" si="70">RIGHT(D143,LEN(D143)-4)/10000</f>
        <v>23.3002</v>
      </c>
      <c r="Z143" s="62">
        <f t="shared" ref="Z143:Z206" si="71">RIGHT(H143,LEN(H143)-4)/10000</f>
        <v>1.5800000000000002E-2</v>
      </c>
      <c r="AA143" s="62">
        <f t="shared" si="62"/>
        <v>23.284400000000002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63"/>
        <v>0228-21</v>
      </c>
      <c r="AE143" s="85" t="str">
        <f t="shared" si="64"/>
        <v>aws s3 cp s3://rtdc.mdm.uploadarchive.raw/RTDC4004/ "%USERPROFILE%\AppData\Local\Temp\OnboardLogs"\RTDC4004\2017-02-21 --exclude "*" --recursive --include "*20170221*" &amp; "%USERPROFILE%\Documents\GitHub\mrs-test-scripts\Headless Mode &amp; Sideloading\WalkAndUnGZ.bat" "%USERPROFILE%\AppData\Local\Temp\OnboardLogs"\RTDC4004\2017-02-21 &amp; aws s3 cp s3://rtdc.mdm.uploadarchive.raw/RTDC4004/ "%USERPROFILE%\AppData\Local\Temp\OnboardLogs"\RTDC4004\2017-02-22 --exclude "*" --recursive --include "*20170222*" &amp; "%USERPROFILE%\Documents\GitHub\mrs-test-scripts\Headless Mode &amp; Sideloading\WalkAndUnGZ.bat" "%USERPROFILE%\AppData\Local\Temp\OnboardLogs"\RTDC4004\2017-02-22</v>
      </c>
      <c r="AF143" s="82" t="str">
        <f t="shared" si="65"/>
        <v>"C:\Program Files (x86)\AstroGrep\AstroGrep.exe" /spath="%USERPROFILE%\AppData\Local\Temp\OnboardLogs" /stypes="app*4004*20170222*" /stext=" 05:.+((SYSTEM_STATE.+slice.+state.+changed )|(ment ac)|(multiple cpu faults)|(system.+state.+changed )|(\[timeout)|(PRM\|1\|D)|(kpr)|(kdp)|(\|lc)|(penalty))" /e /r /s</v>
      </c>
      <c r="AG143" s="1" t="str">
        <f t="shared" si="66"/>
        <v>EC</v>
      </c>
      <c r="AH143" s="86" t="str">
        <f t="shared" si="67"/>
        <v>"%USERPROFILE%\Documents\GitHub\eaglep3\Utilities\RefineRTDCRunTimes.py" --tripid 228-21 --locoid 4004 --swversion DE.1.0.9.0 --startMP 204:233002 --initTime 2017-02-21T21:18:22 --startdatetime 2017-02-21T21:26:42 --delay 1 --endMP 204:158 --enddatetime 2017-02-21T22:06:10 --enforcementcount 0 &gt;&gt;C:\Users\stu\Documents\GitHub\eaglep3-reporting\EC\2017-02-21-refined-times.txt</v>
      </c>
      <c r="AI143" s="108" t="str">
        <f t="shared" si="68"/>
        <v>echo {"issue":{"subject":"","project_id":79,"tracker_id":40,"status_id":1,"priority_id":2,"assigned_to_id":23,"start_date":"2017-02-21","description":"","custom_fields":[{"id":1,"name":"Subdivision","value":"EC"},{"id":4,"name":"Milepost","value":"0.0158"},{"id":17,"name":"Train ID","value":"228-21"},{"id":16,"name":"Locomotive ID","value":"4004"},{"id":130,"name":"Impact","value":""},{"id":150,"name":"Time of Event (Mountain Time)","value":"22:06:10"},{"id":151,"name":"Denver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69"/>
        <v>start /low /b %USERPROFILE%\Documents\GitHub\eaglep3\Utilities\DownloadLogsFromS3.py --loco 4004 --day 2017-02-21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"%USERPROFILE%\AppData\Local\Temp\OnboardLogs"\RTDC4004\*4004*20170222* | grep -SE "(Enforcement Action)|(\[TIMEOUT)|(CHR.+\|PRM\|1\|D.+(SWITCH|SIGNAL).+UNKNOWN)" - &gt;&gt; 2017-02-21-UncaughtWiMAX.txt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669</v>
      </c>
      <c r="B144" s="7">
        <v>4025</v>
      </c>
      <c r="C144" s="21" t="s">
        <v>359</v>
      </c>
      <c r="D144" s="21" t="s">
        <v>299</v>
      </c>
      <c r="E144" s="13">
        <v>42787.873993055553</v>
      </c>
      <c r="F144" s="13">
        <v>42787.875416666669</v>
      </c>
      <c r="G144" s="7">
        <v>1</v>
      </c>
      <c r="H144" s="21" t="s">
        <v>418</v>
      </c>
      <c r="I144" s="13">
        <v>42787.900543981479</v>
      </c>
      <c r="J144" s="7">
        <v>0</v>
      </c>
      <c r="K144" s="98" t="str">
        <f t="shared" si="57"/>
        <v>4025/4026</v>
      </c>
      <c r="L144" s="21" t="str">
        <f>VLOOKUP(A144,'Trips&amp;Operators'!$C$1:$G$99999,5,FALSE)</f>
        <v>CHANDLER KELVIN</v>
      </c>
      <c r="M144" s="6">
        <f t="shared" si="58"/>
        <v>2.512731480965158E-2</v>
      </c>
      <c r="N144" s="7">
        <f t="shared" si="56"/>
        <v>36.183333325898275</v>
      </c>
      <c r="O144" s="7"/>
      <c r="P144" s="7"/>
      <c r="Q144" s="22"/>
      <c r="R144" s="22"/>
      <c r="S144" s="31">
        <f t="shared" si="55"/>
        <v>1</v>
      </c>
      <c r="T144" s="46" t="str">
        <f t="shared" si="59"/>
        <v>NorthBound</v>
      </c>
      <c r="U144" s="193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4" t="str">
        <f t="shared" si="60"/>
        <v>https://d0f6bd738d7f1b3e5a7ca70fe4ff75f0.us-east-1.aws.found.io/app/kibana#/discover/Steve-Slow-Train-Analysis-(2080s-and-2083s)?_g=(refreshInterval:(display:Off,pause:!f,section:0,value:0),time:(from:'2017-02-21T19:58:33-0700',mode:absolute,to:'2017-02-21T22:36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4" s="195" t="str">
        <f t="shared" si="61"/>
        <v>N</v>
      </c>
      <c r="X144" s="195">
        <f t="shared" si="54"/>
        <v>1</v>
      </c>
      <c r="Y144" s="62">
        <f t="shared" si="70"/>
        <v>4.7100000000000003E-2</v>
      </c>
      <c r="Z144" s="62">
        <f t="shared" si="71"/>
        <v>23.329699999999999</v>
      </c>
      <c r="AA144" s="62">
        <f t="shared" si="62"/>
        <v>23.282599999999999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63"/>
        <v>0229-21</v>
      </c>
      <c r="AE144" s="85" t="str">
        <f t="shared" si="64"/>
        <v>aws s3 cp s3://rtdc.mdm.uploadarchive.raw/RTDC4025/ "%USERPROFILE%\AppData\Local\Temp\OnboardLogs"\RTDC4025\2017-02-21 --exclude "*" --recursive --include "*20170221*" &amp; "%USERPROFILE%\Documents\GitHub\mrs-test-scripts\Headless Mode &amp; Sideloading\WalkAndUnGZ.bat" "%USERPROFILE%\AppData\Local\Temp\OnboardLogs"\RTDC4025\2017-02-21 &amp; aws s3 cp s3://rtdc.mdm.uploadarchive.raw/RTDC4025/ "%USERPROFILE%\AppData\Local\Temp\OnboardLogs"\RTDC4025\2017-02-22 --exclude "*" --recursive --include "*20170222*" &amp; "%USERPROFILE%\Documents\GitHub\mrs-test-scripts\Headless Mode &amp; Sideloading\WalkAndUnGZ.bat" "%USERPROFILE%\AppData\Local\Temp\OnboardLogs"\RTDC4025\2017-02-22</v>
      </c>
      <c r="AF144" s="82" t="str">
        <f t="shared" si="65"/>
        <v>"C:\Program Files (x86)\AstroGrep\AstroGrep.exe" /spath="%USERPROFILE%\AppData\Local\Temp\OnboardLogs" /stypes="app*4025*20170222*" /stext=" 04:.+((SYSTEM_STATE.+slice.+state.+changed )|(ment ac)|(multiple cpu faults)|(system.+state.+changed )|(\[timeout)|(PRM\|1\|D)|(kpr)|(kdp)|(\|lc)|(penalty))" /e /r /s</v>
      </c>
      <c r="AG144" s="1" t="str">
        <f t="shared" si="66"/>
        <v>EC</v>
      </c>
      <c r="AH144" s="86" t="str">
        <f t="shared" si="67"/>
        <v>"%USERPROFILE%\Documents\GitHub\eaglep3\Utilities\RefineRTDCRunTimes.py" --tripid 229-21 --locoid 4025 --swversion DE.1.0.9.0 --startMP 204:471 --initTime 2017-02-21T20:58:33 --startdatetime 2017-02-21T21:00:36 --delay 1 --endMP 204:233297 --enddatetime 2017-02-21T21:36:47 --enforcementcount 0 &gt;&gt;C:\Users\stu\Documents\GitHub\eaglep3-reporting\EC\2017-02-21-refined-times.txt</v>
      </c>
      <c r="AI144" s="108" t="str">
        <f t="shared" si="68"/>
        <v>echo {"issue":{"subject":"","project_id":79,"tracker_id":40,"status_id":1,"priority_id":2,"assigned_to_id":23,"start_date":"2017-02-21","description":"","custom_fields":[{"id":1,"name":"Subdivision","value":"EC"},{"id":4,"name":"Milepost","value":"23.3297"},{"id":17,"name":"Train ID","value":"229-21"},{"id":16,"name":"Locomotive ID","value":"4025"},{"id":130,"name":"Impact","value":""},{"id":150,"name":"Time of Event (Mountain Time)","value":"21:36:47"},{"id":151,"name":"Denver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69"/>
        <v>start /low /b %USERPROFILE%\Documents\GitHub\eaglep3\Utilities\DownloadLogsFromS3.py --loco 4025 --day 2017-02-21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"%USERPROFILE%\AppData\Local\Temp\OnboardLogs"\RTDC4025\*4025*20170222* | grep -SE "(Enforcement Action)|(\[TIMEOUT)|(CHR.+\|PRM\|1\|D.+(SWITCH|SIGNAL).+UNKNOWN)" - &gt;&gt; 2017-02-21-UncaughtWiMAX.txt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673</v>
      </c>
      <c r="B145" s="7">
        <v>4026</v>
      </c>
      <c r="C145" s="21" t="s">
        <v>359</v>
      </c>
      <c r="D145" s="21" t="s">
        <v>748</v>
      </c>
      <c r="E145" s="13">
        <v>42787.911932870367</v>
      </c>
      <c r="F145" s="13">
        <v>42787.914375</v>
      </c>
      <c r="G145" s="7">
        <v>0</v>
      </c>
      <c r="H145" s="21" t="s">
        <v>184</v>
      </c>
      <c r="I145" s="13">
        <v>42787.943969907406</v>
      </c>
      <c r="J145" s="7">
        <v>0</v>
      </c>
      <c r="K145" s="98" t="str">
        <f t="shared" si="57"/>
        <v>4025/4026</v>
      </c>
      <c r="L145" s="21" t="str">
        <f>VLOOKUP(A145,'Trips&amp;Operators'!$C$1:$G$99999,5,FALSE)</f>
        <v>CHANDLER KELVIN</v>
      </c>
      <c r="M145" s="6">
        <f t="shared" si="58"/>
        <v>2.9594907406135462E-2</v>
      </c>
      <c r="N145" s="7">
        <f t="shared" si="56"/>
        <v>42.616666664835066</v>
      </c>
      <c r="O145" s="7"/>
      <c r="P145" s="7"/>
      <c r="Q145" s="22"/>
      <c r="R145" s="22"/>
      <c r="S145" s="31">
        <f t="shared" si="55"/>
        <v>1</v>
      </c>
      <c r="T145" s="46" t="str">
        <f t="shared" si="59"/>
        <v>Southbound</v>
      </c>
      <c r="U145" s="193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4" t="str">
        <f t="shared" si="60"/>
        <v>https://d0f6bd738d7f1b3e5a7ca70fe4ff75f0.us-east-1.aws.found.io/app/kibana#/discover/Steve-Slow-Train-Analysis-(2080s-and-2083s)?_g=(refreshInterval:(display:Off,pause:!f,section:0,value:0),time:(from:'2017-02-21T20:53:11-0700',mode:absolute,to:'2017-02-21T23:39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5" s="195" t="str">
        <f t="shared" si="61"/>
        <v>N</v>
      </c>
      <c r="X145" s="195">
        <f t="shared" si="54"/>
        <v>1</v>
      </c>
      <c r="Y145" s="62">
        <f t="shared" si="70"/>
        <v>23.296600000000002</v>
      </c>
      <c r="Z145" s="62">
        <f t="shared" si="71"/>
        <v>1.49E-2</v>
      </c>
      <c r="AA145" s="62">
        <f t="shared" si="62"/>
        <v>23.281700000000001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63"/>
        <v>0230-21</v>
      </c>
      <c r="AE145" s="85" t="str">
        <f t="shared" si="64"/>
        <v>aws s3 cp s3://rtdc.mdm.uploadarchive.raw/RTDC4026/ "%USERPROFILE%\AppData\Local\Temp\OnboardLogs"\RTDC4026\2017-02-21 --exclude "*" --recursive --include "*20170221*" &amp; "%USERPROFILE%\Documents\GitHub\mrs-test-scripts\Headless Mode &amp; Sideloading\WalkAndUnGZ.bat" "%USERPROFILE%\AppData\Local\Temp\OnboardLogs"\RTDC4026\2017-02-21 &amp; aws s3 cp s3://rtdc.mdm.uploadarchive.raw/RTDC4026/ "%USERPROFILE%\AppData\Local\Temp\OnboardLogs"\RTDC4026\2017-02-22 --exclude "*" --recursive --include "*20170222*" &amp; "%USERPROFILE%\Documents\GitHub\mrs-test-scripts\Headless Mode &amp; Sideloading\WalkAndUnGZ.bat" "%USERPROFILE%\AppData\Local\Temp\OnboardLogs"\RTDC4026\2017-02-22</v>
      </c>
      <c r="AF145" s="82" t="str">
        <f t="shared" si="65"/>
        <v>"C:\Program Files (x86)\AstroGrep\AstroGrep.exe" /spath="%USERPROFILE%\AppData\Local\Temp\OnboardLogs" /stypes="app*4026*20170222*" /stext=" 05:.+((SYSTEM_STATE.+slice.+state.+changed )|(ment ac)|(multiple cpu faults)|(system.+state.+changed )|(\[timeout)|(PRM\|1\|D)|(kpr)|(kdp)|(\|lc)|(penalty))" /e /r /s</v>
      </c>
      <c r="AG145" s="1" t="str">
        <f t="shared" si="66"/>
        <v>EC</v>
      </c>
      <c r="AH145" s="86" t="str">
        <f t="shared" si="67"/>
        <v>"%USERPROFILE%\Documents\GitHub\eaglep3\Utilities\RefineRTDCRunTimes.py" --tripid 230-21 --locoid 4026 --swversion DE.1.0.9.0 --startMP 204:232966 --initTime 2017-02-21T21:53:11 --startdatetime 2017-02-21T21:56:42 --delay 0 --endMP 204:149 --enddatetime 2017-02-21T22:39:19 --enforcementcount 0 &gt;&gt;C:\Users\stu\Documents\GitHub\eaglep3-reporting\EC\2017-02-21-refined-times.txt</v>
      </c>
      <c r="AI145" s="108" t="str">
        <f t="shared" si="68"/>
        <v>echo {"issue":{"subject":"","project_id":79,"tracker_id":40,"status_id":1,"priority_id":2,"assigned_to_id":23,"start_date":"2017-02-21","description":"","custom_fields":[{"id":1,"name":"Subdivision","value":"EC"},{"id":4,"name":"Milepost","value":"0.0149"},{"id":17,"name":"Train ID","value":"230-21"},{"id":16,"name":"Locomotive ID","value":"4026"},{"id":130,"name":"Impact","value":""},{"id":150,"name":"Time of Event (Mountain Time)","value":"22:39:19"},{"id":151,"name":"Denver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69"/>
        <v>start /low /b %USERPROFILE%\Documents\GitHub\eaglep3\Utilities\DownloadLogsFromS3.py --loco 4026 --day 2017-02-21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"%USERPROFILE%\AppData\Local\Temp\OnboardLogs"\RTDC4026\*4026*20170222* | grep -SE "(Enforcement Action)|(\[TIMEOUT)|(CHR.+\|PRM\|1\|D.+(SWITCH|SIGNAL).+UNKNOWN)" - &gt;&gt; 2017-02-21-UncaughtWiMAX.txt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671</v>
      </c>
      <c r="B146" s="7">
        <v>4029</v>
      </c>
      <c r="C146" s="21" t="s">
        <v>359</v>
      </c>
      <c r="D146" s="21" t="s">
        <v>696</v>
      </c>
      <c r="E146" s="13">
        <v>42787.894317129627</v>
      </c>
      <c r="F146" s="13">
        <v>42787.897326388891</v>
      </c>
      <c r="G146" s="7">
        <v>2</v>
      </c>
      <c r="H146" s="21" t="s">
        <v>754</v>
      </c>
      <c r="I146" s="13">
        <v>42787.92465277778</v>
      </c>
      <c r="J146" s="7">
        <v>0</v>
      </c>
      <c r="K146" s="98" t="str">
        <f t="shared" si="57"/>
        <v>4029/4030</v>
      </c>
      <c r="L146" s="21" t="str">
        <f>VLOOKUP(A146,'Trips&amp;Operators'!$C$1:$G$99999,5,FALSE)</f>
        <v>NELSON ARIANE</v>
      </c>
      <c r="M146" s="6">
        <f t="shared" si="58"/>
        <v>2.73263888884685E-2</v>
      </c>
      <c r="N146" s="7">
        <f t="shared" si="56"/>
        <v>39.34999999939464</v>
      </c>
      <c r="O146" s="7"/>
      <c r="P146" s="7"/>
      <c r="Q146" s="22"/>
      <c r="R146" s="22"/>
      <c r="S146" s="31">
        <f t="shared" si="55"/>
        <v>1</v>
      </c>
      <c r="T146" s="46" t="str">
        <f t="shared" si="59"/>
        <v>NorthBound</v>
      </c>
      <c r="U146" s="193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4" t="str">
        <f t="shared" si="60"/>
        <v>https://d0f6bd738d7f1b3e5a7ca70fe4ff75f0.us-east-1.aws.found.io/app/kibana#/discover/Steve-Slow-Train-Analysis-(2080s-and-2083s)?_g=(refreshInterval:(display:Off,pause:!f,section:0,value:0),time:(from:'2017-02-21T20:27:49-0700',mode:absolute,to:'2017-02-21T23:11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6" s="195" t="str">
        <f t="shared" si="61"/>
        <v>N</v>
      </c>
      <c r="X146" s="195">
        <f t="shared" si="54"/>
        <v>1</v>
      </c>
      <c r="Y146" s="62">
        <f t="shared" si="70"/>
        <v>4.4900000000000002E-2</v>
      </c>
      <c r="Z146" s="62">
        <f t="shared" si="71"/>
        <v>23.328700000000001</v>
      </c>
      <c r="AA146" s="62">
        <f t="shared" si="62"/>
        <v>23.283800000000003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63"/>
        <v>0231-21</v>
      </c>
      <c r="AE146" s="85" t="str">
        <f t="shared" si="64"/>
        <v>aws s3 cp s3://rtdc.mdm.uploadarchive.raw/RTDC4029/ "%USERPROFILE%\AppData\Local\Temp\OnboardLogs"\RTDC4029\2017-02-21 --exclude "*" --recursive --include "*20170221*" &amp; "%USERPROFILE%\Documents\GitHub\mrs-test-scripts\Headless Mode &amp; Sideloading\WalkAndUnGZ.bat" "%USERPROFILE%\AppData\Local\Temp\OnboardLogs"\RTDC4029\2017-02-21 &amp; aws s3 cp s3://rtdc.mdm.uploadarchive.raw/RTDC4029/ "%USERPROFILE%\AppData\Local\Temp\OnboardLogs"\RTDC4029\2017-02-22 --exclude "*" --recursive --include "*20170222*" &amp; "%USERPROFILE%\Documents\GitHub\mrs-test-scripts\Headless Mode &amp; Sideloading\WalkAndUnGZ.bat" "%USERPROFILE%\AppData\Local\Temp\OnboardLogs"\RTDC4029\2017-02-22</v>
      </c>
      <c r="AF146" s="82" t="str">
        <f t="shared" si="65"/>
        <v>"C:\Program Files (x86)\AstroGrep\AstroGrep.exe" /spath="%USERPROFILE%\AppData\Local\Temp\OnboardLogs" /stypes="app*4029*20170222*" /stext=" 05:.+((SYSTEM_STATE.+slice.+state.+changed )|(ment ac)|(multiple cpu faults)|(system.+state.+changed )|(\[timeout)|(PRM\|1\|D)|(kpr)|(kdp)|(\|lc)|(penalty))" /e /r /s</v>
      </c>
      <c r="AG146" s="1" t="str">
        <f t="shared" si="66"/>
        <v>EC</v>
      </c>
      <c r="AH146" s="86" t="str">
        <f t="shared" si="67"/>
        <v>"%USERPROFILE%\Documents\GitHub\eaglep3\Utilities\RefineRTDCRunTimes.py" --tripid 231-21 --locoid 4029 --swversion DE.1.0.9.0 --startMP 204:449 --initTime 2017-02-21T21:27:49 --startdatetime 2017-02-21T21:32:09 --delay 2 --endMP 204:233287 --enddatetime 2017-02-21T22:11:30 --enforcementcount 0 &gt;&gt;C:\Users\stu\Documents\GitHub\eaglep3-reporting\EC\2017-02-21-refined-times.txt</v>
      </c>
      <c r="AI146" s="108" t="str">
        <f t="shared" si="68"/>
        <v>echo {"issue":{"subject":"","project_id":79,"tracker_id":40,"status_id":1,"priority_id":2,"assigned_to_id":23,"start_date":"2017-02-21","description":"","custom_fields":[{"id":1,"name":"Subdivision","value":"EC"},{"id":4,"name":"Milepost","value":"23.3287"},{"id":17,"name":"Train ID","value":"231-21"},{"id":16,"name":"Locomotive ID","value":"4029"},{"id":130,"name":"Impact","value":""},{"id":150,"name":"Time of Event (Mountain Time)","value":"22:11:30"},{"id":151,"name":"Denver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69"/>
        <v>start /low /b %USERPROFILE%\Documents\GitHub\eaglep3\Utilities\DownloadLogsFromS3.py --loco 4029 --day 2017-02-21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"%USERPROFILE%\AppData\Local\Temp\OnboardLogs"\RTDC4029\*4029*20170222* | grep -SE "(Enforcement Action)|(\[TIMEOUT)|(CHR.+\|PRM\|1\|D.+(SWITCH|SIGNAL).+UNKNOWN)" - &gt;&gt; 2017-02-21-UncaughtWiMAX.txt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x14ac:dyDescent="0.25">
      <c r="A147" s="33" t="s">
        <v>675</v>
      </c>
      <c r="B147" s="7">
        <v>4030</v>
      </c>
      <c r="C147" s="21" t="s">
        <v>359</v>
      </c>
      <c r="D147" s="21" t="s">
        <v>707</v>
      </c>
      <c r="E147" s="13">
        <v>42787.932233796295</v>
      </c>
      <c r="F147" s="13">
        <v>42787.934976851851</v>
      </c>
      <c r="G147" s="7">
        <v>2</v>
      </c>
      <c r="H147" s="21" t="s">
        <v>286</v>
      </c>
      <c r="I147" s="13">
        <v>42787.963217592594</v>
      </c>
      <c r="J147" s="7">
        <v>0</v>
      </c>
      <c r="K147" s="98" t="str">
        <f t="shared" si="57"/>
        <v>4029/4030</v>
      </c>
      <c r="L147" s="21" t="str">
        <f>VLOOKUP(A147,'Trips&amp;Operators'!$C$1:$G$99999,5,FALSE)</f>
        <v>NELSON ARIANE</v>
      </c>
      <c r="M147" s="6">
        <f t="shared" si="58"/>
        <v>2.8240740743058268E-2</v>
      </c>
      <c r="N147" s="7">
        <f t="shared" si="56"/>
        <v>40.666666670003906</v>
      </c>
      <c r="O147" s="7"/>
      <c r="P147" s="7"/>
      <c r="Q147" s="22"/>
      <c r="R147" s="22"/>
      <c r="S147" s="31">
        <f t="shared" si="55"/>
        <v>1</v>
      </c>
      <c r="T147" s="46" t="str">
        <f t="shared" si="59"/>
        <v>Southbound</v>
      </c>
      <c r="U147" s="193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4" t="str">
        <f t="shared" si="60"/>
        <v>https://d0f6bd738d7f1b3e5a7ca70fe4ff75f0.us-east-1.aws.found.io/app/kibana#/discover/Steve-Slow-Train-Analysis-(2080s-and-2083s)?_g=(refreshInterval:(display:Off,pause:!f,section:0,value:0),time:(from:'2017-02-21T21:22:25-0700',mode:absolute,to:'2017-02-22T00:07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7" s="195" t="str">
        <f t="shared" si="61"/>
        <v>N</v>
      </c>
      <c r="X147" s="195">
        <f t="shared" si="54"/>
        <v>1</v>
      </c>
      <c r="Y147" s="62">
        <f t="shared" si="70"/>
        <v>23.298300000000001</v>
      </c>
      <c r="Z147" s="62">
        <f t="shared" si="71"/>
        <v>1.5599999999999999E-2</v>
      </c>
      <c r="AA147" s="62">
        <f t="shared" si="62"/>
        <v>23.282700000000002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63"/>
        <v>0232-21</v>
      </c>
      <c r="AE147" s="85" t="str">
        <f t="shared" si="64"/>
        <v>aws s3 cp s3://rtdc.mdm.uploadarchive.raw/RTDC4030/ "%USERPROFILE%\AppData\Local\Temp\OnboardLogs"\RTDC4030\2017-02-21 --exclude "*" --recursive --include "*20170221*" &amp; "%USERPROFILE%\Documents\GitHub\mrs-test-scripts\Headless Mode &amp; Sideloading\WalkAndUnGZ.bat" "%USERPROFILE%\AppData\Local\Temp\OnboardLogs"\RTDC4030\2017-02-21 &amp; aws s3 cp s3://rtdc.mdm.uploadarchive.raw/RTDC4030/ "%USERPROFILE%\AppData\Local\Temp\OnboardLogs"\RTDC4030\2017-02-22 --exclude "*" --recursive --include "*20170222*" &amp; "%USERPROFILE%\Documents\GitHub\mrs-test-scripts\Headless Mode &amp; Sideloading\WalkAndUnGZ.bat" "%USERPROFILE%\AppData\Local\Temp\OnboardLogs"\RTDC4030\2017-02-22</v>
      </c>
      <c r="AF147" s="82" t="str">
        <f t="shared" si="65"/>
        <v>"C:\Program Files (x86)\AstroGrep\AstroGrep.exe" /spath="%USERPROFILE%\AppData\Local\Temp\OnboardLogs" /stypes="app*4030*20170222*" /stext=" 06:.+((SYSTEM_STATE.+slice.+state.+changed )|(ment ac)|(multiple cpu faults)|(system.+state.+changed )|(\[timeout)|(PRM\|1\|D)|(kpr)|(kdp)|(\|lc)|(penalty))" /e /r /s</v>
      </c>
      <c r="AG147" s="1" t="str">
        <f t="shared" si="66"/>
        <v>EC</v>
      </c>
      <c r="AH147" s="86" t="str">
        <f t="shared" si="67"/>
        <v>"%USERPROFILE%\Documents\GitHub\eaglep3\Utilities\RefineRTDCRunTimes.py" --tripid 232-21 --locoid 4030 --swversion DE.1.0.9.0 --startMP 204:232983 --initTime 2017-02-21T22:22:25 --startdatetime 2017-02-21T22:26:22 --delay 2 --endMP 204:156 --enddatetime 2017-02-21T23:07:02 --enforcementcount 0 &gt;&gt;C:\Users\stu\Documents\GitHub\eaglep3-reporting\EC\2017-02-21-refined-times.txt</v>
      </c>
      <c r="AI147" s="108" t="str">
        <f t="shared" si="68"/>
        <v>echo {"issue":{"subject":"","project_id":79,"tracker_id":40,"status_id":1,"priority_id":2,"assigned_to_id":23,"start_date":"2017-02-21","description":"","custom_fields":[{"id":1,"name":"Subdivision","value":"EC"},{"id":4,"name":"Milepost","value":"0.0156"},{"id":17,"name":"Train ID","value":"232-21"},{"id":16,"name":"Locomotive ID","value":"4030"},{"id":130,"name":"Impact","value":""},{"id":150,"name":"Time of Event (Mountain Time)","value":"23:07:02"},{"id":151,"name":"Denver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69"/>
        <v>start /low /b %USERPROFILE%\Documents\GitHub\eaglep3\Utilities\DownloadLogsFromS3.py --loco 4030 --day 2017-02-21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"%USERPROFILE%\AppData\Local\Temp\OnboardLogs"\RTDC4030\*4030*20170222* | grep -SE "(Enforcement Action)|(\[TIMEOUT)|(CHR.+\|PRM\|1\|D.+(SWITCH|SIGNAL).+UNKNOWN)" - &gt;&gt; 2017-02-21-UncaughtWiMAX.txt</v>
      </c>
    </row>
    <row r="148" spans="1:91" x14ac:dyDescent="0.25">
      <c r="A148" s="33" t="s">
        <v>672</v>
      </c>
      <c r="B148" s="7">
        <v>4051</v>
      </c>
      <c r="C148" s="21" t="s">
        <v>359</v>
      </c>
      <c r="D148" s="21" t="s">
        <v>333</v>
      </c>
      <c r="E148" s="13">
        <v>42787.908032407409</v>
      </c>
      <c r="F148" s="13">
        <v>42787.917083333334</v>
      </c>
      <c r="G148" s="7">
        <v>2</v>
      </c>
      <c r="H148" s="21" t="s">
        <v>434</v>
      </c>
      <c r="I148" s="13">
        <v>42787.942407407405</v>
      </c>
      <c r="J148" s="7">
        <v>0</v>
      </c>
      <c r="K148" s="98" t="str">
        <f t="shared" si="57"/>
        <v>4051/4052</v>
      </c>
      <c r="L148" s="21" t="str">
        <f>VLOOKUP(A148,'Trips&amp;Operators'!$C$1:$G$99999,5,FALSE)</f>
        <v>STORY SAMANTHA</v>
      </c>
      <c r="M148" s="6">
        <f t="shared" si="58"/>
        <v>2.5324074071249925E-2</v>
      </c>
      <c r="N148" s="7">
        <f t="shared" si="56"/>
        <v>36.466666662599891</v>
      </c>
      <c r="O148" s="7"/>
      <c r="P148" s="7"/>
      <c r="Q148" s="22"/>
      <c r="R148" s="22"/>
      <c r="S148" s="31">
        <f t="shared" si="55"/>
        <v>1</v>
      </c>
      <c r="T148" s="46" t="str">
        <f t="shared" si="59"/>
        <v>NorthBound</v>
      </c>
      <c r="U148" s="193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4" t="str">
        <f t="shared" si="60"/>
        <v>https://d0f6bd738d7f1b3e5a7ca70fe4ff75f0.us-east-1.aws.found.io/app/kibana#/discover/Steve-Slow-Train-Analysis-(2080s-and-2083s)?_g=(refreshInterval:(display:Off,pause:!f,section:0,value:0),time:(from:'2017-02-21T20:47:34-0700',mode:absolute,to:'2017-02-21T23:37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8" s="195" t="str">
        <f t="shared" si="61"/>
        <v>N</v>
      </c>
      <c r="X148" s="195">
        <f t="shared" si="54"/>
        <v>1</v>
      </c>
      <c r="Y148" s="62">
        <f t="shared" si="70"/>
        <v>4.6600000000000003E-2</v>
      </c>
      <c r="Z148" s="62">
        <f t="shared" si="71"/>
        <v>23.331499999999998</v>
      </c>
      <c r="AA148" s="62">
        <f t="shared" si="62"/>
        <v>23.284899999999997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63"/>
        <v>0233-21</v>
      </c>
      <c r="AE148" s="85" t="str">
        <f t="shared" si="64"/>
        <v>aws s3 cp s3://rtdc.mdm.uploadarchive.raw/RTDC4051/ "%USERPROFILE%\AppData\Local\Temp\OnboardLogs"\RTDC4051\2017-02-21 --exclude "*" --recursive --include "*20170221*" &amp; "%USERPROFILE%\Documents\GitHub\mrs-test-scripts\Headless Mode &amp; Sideloading\WalkAndUnGZ.bat" "%USERPROFILE%\AppData\Local\Temp\OnboardLogs"\RTDC4051\2017-02-21 &amp; aws s3 cp s3://rtdc.mdm.uploadarchive.raw/RTDC4051/ "%USERPROFILE%\AppData\Local\Temp\OnboardLogs"\RTDC4051\2017-02-22 --exclude "*" --recursive --include "*20170222*" &amp; "%USERPROFILE%\Documents\GitHub\mrs-test-scripts\Headless Mode &amp; Sideloading\WalkAndUnGZ.bat" "%USERPROFILE%\AppData\Local\Temp\OnboardLogs"\RTDC4051\2017-02-22</v>
      </c>
      <c r="AF148" s="82" t="str">
        <f t="shared" si="65"/>
        <v>"C:\Program Files (x86)\AstroGrep\AstroGrep.exe" /spath="%USERPROFILE%\AppData\Local\Temp\OnboardLogs" /stypes="app*4051*20170222*" /stext=" 05:.+((SYSTEM_STATE.+slice.+state.+changed )|(ment ac)|(multiple cpu faults)|(system.+state.+changed )|(\[timeout)|(PRM\|1\|D)|(kpr)|(kdp)|(\|lc)|(penalty))" /e /r /s</v>
      </c>
      <c r="AG148" s="1" t="str">
        <f t="shared" si="66"/>
        <v>EC</v>
      </c>
      <c r="AH148" s="86" t="str">
        <f t="shared" si="67"/>
        <v>"%USERPROFILE%\Documents\GitHub\eaglep3\Utilities\RefineRTDCRunTimes.py" --tripid 233-21 --locoid 4051 --swversion DE.1.0.9.0 --startMP 204:466 --initTime 2017-02-21T21:47:34 --startdatetime 2017-02-21T22:00:36 --delay 2 --endMP 204:233315 --enddatetime 2017-02-21T22:37:04 --enforcementcount 0 &gt;&gt;C:\Users\stu\Documents\GitHub\eaglep3-reporting\EC\2017-02-21-refined-times.txt</v>
      </c>
      <c r="AI148" s="108" t="str">
        <f t="shared" si="68"/>
        <v>echo {"issue":{"subject":"","project_id":79,"tracker_id":40,"status_id":1,"priority_id":2,"assigned_to_id":23,"start_date":"2017-02-21","description":"","custom_fields":[{"id":1,"name":"Subdivision","value":"EC"},{"id":4,"name":"Milepost","value":"23.3315"},{"id":17,"name":"Train ID","value":"233-21"},{"id":16,"name":"Locomotive ID","value":"4051"},{"id":130,"name":"Impact","value":""},{"id":150,"name":"Time of Event (Mountain Time)","value":"22:37:04"},{"id":151,"name":"Denver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69"/>
        <v>start /low /b %USERPROFILE%\Documents\GitHub\eaglep3\Utilities\DownloadLogsFromS3.py --loco 4051 --day 2017-02-21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"%USERPROFILE%\AppData\Local\Temp\OnboardLogs"\RTDC4051\*4051*20170222* | grep -SE "(Enforcement Action)|(\[TIMEOUT)|(CHR.+\|PRM\|1\|D.+(SWITCH|SIGNAL).+UNKNOWN)" - &gt;&gt; 2017-02-21-UncaughtWiMAX.txt</v>
      </c>
    </row>
    <row r="149" spans="1:91" x14ac:dyDescent="0.25">
      <c r="A149" s="33" t="s">
        <v>495</v>
      </c>
      <c r="B149" s="7">
        <v>4052</v>
      </c>
      <c r="C149" s="21" t="s">
        <v>359</v>
      </c>
      <c r="D149" s="21" t="s">
        <v>260</v>
      </c>
      <c r="E149" s="13">
        <v>42787.946238425924</v>
      </c>
      <c r="F149" s="13">
        <v>42787.955868055556</v>
      </c>
      <c r="G149" s="7">
        <v>3</v>
      </c>
      <c r="H149" s="21" t="s">
        <v>196</v>
      </c>
      <c r="I149" s="13">
        <v>42787.983923611115</v>
      </c>
      <c r="J149" s="7">
        <v>0</v>
      </c>
      <c r="K149" s="98" t="str">
        <f t="shared" si="57"/>
        <v>4051/4052</v>
      </c>
      <c r="L149" s="21" t="str">
        <f>VLOOKUP(A149,'Trips&amp;Operators'!$C$1:$G$99999,5,FALSE)</f>
        <v>STORY SAMANTHA</v>
      </c>
      <c r="M149" s="6">
        <f t="shared" si="58"/>
        <v>2.8055555558239575E-2</v>
      </c>
      <c r="N149" s="7">
        <f t="shared" si="56"/>
        <v>40.400000003864989</v>
      </c>
      <c r="O149" s="7"/>
      <c r="P149" s="7"/>
      <c r="Q149" s="22"/>
      <c r="R149" s="22"/>
      <c r="S149" s="31">
        <f t="shared" si="55"/>
        <v>1</v>
      </c>
      <c r="T149" s="46" t="str">
        <f t="shared" si="59"/>
        <v>Southbound</v>
      </c>
      <c r="U149" s="193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4" t="str">
        <f t="shared" si="60"/>
        <v>https://d0f6bd738d7f1b3e5a7ca70fe4ff75f0.us-east-1.aws.found.io/app/kibana#/discover/Steve-Slow-Train-Analysis-(2080s-and-2083s)?_g=(refreshInterval:(display:Off,pause:!f,section:0,value:0),time:(from:'2017-02-21T21:42:35-0700',mode:absolute,to:'2017-02-22T00:36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9" s="195" t="str">
        <f t="shared" si="61"/>
        <v>N</v>
      </c>
      <c r="X149" s="195">
        <f t="shared" si="54"/>
        <v>1</v>
      </c>
      <c r="Y149" s="62">
        <f t="shared" si="70"/>
        <v>23.299299999999999</v>
      </c>
      <c r="Z149" s="62">
        <f t="shared" si="71"/>
        <v>1.4500000000000001E-2</v>
      </c>
      <c r="AA149" s="62">
        <f t="shared" si="62"/>
        <v>23.284799999999997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63"/>
        <v>0234-21</v>
      </c>
      <c r="AE149" s="85" t="str">
        <f t="shared" si="64"/>
        <v>aws s3 cp s3://rtdc.mdm.uploadarchive.raw/RTDC4052/ "%USERPROFILE%\AppData\Local\Temp\OnboardLogs"\RTDC4052\2017-02-21 --exclude "*" --recursive --include "*20170221*" &amp; "%USERPROFILE%\Documents\GitHub\mrs-test-scripts\Headless Mode &amp; Sideloading\WalkAndUnGZ.bat" "%USERPROFILE%\AppData\Local\Temp\OnboardLogs"\RTDC4052\2017-02-21 &amp; aws s3 cp s3://rtdc.mdm.uploadarchive.raw/RTDC4052/ "%USERPROFILE%\AppData\Local\Temp\OnboardLogs"\RTDC4052\2017-02-22 --exclude "*" --recursive --include "*20170222*" &amp; "%USERPROFILE%\Documents\GitHub\mrs-test-scripts\Headless Mode &amp; Sideloading\WalkAndUnGZ.bat" "%USERPROFILE%\AppData\Local\Temp\OnboardLogs"\RTDC4052\2017-02-22</v>
      </c>
      <c r="AF149" s="82" t="str">
        <f t="shared" si="65"/>
        <v>"C:\Program Files (x86)\AstroGrep\AstroGrep.exe" /spath="%USERPROFILE%\AppData\Local\Temp\OnboardLogs" /stypes="app*4052*20170222*" /stext=" 06:.+((SYSTEM_STATE.+slice.+state.+changed )|(ment ac)|(multiple cpu faults)|(system.+state.+changed )|(\[timeout)|(PRM\|1\|D)|(kpr)|(kdp)|(\|lc)|(penalty))" /e /r /s</v>
      </c>
      <c r="AG149" s="1" t="str">
        <f t="shared" si="66"/>
        <v>EC</v>
      </c>
      <c r="AH149" s="86" t="str">
        <f t="shared" si="67"/>
        <v>"%USERPROFILE%\Documents\GitHub\eaglep3\Utilities\RefineRTDCRunTimes.py" --tripid 234-21 --locoid 4052 --swversion DE.1.0.9.0 --startMP 204:232993 --initTime 2017-02-21T22:42:35 --startdatetime 2017-02-21T22:56:27 --delay 3 --endMP 204:145 --enddatetime 2017-02-21T23:36:51 --enforcementcount 0 &gt;&gt;C:\Users\stu\Documents\GitHub\eaglep3-reporting\EC\2017-02-21-refined-times.txt</v>
      </c>
      <c r="AI149" s="108" t="str">
        <f t="shared" si="68"/>
        <v>echo {"issue":{"subject":"","project_id":79,"tracker_id":40,"status_id":1,"priority_id":2,"assigned_to_id":23,"start_date":"2017-02-21","description":"","custom_fields":[{"id":1,"name":"Subdivision","value":"EC"},{"id":4,"name":"Milepost","value":"0.0145"},{"id":17,"name":"Train ID","value":"234-21"},{"id":16,"name":"Locomotive ID","value":"4052"},{"id":130,"name":"Impact","value":""},{"id":150,"name":"Time of Event (Mountain Time)","value":"23:36:51"},{"id":151,"name":"Denver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69"/>
        <v>start /low /b %USERPROFILE%\Documents\GitHub\eaglep3\Utilities\DownloadLogsFromS3.py --loco 4052 --day 2017-02-21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"%USERPROFILE%\AppData\Local\Temp\OnboardLogs"\RTDC4052\*4052*20170222* | grep -SE "(Enforcement Action)|(\[TIMEOUT)|(CHR.+\|PRM\|1\|D.+(SWITCH|SIGNAL).+UNKNOWN)" - &gt;&gt; 2017-02-21-UncaughtWiMAX.txt</v>
      </c>
    </row>
    <row r="150" spans="1:91" x14ac:dyDescent="0.25">
      <c r="A150" s="33" t="s">
        <v>674</v>
      </c>
      <c r="B150" s="7">
        <v>4003</v>
      </c>
      <c r="C150" s="21" t="s">
        <v>359</v>
      </c>
      <c r="D150" s="21" t="s">
        <v>299</v>
      </c>
      <c r="E150" s="13">
        <v>42787.922581018516</v>
      </c>
      <c r="F150" s="13">
        <v>42787.937789351854</v>
      </c>
      <c r="G150" s="7">
        <v>1</v>
      </c>
      <c r="H150" s="21" t="s">
        <v>287</v>
      </c>
      <c r="I150" s="13">
        <v>42787.962245370371</v>
      </c>
      <c r="J150" s="7">
        <v>0</v>
      </c>
      <c r="K150" s="98" t="str">
        <f t="shared" si="57"/>
        <v>4003/4004</v>
      </c>
      <c r="L150" s="21" t="str">
        <f>VLOOKUP(A150,'Trips&amp;Operators'!$C$1:$G$99999,5,FALSE)</f>
        <v>STAMBAUGH JAMES</v>
      </c>
      <c r="M150" s="6">
        <f t="shared" si="58"/>
        <v>2.4456018516502809E-2</v>
      </c>
      <c r="N150" s="7">
        <f t="shared" si="56"/>
        <v>35.216666663764045</v>
      </c>
      <c r="O150" s="7"/>
      <c r="P150" s="7"/>
      <c r="Q150" s="22"/>
      <c r="R150" s="22"/>
      <c r="S150" s="31">
        <f t="shared" si="55"/>
        <v>1</v>
      </c>
      <c r="T150" s="46" t="str">
        <f t="shared" si="59"/>
        <v>NorthBound</v>
      </c>
      <c r="U150" s="193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4" t="str">
        <f t="shared" si="60"/>
        <v>https://d0f6bd738d7f1b3e5a7ca70fe4ff75f0.us-east-1.aws.found.io/app/kibana#/discover/Steve-Slow-Train-Analysis-(2080s-and-2083s)?_g=(refreshInterval:(display:Off,pause:!f,section:0,value:0),time:(from:'2017-02-21T21:08:31-0700',mode:absolute,to:'2017-02-22T00:05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0" s="195" t="str">
        <f t="shared" si="61"/>
        <v>N</v>
      </c>
      <c r="X150" s="195">
        <f t="shared" si="54"/>
        <v>1</v>
      </c>
      <c r="Y150" s="62">
        <f t="shared" si="70"/>
        <v>4.7100000000000003E-2</v>
      </c>
      <c r="Z150" s="62">
        <f t="shared" si="71"/>
        <v>23.331</v>
      </c>
      <c r="AA150" s="62">
        <f t="shared" si="62"/>
        <v>23.283899999999999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63"/>
        <v>0235-21</v>
      </c>
      <c r="AE150" s="85" t="str">
        <f t="shared" si="64"/>
        <v>aws s3 cp s3://rtdc.mdm.uploadarchive.raw/RTDC4003/ "%USERPROFILE%\AppData\Local\Temp\OnboardLogs"\RTDC4003\2017-02-21 --exclude "*" --recursive --include "*20170221*" &amp; "%USERPROFILE%\Documents\GitHub\mrs-test-scripts\Headless Mode &amp; Sideloading\WalkAndUnGZ.bat" "%USERPROFILE%\AppData\Local\Temp\OnboardLogs"\RTDC4003\2017-02-21 &amp; aws s3 cp s3://rtdc.mdm.uploadarchive.raw/RTDC4003/ "%USERPROFILE%\AppData\Local\Temp\OnboardLogs"\RTDC4003\2017-02-22 --exclude "*" --recursive --include "*20170222*" &amp; "%USERPROFILE%\Documents\GitHub\mrs-test-scripts\Headless Mode &amp; Sideloading\WalkAndUnGZ.bat" "%USERPROFILE%\AppData\Local\Temp\OnboardLogs"\RTDC4003\2017-02-22</v>
      </c>
      <c r="AF150" s="82" t="str">
        <f t="shared" si="65"/>
        <v>"C:\Program Files (x86)\AstroGrep\AstroGrep.exe" /spath="%USERPROFILE%\AppData\Local\Temp\OnboardLogs" /stypes="app*4003*20170222*" /stext=" 06:.+((SYSTEM_STATE.+slice.+state.+changed )|(ment ac)|(multiple cpu faults)|(system.+state.+changed )|(\[timeout)|(PRM\|1\|D)|(kpr)|(kdp)|(\|lc)|(penalty))" /e /r /s</v>
      </c>
      <c r="AG150" s="1" t="str">
        <f t="shared" si="66"/>
        <v>EC</v>
      </c>
      <c r="AH150" s="86" t="str">
        <f t="shared" si="67"/>
        <v>"%USERPROFILE%\Documents\GitHub\eaglep3\Utilities\RefineRTDCRunTimes.py" --tripid 235-21 --locoid 4003 --swversion DE.1.0.9.0 --startMP 204:471 --initTime 2017-02-21T22:08:31 --startdatetime 2017-02-21T22:30:25 --delay 1 --endMP 204:233310 --enddatetime 2017-02-21T23:05:38 --enforcementcount 0 &gt;&gt;C:\Users\stu\Documents\GitHub\eaglep3-reporting\EC\2017-02-21-refined-times.txt</v>
      </c>
      <c r="AI150" s="108" t="str">
        <f t="shared" si="68"/>
        <v>echo {"issue":{"subject":"","project_id":79,"tracker_id":40,"status_id":1,"priority_id":2,"assigned_to_id":23,"start_date":"2017-02-21","description":"","custom_fields":[{"id":1,"name":"Subdivision","value":"EC"},{"id":4,"name":"Milepost","value":"23.331"},{"id":17,"name":"Train ID","value":"235-21"},{"id":16,"name":"Locomotive ID","value":"4003"},{"id":130,"name":"Impact","value":""},{"id":150,"name":"Time of Event (Mountain Time)","value":"23:05:38"},{"id":151,"name":"Denver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69"/>
        <v>start /low /b %USERPROFILE%\Documents\GitHub\eaglep3\Utilities\DownloadLogsFromS3.py --loco 4003 --day 2017-02-21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"%USERPROFILE%\AppData\Local\Temp\OnboardLogs"\RTDC4003\*4003*20170222* | grep -SE "(Enforcement Action)|(\[TIMEOUT)|(CHR.+\|PRM\|1\|D.+(SWITCH|SIGNAL).+UNKNOWN)" - &gt;&gt; 2017-02-21-UncaughtWiMAX.txt</v>
      </c>
    </row>
    <row r="151" spans="1:91" x14ac:dyDescent="0.25">
      <c r="A151" s="33" t="s">
        <v>677</v>
      </c>
      <c r="B151" s="7">
        <v>4004</v>
      </c>
      <c r="C151" s="21" t="s">
        <v>359</v>
      </c>
      <c r="D151" s="21" t="s">
        <v>263</v>
      </c>
      <c r="E151" s="13">
        <v>42787.97583333333</v>
      </c>
      <c r="F151" s="13">
        <v>42787.977083333331</v>
      </c>
      <c r="G151" s="7">
        <v>1</v>
      </c>
      <c r="H151" s="21" t="s">
        <v>419</v>
      </c>
      <c r="I151" s="13">
        <v>42788.003368055557</v>
      </c>
      <c r="J151" s="7">
        <v>0</v>
      </c>
      <c r="K151" s="98" t="str">
        <f t="shared" si="57"/>
        <v>4003/4004</v>
      </c>
      <c r="L151" s="21" t="str">
        <f>VLOOKUP(A151,'Trips&amp;Operators'!$C$1:$G$99999,5,FALSE)</f>
        <v>STAMBAUGH JAMES</v>
      </c>
      <c r="M151" s="6">
        <f t="shared" si="58"/>
        <v>2.6284722225682344E-2</v>
      </c>
      <c r="N151" s="7">
        <f t="shared" si="56"/>
        <v>37.850000004982576</v>
      </c>
      <c r="O151" s="7"/>
      <c r="P151" s="7"/>
      <c r="Q151" s="22"/>
      <c r="R151" s="22"/>
      <c r="S151" s="31">
        <f t="shared" si="55"/>
        <v>1</v>
      </c>
      <c r="T151" s="46" t="str">
        <f t="shared" si="59"/>
        <v>Southbound</v>
      </c>
      <c r="U151" s="193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4" t="str">
        <f t="shared" si="60"/>
        <v>https://d0f6bd738d7f1b3e5a7ca70fe4ff75f0.us-east-1.aws.found.io/app/kibana#/discover/Steve-Slow-Train-Analysis-(2080s-and-2083s)?_g=(refreshInterval:(display:Off,pause:!f,section:0,value:0),time:(from:'2017-02-21T22:25:12-0700',mode:absolute,to:'2017-02-22T01:04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1" s="195" t="str">
        <f t="shared" si="61"/>
        <v>N</v>
      </c>
      <c r="X151" s="195">
        <f t="shared" si="54"/>
        <v>1</v>
      </c>
      <c r="Y151" s="62">
        <f t="shared" si="70"/>
        <v>23.299099999999999</v>
      </c>
      <c r="Z151" s="62">
        <f t="shared" si="71"/>
        <v>1.6899999999999998E-2</v>
      </c>
      <c r="AA151" s="62">
        <f t="shared" si="62"/>
        <v>23.2822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63"/>
        <v>0236-21</v>
      </c>
      <c r="AE151" s="85" t="str">
        <f t="shared" si="64"/>
        <v>aws s3 cp s3://rtdc.mdm.uploadarchive.raw/RTDC4004/ "%USERPROFILE%\AppData\Local\Temp\OnboardLogs"\RTDC4004\2017-02-21 --exclude "*" --recursive --include "*20170221*" &amp; "%USERPROFILE%\Documents\GitHub\mrs-test-scripts\Headless Mode &amp; Sideloading\WalkAndUnGZ.bat" "%USERPROFILE%\AppData\Local\Temp\OnboardLogs"\RTDC4004\2017-02-21 &amp; aws s3 cp s3://rtdc.mdm.uploadarchive.raw/RTDC4004/ "%USERPROFILE%\AppData\Local\Temp\OnboardLogs"\RTDC4004\2017-02-22 --exclude "*" --recursive --include "*20170222*" &amp; "%USERPROFILE%\Documents\GitHub\mrs-test-scripts\Headless Mode &amp; Sideloading\WalkAndUnGZ.bat" "%USERPROFILE%\AppData\Local\Temp\OnboardLogs"\RTDC4004\2017-02-22</v>
      </c>
      <c r="AF151" s="82" t="str">
        <f t="shared" si="65"/>
        <v>"C:\Program Files (x86)\AstroGrep\AstroGrep.exe" /spath="%USERPROFILE%\AppData\Local\Temp\OnboardLogs" /stypes="app*4004*20170222*" /stext=" 07:.+((SYSTEM_STATE.+slice.+state.+changed )|(ment ac)|(multiple cpu faults)|(system.+state.+changed )|(\[timeout)|(PRM\|1\|D)|(kpr)|(kdp)|(\|lc)|(penalty))" /e /r /s</v>
      </c>
      <c r="AG151" s="1" t="str">
        <f t="shared" si="66"/>
        <v>EC</v>
      </c>
      <c r="AH151" s="86" t="str">
        <f t="shared" si="67"/>
        <v>"%USERPROFILE%\Documents\GitHub\eaglep3\Utilities\RefineRTDCRunTimes.py" --tripid 236-21 --locoid 4004 --swversion DE.1.0.9.0 --startMP 204:232991 --initTime 2017-02-21T23:25:12 --startdatetime 2017-02-21T23:27:00 --delay 1 --endMP 204:169 --enddatetime 2017-02-22T00:04:51 --enforcementcount 0 &gt;&gt;C:\Users\stu\Documents\GitHub\eaglep3-reporting\EC\2017-02-21-refined-times.txt</v>
      </c>
      <c r="AI151" s="108" t="str">
        <f t="shared" si="68"/>
        <v>echo {"issue":{"subject":"","project_id":79,"tracker_id":40,"status_id":1,"priority_id":2,"assigned_to_id":23,"start_date":"2017-02-22","description":"","custom_fields":[{"id":1,"name":"Subdivision","value":"EC"},{"id":4,"name":"Milepost","value":"0.0169"},{"id":17,"name":"Train ID","value":"236-21"},{"id":16,"name":"Locomotive ID","value":"4004"},{"id":130,"name":"Impact","value":""},{"id":150,"name":"Time of Event (Mountain Time)","value":"00:04:51"},{"id":151,"name":"Denver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69"/>
        <v>start /low /b %USERPROFILE%\Documents\GitHub\eaglep3\Utilities\DownloadLogsFromS3.py --loco 4004 --day 2017-02-21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"%USERPROFILE%\AppData\Local\Temp\OnboardLogs"\RTDC4004\*4004*20170222* | grep -SE "(Enforcement Action)|(\[TIMEOUT)|(CHR.+\|PRM\|1\|D.+(SWITCH|SIGNAL).+UNKNOWN)" - &gt;&gt; 2017-02-21-UncaughtWiMAX.txt</v>
      </c>
    </row>
    <row r="152" spans="1:91" x14ac:dyDescent="0.25">
      <c r="A152" s="33" t="s">
        <v>493</v>
      </c>
      <c r="B152" s="7">
        <v>4025</v>
      </c>
      <c r="C152" s="21" t="s">
        <v>359</v>
      </c>
      <c r="D152" s="21" t="s">
        <v>266</v>
      </c>
      <c r="E152" s="13">
        <v>42787.957812499997</v>
      </c>
      <c r="F152" s="13">
        <v>42787.958969907406</v>
      </c>
      <c r="G152" s="7">
        <v>1</v>
      </c>
      <c r="H152" s="21" t="s">
        <v>297</v>
      </c>
      <c r="I152" s="13">
        <v>42787.984398148146</v>
      </c>
      <c r="J152" s="7">
        <v>0</v>
      </c>
      <c r="K152" s="98" t="str">
        <f t="shared" si="57"/>
        <v>4025/4026</v>
      </c>
      <c r="L152" s="21" t="str">
        <f>VLOOKUP(A152,'Trips&amp;Operators'!$C$1:$G$99999,5,FALSE)</f>
        <v>CHANDLER KELVIN</v>
      </c>
      <c r="M152" s="6">
        <f t="shared" si="58"/>
        <v>2.5428240740438923E-2</v>
      </c>
      <c r="N152" s="7">
        <f t="shared" si="56"/>
        <v>36.616666666232049</v>
      </c>
      <c r="O152" s="7"/>
      <c r="P152" s="7"/>
      <c r="Q152" s="22"/>
      <c r="R152" s="22"/>
      <c r="S152" s="31">
        <f t="shared" si="55"/>
        <v>1</v>
      </c>
      <c r="T152" s="46" t="str">
        <f t="shared" si="59"/>
        <v>NorthBound</v>
      </c>
      <c r="U152" s="193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4" t="str">
        <f t="shared" si="60"/>
        <v>https://d0f6bd738d7f1b3e5a7ca70fe4ff75f0.us-east-1.aws.found.io/app/kibana#/discover/Steve-Slow-Train-Analysis-(2080s-and-2083s)?_g=(refreshInterval:(display:Off,pause:!f,section:0,value:0),time:(from:'2017-02-21T21:59:15-0700',mode:absolute,to:'2017-02-22T00:37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2" s="195" t="str">
        <f t="shared" si="61"/>
        <v>N</v>
      </c>
      <c r="X152" s="195">
        <f t="shared" si="54"/>
        <v>1</v>
      </c>
      <c r="Y152" s="62">
        <f t="shared" si="70"/>
        <v>4.6399999999999997E-2</v>
      </c>
      <c r="Z152" s="62">
        <f t="shared" si="71"/>
        <v>23.3278</v>
      </c>
      <c r="AA152" s="62">
        <f t="shared" si="62"/>
        <v>23.281400000000001</v>
      </c>
      <c r="AB152" s="59" t="str">
        <f>VLOOKUP(A152,Enforcements!$C$7:$K$13,8,0)</f>
        <v>Bulletin (2)</v>
      </c>
      <c r="AC152" s="55" t="str">
        <f>VLOOKUP(A152,Enforcements!$C$7:$E$13,3,0)</f>
        <v>GRADE CROSSING</v>
      </c>
      <c r="AD152" s="56" t="str">
        <f t="shared" si="63"/>
        <v>0237-21</v>
      </c>
      <c r="AE152" s="85" t="str">
        <f t="shared" si="64"/>
        <v>aws s3 cp s3://rtdc.mdm.uploadarchive.raw/RTDC4025/ "%USERPROFILE%\AppData\Local\Temp\OnboardLogs"\RTDC4025\2017-02-21 --exclude "*" --recursive --include "*20170221*" &amp; "%USERPROFILE%\Documents\GitHub\mrs-test-scripts\Headless Mode &amp; Sideloading\WalkAndUnGZ.bat" "%USERPROFILE%\AppData\Local\Temp\OnboardLogs"\RTDC4025\2017-02-21 &amp; aws s3 cp s3://rtdc.mdm.uploadarchive.raw/RTDC4025/ "%USERPROFILE%\AppData\Local\Temp\OnboardLogs"\RTDC4025\2017-02-22 --exclude "*" --recursive --include "*20170222*" &amp; "%USERPROFILE%\Documents\GitHub\mrs-test-scripts\Headless Mode &amp; Sideloading\WalkAndUnGZ.bat" "%USERPROFILE%\AppData\Local\Temp\OnboardLogs"\RTDC4025\2017-02-22</v>
      </c>
      <c r="AF152" s="82" t="str">
        <f t="shared" si="65"/>
        <v>"C:\Program Files (x86)\AstroGrep\AstroGrep.exe" /spath="%USERPROFILE%\AppData\Local\Temp\OnboardLogs" /stypes="app*4025*20170222*" /stext=" 06:.+((SYSTEM_STATE.+slice.+state.+changed )|(ment ac)|(multiple cpu faults)|(system.+state.+changed )|(\[timeout)|(PRM\|1\|D)|(kpr)|(kdp)|(\|lc)|(penalty))" /e /r /s</v>
      </c>
      <c r="AG152" s="1" t="str">
        <f t="shared" si="66"/>
        <v>EC</v>
      </c>
      <c r="AH152" s="86" t="str">
        <f t="shared" si="67"/>
        <v>"%USERPROFILE%\Documents\GitHub\eaglep3\Utilities\RefineRTDCRunTimes.py" --tripid 237-21 --locoid 4025 --swversion DE.1.0.9.0 --startMP 204:464 --initTime 2017-02-21T22:59:15 --startdatetime 2017-02-21T23:00:55 --delay 1 --endMP 204:233278 --enddatetime 2017-02-21T23:37:32 --enforcementcount 0 &gt;&gt;C:\Users\stu\Documents\GitHub\eaglep3-reporting\EC\2017-02-21-refined-times.txt</v>
      </c>
      <c r="AI152" s="108" t="str">
        <f t="shared" si="68"/>
        <v>echo {"issue":{"subject":"","project_id":79,"tracker_id":40,"status_id":1,"priority_id":2,"assigned_to_id":23,"start_date":"2017-02-21","description":"","custom_fields":[{"id":1,"name":"Subdivision","value":"EC"},{"id":4,"name":"Milepost","value":"23.3278"},{"id":17,"name":"Train ID","value":"237-21"},{"id":16,"name":"Locomotive ID","value":"4025"},{"id":130,"name":"Impact","value":""},{"id":150,"name":"Time of Event (Mountain Time)","value":"23:37:32"},{"id":151,"name":"Denver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69"/>
        <v>start /low /b %USERPROFILE%\Documents\GitHub\eaglep3\Utilities\DownloadLogsFromS3.py --loco 4025 --day 2017-02-21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"%USERPROFILE%\AppData\Local\Temp\OnboardLogs"\RTDC4025\*4025*20170222* | grep -SE "(Enforcement Action)|(\[TIMEOUT)|(CHR.+\|PRM\|1\|D.+(SWITCH|SIGNAL).+UNKNOWN)" - &gt;&gt; 2017-02-21-UncaughtWiMAX.txt</v>
      </c>
    </row>
    <row r="153" spans="1:91" x14ac:dyDescent="0.25">
      <c r="A153" s="33" t="s">
        <v>496</v>
      </c>
      <c r="B153" s="7">
        <v>4026</v>
      </c>
      <c r="C153" s="21" t="s">
        <v>359</v>
      </c>
      <c r="D153" s="21" t="s">
        <v>755</v>
      </c>
      <c r="E153" s="13">
        <v>42787.995648148149</v>
      </c>
      <c r="F153" s="13">
        <v>42787.997488425928</v>
      </c>
      <c r="G153" s="7">
        <v>1</v>
      </c>
      <c r="H153" s="21" t="s">
        <v>430</v>
      </c>
      <c r="I153" s="13">
        <v>42788.025567129633</v>
      </c>
      <c r="J153" s="7">
        <v>0</v>
      </c>
      <c r="K153" s="98" t="str">
        <f t="shared" si="57"/>
        <v>4025/4026</v>
      </c>
      <c r="L153" s="21" t="str">
        <f>VLOOKUP(A153,'Trips&amp;Operators'!$C$1:$G$99999,5,FALSE)</f>
        <v>CHANDLER KELVIN</v>
      </c>
      <c r="M153" s="6">
        <f t="shared" si="58"/>
        <v>2.8078703704522923E-2</v>
      </c>
      <c r="N153" s="7">
        <f t="shared" si="56"/>
        <v>40.433333334513009</v>
      </c>
      <c r="O153" s="7"/>
      <c r="P153" s="7"/>
      <c r="Q153" s="22"/>
      <c r="R153" s="22"/>
      <c r="S153" s="31">
        <f t="shared" si="55"/>
        <v>1</v>
      </c>
      <c r="T153" s="46" t="str">
        <f t="shared" si="59"/>
        <v>Southbound</v>
      </c>
      <c r="U153" s="193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4" t="str">
        <f t="shared" si="60"/>
        <v>https://d0f6bd738d7f1b3e5a7ca70fe4ff75f0.us-east-1.aws.found.io/app/kibana#/discover/Steve-Slow-Train-Analysis-(2080s-and-2083s)?_g=(refreshInterval:(display:Off,pause:!f,section:0,value:0),time:(from:'2017-02-21T22:53:44-0700',mode:absolute,to:'2017-02-22T01:36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3" s="195" t="str">
        <f t="shared" si="61"/>
        <v>N</v>
      </c>
      <c r="X153" s="195">
        <f t="shared" si="54"/>
        <v>1</v>
      </c>
      <c r="Y153" s="62">
        <f t="shared" si="70"/>
        <v>23.295500000000001</v>
      </c>
      <c r="Z153" s="62">
        <f t="shared" si="71"/>
        <v>1.8100000000000002E-2</v>
      </c>
      <c r="AA153" s="62">
        <f t="shared" si="62"/>
        <v>23.2774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63"/>
        <v>0238-21</v>
      </c>
      <c r="AE153" s="85" t="str">
        <f t="shared" si="64"/>
        <v>aws s3 cp s3://rtdc.mdm.uploadarchive.raw/RTDC4026/ "%USERPROFILE%\AppData\Local\Temp\OnboardLogs"\RTDC4026\2017-02-21 --exclude "*" --recursive --include "*20170221*" &amp; "%USERPROFILE%\Documents\GitHub\mrs-test-scripts\Headless Mode &amp; Sideloading\WalkAndUnGZ.bat" "%USERPROFILE%\AppData\Local\Temp\OnboardLogs"\RTDC4026\2017-02-21 &amp; aws s3 cp s3://rtdc.mdm.uploadarchive.raw/RTDC4026/ "%USERPROFILE%\AppData\Local\Temp\OnboardLogs"\RTDC4026\2017-02-22 --exclude "*" --recursive --include "*20170222*" &amp; "%USERPROFILE%\Documents\GitHub\mrs-test-scripts\Headless Mode &amp; Sideloading\WalkAndUnGZ.bat" "%USERPROFILE%\AppData\Local\Temp\OnboardLogs"\RTDC4026\2017-02-22</v>
      </c>
      <c r="AF153" s="82" t="str">
        <f t="shared" si="65"/>
        <v>"C:\Program Files (x86)\AstroGrep\AstroGrep.exe" /spath="%USERPROFILE%\AppData\Local\Temp\OnboardLogs" /stypes="app*4026*20170222*" /stext=" 07:.+((SYSTEM_STATE.+slice.+state.+changed )|(ment ac)|(multiple cpu faults)|(system.+state.+changed )|(\[timeout)|(PRM\|1\|D)|(kpr)|(kdp)|(\|lc)|(penalty))" /e /r /s</v>
      </c>
      <c r="AG153" s="1" t="str">
        <f t="shared" si="66"/>
        <v>EC</v>
      </c>
      <c r="AH153" s="86" t="str">
        <f t="shared" si="67"/>
        <v>"%USERPROFILE%\Documents\GitHub\eaglep3\Utilities\RefineRTDCRunTimes.py" --tripid 238-21 --locoid 4026 --swversion DE.1.0.9.0 --startMP 204:232955 --initTime 2017-02-21T23:53:44 --startdatetime 2017-02-21T23:56:23 --delay 1 --endMP 204:181 --enddatetime 2017-02-22T00:36:49 --enforcementcount 0 &gt;&gt;C:\Users\stu\Documents\GitHub\eaglep3-reporting\EC\2017-02-21-refined-times.txt</v>
      </c>
      <c r="AI153" s="108" t="str">
        <f t="shared" si="68"/>
        <v>echo {"issue":{"subject":"","project_id":79,"tracker_id":40,"status_id":1,"priority_id":2,"assigned_to_id":23,"start_date":"2017-02-22","description":"","custom_fields":[{"id":1,"name":"Subdivision","value":"EC"},{"id":4,"name":"Milepost","value":"0.0181"},{"id":17,"name":"Train ID","value":"238-21"},{"id":16,"name":"Locomotive ID","value":"4026"},{"id":130,"name":"Impact","value":""},{"id":150,"name":"Time of Event (Mountain Time)","value":"00:36:49"},{"id":151,"name":"Denver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69"/>
        <v>start /low /b %USERPROFILE%\Documents\GitHub\eaglep3\Utilities\DownloadLogsFromS3.py --loco 4026 --day 2017-02-21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"%USERPROFILE%\AppData\Local\Temp\OnboardLogs"\RTDC4026\*4026*20170222* | grep -SE "(Enforcement Action)|(\[TIMEOUT)|(CHR.+\|PRM\|1\|D.+(SWITCH|SIGNAL).+UNKNOWN)" - &gt;&gt; 2017-02-21-UncaughtWiMAX.txt</v>
      </c>
    </row>
    <row r="154" spans="1:91" x14ac:dyDescent="0.25">
      <c r="A154" s="33" t="s">
        <v>678</v>
      </c>
      <c r="B154" s="7">
        <v>4029</v>
      </c>
      <c r="C154" s="21" t="s">
        <v>359</v>
      </c>
      <c r="D154" s="21" t="s">
        <v>255</v>
      </c>
      <c r="E154" s="13">
        <v>42787.976851851854</v>
      </c>
      <c r="F154" s="13">
        <v>42787.979525462964</v>
      </c>
      <c r="G154" s="7">
        <v>2</v>
      </c>
      <c r="H154" s="21" t="s">
        <v>336</v>
      </c>
      <c r="I154" s="13">
        <v>42788.006747685184</v>
      </c>
      <c r="J154" s="7">
        <v>0</v>
      </c>
      <c r="K154" s="98" t="str">
        <f t="shared" si="57"/>
        <v>4029/4030</v>
      </c>
      <c r="L154" s="21" t="str">
        <f>VLOOKUP(A154,'Trips&amp;Operators'!$C$1:$G$99999,5,FALSE)</f>
        <v>NELSON ARIANE</v>
      </c>
      <c r="M154" s="6">
        <f t="shared" si="58"/>
        <v>2.7222222219279502E-2</v>
      </c>
      <c r="N154" s="7">
        <f t="shared" si="56"/>
        <v>39.199999995762482</v>
      </c>
      <c r="O154" s="7"/>
      <c r="P154" s="7"/>
      <c r="Q154" s="22"/>
      <c r="R154" s="22"/>
      <c r="S154" s="31">
        <f t="shared" si="55"/>
        <v>1</v>
      </c>
      <c r="T154" s="46" t="str">
        <f t="shared" si="59"/>
        <v>NorthBound</v>
      </c>
      <c r="U154" s="193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4" t="str">
        <f t="shared" si="60"/>
        <v>https://d0f6bd738d7f1b3e5a7ca70fe4ff75f0.us-east-1.aws.found.io/app/kibana#/discover/Steve-Slow-Train-Analysis-(2080s-and-2083s)?_g=(refreshInterval:(display:Off,pause:!f,section:0,value:0),time:(from:'2017-02-21T22:26:40-0700',mode:absolute,to:'2017-02-22T01:09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4" s="195" t="str">
        <f t="shared" si="61"/>
        <v>N</v>
      </c>
      <c r="X154" s="195">
        <f t="shared" si="54"/>
        <v>1</v>
      </c>
      <c r="Y154" s="62">
        <f t="shared" si="70"/>
        <v>4.6699999999999998E-2</v>
      </c>
      <c r="Z154" s="62">
        <f t="shared" si="71"/>
        <v>23.328499999999998</v>
      </c>
      <c r="AA154" s="62">
        <f t="shared" si="62"/>
        <v>23.281799999999997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63"/>
        <v>0239-21</v>
      </c>
      <c r="AE154" s="85" t="str">
        <f t="shared" si="64"/>
        <v>aws s3 cp s3://rtdc.mdm.uploadarchive.raw/RTDC4029/ "%USERPROFILE%\AppData\Local\Temp\OnboardLogs"\RTDC4029\2017-02-21 --exclude "*" --recursive --include "*20170221*" &amp; "%USERPROFILE%\Documents\GitHub\mrs-test-scripts\Headless Mode &amp; Sideloading\WalkAndUnGZ.bat" "%USERPROFILE%\AppData\Local\Temp\OnboardLogs"\RTDC4029\2017-02-21 &amp; aws s3 cp s3://rtdc.mdm.uploadarchive.raw/RTDC4029/ "%USERPROFILE%\AppData\Local\Temp\OnboardLogs"\RTDC4029\2017-02-22 --exclude "*" --recursive --include "*20170222*" &amp; "%USERPROFILE%\Documents\GitHub\mrs-test-scripts\Headless Mode &amp; Sideloading\WalkAndUnGZ.bat" "%USERPROFILE%\AppData\Local\Temp\OnboardLogs"\RTDC4029\2017-02-22</v>
      </c>
      <c r="AF154" s="82" t="str">
        <f t="shared" si="65"/>
        <v>"C:\Program Files (x86)\AstroGrep\AstroGrep.exe" /spath="%USERPROFILE%\AppData\Local\Temp\OnboardLogs" /stypes="app*4029*20170222*" /stext=" 07:.+((SYSTEM_STATE.+slice.+state.+changed )|(ment ac)|(multiple cpu faults)|(system.+state.+changed )|(\[timeout)|(PRM\|1\|D)|(kpr)|(kdp)|(\|lc)|(penalty))" /e /r /s</v>
      </c>
      <c r="AG154" s="1" t="str">
        <f t="shared" si="66"/>
        <v>EC</v>
      </c>
      <c r="AH154" s="86" t="str">
        <f t="shared" si="67"/>
        <v>"%USERPROFILE%\Documents\GitHub\eaglep3\Utilities\RefineRTDCRunTimes.py" --tripid 239-21 --locoid 4029 --swversion DE.1.0.9.0 --startMP 204:467 --initTime 2017-02-21T23:26:40 --startdatetime 2017-02-21T23:30:31 --delay 2 --endMP 204:233285 --enddatetime 2017-02-22T00:09:43 --enforcementcount 0 &gt;&gt;C:\Users\stu\Documents\GitHub\eaglep3-reporting\EC\2017-02-21-refined-times.txt</v>
      </c>
      <c r="AI154" s="108" t="str">
        <f t="shared" si="68"/>
        <v>echo {"issue":{"subject":"","project_id":79,"tracker_id":40,"status_id":1,"priority_id":2,"assigned_to_id":23,"start_date":"2017-02-22","description":"","custom_fields":[{"id":1,"name":"Subdivision","value":"EC"},{"id":4,"name":"Milepost","value":"23.3285"},{"id":17,"name":"Train ID","value":"239-21"},{"id":16,"name":"Locomotive ID","value":"4029"},{"id":130,"name":"Impact","value":""},{"id":150,"name":"Time of Event (Mountain Time)","value":"00:09:43"},{"id":151,"name":"Denver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69"/>
        <v>start /low /b %USERPROFILE%\Documents\GitHub\eaglep3\Utilities\DownloadLogsFromS3.py --loco 4029 --day 2017-02-21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"%USERPROFILE%\AppData\Local\Temp\OnboardLogs"\RTDC4029\*4029*20170222* | grep -SE "(Enforcement Action)|(\[TIMEOUT)|(CHR.+\|PRM\|1\|D.+(SWITCH|SIGNAL).+UNKNOWN)" - &gt;&gt; 2017-02-21-UncaughtWiMAX.txt</v>
      </c>
    </row>
    <row r="155" spans="1:91" s="20" customFormat="1" x14ac:dyDescent="0.25">
      <c r="A155" s="33" t="s">
        <v>680</v>
      </c>
      <c r="B155" s="7">
        <v>4030</v>
      </c>
      <c r="C155" s="21" t="s">
        <v>359</v>
      </c>
      <c r="D155" s="21" t="s">
        <v>296</v>
      </c>
      <c r="E155" s="13">
        <v>42788.014224537037</v>
      </c>
      <c r="F155" s="13">
        <v>42788.01829861111</v>
      </c>
      <c r="G155" s="7">
        <v>3</v>
      </c>
      <c r="H155" s="21" t="s">
        <v>196</v>
      </c>
      <c r="I155" s="13">
        <v>42788.046898148146</v>
      </c>
      <c r="J155" s="7">
        <v>0</v>
      </c>
      <c r="K155" s="98" t="str">
        <f t="shared" si="57"/>
        <v>4029/4030</v>
      </c>
      <c r="L155" s="21" t="str">
        <f>VLOOKUP(A155,'Trips&amp;Operators'!$C$1:$G$99999,5,FALSE)</f>
        <v>NELSON ARIANE</v>
      </c>
      <c r="M155" s="6">
        <f t="shared" si="58"/>
        <v>2.8599537035916001E-2</v>
      </c>
      <c r="N155" s="7">
        <f t="shared" si="56"/>
        <v>41.183333331719041</v>
      </c>
      <c r="O155" s="7"/>
      <c r="P155" s="7"/>
      <c r="Q155" s="22"/>
      <c r="R155" s="22"/>
      <c r="S155" s="31">
        <f t="shared" si="55"/>
        <v>1</v>
      </c>
      <c r="T155" s="46" t="str">
        <f t="shared" si="59"/>
        <v>Southbound</v>
      </c>
      <c r="U155" s="193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4" t="str">
        <f t="shared" si="60"/>
        <v>https://d0f6bd738d7f1b3e5a7ca70fe4ff75f0.us-east-1.aws.found.io/app/kibana#/discover/Steve-Slow-Train-Analysis-(2080s-and-2083s)?_g=(refreshInterval:(display:Off,pause:!f,section:0,value:0),time:(from:'2017-02-21T23:20:29-0700',mode:absolute,to:'2017-02-22T02:07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5" s="195" t="str">
        <f t="shared" si="61"/>
        <v>N</v>
      </c>
      <c r="X155" s="195">
        <f t="shared" si="54"/>
        <v>1</v>
      </c>
      <c r="Y155" s="62">
        <f t="shared" si="70"/>
        <v>23.298500000000001</v>
      </c>
      <c r="Z155" s="62">
        <f t="shared" si="71"/>
        <v>1.4500000000000001E-2</v>
      </c>
      <c r="AA155" s="62">
        <f t="shared" si="62"/>
        <v>23.283999999999999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63"/>
        <v>0240-21</v>
      </c>
      <c r="AE155" s="85" t="str">
        <f t="shared" si="64"/>
        <v>aws s3 cp s3://rtdc.mdm.uploadarchive.raw/RTDC4030/ "%USERPROFILE%\AppData\Local\Temp\OnboardLogs"\RTDC4030\2017-02-22 --exclude "*" --recursive --include "*20170222*" &amp; "%USERPROFILE%\Documents\GitHub\mrs-test-scripts\Headless Mode &amp; Sideloading\WalkAndUnGZ.bat" "%USERPROFILE%\AppData\Local\Temp\OnboardLogs"\RTDC4030\2017-02-22 &amp; aws s3 cp s3://rtdc.mdm.uploadarchive.raw/RTDC4030/ "%USERPROFILE%\AppData\Local\Temp\OnboardLogs"\RTDC4030\2017-02-23 --exclude "*" --recursive --include "*20170223*" &amp; "%USERPROFILE%\Documents\GitHub\mrs-test-scripts\Headless Mode &amp; Sideloading\WalkAndUnGZ.bat" "%USERPROFILE%\AppData\Local\Temp\OnboardLogs"\RTDC4030\2017-02-23</v>
      </c>
      <c r="AF155" s="82" t="str">
        <f t="shared" si="65"/>
        <v>"C:\Program Files (x86)\AstroGrep\AstroGrep.exe" /spath="%USERPROFILE%\AppData\Local\Temp\OnboardLogs" /stypes="app*4030*20170222*" /stext=" 08:.+((SYSTEM_STATE.+slice.+state.+changed )|(ment ac)|(multiple cpu faults)|(system.+state.+changed )|(\[timeout)|(PRM\|1\|D)|(kpr)|(kdp)|(\|lc)|(penalty))" /e /r /s</v>
      </c>
      <c r="AG155" s="1" t="str">
        <f t="shared" si="66"/>
        <v>EC</v>
      </c>
      <c r="AH155" s="86" t="str">
        <f t="shared" si="67"/>
        <v>"%USERPROFILE%\Documents\GitHub\eaglep3\Utilities\RefineRTDCRunTimes.py" --tripid 240-21 --locoid 4030 --swversion DE.1.0.9.0 --startMP 204:232985 --initTime 2017-02-22T00:20:29 --startdatetime 2017-02-22T00:26:21 --delay 3 --endMP 204:145 --enddatetime 2017-02-22T01:07:32 --enforcementcount 0 &gt;&gt;C:\Users\stu\Documents\GitHub\eaglep3-reporting\EC\2017-02-21-refined-times.txt</v>
      </c>
      <c r="AI155" s="108" t="str">
        <f t="shared" si="68"/>
        <v>echo {"issue":{"subject":"","project_id":79,"tracker_id":40,"status_id":1,"priority_id":2,"assigned_to_id":23,"start_date":"2017-02-22","description":"","custom_fields":[{"id":1,"name":"Subdivision","value":"EC"},{"id":4,"name":"Milepost","value":"0.0145"},{"id":17,"name":"Train ID","value":"240-21"},{"id":16,"name":"Locomotive ID","value":"4030"},{"id":130,"name":"Impact","value":""},{"id":150,"name":"Time of Event (Mountain Time)","value":"01:07:32"},{"id":151,"name":"Denver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69"/>
        <v>start /low /b %USERPROFILE%\Documents\GitHub\eaglep3\Utilities\DownloadLogsFromS3.py --loco 4030 --day 2017-02-22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"%USERPROFILE%\AppData\Local\Temp\OnboardLogs"\RTDC4030\*4030*20170222* | grep -SE "(Enforcement Action)|(\[TIMEOUT)|(CHR.+\|PRM\|1\|D.+(SWITCH|SIGNAL).+UNKNOWN)" - &gt;&gt; 2017-02-21-UncaughtWiMAX.txt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3" t="s">
        <v>679</v>
      </c>
      <c r="B156" s="7">
        <v>4051</v>
      </c>
      <c r="C156" s="21" t="s">
        <v>359</v>
      </c>
      <c r="D156" s="21" t="s">
        <v>424</v>
      </c>
      <c r="E156" s="13">
        <v>42787.988553240742</v>
      </c>
      <c r="F156" s="13">
        <v>42788.000289351854</v>
      </c>
      <c r="G156" s="7">
        <v>2</v>
      </c>
      <c r="H156" s="21" t="s">
        <v>756</v>
      </c>
      <c r="I156" s="13">
        <v>42788.025451388887</v>
      </c>
      <c r="J156" s="7">
        <v>0</v>
      </c>
      <c r="K156" s="98" t="str">
        <f t="shared" si="57"/>
        <v>4051/4052</v>
      </c>
      <c r="L156" s="21" t="str">
        <f>VLOOKUP(A156,'Trips&amp;Operators'!$C$1:$G$99999,5,FALSE)</f>
        <v>STORY SAMANTHA</v>
      </c>
      <c r="M156" s="6">
        <f t="shared" si="58"/>
        <v>2.5162037032714579E-2</v>
      </c>
      <c r="N156" s="7">
        <f t="shared" si="56"/>
        <v>36.233333327108994</v>
      </c>
      <c r="O156" s="7"/>
      <c r="P156" s="7"/>
      <c r="Q156" s="22"/>
      <c r="R156" s="22"/>
      <c r="S156" s="31">
        <f t="shared" si="55"/>
        <v>1</v>
      </c>
      <c r="T156" s="46" t="str">
        <f t="shared" si="59"/>
        <v>NorthBound</v>
      </c>
      <c r="U156" s="193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4" t="str">
        <f t="shared" si="60"/>
        <v>https://d0f6bd738d7f1b3e5a7ca70fe4ff75f0.us-east-1.aws.found.io/app/kibana#/discover/Steve-Slow-Train-Analysis-(2080s-and-2083s)?_g=(refreshInterval:(display:Off,pause:!f,section:0,value:0),time:(from:'2017-02-21T22:43:31-0700',mode:absolute,to:'2017-02-22T01:36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6" s="195" t="str">
        <f t="shared" si="61"/>
        <v>N</v>
      </c>
      <c r="X156" s="195">
        <f t="shared" si="54"/>
        <v>1</v>
      </c>
      <c r="Y156" s="62">
        <f t="shared" si="70"/>
        <v>4.6899999999999997E-2</v>
      </c>
      <c r="Z156" s="62">
        <f t="shared" si="71"/>
        <v>23.339099999999998</v>
      </c>
      <c r="AA156" s="62">
        <f t="shared" si="62"/>
        <v>23.292199999999998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63"/>
        <v>0241-21</v>
      </c>
      <c r="AE156" s="85" t="str">
        <f t="shared" si="64"/>
        <v>aws s3 cp s3://rtdc.mdm.uploadarchive.raw/RTDC4051/ "%USERPROFILE%\AppData\Local\Temp\OnboardLogs"\RTDC4051\2017-02-22 --exclude "*" --recursive --include "*20170222*" &amp; "%USERPROFILE%\Documents\GitHub\mrs-test-scripts\Headless Mode &amp; Sideloading\WalkAndUnGZ.bat" "%USERPROFILE%\AppData\Local\Temp\OnboardLogs"\RTDC4051\2017-02-22 &amp; aws s3 cp s3://rtdc.mdm.uploadarchive.raw/RTDC4051/ "%USERPROFILE%\AppData\Local\Temp\OnboardLogs"\RTDC4051\2017-02-23 --exclude "*" --recursive --include "*20170223*" &amp; "%USERPROFILE%\Documents\GitHub\mrs-test-scripts\Headless Mode &amp; Sideloading\WalkAndUnGZ.bat" "%USERPROFILE%\AppData\Local\Temp\OnboardLogs"\RTDC4051\2017-02-23</v>
      </c>
      <c r="AF156" s="82" t="str">
        <f t="shared" si="65"/>
        <v>"C:\Program Files (x86)\AstroGrep\AstroGrep.exe" /spath="%USERPROFILE%\AppData\Local\Temp\OnboardLogs" /stypes="app*4051*20170222*" /stext=" 07:.+((SYSTEM_STATE.+slice.+state.+changed )|(ment ac)|(multiple cpu faults)|(system.+state.+changed )|(\[timeout)|(PRM\|1\|D)|(kpr)|(kdp)|(\|lc)|(penalty))" /e /r /s</v>
      </c>
      <c r="AG156" s="1" t="str">
        <f t="shared" si="66"/>
        <v>EC</v>
      </c>
      <c r="AH156" s="86" t="str">
        <f t="shared" si="67"/>
        <v>"%USERPROFILE%\Documents\GitHub\eaglep3\Utilities\RefineRTDCRunTimes.py" --tripid 241-21 --locoid 4051 --swversion DE.1.0.9.0 --startMP 204:469 --initTime 2017-02-21T23:43:31 --startdatetime 2017-02-22T00:00:25 --delay 2 --endMP 204:233391 --enddatetime 2017-02-22T00:36:39 --enforcementcount 0 &gt;&gt;C:\Users\stu\Documents\GitHub\eaglep3-reporting\EC\2017-02-21-refined-times.txt</v>
      </c>
      <c r="AI156" s="108" t="str">
        <f t="shared" si="68"/>
        <v>echo {"issue":{"subject":"","project_id":79,"tracker_id":40,"status_id":1,"priority_id":2,"assigned_to_id":23,"start_date":"2017-02-22","description":"","custom_fields":[{"id":1,"name":"Subdivision","value":"EC"},{"id":4,"name":"Milepost","value":"23.3391"},{"id":17,"name":"Train ID","value":"241-21"},{"id":16,"name":"Locomotive ID","value":"4051"},{"id":130,"name":"Impact","value":""},{"id":150,"name":"Time of Event (Mountain Time)","value":"00:36:39"},{"id":151,"name":"Denver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69"/>
        <v>start /low /b %USERPROFILE%\Documents\GitHub\eaglep3\Utilities\DownloadLogsFromS3.py --loco 4051 --day 2017-02-22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"%USERPROFILE%\AppData\Local\Temp\OnboardLogs"\RTDC4051\*4051*20170222* | grep -SE "(Enforcement Action)|(\[TIMEOUT)|(CHR.+\|PRM\|1\|D.+(SWITCH|SIGNAL).+UNKNOWN)" - &gt;&gt; 2017-02-21-UncaughtWiMAX.txt</v>
      </c>
    </row>
    <row r="157" spans="1:91" x14ac:dyDescent="0.25">
      <c r="A157" s="33" t="s">
        <v>498</v>
      </c>
      <c r="B157" s="7">
        <v>4052</v>
      </c>
      <c r="C157" s="21" t="s">
        <v>359</v>
      </c>
      <c r="D157" s="21" t="s">
        <v>757</v>
      </c>
      <c r="E157" s="13">
        <v>42788.034305555557</v>
      </c>
      <c r="F157" s="13">
        <v>42788.039097222223</v>
      </c>
      <c r="G157" s="7">
        <v>1</v>
      </c>
      <c r="H157" s="21" t="s">
        <v>330</v>
      </c>
      <c r="I157" s="13">
        <v>42788.066828703704</v>
      </c>
      <c r="J157" s="7">
        <v>0</v>
      </c>
      <c r="K157" s="98" t="str">
        <f t="shared" si="57"/>
        <v>4051/4052</v>
      </c>
      <c r="L157" s="21" t="str">
        <f>VLOOKUP(A157,'Trips&amp;Operators'!$C$1:$G$99999,5,FALSE)</f>
        <v>STORY SAMANTHA</v>
      </c>
      <c r="M157" s="6">
        <f t="shared" si="58"/>
        <v>2.7731481481168885E-2</v>
      </c>
      <c r="N157" s="7">
        <f t="shared" si="56"/>
        <v>39.933333332883194</v>
      </c>
      <c r="O157" s="7"/>
      <c r="P157" s="7"/>
      <c r="Q157" s="22"/>
      <c r="R157" s="22"/>
      <c r="S157" s="31">
        <f t="shared" si="55"/>
        <v>1</v>
      </c>
      <c r="T157" s="46" t="str">
        <f t="shared" si="59"/>
        <v>Southbound</v>
      </c>
      <c r="U157" s="193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4" t="str">
        <f t="shared" si="60"/>
        <v>https://d0f6bd738d7f1b3e5a7ca70fe4ff75f0.us-east-1.aws.found.io/app/kibana#/discover/Steve-Slow-Train-Analysis-(2080s-and-2083s)?_g=(refreshInterval:(display:Off,pause:!f,section:0,value:0),time:(from:'2017-02-21T23:49:24-0700',mode:absolute,to:'2017-02-22T02:36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7" s="195" t="str">
        <f t="shared" si="61"/>
        <v>N</v>
      </c>
      <c r="X157" s="195">
        <f t="shared" si="54"/>
        <v>1</v>
      </c>
      <c r="Y157" s="62">
        <f t="shared" si="70"/>
        <v>23.307200000000002</v>
      </c>
      <c r="Z157" s="62">
        <f t="shared" si="71"/>
        <v>1.6299999999999999E-2</v>
      </c>
      <c r="AA157" s="62">
        <f t="shared" si="62"/>
        <v>23.290900000000001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63"/>
        <v>0242-21</v>
      </c>
      <c r="AE157" s="85" t="str">
        <f t="shared" si="64"/>
        <v>aws s3 cp s3://rtdc.mdm.uploadarchive.raw/RTDC4052/ "%USERPROFILE%\AppData\Local\Temp\OnboardLogs"\RTDC4052\2017-02-22 --exclude "*" --recursive --include "*20170222*" &amp; "%USERPROFILE%\Documents\GitHub\mrs-test-scripts\Headless Mode &amp; Sideloading\WalkAndUnGZ.bat" "%USERPROFILE%\AppData\Local\Temp\OnboardLogs"\RTDC4052\2017-02-22 &amp; aws s3 cp s3://rtdc.mdm.uploadarchive.raw/RTDC4052/ "%USERPROFILE%\AppData\Local\Temp\OnboardLogs"\RTDC4052\2017-02-23 --exclude "*" --recursive --include "*20170223*" &amp; "%USERPROFILE%\Documents\GitHub\mrs-test-scripts\Headless Mode &amp; Sideloading\WalkAndUnGZ.bat" "%USERPROFILE%\AppData\Local\Temp\OnboardLogs"\RTDC4052\2017-02-23</v>
      </c>
      <c r="AF157" s="82" t="str">
        <f t="shared" si="65"/>
        <v>"C:\Program Files (x86)\AstroGrep\AstroGrep.exe" /spath="%USERPROFILE%\AppData\Local\Temp\OnboardLogs" /stypes="app*4052*20170222*" /stext=" 08:.+((SYSTEM_STATE.+slice.+state.+changed )|(ment ac)|(multiple cpu faults)|(system.+state.+changed )|(\[timeout)|(PRM\|1\|D)|(kpr)|(kdp)|(\|lc)|(penalty))" /e /r /s</v>
      </c>
      <c r="AG157" s="1" t="str">
        <f t="shared" si="66"/>
        <v>EC</v>
      </c>
      <c r="AH157" s="86" t="str">
        <f t="shared" si="67"/>
        <v>"%USERPROFILE%\Documents\GitHub\eaglep3\Utilities\RefineRTDCRunTimes.py" --tripid 242-21 --locoid 4052 --swversion DE.1.0.9.0 --startMP 204:233072 --initTime 2017-02-22T00:49:24 --startdatetime 2017-02-22T00:56:18 --delay 1 --endMP 204:163 --enddatetime 2017-02-22T01:36:14 --enforcementcount 0 &gt;&gt;C:\Users\stu\Documents\GitHub\eaglep3-reporting\EC\2017-02-21-refined-times.txt</v>
      </c>
      <c r="AI157" s="108" t="str">
        <f t="shared" si="68"/>
        <v>echo {"issue":{"subject":"","project_id":79,"tracker_id":40,"status_id":1,"priority_id":2,"assigned_to_id":23,"start_date":"2017-02-22","description":"","custom_fields":[{"id":1,"name":"Subdivision","value":"EC"},{"id":4,"name":"Milepost","value":"0.0163"},{"id":17,"name":"Train ID","value":"242-21"},{"id":16,"name":"Locomotive ID","value":"4052"},{"id":130,"name":"Impact","value":""},{"id":150,"name":"Time of Event (Mountain Time)","value":"01:36:14"},{"id":151,"name":"Denver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69"/>
        <v>start /low /b %USERPROFILE%\Documents\GitHub\eaglep3\Utilities\DownloadLogsFromS3.py --loco 4052 --day 2017-02-22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"%USERPROFILE%\AppData\Local\Temp\OnboardLogs"\RTDC4052\*4052*20170222* | grep -SE "(Enforcement Action)|(\[TIMEOUT)|(CHR.+\|PRM\|1\|D.+(SWITCH|SIGNAL).+UNKNOWN)" - &gt;&gt; 2017-02-21-UncaughtWiMAX.txt</v>
      </c>
    </row>
    <row r="158" spans="1:91" x14ac:dyDescent="0.25">
      <c r="A158" s="33" t="s">
        <v>497</v>
      </c>
      <c r="B158" s="7">
        <v>4003</v>
      </c>
      <c r="C158" s="21" t="s">
        <v>359</v>
      </c>
      <c r="D158" s="21" t="s">
        <v>255</v>
      </c>
      <c r="E158" s="13">
        <v>42788.005590277775</v>
      </c>
      <c r="F158" s="13">
        <v>42788.021111111113</v>
      </c>
      <c r="G158" s="7">
        <v>1</v>
      </c>
      <c r="H158" s="21" t="s">
        <v>413</v>
      </c>
      <c r="I158" s="13">
        <v>42788.046122685184</v>
      </c>
      <c r="J158" s="7">
        <v>0</v>
      </c>
      <c r="K158" s="98" t="str">
        <f t="shared" si="57"/>
        <v>4003/4004</v>
      </c>
      <c r="L158" s="21" t="str">
        <f>VLOOKUP(A158,'Trips&amp;Operators'!$C$1:$G$99999,5,FALSE)</f>
        <v>STAMBAUGH JAMES</v>
      </c>
      <c r="M158" s="6">
        <f t="shared" si="58"/>
        <v>2.5011574070958886E-2</v>
      </c>
      <c r="N158" s="7">
        <f t="shared" si="56"/>
        <v>36.016666662180796</v>
      </c>
      <c r="O158" s="7"/>
      <c r="P158" s="7"/>
      <c r="Q158" s="22"/>
      <c r="R158" s="22"/>
      <c r="S158" s="31">
        <f t="shared" si="55"/>
        <v>1</v>
      </c>
      <c r="T158" s="46" t="str">
        <f t="shared" si="59"/>
        <v>NorthBound</v>
      </c>
      <c r="U158" s="193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4" t="str">
        <f t="shared" si="60"/>
        <v>https://d0f6bd738d7f1b3e5a7ca70fe4ff75f0.us-east-1.aws.found.io/app/kibana#/discover/Steve-Slow-Train-Analysis-(2080s-and-2083s)?_g=(refreshInterval:(display:Off,pause:!f,section:0,value:0),time:(from:'2017-02-21T23:08:03-0700',mode:absolute,to:'2017-02-22T02:06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8" s="195" t="str">
        <f t="shared" si="61"/>
        <v>N</v>
      </c>
      <c r="X158" s="195">
        <f t="shared" si="54"/>
        <v>1</v>
      </c>
      <c r="Y158" s="62">
        <f t="shared" si="70"/>
        <v>4.6699999999999998E-2</v>
      </c>
      <c r="Z158" s="62">
        <f t="shared" si="71"/>
        <v>23.328600000000002</v>
      </c>
      <c r="AA158" s="62">
        <f t="shared" si="62"/>
        <v>23.2819</v>
      </c>
      <c r="AB158" s="59" t="str">
        <f>VLOOKUP(A158,Enforcements!$C$7:$K$13,8,0)</f>
        <v>Bulletin (2)</v>
      </c>
      <c r="AC158" s="55" t="str">
        <f>VLOOKUP(A158,Enforcements!$C$7:$E$13,3,0)</f>
        <v>GRADE CROSSING</v>
      </c>
      <c r="AD158" s="56" t="str">
        <f t="shared" si="63"/>
        <v>0243-21</v>
      </c>
      <c r="AE158" s="85" t="str">
        <f t="shared" si="64"/>
        <v>aws s3 cp s3://rtdc.mdm.uploadarchive.raw/RTDC4003/ "%USERPROFILE%\AppData\Local\Temp\OnboardLogs"\RTDC4003\2017-02-22 --exclude "*" --recursive --include "*20170222*" &amp; "%USERPROFILE%\Documents\GitHub\mrs-test-scripts\Headless Mode &amp; Sideloading\WalkAndUnGZ.bat" "%USERPROFILE%\AppData\Local\Temp\OnboardLogs"\RTDC4003\2017-02-22 &amp; aws s3 cp s3://rtdc.mdm.uploadarchive.raw/RTDC4003/ "%USERPROFILE%\AppData\Local\Temp\OnboardLogs"\RTDC4003\2017-02-23 --exclude "*" --recursive --include "*20170223*" &amp; "%USERPROFILE%\Documents\GitHub\mrs-test-scripts\Headless Mode &amp; Sideloading\WalkAndUnGZ.bat" "%USERPROFILE%\AppData\Local\Temp\OnboardLogs"\RTDC4003\2017-02-23</v>
      </c>
      <c r="AF158" s="82" t="str">
        <f t="shared" si="65"/>
        <v>"C:\Program Files (x86)\AstroGrep\AstroGrep.exe" /spath="%USERPROFILE%\AppData\Local\Temp\OnboardLogs" /stypes="app*4003*20170222*" /stext=" 08:.+((SYSTEM_STATE.+slice.+state.+changed )|(ment ac)|(multiple cpu faults)|(system.+state.+changed )|(\[timeout)|(PRM\|1\|D)|(kpr)|(kdp)|(\|lc)|(penalty))" /e /r /s</v>
      </c>
      <c r="AG158" s="1" t="str">
        <f t="shared" si="66"/>
        <v>EC</v>
      </c>
      <c r="AH158" s="86" t="str">
        <f t="shared" si="67"/>
        <v>"%USERPROFILE%\Documents\GitHub\eaglep3\Utilities\RefineRTDCRunTimes.py" --tripid 243-21 --locoid 4003 --swversion DE.1.0.9.0 --startMP 204:467 --initTime 2017-02-22T00:08:03 --startdatetime 2017-02-22T00:30:24 --delay 1 --endMP 204:233286 --enddatetime 2017-02-22T01:06:25 --enforcementcount 0 &gt;&gt;C:\Users\stu\Documents\GitHub\eaglep3-reporting\EC\2017-02-21-refined-times.txt</v>
      </c>
      <c r="AI158" s="108" t="str">
        <f t="shared" si="68"/>
        <v>echo {"issue":{"subject":"","project_id":79,"tracker_id":40,"status_id":1,"priority_id":2,"assigned_to_id":23,"start_date":"2017-02-22","description":"","custom_fields":[{"id":1,"name":"Subdivision","value":"EC"},{"id":4,"name":"Milepost","value":"23.3286"},{"id":17,"name":"Train ID","value":"243-21"},{"id":16,"name":"Locomotive ID","value":"4003"},{"id":130,"name":"Impact","value":""},{"id":150,"name":"Time of Event (Mountain Time)","value":"01:06:25"},{"id":151,"name":"Denver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69"/>
        <v>start /low /b %USERPROFILE%\Documents\GitHub\eaglep3\Utilities\DownloadLogsFromS3.py --loco 4003 --day 2017-02-22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"%USERPROFILE%\AppData\Local\Temp\OnboardLogs"\RTDC4003\*4003*20170222* | grep -SE "(Enforcement Action)|(\[TIMEOUT)|(CHR.+\|PRM\|1\|D.+(SWITCH|SIGNAL).+UNKNOWN)" - &gt;&gt; 2017-02-21-UncaughtWiMAX.txt</v>
      </c>
    </row>
    <row r="159" spans="1:91" s="20" customFormat="1" x14ac:dyDescent="0.25">
      <c r="A159" s="33" t="s">
        <v>683</v>
      </c>
      <c r="B159" s="7">
        <v>4004</v>
      </c>
      <c r="C159" s="21" t="s">
        <v>359</v>
      </c>
      <c r="D159" s="21" t="s">
        <v>426</v>
      </c>
      <c r="E159" s="13">
        <v>42788.059050925927</v>
      </c>
      <c r="F159" s="13">
        <v>42788.060034722221</v>
      </c>
      <c r="G159" s="7">
        <v>1</v>
      </c>
      <c r="H159" s="21" t="s">
        <v>758</v>
      </c>
      <c r="I159" s="13">
        <v>42788.085879629631</v>
      </c>
      <c r="J159" s="7">
        <v>0</v>
      </c>
      <c r="K159" s="98" t="str">
        <f t="shared" si="57"/>
        <v>4003/4004</v>
      </c>
      <c r="L159" s="21" t="str">
        <f>VLOOKUP(A159,'Trips&amp;Operators'!$C$1:$G$99999,5,FALSE)</f>
        <v>STAMBAUGH JAMES</v>
      </c>
      <c r="M159" s="6">
        <f t="shared" si="58"/>
        <v>2.584490740991896E-2</v>
      </c>
      <c r="N159" s="7">
        <f t="shared" si="56"/>
        <v>37.216666670283303</v>
      </c>
      <c r="O159" s="7"/>
      <c r="P159" s="7"/>
      <c r="Q159" s="22"/>
      <c r="R159" s="22"/>
      <c r="S159" s="31">
        <f t="shared" si="55"/>
        <v>1</v>
      </c>
      <c r="T159" s="46" t="str">
        <f t="shared" si="59"/>
        <v>Southbound</v>
      </c>
      <c r="U159" s="193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4" t="str">
        <f t="shared" si="60"/>
        <v>https://d0f6bd738d7f1b3e5a7ca70fe4ff75f0.us-east-1.aws.found.io/app/kibana#/discover/Steve-Slow-Train-Analysis-(2080s-and-2083s)?_g=(refreshInterval:(display:Off,pause:!f,section:0,value:0),time:(from:'2017-02-22T00:25:02-0700',mode:absolute,to:'2017-02-22T03:03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9" s="195" t="str">
        <f t="shared" si="61"/>
        <v>N</v>
      </c>
      <c r="X159" s="195">
        <f t="shared" si="54"/>
        <v>1</v>
      </c>
      <c r="Y159" s="62">
        <f t="shared" si="70"/>
        <v>23.3</v>
      </c>
      <c r="Z159" s="62">
        <f t="shared" si="71"/>
        <v>3.2899999999999999E-2</v>
      </c>
      <c r="AA159" s="62">
        <f t="shared" si="62"/>
        <v>23.267099999999999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63"/>
        <v>0244-21</v>
      </c>
      <c r="AE159" s="85" t="str">
        <f t="shared" si="64"/>
        <v>aws s3 cp s3://rtdc.mdm.uploadarchive.raw/RTDC4004/ "%USERPROFILE%\AppData\Local\Temp\OnboardLogs"\RTDC4004\2017-02-22 --exclude "*" --recursive --include "*20170222*" &amp; "%USERPROFILE%\Documents\GitHub\mrs-test-scripts\Headless Mode &amp; Sideloading\WalkAndUnGZ.bat" "%USERPROFILE%\AppData\Local\Temp\OnboardLogs"\RTDC4004\2017-02-22 &amp; aws s3 cp s3://rtdc.mdm.uploadarchive.raw/RTDC4004/ "%USERPROFILE%\AppData\Local\Temp\OnboardLogs"\RTDC4004\2017-02-23 --exclude "*" --recursive --include "*20170223*" &amp; "%USERPROFILE%\Documents\GitHub\mrs-test-scripts\Headless Mode &amp; Sideloading\WalkAndUnGZ.bat" "%USERPROFILE%\AppData\Local\Temp\OnboardLogs"\RTDC4004\2017-02-23</v>
      </c>
      <c r="AF159" s="82" t="str">
        <f t="shared" si="65"/>
        <v>"C:\Program Files (x86)\AstroGrep\AstroGrep.exe" /spath="%USERPROFILE%\AppData\Local\Temp\OnboardLogs" /stypes="app*4004*20170222*" /stext=" 09:.+((SYSTEM_STATE.+slice.+state.+changed )|(ment ac)|(multiple cpu faults)|(system.+state.+changed )|(\[timeout)|(PRM\|1\|D)|(kpr)|(kdp)|(\|lc)|(penalty))" /e /r /s</v>
      </c>
      <c r="AG159" s="1" t="str">
        <f t="shared" si="66"/>
        <v>EC</v>
      </c>
      <c r="AH159" s="86" t="str">
        <f t="shared" si="67"/>
        <v>"%USERPROFILE%\Documents\GitHub\eaglep3\Utilities\RefineRTDCRunTimes.py" --tripid 244-21 --locoid 4004 --swversion DE.1.0.9.0 --startMP 204:233000 --initTime 2017-02-22T01:25:02 --startdatetime 2017-02-22T01:26:27 --delay 1 --endMP 204:329 --enddatetime 2017-02-22T02:03:40 --enforcementcount 0 &gt;&gt;C:\Users\stu\Documents\GitHub\eaglep3-reporting\EC\2017-02-21-refined-times.txt</v>
      </c>
      <c r="AI159" s="108" t="str">
        <f t="shared" si="68"/>
        <v>echo {"issue":{"subject":"","project_id":79,"tracker_id":40,"status_id":1,"priority_id":2,"assigned_to_id":23,"start_date":"2017-02-22","description":"","custom_fields":[{"id":1,"name":"Subdivision","value":"EC"},{"id":4,"name":"Milepost","value":"0.0329"},{"id":17,"name":"Train ID","value":"244-21"},{"id":16,"name":"Locomotive ID","value":"4004"},{"id":130,"name":"Impact","value":""},{"id":150,"name":"Time of Event (Mountain Time)","value":"02:03:40"},{"id":151,"name":"Denver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69"/>
        <v>start /low /b %USERPROFILE%\Documents\GitHub\eaglep3\Utilities\DownloadLogsFromS3.py --loco 4004 --day 2017-02-22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"%USERPROFILE%\AppData\Local\Temp\OnboardLogs"\RTDC4004\*4004*20170222* | grep -SE "(Enforcement Action)|(\[TIMEOUT)|(CHR.+\|PRM\|1\|D.+(SWITCH|SIGNAL).+UNKNOWN)" - &gt;&gt; 2017-02-21-UncaughtWiMAX.txt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3" t="s">
        <v>514</v>
      </c>
      <c r="B160" s="7">
        <v>4032</v>
      </c>
      <c r="C160" s="21" t="s">
        <v>359</v>
      </c>
      <c r="D160" s="21" t="s">
        <v>366</v>
      </c>
      <c r="E160" s="13">
        <v>42787.208819444444</v>
      </c>
      <c r="F160" s="13">
        <v>42787.214699074073</v>
      </c>
      <c r="G160" s="7">
        <v>1</v>
      </c>
      <c r="H160" s="21" t="s">
        <v>780</v>
      </c>
      <c r="I160" s="13">
        <v>42787.225798611114</v>
      </c>
      <c r="J160" s="7">
        <v>0</v>
      </c>
      <c r="K160" s="98" t="str">
        <f t="shared" si="57"/>
        <v>4031/4032</v>
      </c>
      <c r="L160" s="21" t="str">
        <f>VLOOKUP(A160,'Trips&amp;Operators'!$C$1:$G$99999,5,FALSE)</f>
        <v>YORK EDGAR</v>
      </c>
      <c r="M160" s="6">
        <f t="shared" si="58"/>
        <v>1.1099537041445728E-2</v>
      </c>
      <c r="N160" s="7">
        <f t="shared" si="56"/>
        <v>15.983333339681849</v>
      </c>
      <c r="O160" s="7"/>
      <c r="P160" s="7"/>
      <c r="Q160" s="22"/>
      <c r="R160" s="22"/>
      <c r="S160" s="31">
        <f t="shared" si="55"/>
        <v>1</v>
      </c>
      <c r="T160" s="46" t="str">
        <f t="shared" si="59"/>
        <v>Southbound</v>
      </c>
      <c r="U160" s="193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4" t="str">
        <f t="shared" si="60"/>
        <v>https://d0f6bd738d7f1b3e5a7ca70fe4ff75f0.us-east-1.aws.found.io/app/kibana#/discover/Steve-Slow-Train-Analysis-(2080s-and-2083s)?_g=(refreshInterval:(display:Off,pause:!f,section:0,value:0),time:(from:'2017-02-21T04:00:42-0700',mode:absolute,to:'2017-02-21T06:25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0" s="195" t="str">
        <f t="shared" si="61"/>
        <v>N</v>
      </c>
      <c r="X160" s="195">
        <f t="shared" si="54"/>
        <v>556</v>
      </c>
      <c r="Y160" s="62">
        <f t="shared" si="70"/>
        <v>5.8630000000000004</v>
      </c>
      <c r="Z160" s="62">
        <f t="shared" si="71"/>
        <v>1.4E-2</v>
      </c>
      <c r="AA160" s="62">
        <f t="shared" si="62"/>
        <v>5.8490000000000002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63"/>
        <v>0800-21</v>
      </c>
      <c r="AE160" s="85" t="str">
        <f t="shared" si="64"/>
        <v>aws s3 cp s3://rtdc.mdm.uploadarchive.raw/RTDC4032/ "%USERPROFILE%\AppData\Local\Temp\OnboardLogs"\RTDC4032\2017-02-21 --exclude "*" --recursive --include "*20170221*" &amp; "%USERPROFILE%\Documents\GitHub\mrs-test-scripts\Headless Mode &amp; Sideloading\WalkAndUnGZ.bat" "%USERPROFILE%\AppData\Local\Temp\OnboardLogs"\RTDC4032\2017-02-21 &amp; aws s3 cp s3://rtdc.mdm.uploadarchive.raw/RTDC4032/ "%USERPROFILE%\AppData\Local\Temp\OnboardLogs"\RTDC4032\2017-02-22 --exclude "*" --recursive --include "*20170222*" &amp; "%USERPROFILE%\Documents\GitHub\mrs-test-scripts\Headless Mode &amp; Sideloading\WalkAndUnGZ.bat" "%USERPROFILE%\AppData\Local\Temp\OnboardLogs"\RTDC4032\2017-02-22</v>
      </c>
      <c r="AF160" s="82" t="str">
        <f t="shared" si="65"/>
        <v>"C:\Program Files (x86)\AstroGrep\AstroGrep.exe" /spath="%USERPROFILE%\AppData\Local\Temp\OnboardLogs" /stypes="app*4032*20170221*" /stext=" 12:.+((SYSTEM_STATE.+slice.+state.+changed )|(ment ac)|(multiple cpu faults)|(system.+state.+changed )|(\[timeout)|(PRM\|1\|D)|(kpr)|(kdp)|(\|lc)|(penalty))" /e /r /s</v>
      </c>
      <c r="AG160" s="1" t="str">
        <f t="shared" si="66"/>
        <v>NW</v>
      </c>
      <c r="AH160" s="86" t="str">
        <f t="shared" si="67"/>
        <v>"%USERPROFILE%\Documents\GitHub\eaglep3\Utilities\RefineRTDCRunTimes.py" --tripid 800-21 --locoid 4032 --swversion DE.1.0.9.0 --startMP 300:58630 --initTime 2017-02-21T05:00:42 --startdatetime 2017-02-21T05:09:10 --delay 1 --endMP 204:140 --enddatetime 2017-02-21T05:25:09 --enforcementcount 0 &gt;&gt;C:\Users\stu\Documents\GitHub\eaglep3-reporting\EC\2017-02-21-refined-times.txt</v>
      </c>
      <c r="AI160" s="108" t="str">
        <f t="shared" si="68"/>
        <v>echo {"issue":{"subject":"","project_id":79,"tracker_id":40,"status_id":1,"priority_id":2,"assigned_to_id":23,"start_date":"2017-02-21","description":"","custom_fields":[{"id":1,"name":"Subdivision","value":"NW"},{"id":4,"name":"Milepost","value":"0.014"},{"id":17,"name":"Train ID","value":"800-21"},{"id":16,"name":"Locomotive ID","value":"4032"},{"id":130,"name":"Impact","value":""},{"id":150,"name":"Time of Event (Mountain Time)","value":"05:25:09"},{"id":151,"name":"Denver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69"/>
        <v>start /low /b %USERPROFILE%\Documents\GitHub\eaglep3\Utilities\DownloadLogsFromS3.py --loco 4032 --day 2017-02-21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"%USERPROFILE%\AppData\Local\Temp\OnboardLogs"\RTDC4032\*4032*20170221* | grep -SE "(Enforcement Action)|(\[TIMEOUT)|(CHR.+\|PRM\|1\|D.+(SWITCH|SIGNAL).+UNKNOWN)" - &gt;&gt; 2017-02-21-UncaughtWiMAX.txt</v>
      </c>
    </row>
    <row r="161" spans="1:91" x14ac:dyDescent="0.25">
      <c r="A161" s="33" t="s">
        <v>520</v>
      </c>
      <c r="B161" s="7">
        <v>4022</v>
      </c>
      <c r="C161" s="21" t="s">
        <v>359</v>
      </c>
      <c r="D161" s="21" t="s">
        <v>781</v>
      </c>
      <c r="E161" s="13">
        <v>42787.243113425924</v>
      </c>
      <c r="F161" s="13">
        <v>42787.244513888887</v>
      </c>
      <c r="G161" s="7">
        <v>1</v>
      </c>
      <c r="H161" s="21" t="s">
        <v>435</v>
      </c>
      <c r="I161" s="13">
        <v>42787.25341435185</v>
      </c>
      <c r="J161" s="7">
        <v>0</v>
      </c>
      <c r="K161" s="98" t="str">
        <f t="shared" si="57"/>
        <v>4021/4022</v>
      </c>
      <c r="L161" s="21" t="str">
        <f>VLOOKUP(A161,'Trips&amp;Operators'!$C$1:$G$99999,5,FALSE)</f>
        <v>YORK EDGAR</v>
      </c>
      <c r="M161" s="6">
        <f t="shared" si="58"/>
        <v>8.9004629626288079E-3</v>
      </c>
      <c r="N161" s="7">
        <f t="shared" si="56"/>
        <v>12.816666666185483</v>
      </c>
      <c r="O161" s="7"/>
      <c r="P161" s="7"/>
      <c r="Q161" s="22"/>
      <c r="R161" s="22"/>
      <c r="S161" s="31">
        <f t="shared" si="55"/>
        <v>1</v>
      </c>
      <c r="T161" s="46" t="str">
        <f t="shared" si="59"/>
        <v>NorthBound</v>
      </c>
      <c r="U161" s="193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4" t="str">
        <f t="shared" si="60"/>
        <v>https://d0f6bd738d7f1b3e5a7ca70fe4ff75f0.us-east-1.aws.found.io/app/kibana#/discover/Steve-Slow-Train-Analysis-(2080s-and-2083s)?_g=(refreshInterval:(display:Off,pause:!f,section:0,value:0),time:(from:'2017-02-21T04:50:05-0700',mode:absolute,to:'2017-02-21T07:04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1" s="195" t="str">
        <f t="shared" si="61"/>
        <v>N</v>
      </c>
      <c r="X161" s="195">
        <f t="shared" si="54"/>
        <v>1</v>
      </c>
      <c r="Y161" s="62">
        <f t="shared" si="70"/>
        <v>8.7400000000000005E-2</v>
      </c>
      <c r="Z161" s="62">
        <f t="shared" si="71"/>
        <v>5.8930999999999996</v>
      </c>
      <c r="AA161" s="62">
        <f t="shared" si="62"/>
        <v>5.8056999999999999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63"/>
        <v>0801-21</v>
      </c>
      <c r="AE161" s="85" t="str">
        <f t="shared" si="64"/>
        <v>aws s3 cp s3://rtdc.mdm.uploadarchive.raw/RTDC4022/ "%USERPROFILE%\AppData\Local\Temp\OnboardLogs"\RTDC4022\2017-02-21 --exclude "*" --recursive --include "*20170221*" &amp; "%USERPROFILE%\Documents\GitHub\mrs-test-scripts\Headless Mode &amp; Sideloading\WalkAndUnGZ.bat" "%USERPROFILE%\AppData\Local\Temp\OnboardLogs"\RTDC4022\2017-02-21 &amp; aws s3 cp s3://rtdc.mdm.uploadarchive.raw/RTDC4022/ "%USERPROFILE%\AppData\Local\Temp\OnboardLogs"\RTDC4022\2017-02-22 --exclude "*" --recursive --include "*20170222*" &amp; "%USERPROFILE%\Documents\GitHub\mrs-test-scripts\Headless Mode &amp; Sideloading\WalkAndUnGZ.bat" "%USERPROFILE%\AppData\Local\Temp\OnboardLogs"\RTDC4022\2017-02-22</v>
      </c>
      <c r="AF161" s="82" t="str">
        <f t="shared" si="65"/>
        <v>"C:\Program Files (x86)\AstroGrep\AstroGrep.exe" /spath="%USERPROFILE%\AppData\Local\Temp\OnboardLogs" /stypes="app*4022*20170221*" /stext=" 13:.+((SYSTEM_STATE.+slice.+state.+changed )|(ment ac)|(multiple cpu faults)|(system.+state.+changed )|(\[timeout)|(PRM\|1\|D)|(kpr)|(kdp)|(\|lc)|(penalty))" /e /r /s</v>
      </c>
      <c r="AG161" s="1" t="str">
        <f t="shared" si="66"/>
        <v>NW</v>
      </c>
      <c r="AH161" s="86" t="str">
        <f t="shared" si="67"/>
        <v>"%USERPROFILE%\Documents\GitHub\eaglep3\Utilities\RefineRTDCRunTimes.py" --tripid 801-21 --locoid 4022 --swversion DE.1.0.9.0 --startMP 204:874 --initTime 2017-02-21T05:50:05 --startdatetime 2017-02-21T05:52:06 --delay 1 --endMP 300:58931 --enddatetime 2017-02-21T06:04:55 --enforcementcount 0 &gt;&gt;C:\Users\stu\Documents\GitHub\eaglep3-reporting\EC\2017-02-21-refined-times.txt</v>
      </c>
      <c r="AI161" s="108" t="str">
        <f t="shared" si="68"/>
        <v>echo {"issue":{"subject":"","project_id":79,"tracker_id":40,"status_id":1,"priority_id":2,"assigned_to_id":23,"start_date":"2017-02-21","description":"","custom_fields":[{"id":1,"name":"Subdivision","value":"NW"},{"id":4,"name":"Milepost","value":"5.8931"},{"id":17,"name":"Train ID","value":"801-21"},{"id":16,"name":"Locomotive ID","value":"4022"},{"id":130,"name":"Impact","value":""},{"id":150,"name":"Time of Event (Mountain Time)","value":"06:04:55"},{"id":151,"name":"Denver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69"/>
        <v>start /low /b %USERPROFILE%\Documents\GitHub\eaglep3\Utilities\DownloadLogsFromS3.py --loco 4022 --day 2017-02-21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"%USERPROFILE%\AppData\Local\Temp\OnboardLogs"\RTDC4022\*4022*20170221* | grep -SE "(Enforcement Action)|(\[TIMEOUT)|(CHR.+\|PRM\|1\|D.+(SWITCH|SIGNAL).+UNKNOWN)" - &gt;&gt; 2017-02-21-UncaughtWiMAX.txt</v>
      </c>
    </row>
    <row r="162" spans="1:91" x14ac:dyDescent="0.25">
      <c r="A162" s="33" t="s">
        <v>525</v>
      </c>
      <c r="B162" s="7">
        <v>4021</v>
      </c>
      <c r="C162" s="21" t="s">
        <v>359</v>
      </c>
      <c r="D162" s="21" t="s">
        <v>444</v>
      </c>
      <c r="E162" s="13">
        <v>42787.255428240744</v>
      </c>
      <c r="F162" s="13">
        <v>42787.2575462963</v>
      </c>
      <c r="G162" s="7">
        <v>2</v>
      </c>
      <c r="H162" s="21" t="s">
        <v>782</v>
      </c>
      <c r="I162" s="13">
        <v>42787.267187500001</v>
      </c>
      <c r="J162" s="7">
        <v>0</v>
      </c>
      <c r="K162" s="98" t="str">
        <f t="shared" si="57"/>
        <v>4021/4022</v>
      </c>
      <c r="L162" s="21" t="str">
        <f>VLOOKUP(A162,'Trips&amp;Operators'!$C$1:$G$99999,5,FALSE)</f>
        <v>YORK EDGAR</v>
      </c>
      <c r="M162" s="6">
        <f t="shared" si="58"/>
        <v>9.6412037019035779E-3</v>
      </c>
      <c r="N162" s="7">
        <f t="shared" si="56"/>
        <v>13.883333330741152</v>
      </c>
      <c r="O162" s="7"/>
      <c r="P162" s="7"/>
      <c r="Q162" s="22"/>
      <c r="R162" s="22"/>
      <c r="S162" s="31">
        <f t="shared" si="55"/>
        <v>1</v>
      </c>
      <c r="T162" s="46" t="str">
        <f t="shared" si="59"/>
        <v>Southbound</v>
      </c>
      <c r="U162" s="193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4" t="str">
        <f t="shared" si="60"/>
        <v>https://d0f6bd738d7f1b3e5a7ca70fe4ff75f0.us-east-1.aws.found.io/app/kibana#/discover/Steve-Slow-Train-Analysis-(2080s-and-2083s)?_g=(refreshInterval:(display:Off,pause:!f,section:0,value:0),time:(from:'2017-02-21T05:07:49-0700',mode:absolute,to:'2017-02-21T07:24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2" s="195" t="str">
        <f t="shared" si="61"/>
        <v>N</v>
      </c>
      <c r="X162" s="195">
        <f t="shared" si="54"/>
        <v>1</v>
      </c>
      <c r="Y162" s="62">
        <f t="shared" si="70"/>
        <v>5.8611000000000004</v>
      </c>
      <c r="Z162" s="62">
        <f t="shared" si="71"/>
        <v>7.4800000000000005E-2</v>
      </c>
      <c r="AA162" s="62">
        <f t="shared" si="62"/>
        <v>5.7863000000000007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63"/>
        <v>0802-21</v>
      </c>
      <c r="AE162" s="85" t="str">
        <f t="shared" si="64"/>
        <v>aws s3 cp s3://rtdc.mdm.uploadarchive.raw/RTDC4021/ "%USERPROFILE%\AppData\Local\Temp\OnboardLogs"\RTDC4021\2017-02-21 --exclude "*" --recursive --include "*20170221*" &amp; "%USERPROFILE%\Documents\GitHub\mrs-test-scripts\Headless Mode &amp; Sideloading\WalkAndUnGZ.bat" "%USERPROFILE%\AppData\Local\Temp\OnboardLogs"\RTDC4021\2017-02-21 &amp; aws s3 cp s3://rtdc.mdm.uploadarchive.raw/RTDC4021/ "%USERPROFILE%\AppData\Local\Temp\OnboardLogs"\RTDC4021\2017-02-22 --exclude "*" --recursive --include "*20170222*" &amp; "%USERPROFILE%\Documents\GitHub\mrs-test-scripts\Headless Mode &amp; Sideloading\WalkAndUnGZ.bat" "%USERPROFILE%\AppData\Local\Temp\OnboardLogs"\RTDC4021\2017-02-22</v>
      </c>
      <c r="AF162" s="82" t="str">
        <f t="shared" si="65"/>
        <v>"C:\Program Files (x86)\AstroGrep\AstroGrep.exe" /spath="%USERPROFILE%\AppData\Local\Temp\OnboardLogs" /stypes="app*4021*20170221*" /stext=" 13:.+((SYSTEM_STATE.+slice.+state.+changed )|(ment ac)|(multiple cpu faults)|(system.+state.+changed )|(\[timeout)|(PRM\|1\|D)|(kpr)|(kdp)|(\|lc)|(penalty))" /e /r /s</v>
      </c>
      <c r="AG162" s="1" t="str">
        <f t="shared" si="66"/>
        <v>NW</v>
      </c>
      <c r="AH162" s="86" t="str">
        <f t="shared" si="67"/>
        <v>"%USERPROFILE%\Documents\GitHub\eaglep3\Utilities\RefineRTDCRunTimes.py" --tripid 802-21 --locoid 4021 --swversion DE.1.0.9.0 --startMP 300:58611 --initTime 2017-02-21T06:07:49 --startdatetime 2017-02-21T06:10:52 --delay 2 --endMP 204:748 --enddatetime 2017-02-21T06:24:45 --enforcementcount 0 &gt;&gt;C:\Users\stu\Documents\GitHub\eaglep3-reporting\EC\2017-02-21-refined-times.txt</v>
      </c>
      <c r="AI162" s="108" t="str">
        <f t="shared" si="68"/>
        <v>echo {"issue":{"subject":"","project_id":79,"tracker_id":40,"status_id":1,"priority_id":2,"assigned_to_id":23,"start_date":"2017-02-21","description":"","custom_fields":[{"id":1,"name":"Subdivision","value":"NW"},{"id":4,"name":"Milepost","value":"0.0748"},{"id":17,"name":"Train ID","value":"802-21"},{"id":16,"name":"Locomotive ID","value":"4021"},{"id":130,"name":"Impact","value":""},{"id":150,"name":"Time of Event (Mountain Time)","value":"06:24:45"},{"id":151,"name":"Denver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69"/>
        <v>start /low /b %USERPROFILE%\Documents\GitHub\eaglep3\Utilities\DownloadLogsFromS3.py --loco 4021 --day 2017-02-21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"%USERPROFILE%\AppData\Local\Temp\OnboardLogs"\RTDC4021\*4021*20170221* | grep -SE "(Enforcement Action)|(\[TIMEOUT)|(CHR.+\|PRM\|1\|D.+(SWITCH|SIGNAL).+UNKNOWN)" - &gt;&gt; 2017-02-21-UncaughtWiMAX.txt</v>
      </c>
    </row>
    <row r="163" spans="1:91" s="20" customFormat="1" x14ac:dyDescent="0.25">
      <c r="A163" s="33" t="s">
        <v>527</v>
      </c>
      <c r="B163" s="7">
        <v>4009</v>
      </c>
      <c r="C163" s="21" t="s">
        <v>359</v>
      </c>
      <c r="D163" s="21" t="s">
        <v>783</v>
      </c>
      <c r="E163" s="13">
        <v>42787.262372685182</v>
      </c>
      <c r="F163" s="13">
        <v>42787.264733796299</v>
      </c>
      <c r="G163" s="7">
        <v>1</v>
      </c>
      <c r="H163" s="21" t="s">
        <v>784</v>
      </c>
      <c r="I163" s="13">
        <v>42787.273946759262</v>
      </c>
      <c r="J163" s="7">
        <v>0</v>
      </c>
      <c r="K163" s="98" t="str">
        <f t="shared" si="57"/>
        <v>4009/4010</v>
      </c>
      <c r="L163" s="21" t="str">
        <f>VLOOKUP(A163,'Trips&amp;Operators'!$C$1:$G$99999,5,FALSE)</f>
        <v>BROWN JACOB</v>
      </c>
      <c r="M163" s="6">
        <f t="shared" si="58"/>
        <v>9.2129629629198462E-3</v>
      </c>
      <c r="N163" s="7">
        <f t="shared" si="56"/>
        <v>13.266666666604578</v>
      </c>
      <c r="O163" s="7"/>
      <c r="P163" s="7"/>
      <c r="Q163" s="22"/>
      <c r="R163" s="22"/>
      <c r="S163" s="31">
        <f t="shared" ref="S163:S194" si="72">SUM(U163:U163)/IF(AG163="EC",12,1)</f>
        <v>1</v>
      </c>
      <c r="T163" s="46" t="str">
        <f t="shared" si="59"/>
        <v>NorthBound</v>
      </c>
      <c r="U163" s="193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4" t="str">
        <f t="shared" si="60"/>
        <v>https://d0f6bd738d7f1b3e5a7ca70fe4ff75f0.us-east-1.aws.found.io/app/kibana#/discover/Steve-Slow-Train-Analysis-(2080s-and-2083s)?_g=(refreshInterval:(display:Off,pause:!f,section:0,value:0),time:(from:'2017-02-21T05:17:49-0700',mode:absolute,to:'2017-02-21T07:34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3" s="195" t="str">
        <f t="shared" si="61"/>
        <v>N</v>
      </c>
      <c r="X163" s="195">
        <f t="shared" si="54"/>
        <v>1</v>
      </c>
      <c r="Y163" s="62">
        <f t="shared" si="70"/>
        <v>0.1002</v>
      </c>
      <c r="Z163" s="62">
        <f t="shared" si="71"/>
        <v>5.8975999999999997</v>
      </c>
      <c r="AA163" s="62">
        <f t="shared" si="62"/>
        <v>5.7973999999999997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63"/>
        <v>0803-21</v>
      </c>
      <c r="AE163" s="85" t="str">
        <f t="shared" si="64"/>
        <v>aws s3 cp s3://rtdc.mdm.uploadarchive.raw/RTDC4009/ "%USERPROFILE%\AppData\Local\Temp\OnboardLogs"\RTDC4009\2017-02-21 --exclude "*" --recursive --include "*20170221*" &amp; "%USERPROFILE%\Documents\GitHub\mrs-test-scripts\Headless Mode &amp; Sideloading\WalkAndUnGZ.bat" "%USERPROFILE%\AppData\Local\Temp\OnboardLogs"\RTDC4009\2017-02-21 &amp; aws s3 cp s3://rtdc.mdm.uploadarchive.raw/RTDC4009/ "%USERPROFILE%\AppData\Local\Temp\OnboardLogs"\RTDC4009\2017-02-22 --exclude "*" --recursive --include "*20170222*" &amp; "%USERPROFILE%\Documents\GitHub\mrs-test-scripts\Headless Mode &amp; Sideloading\WalkAndUnGZ.bat" "%USERPROFILE%\AppData\Local\Temp\OnboardLogs"\RTDC4009\2017-02-22</v>
      </c>
      <c r="AF163" s="82" t="str">
        <f t="shared" si="65"/>
        <v>"C:\Program Files (x86)\AstroGrep\AstroGrep.exe" /spath="%USERPROFILE%\AppData\Local\Temp\OnboardLogs" /stypes="app*4009*20170221*" /stext=" 13:.+((SYSTEM_STATE.+slice.+state.+changed )|(ment ac)|(multiple cpu faults)|(system.+state.+changed )|(\[timeout)|(PRM\|1\|D)|(kpr)|(kdp)|(\|lc)|(penalty))" /e /r /s</v>
      </c>
      <c r="AG163" s="1" t="str">
        <f t="shared" si="66"/>
        <v>NW</v>
      </c>
      <c r="AH163" s="86" t="str">
        <f t="shared" si="67"/>
        <v>"%USERPROFILE%\Documents\GitHub\eaglep3\Utilities\RefineRTDCRunTimes.py" --tripid 803-21 --locoid 4009 --swversion DE.1.0.9.0 --startMP 204:1002 --initTime 2017-02-21T06:17:49 --startdatetime 2017-02-21T06:21:13 --delay 1 --endMP 300:58976 --enddatetime 2017-02-21T06:34:29 --enforcementcount 0 &gt;&gt;C:\Users\stu\Documents\GitHub\eaglep3-reporting\EC\2017-02-21-refined-times.txt</v>
      </c>
      <c r="AI163" s="108" t="str">
        <f t="shared" si="68"/>
        <v>echo {"issue":{"subject":"","project_id":79,"tracker_id":40,"status_id":1,"priority_id":2,"assigned_to_id":23,"start_date":"2017-02-21","description":"","custom_fields":[{"id":1,"name":"Subdivision","value":"NW"},{"id":4,"name":"Milepost","value":"5.8976"},{"id":17,"name":"Train ID","value":"803-21"},{"id":16,"name":"Locomotive ID","value":"4009"},{"id":130,"name":"Impact","value":""},{"id":150,"name":"Time of Event (Mountain Time)","value":"06:34:29"},{"id":151,"name":"Denver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69"/>
        <v>start /low /b %USERPROFILE%\Documents\GitHub\eaglep3\Utilities\DownloadLogsFromS3.py --loco 4009 --day 2017-02-21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"%USERPROFILE%\AppData\Local\Temp\OnboardLogs"\RTDC4009\*4009*20170221* | grep -SE "(Enforcement Action)|(\[TIMEOUT)|(CHR.+\|PRM\|1\|D.+(SWITCH|SIGNAL).+UNKNOWN)" - &gt;&gt; 2017-02-21-UncaughtWiMAX.txt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3" t="s">
        <v>530</v>
      </c>
      <c r="B164" s="7">
        <v>4010</v>
      </c>
      <c r="C164" s="21" t="s">
        <v>359</v>
      </c>
      <c r="D164" s="21" t="s">
        <v>443</v>
      </c>
      <c r="E164" s="13">
        <v>42787.27480324074</v>
      </c>
      <c r="F164" s="13">
        <v>42787.276006944441</v>
      </c>
      <c r="G164" s="7">
        <v>1</v>
      </c>
      <c r="H164" s="21" t="s">
        <v>785</v>
      </c>
      <c r="I164" s="13">
        <v>42787.288831018515</v>
      </c>
      <c r="J164" s="7">
        <v>0</v>
      </c>
      <c r="K164" s="98" t="str">
        <f t="shared" si="57"/>
        <v>4009/4010</v>
      </c>
      <c r="L164" s="21" t="str">
        <f>VLOOKUP(A164,'Trips&amp;Operators'!$C$1:$G$99999,5,FALSE)</f>
        <v>BROWN JACOB</v>
      </c>
      <c r="M164" s="6">
        <f t="shared" si="58"/>
        <v>1.2824074074160308E-2</v>
      </c>
      <c r="N164" s="7">
        <f t="shared" si="56"/>
        <v>18.466666666790843</v>
      </c>
      <c r="O164" s="7"/>
      <c r="P164" s="7"/>
      <c r="Q164" s="22"/>
      <c r="R164" s="22"/>
      <c r="S164" s="31">
        <f t="shared" si="72"/>
        <v>1</v>
      </c>
      <c r="T164" s="46" t="str">
        <f t="shared" si="59"/>
        <v>Southbound</v>
      </c>
      <c r="U164" s="193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4" t="str">
        <f t="shared" si="60"/>
        <v>https://d0f6bd738d7f1b3e5a7ca70fe4ff75f0.us-east-1.aws.found.io/app/kibana#/discover/Steve-Slow-Train-Analysis-(2080s-and-2083s)?_g=(refreshInterval:(display:Off,pause:!f,section:0,value:0),time:(from:'2017-02-21T05:35:43-0700',mode:absolute,to:'2017-02-21T07:55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4" s="195" t="str">
        <f t="shared" si="61"/>
        <v>N</v>
      </c>
      <c r="X164" s="195">
        <f t="shared" si="54"/>
        <v>1</v>
      </c>
      <c r="Y164" s="62">
        <f t="shared" si="70"/>
        <v>5.8655999999999997</v>
      </c>
      <c r="Z164" s="62">
        <f t="shared" si="71"/>
        <v>6.9900000000000004E-2</v>
      </c>
      <c r="AA164" s="62">
        <f t="shared" si="62"/>
        <v>5.7957000000000001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63"/>
        <v>0804-21</v>
      </c>
      <c r="AE164" s="85" t="str">
        <f t="shared" si="64"/>
        <v>aws s3 cp s3://rtdc.mdm.uploadarchive.raw/RTDC4010/ "%USERPROFILE%\AppData\Local\Temp\OnboardLogs"\RTDC4010\2017-02-21 --exclude "*" --recursive --include "*20170221*" &amp; "%USERPROFILE%\Documents\GitHub\mrs-test-scripts\Headless Mode &amp; Sideloading\WalkAndUnGZ.bat" "%USERPROFILE%\AppData\Local\Temp\OnboardLogs"\RTDC4010\2017-02-21 &amp; aws s3 cp s3://rtdc.mdm.uploadarchive.raw/RTDC4010/ "%USERPROFILE%\AppData\Local\Temp\OnboardLogs"\RTDC4010\2017-02-22 --exclude "*" --recursive --include "*20170222*" &amp; "%USERPROFILE%\Documents\GitHub\mrs-test-scripts\Headless Mode &amp; Sideloading\WalkAndUnGZ.bat" "%USERPROFILE%\AppData\Local\Temp\OnboardLogs"\RTDC4010\2017-02-22</v>
      </c>
      <c r="AF164" s="82" t="str">
        <f t="shared" si="65"/>
        <v>"C:\Program Files (x86)\AstroGrep\AstroGrep.exe" /spath="%USERPROFILE%\AppData\Local\Temp\OnboardLogs" /stypes="app*4010*20170221*" /stext=" 13:.+((SYSTEM_STATE.+slice.+state.+changed )|(ment ac)|(multiple cpu faults)|(system.+state.+changed )|(\[timeout)|(PRM\|1\|D)|(kpr)|(kdp)|(\|lc)|(penalty))" /e /r /s</v>
      </c>
      <c r="AG164" s="1" t="str">
        <f t="shared" si="66"/>
        <v>NW</v>
      </c>
      <c r="AH164" s="86" t="str">
        <f t="shared" si="67"/>
        <v>"%USERPROFILE%\Documents\GitHub\eaglep3\Utilities\RefineRTDCRunTimes.py" --tripid 804-21 --locoid 4010 --swversion DE.1.0.9.0 --startMP 300:58656 --initTime 2017-02-21T06:35:43 --startdatetime 2017-02-21T06:37:27 --delay 1 --endMP 204:699 --enddatetime 2017-02-21T06:55:55 --enforcementcount 0 &gt;&gt;C:\Users\stu\Documents\GitHub\eaglep3-reporting\EC\2017-02-21-refined-times.txt</v>
      </c>
      <c r="AI164" s="108" t="str">
        <f t="shared" si="68"/>
        <v>echo {"issue":{"subject":"","project_id":79,"tracker_id":40,"status_id":1,"priority_id":2,"assigned_to_id":23,"start_date":"2017-02-21","description":"","custom_fields":[{"id":1,"name":"Subdivision","value":"NW"},{"id":4,"name":"Milepost","value":"0.0699"},{"id":17,"name":"Train ID","value":"804-21"},{"id":16,"name":"Locomotive ID","value":"4010"},{"id":130,"name":"Impact","value":""},{"id":150,"name":"Time of Event (Mountain Time)","value":"06:55:55"},{"id":151,"name":"Denver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69"/>
        <v>start /low /b %USERPROFILE%\Documents\GitHub\eaglep3\Utilities\DownloadLogsFromS3.py --loco 4010 --day 2017-02-21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"%USERPROFILE%\AppData\Local\Temp\OnboardLogs"\RTDC4010\*4010*20170221* | grep -SE "(Enforcement Action)|(\[TIMEOUT)|(CHR.+\|PRM\|1\|D.+(SWITCH|SIGNAL).+UNKNOWN)" - &gt;&gt; 2017-02-21-UncaughtWiMAX.txt</v>
      </c>
    </row>
    <row r="165" spans="1:91" s="20" customFormat="1" x14ac:dyDescent="0.25">
      <c r="A165" s="33" t="s">
        <v>528</v>
      </c>
      <c r="B165" s="7">
        <v>4022</v>
      </c>
      <c r="C165" s="21" t="s">
        <v>359</v>
      </c>
      <c r="D165" s="21" t="s">
        <v>786</v>
      </c>
      <c r="E165" s="13">
        <v>42787.268541666665</v>
      </c>
      <c r="F165" s="13">
        <v>42787.285601851851</v>
      </c>
      <c r="G165" s="7">
        <v>0</v>
      </c>
      <c r="H165" s="21" t="s">
        <v>787</v>
      </c>
      <c r="I165" s="13">
        <v>42787.29409722222</v>
      </c>
      <c r="J165" s="7">
        <v>0</v>
      </c>
      <c r="K165" s="98" t="str">
        <f t="shared" si="57"/>
        <v>4021/4022</v>
      </c>
      <c r="L165" s="21" t="str">
        <f>VLOOKUP(A165,'Trips&amp;Operators'!$C$1:$G$99999,5,FALSE)</f>
        <v>YORK EDGAR</v>
      </c>
      <c r="M165" s="6">
        <f t="shared" si="58"/>
        <v>8.4953703699284233E-3</v>
      </c>
      <c r="N165" s="7">
        <f t="shared" ref="N165:N196" si="73">24*60*SUM($M165:$M165)</f>
        <v>12.23333333269693</v>
      </c>
      <c r="O165" s="7"/>
      <c r="P165" s="7"/>
      <c r="Q165" s="22"/>
      <c r="R165" s="22"/>
      <c r="S165" s="31">
        <f t="shared" si="72"/>
        <v>1</v>
      </c>
      <c r="T165" s="46" t="str">
        <f t="shared" si="59"/>
        <v>NorthBound</v>
      </c>
      <c r="U165" s="193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4" t="str">
        <f t="shared" si="60"/>
        <v>https://d0f6bd738d7f1b3e5a7ca70fe4ff75f0.us-east-1.aws.found.io/app/kibana#/discover/Steve-Slow-Train-Analysis-(2080s-and-2083s)?_g=(refreshInterval:(display:Off,pause:!f,section:0,value:0),time:(from:'2017-02-21T05:26:42-0700',mode:absolute,to:'2017-02-21T08:03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5" s="195" t="str">
        <f t="shared" si="61"/>
        <v>N</v>
      </c>
      <c r="X165" s="195">
        <f t="shared" si="54"/>
        <v>1</v>
      </c>
      <c r="Y165" s="62">
        <f t="shared" si="70"/>
        <v>0.1041</v>
      </c>
      <c r="Z165" s="62">
        <f t="shared" si="71"/>
        <v>5.8954000000000004</v>
      </c>
      <c r="AA165" s="62">
        <f t="shared" si="62"/>
        <v>5.7913000000000006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63"/>
        <v>0805-21</v>
      </c>
      <c r="AE165" s="85" t="str">
        <f t="shared" si="64"/>
        <v>aws s3 cp s3://rtdc.mdm.uploadarchive.raw/RTDC4022/ "%USERPROFILE%\AppData\Local\Temp\OnboardLogs"\RTDC4022\2017-02-21 --exclude "*" --recursive --include "*20170221*" &amp; "%USERPROFILE%\Documents\GitHub\mrs-test-scripts\Headless Mode &amp; Sideloading\WalkAndUnGZ.bat" "%USERPROFILE%\AppData\Local\Temp\OnboardLogs"\RTDC4022\2017-02-21 &amp; aws s3 cp s3://rtdc.mdm.uploadarchive.raw/RTDC4022/ "%USERPROFILE%\AppData\Local\Temp\OnboardLogs"\RTDC4022\2017-02-22 --exclude "*" --recursive --include "*20170222*" &amp; "%USERPROFILE%\Documents\GitHub\mrs-test-scripts\Headless Mode &amp; Sideloading\WalkAndUnGZ.bat" "%USERPROFILE%\AppData\Local\Temp\OnboardLogs"\RTDC4022\2017-02-22</v>
      </c>
      <c r="AF165" s="82" t="str">
        <f t="shared" si="65"/>
        <v>"C:\Program Files (x86)\AstroGrep\AstroGrep.exe" /spath="%USERPROFILE%\AppData\Local\Temp\OnboardLogs" /stypes="app*4022*20170221*" /stext=" 14:.+((SYSTEM_STATE.+slice.+state.+changed )|(ment ac)|(multiple cpu faults)|(system.+state.+changed )|(\[timeout)|(PRM\|1\|D)|(kpr)|(kdp)|(\|lc)|(penalty))" /e /r /s</v>
      </c>
      <c r="AG165" s="1" t="str">
        <f t="shared" si="66"/>
        <v>NW</v>
      </c>
      <c r="AH165" s="86" t="str">
        <f t="shared" si="67"/>
        <v>"%USERPROFILE%\Documents\GitHub\eaglep3\Utilities\RefineRTDCRunTimes.py" --tripid 805-21 --locoid 4022 --swversion DE.1.0.9.0 --startMP 204:1041 --initTime 2017-02-21T06:26:42 --startdatetime 2017-02-21T06:51:16 --delay 0 --endMP 300:58954 --enddatetime 2017-02-21T07:03:30 --enforcementcount 0 &gt;&gt;C:\Users\stu\Documents\GitHub\eaglep3-reporting\EC\2017-02-21-refined-times.txt</v>
      </c>
      <c r="AI165" s="108" t="str">
        <f t="shared" si="68"/>
        <v>echo {"issue":{"subject":"","project_id":79,"tracker_id":40,"status_id":1,"priority_id":2,"assigned_to_id":23,"start_date":"2017-02-21","description":"","custom_fields":[{"id":1,"name":"Subdivision","value":"NW"},{"id":4,"name":"Milepost","value":"5.8954"},{"id":17,"name":"Train ID","value":"805-21"},{"id":16,"name":"Locomotive ID","value":"4022"},{"id":130,"name":"Impact","value":""},{"id":150,"name":"Time of Event (Mountain Time)","value":"07:03:30"},{"id":151,"name":"Denver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69"/>
        <v>start /low /b %USERPROFILE%\Documents\GitHub\eaglep3\Utilities\DownloadLogsFromS3.py --loco 4022 --day 2017-02-21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"%USERPROFILE%\AppData\Local\Temp\OnboardLogs"\RTDC4022\*4022*20170221* | grep -SE "(Enforcement Action)|(\[TIMEOUT)|(CHR.+\|PRM\|1\|D.+(SWITCH|SIGNAL).+UNKNOWN)" - &gt;&gt; 2017-02-21-UncaughtWiMAX.txt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3" t="s">
        <v>533</v>
      </c>
      <c r="B166" s="7">
        <v>4021</v>
      </c>
      <c r="C166" s="21" t="s">
        <v>359</v>
      </c>
      <c r="D166" s="21" t="s">
        <v>788</v>
      </c>
      <c r="E166" s="13">
        <v>42787.295289351852</v>
      </c>
      <c r="F166" s="13">
        <v>42787.300358796296</v>
      </c>
      <c r="G166" s="7">
        <v>0</v>
      </c>
      <c r="H166" s="21" t="s">
        <v>789</v>
      </c>
      <c r="I166" s="13">
        <v>42787.309733796297</v>
      </c>
      <c r="J166" s="7">
        <v>0</v>
      </c>
      <c r="K166" s="98" t="str">
        <f t="shared" si="57"/>
        <v>4021/4022</v>
      </c>
      <c r="L166" s="21" t="str">
        <f>VLOOKUP(A166,'Trips&amp;Operators'!$C$1:$G$99999,5,FALSE)</f>
        <v>YORK EDGAR</v>
      </c>
      <c r="M166" s="6">
        <f t="shared" si="58"/>
        <v>9.3750000014551915E-3</v>
      </c>
      <c r="N166" s="7">
        <f t="shared" si="73"/>
        <v>13.500000002095476</v>
      </c>
      <c r="O166" s="7"/>
      <c r="P166" s="7"/>
      <c r="Q166" s="22"/>
      <c r="R166" s="22"/>
      <c r="S166" s="31">
        <f t="shared" si="72"/>
        <v>1</v>
      </c>
      <c r="T166" s="46" t="str">
        <f t="shared" si="59"/>
        <v>Southbound</v>
      </c>
      <c r="U166" s="193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4" t="str">
        <f t="shared" si="60"/>
        <v>https://d0f6bd738d7f1b3e5a7ca70fe4ff75f0.us-east-1.aws.found.io/app/kibana#/discover/Steve-Slow-Train-Analysis-(2080s-and-2083s)?_g=(refreshInterval:(display:Off,pause:!f,section:0,value:0),time:(from:'2017-02-21T06:05:13-0700',mode:absolute,to:'2017-02-21T08:26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6" s="195" t="str">
        <f t="shared" si="61"/>
        <v>N</v>
      </c>
      <c r="X166" s="195">
        <f t="shared" si="54"/>
        <v>1</v>
      </c>
      <c r="Y166" s="62">
        <f t="shared" si="70"/>
        <v>5.8624000000000001</v>
      </c>
      <c r="Z166" s="62">
        <f t="shared" si="71"/>
        <v>7.3999999999999996E-2</v>
      </c>
      <c r="AA166" s="62">
        <f t="shared" si="62"/>
        <v>5.7884000000000002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63"/>
        <v>0806-21</v>
      </c>
      <c r="AE166" s="85" t="str">
        <f t="shared" si="64"/>
        <v>aws s3 cp s3://rtdc.mdm.uploadarchive.raw/RTDC4021/ "%USERPROFILE%\AppData\Local\Temp\OnboardLogs"\RTDC4021\2017-02-21 --exclude "*" --recursive --include "*20170221*" &amp; "%USERPROFILE%\Documents\GitHub\mrs-test-scripts\Headless Mode &amp; Sideloading\WalkAndUnGZ.bat" "%USERPROFILE%\AppData\Local\Temp\OnboardLogs"\RTDC4021\2017-02-21 &amp; aws s3 cp s3://rtdc.mdm.uploadarchive.raw/RTDC4021/ "%USERPROFILE%\AppData\Local\Temp\OnboardLogs"\RTDC4021\2017-02-22 --exclude "*" --recursive --include "*20170222*" &amp; "%USERPROFILE%\Documents\GitHub\mrs-test-scripts\Headless Mode &amp; Sideloading\WalkAndUnGZ.bat" "%USERPROFILE%\AppData\Local\Temp\OnboardLogs"\RTDC4021\2017-02-22</v>
      </c>
      <c r="AF166" s="82" t="str">
        <f t="shared" si="65"/>
        <v>"C:\Program Files (x86)\AstroGrep\AstroGrep.exe" /spath="%USERPROFILE%\AppData\Local\Temp\OnboardLogs" /stypes="app*4021*20170221*" /stext=" 14:.+((SYSTEM_STATE.+slice.+state.+changed )|(ment ac)|(multiple cpu faults)|(system.+state.+changed )|(\[timeout)|(PRM\|1\|D)|(kpr)|(kdp)|(\|lc)|(penalty))" /e /r /s</v>
      </c>
      <c r="AG166" s="1" t="str">
        <f t="shared" si="66"/>
        <v>NW</v>
      </c>
      <c r="AH166" s="86" t="str">
        <f t="shared" si="67"/>
        <v>"%USERPROFILE%\Documents\GitHub\eaglep3\Utilities\RefineRTDCRunTimes.py" --tripid 806-21 --locoid 4021 --swversion DE.1.0.9.0 --startMP 300:58624 --initTime 2017-02-21T07:05:13 --startdatetime 2017-02-21T07:12:31 --delay 0 --endMP 204:740 --enddatetime 2017-02-21T07:26:01 --enforcementcount 0 &gt;&gt;C:\Users\stu\Documents\GitHub\eaglep3-reporting\EC\2017-02-21-refined-times.txt</v>
      </c>
      <c r="AI166" s="108" t="str">
        <f t="shared" si="68"/>
        <v>echo {"issue":{"subject":"","project_id":79,"tracker_id":40,"status_id":1,"priority_id":2,"assigned_to_id":23,"start_date":"2017-02-21","description":"","custom_fields":[{"id":1,"name":"Subdivision","value":"NW"},{"id":4,"name":"Milepost","value":"0.074"},{"id":17,"name":"Train ID","value":"806-21"},{"id":16,"name":"Locomotive ID","value":"4021"},{"id":130,"name":"Impact","value":""},{"id":150,"name":"Time of Event (Mountain Time)","value":"07:26:01"},{"id":151,"name":"Denver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69"/>
        <v>start /low /b %USERPROFILE%\Documents\GitHub\eaglep3\Utilities\DownloadLogsFromS3.py --loco 4021 --day 2017-02-21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"%USERPROFILE%\AppData\Local\Temp\OnboardLogs"\RTDC4021\*4021*20170221* | grep -SE "(Enforcement Action)|(\[TIMEOUT)|(CHR.+\|PRM\|1\|D.+(SWITCH|SIGNAL).+UNKNOWN)" - &gt;&gt; 2017-02-21-UncaughtWiMAX.txt</v>
      </c>
    </row>
    <row r="167" spans="1:91" s="20" customFormat="1" x14ac:dyDescent="0.25">
      <c r="A167" s="33" t="s">
        <v>536</v>
      </c>
      <c r="B167" s="7">
        <v>4009</v>
      </c>
      <c r="C167" s="21" t="s">
        <v>359</v>
      </c>
      <c r="D167" s="21" t="s">
        <v>790</v>
      </c>
      <c r="E167" s="13">
        <v>42787.306238425925</v>
      </c>
      <c r="F167" s="13">
        <v>42787.307314814818</v>
      </c>
      <c r="G167" s="7">
        <v>1</v>
      </c>
      <c r="H167" s="21" t="s">
        <v>791</v>
      </c>
      <c r="I167" s="13">
        <v>42787.316435185188</v>
      </c>
      <c r="J167" s="7">
        <v>0</v>
      </c>
      <c r="K167" s="98" t="str">
        <f t="shared" si="57"/>
        <v>4009/4010</v>
      </c>
      <c r="L167" s="21" t="str">
        <f>VLOOKUP(A167,'Trips&amp;Operators'!$C$1:$G$99999,5,FALSE)</f>
        <v>BROWN JACOB</v>
      </c>
      <c r="M167" s="6">
        <f t="shared" si="58"/>
        <v>9.1203703705104999E-3</v>
      </c>
      <c r="N167" s="7">
        <f t="shared" si="73"/>
        <v>13.13333333353512</v>
      </c>
      <c r="O167" s="7"/>
      <c r="P167" s="7"/>
      <c r="Q167" s="22"/>
      <c r="R167" s="22"/>
      <c r="S167" s="31">
        <f t="shared" si="72"/>
        <v>1</v>
      </c>
      <c r="T167" s="46" t="str">
        <f t="shared" si="59"/>
        <v>NorthBound</v>
      </c>
      <c r="U167" s="193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4" t="str">
        <f t="shared" si="60"/>
        <v>https://d0f6bd738d7f1b3e5a7ca70fe4ff75f0.us-east-1.aws.found.io/app/kibana#/discover/Steve-Slow-Train-Analysis-(2080s-and-2083s)?_g=(refreshInterval:(display:Off,pause:!f,section:0,value:0),time:(from:'2017-02-21T06:20:59-0700',mode:absolute,to:'2017-02-21T08:35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7" s="195" t="str">
        <f t="shared" si="61"/>
        <v>N</v>
      </c>
      <c r="X167" s="195">
        <f t="shared" ref="X167:X169" si="74">VALUE(LEFT(AD167,4))-VALUE(LEFT(AD166,4))</f>
        <v>1</v>
      </c>
      <c r="Y167" s="62">
        <f t="shared" si="70"/>
        <v>9.9900000000000003E-2</v>
      </c>
      <c r="Z167" s="62">
        <f t="shared" si="71"/>
        <v>5.8959999999999999</v>
      </c>
      <c r="AA167" s="62">
        <f t="shared" si="62"/>
        <v>5.7961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63"/>
        <v>0807-21</v>
      </c>
      <c r="AE167" s="85" t="str">
        <f t="shared" si="64"/>
        <v>aws s3 cp s3://rtdc.mdm.uploadarchive.raw/RTDC4009/ "%USERPROFILE%\AppData\Local\Temp\OnboardLogs"\RTDC4009\2017-02-21 --exclude "*" --recursive --include "*20170221*" &amp; "%USERPROFILE%\Documents\GitHub\mrs-test-scripts\Headless Mode &amp; Sideloading\WalkAndUnGZ.bat" "%USERPROFILE%\AppData\Local\Temp\OnboardLogs"\RTDC4009\2017-02-21 &amp; aws s3 cp s3://rtdc.mdm.uploadarchive.raw/RTDC4009/ "%USERPROFILE%\AppData\Local\Temp\OnboardLogs"\RTDC4009\2017-02-22 --exclude "*" --recursive --include "*20170222*" &amp; "%USERPROFILE%\Documents\GitHub\mrs-test-scripts\Headless Mode &amp; Sideloading\WalkAndUnGZ.bat" "%USERPROFILE%\AppData\Local\Temp\OnboardLogs"\RTDC4009\2017-02-22</v>
      </c>
      <c r="AF167" s="82" t="str">
        <f t="shared" si="65"/>
        <v>"C:\Program Files (x86)\AstroGrep\AstroGrep.exe" /spath="%USERPROFILE%\AppData\Local\Temp\OnboardLogs" /stypes="app*4009*20170221*" /stext=" 14:.+((SYSTEM_STATE.+slice.+state.+changed )|(ment ac)|(multiple cpu faults)|(system.+state.+changed )|(\[timeout)|(PRM\|1\|D)|(kpr)|(kdp)|(\|lc)|(penalty))" /e /r /s</v>
      </c>
      <c r="AG167" s="1" t="str">
        <f t="shared" si="66"/>
        <v>NW</v>
      </c>
      <c r="AH167" s="86" t="str">
        <f t="shared" si="67"/>
        <v>"%USERPROFILE%\Documents\GitHub\eaglep3\Utilities\RefineRTDCRunTimes.py" --tripid 807-21 --locoid 4009 --swversion DE.1.0.9.0 --startMP 204:999 --initTime 2017-02-21T07:20:59 --startdatetime 2017-02-21T07:22:32 --delay 1 --endMP 300:58960 --enddatetime 2017-02-21T07:35:40 --enforcementcount 0 &gt;&gt;C:\Users\stu\Documents\GitHub\eaglep3-reporting\EC\2017-02-21-refined-times.txt</v>
      </c>
      <c r="AI167" s="108" t="str">
        <f t="shared" si="68"/>
        <v>echo {"issue":{"subject":"","project_id":79,"tracker_id":40,"status_id":1,"priority_id":2,"assigned_to_id":23,"start_date":"2017-02-21","description":"","custom_fields":[{"id":1,"name":"Subdivision","value":"NW"},{"id":4,"name":"Milepost","value":"5.896"},{"id":17,"name":"Train ID","value":"807-21"},{"id":16,"name":"Locomotive ID","value":"4009"},{"id":130,"name":"Impact","value":""},{"id":150,"name":"Time of Event (Mountain Time)","value":"07:35:40"},{"id":151,"name":"Denver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69"/>
        <v>start /low /b %USERPROFILE%\Documents\GitHub\eaglep3\Utilities\DownloadLogsFromS3.py --loco 4009 --day 2017-02-21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"%USERPROFILE%\AppData\Local\Temp\OnboardLogs"\RTDC4009\*4009*20170221* | grep -SE "(Enforcement Action)|(\[TIMEOUT)|(CHR.+\|PRM\|1\|D.+(SWITCH|SIGNAL).+UNKNOWN)" - &gt;&gt; 2017-02-21-UncaughtWiMAX.txt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3" t="s">
        <v>539</v>
      </c>
      <c r="B168" s="7">
        <v>4010</v>
      </c>
      <c r="C168" s="21" t="s">
        <v>359</v>
      </c>
      <c r="D168" s="21" t="s">
        <v>792</v>
      </c>
      <c r="E168" s="13">
        <v>42787.317280092589</v>
      </c>
      <c r="F168" s="13">
        <v>42787.318541666667</v>
      </c>
      <c r="G168" s="7">
        <v>1</v>
      </c>
      <c r="H168" s="21" t="s">
        <v>793</v>
      </c>
      <c r="I168" s="13">
        <v>42787.33048611111</v>
      </c>
      <c r="J168" s="7">
        <v>0</v>
      </c>
      <c r="K168" s="98" t="str">
        <f t="shared" si="57"/>
        <v>4009/4010</v>
      </c>
      <c r="L168" s="21" t="str">
        <f>VLOOKUP(A168,'Trips&amp;Operators'!$C$1:$G$99999,5,FALSE)</f>
        <v>BROWN JACOB</v>
      </c>
      <c r="M168" s="6">
        <f t="shared" si="58"/>
        <v>1.1944444442633539E-2</v>
      </c>
      <c r="N168" s="7">
        <f t="shared" si="73"/>
        <v>17.199999997392297</v>
      </c>
      <c r="O168" s="7"/>
      <c r="P168" s="7"/>
      <c r="Q168" s="22"/>
      <c r="R168" s="22"/>
      <c r="S168" s="31">
        <f t="shared" si="72"/>
        <v>1</v>
      </c>
      <c r="T168" s="46" t="str">
        <f t="shared" si="59"/>
        <v>Southbound</v>
      </c>
      <c r="U168" s="193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4" t="str">
        <f t="shared" si="60"/>
        <v>https://d0f6bd738d7f1b3e5a7ca70fe4ff75f0.us-east-1.aws.found.io/app/kibana#/discover/Steve-Slow-Train-Analysis-(2080s-and-2083s)?_g=(refreshInterval:(display:Off,pause:!f,section:0,value:0),time:(from:'2017-02-21T06:36:53-0700',mode:absolute,to:'2017-02-21T08:55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8" s="195" t="str">
        <f t="shared" si="61"/>
        <v>N</v>
      </c>
      <c r="X168" s="195">
        <f t="shared" si="74"/>
        <v>1</v>
      </c>
      <c r="Y168" s="62">
        <f t="shared" si="70"/>
        <v>5.8640999999999996</v>
      </c>
      <c r="Z168" s="62">
        <f t="shared" si="71"/>
        <v>7.4099999999999999E-2</v>
      </c>
      <c r="AA168" s="62">
        <f t="shared" si="62"/>
        <v>5.79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63"/>
        <v>0808-21</v>
      </c>
      <c r="AE168" s="85" t="str">
        <f t="shared" si="64"/>
        <v>aws s3 cp s3://rtdc.mdm.uploadarchive.raw/RTDC4010/ "%USERPROFILE%\AppData\Local\Temp\OnboardLogs"\RTDC4010\2017-02-21 --exclude "*" --recursive --include "*20170221*" &amp; "%USERPROFILE%\Documents\GitHub\mrs-test-scripts\Headless Mode &amp; Sideloading\WalkAndUnGZ.bat" "%USERPROFILE%\AppData\Local\Temp\OnboardLogs"\RTDC4010\2017-02-21 &amp; aws s3 cp s3://rtdc.mdm.uploadarchive.raw/RTDC4010/ "%USERPROFILE%\AppData\Local\Temp\OnboardLogs"\RTDC4010\2017-02-22 --exclude "*" --recursive --include "*20170222*" &amp; "%USERPROFILE%\Documents\GitHub\mrs-test-scripts\Headless Mode &amp; Sideloading\WalkAndUnGZ.bat" "%USERPROFILE%\AppData\Local\Temp\OnboardLogs"\RTDC4010\2017-02-22</v>
      </c>
      <c r="AF168" s="82" t="str">
        <f t="shared" si="65"/>
        <v>"C:\Program Files (x86)\AstroGrep\AstroGrep.exe" /spath="%USERPROFILE%\AppData\Local\Temp\OnboardLogs" /stypes="app*4010*20170221*" /stext=" 14:.+((SYSTEM_STATE.+slice.+state.+changed )|(ment ac)|(multiple cpu faults)|(system.+state.+changed )|(\[timeout)|(PRM\|1\|D)|(kpr)|(kdp)|(\|lc)|(penalty))" /e /r /s</v>
      </c>
      <c r="AG168" s="1" t="str">
        <f t="shared" si="66"/>
        <v>NW</v>
      </c>
      <c r="AH168" s="86" t="str">
        <f t="shared" si="67"/>
        <v>"%USERPROFILE%\Documents\GitHub\eaglep3\Utilities\RefineRTDCRunTimes.py" --tripid 808-21 --locoid 4010 --swversion DE.1.0.9.0 --startMP 300:58641 --initTime 2017-02-21T07:36:53 --startdatetime 2017-02-21T07:38:42 --delay 1 --endMP 204:741 --enddatetime 2017-02-21T07:55:54 --enforcementcount 0 &gt;&gt;C:\Users\stu\Documents\GitHub\eaglep3-reporting\EC\2017-02-21-refined-times.txt</v>
      </c>
      <c r="AI168" s="108" t="str">
        <f t="shared" si="68"/>
        <v>echo {"issue":{"subject":"","project_id":79,"tracker_id":40,"status_id":1,"priority_id":2,"assigned_to_id":23,"start_date":"2017-02-21","description":"","custom_fields":[{"id":1,"name":"Subdivision","value":"NW"},{"id":4,"name":"Milepost","value":"0.0741"},{"id":17,"name":"Train ID","value":"808-21"},{"id":16,"name":"Locomotive ID","value":"4010"},{"id":130,"name":"Impact","value":""},{"id":150,"name":"Time of Event (Mountain Time)","value":"07:55:54"},{"id":151,"name":"Denver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69"/>
        <v>start /low /b %USERPROFILE%\Documents\GitHub\eaglep3\Utilities\DownloadLogsFromS3.py --loco 4010 --day 2017-02-21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"%USERPROFILE%\AppData\Local\Temp\OnboardLogs"\RTDC4010\*4010*20170221* | grep -SE "(Enforcement Action)|(\[TIMEOUT)|(CHR.+\|PRM\|1\|D.+(SWITCH|SIGNAL).+UNKNOWN)" - &gt;&gt; 2017-02-21-UncaughtWiMAX.txt</v>
      </c>
    </row>
    <row r="169" spans="1:91" s="20" customFormat="1" x14ac:dyDescent="0.25">
      <c r="A169" s="33" t="s">
        <v>538</v>
      </c>
      <c r="B169" s="7">
        <v>4022</v>
      </c>
      <c r="C169" s="21" t="s">
        <v>359</v>
      </c>
      <c r="D169" s="21" t="s">
        <v>794</v>
      </c>
      <c r="E169" s="13">
        <v>42787.311215277776</v>
      </c>
      <c r="F169" s="13">
        <v>42787.327291666668</v>
      </c>
      <c r="G169" s="7">
        <v>0</v>
      </c>
      <c r="H169" s="21" t="s">
        <v>795</v>
      </c>
      <c r="I169" s="13">
        <v>42787.336041666669</v>
      </c>
      <c r="J169" s="7">
        <v>0</v>
      </c>
      <c r="K169" s="98" t="str">
        <f t="shared" si="57"/>
        <v>4021/4022</v>
      </c>
      <c r="L169" s="21" t="str">
        <f>VLOOKUP(A169,'Trips&amp;Operators'!$C$1:$G$99999,5,FALSE)</f>
        <v>YORK EDGAR</v>
      </c>
      <c r="M169" s="6">
        <f t="shared" si="58"/>
        <v>8.7500000008731149E-3</v>
      </c>
      <c r="N169" s="7">
        <f t="shared" si="73"/>
        <v>12.600000001257285</v>
      </c>
      <c r="O169" s="7"/>
      <c r="P169" s="7"/>
      <c r="Q169" s="22"/>
      <c r="R169" s="22"/>
      <c r="S169" s="31">
        <f t="shared" si="72"/>
        <v>1</v>
      </c>
      <c r="T169" s="46" t="str">
        <f t="shared" si="59"/>
        <v>NorthBound</v>
      </c>
      <c r="U169" s="193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4" t="str">
        <f t="shared" si="60"/>
        <v>https://d0f6bd738d7f1b3e5a7ca70fe4ff75f0.us-east-1.aws.found.io/app/kibana#/discover/Steve-Slow-Train-Analysis-(2080s-and-2083s)?_g=(refreshInterval:(display:Off,pause:!f,section:0,value:0),time:(from:'2017-02-21T06:28:09-0700',mode:absolute,to:'2017-02-21T09:03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9" s="195" t="str">
        <f t="shared" si="61"/>
        <v>N</v>
      </c>
      <c r="X169" s="195">
        <f t="shared" si="74"/>
        <v>1</v>
      </c>
      <c r="Y169" s="62">
        <f t="shared" si="70"/>
        <v>0.10349999999999999</v>
      </c>
      <c r="Z169" s="62">
        <f t="shared" si="71"/>
        <v>5.8943000000000003</v>
      </c>
      <c r="AA169" s="62">
        <f t="shared" si="62"/>
        <v>5.7907999999999999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63"/>
        <v>0809-21</v>
      </c>
      <c r="AE169" s="85" t="str">
        <f t="shared" si="64"/>
        <v>aws s3 cp s3://rtdc.mdm.uploadarchive.raw/RTDC4022/ "%USERPROFILE%\AppData\Local\Temp\OnboardLogs"\RTDC4022\2017-02-21 --exclude "*" --recursive --include "*20170221*" &amp; "%USERPROFILE%\Documents\GitHub\mrs-test-scripts\Headless Mode &amp; Sideloading\WalkAndUnGZ.bat" "%USERPROFILE%\AppData\Local\Temp\OnboardLogs"\RTDC4022\2017-02-21 &amp; aws s3 cp s3://rtdc.mdm.uploadarchive.raw/RTDC4022/ "%USERPROFILE%\AppData\Local\Temp\OnboardLogs"\RTDC4022\2017-02-22 --exclude "*" --recursive --include "*20170222*" &amp; "%USERPROFILE%\Documents\GitHub\mrs-test-scripts\Headless Mode &amp; Sideloading\WalkAndUnGZ.bat" "%USERPROFILE%\AppData\Local\Temp\OnboardLogs"\RTDC4022\2017-02-22</v>
      </c>
      <c r="AF169" s="82" t="str">
        <f t="shared" si="65"/>
        <v>"C:\Program Files (x86)\AstroGrep\AstroGrep.exe" /spath="%USERPROFILE%\AppData\Local\Temp\OnboardLogs" /stypes="app*4022*20170221*" /stext=" 15:.+((SYSTEM_STATE.+slice.+state.+changed )|(ment ac)|(multiple cpu faults)|(system.+state.+changed )|(\[timeout)|(PRM\|1\|D)|(kpr)|(kdp)|(\|lc)|(penalty))" /e /r /s</v>
      </c>
      <c r="AG169" s="1" t="str">
        <f t="shared" si="66"/>
        <v>NW</v>
      </c>
      <c r="AH169" s="86" t="str">
        <f t="shared" si="67"/>
        <v>"%USERPROFILE%\Documents\GitHub\eaglep3\Utilities\RefineRTDCRunTimes.py" --tripid 809-21 --locoid 4022 --swversion DE.1.0.9.0 --startMP 204:1035 --initTime 2017-02-21T07:28:09 --startdatetime 2017-02-21T07:51:18 --delay 0 --endMP 300:58943 --enddatetime 2017-02-21T08:03:54 --enforcementcount 0 &gt;&gt;C:\Users\stu\Documents\GitHub\eaglep3-reporting\EC\2017-02-21-refined-times.txt</v>
      </c>
      <c r="AI169" s="108" t="str">
        <f t="shared" si="68"/>
        <v>echo {"issue":{"subject":"","project_id":79,"tracker_id":40,"status_id":1,"priority_id":2,"assigned_to_id":23,"start_date":"2017-02-21","description":"","custom_fields":[{"id":1,"name":"Subdivision","value":"NW"},{"id":4,"name":"Milepost","value":"5.8943"},{"id":17,"name":"Train ID","value":"809-21"},{"id":16,"name":"Locomotive ID","value":"4022"},{"id":130,"name":"Impact","value":""},{"id":150,"name":"Time of Event (Mountain Time)","value":"08:03:54"},{"id":151,"name":"Denver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69"/>
        <v>start /low /b %USERPROFILE%\Documents\GitHub\eaglep3\Utilities\DownloadLogsFromS3.py --loco 4022 --day 2017-02-21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"%USERPROFILE%\AppData\Local\Temp\OnboardLogs"\RTDC4022\*4022*20170221* | grep -SE "(Enforcement Action)|(\[TIMEOUT)|(CHR.+\|PRM\|1\|D.+(SWITCH|SIGNAL).+UNKNOWN)" - &gt;&gt; 2017-02-21-UncaughtWiMAX.txt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3" t="s">
        <v>543</v>
      </c>
      <c r="B170" s="7">
        <v>4021</v>
      </c>
      <c r="C170" s="21" t="s">
        <v>359</v>
      </c>
      <c r="D170" s="21" t="s">
        <v>439</v>
      </c>
      <c r="E170" s="13">
        <v>42787.337719907409</v>
      </c>
      <c r="F170" s="13">
        <v>42787.341284722221</v>
      </c>
      <c r="G170" s="7">
        <v>1</v>
      </c>
      <c r="H170" s="21" t="s">
        <v>796</v>
      </c>
      <c r="I170" s="13">
        <v>42787.350729166668</v>
      </c>
      <c r="J170" s="7">
        <v>0</v>
      </c>
      <c r="K170" s="98" t="str">
        <f t="shared" si="57"/>
        <v>4021/4022</v>
      </c>
      <c r="L170" s="21" t="str">
        <f>VLOOKUP(A170,'Trips&amp;Operators'!$C$1:$G$99999,5,FALSE)</f>
        <v>YORK EDGAR</v>
      </c>
      <c r="M170" s="6">
        <f t="shared" si="58"/>
        <v>9.4444444475811906E-3</v>
      </c>
      <c r="N170" s="7">
        <f t="shared" si="73"/>
        <v>13.600000004516914</v>
      </c>
      <c r="O170" s="7"/>
      <c r="P170" s="7"/>
      <c r="Q170" s="22"/>
      <c r="R170" s="22"/>
      <c r="S170" s="31">
        <f t="shared" si="72"/>
        <v>1</v>
      </c>
      <c r="T170" s="46" t="str">
        <f t="shared" si="59"/>
        <v>Southbound</v>
      </c>
      <c r="U170" s="193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4" t="str">
        <f t="shared" si="60"/>
        <v>https://d0f6bd738d7f1b3e5a7ca70fe4ff75f0.us-east-1.aws.found.io/app/kibana#/discover/Steve-Slow-Train-Analysis-(2080s-and-2083s)?_g=(refreshInterval:(display:Off,pause:!f,section:0,value:0),time:(from:'2017-02-21T07:06:19-0700',mode:absolute,to:'2017-02-21T09:25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0" s="195" t="str">
        <f t="shared" si="61"/>
        <v>N</v>
      </c>
      <c r="X170" s="195">
        <f t="shared" ref="X170:X201" si="75">VALUE(LEFT(AD170,4))-VALUE(LEFT(AD169,4))</f>
        <v>1</v>
      </c>
      <c r="Y170" s="62">
        <f t="shared" si="70"/>
        <v>5.8628</v>
      </c>
      <c r="Z170" s="62">
        <f t="shared" si="71"/>
        <v>8.6699999999999999E-2</v>
      </c>
      <c r="AA170" s="62">
        <f t="shared" si="62"/>
        <v>5.7760999999999996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63"/>
        <v>0810-21</v>
      </c>
      <c r="AE170" s="85" t="str">
        <f t="shared" si="64"/>
        <v>aws s3 cp s3://rtdc.mdm.uploadarchive.raw/RTDC4021/ "%USERPROFILE%\AppData\Local\Temp\OnboardLogs"\RTDC4021\2017-02-21 --exclude "*" --recursive --include "*20170221*" &amp; "%USERPROFILE%\Documents\GitHub\mrs-test-scripts\Headless Mode &amp; Sideloading\WalkAndUnGZ.bat" "%USERPROFILE%\AppData\Local\Temp\OnboardLogs"\RTDC4021\2017-02-21 &amp; aws s3 cp s3://rtdc.mdm.uploadarchive.raw/RTDC4021/ "%USERPROFILE%\AppData\Local\Temp\OnboardLogs"\RTDC4021\2017-02-22 --exclude "*" --recursive --include "*20170222*" &amp; "%USERPROFILE%\Documents\GitHub\mrs-test-scripts\Headless Mode &amp; Sideloading\WalkAndUnGZ.bat" "%USERPROFILE%\AppData\Local\Temp\OnboardLogs"\RTDC4021\2017-02-22</v>
      </c>
      <c r="AF170" s="82" t="str">
        <f t="shared" si="65"/>
        <v>"C:\Program Files (x86)\AstroGrep\AstroGrep.exe" /spath="%USERPROFILE%\AppData\Local\Temp\OnboardLogs" /stypes="app*4021*20170221*" /stext=" 15:.+((SYSTEM_STATE.+slice.+state.+changed )|(ment ac)|(multiple cpu faults)|(system.+state.+changed )|(\[timeout)|(PRM\|1\|D)|(kpr)|(kdp)|(\|lc)|(penalty))" /e /r /s</v>
      </c>
      <c r="AG170" s="1" t="str">
        <f t="shared" si="66"/>
        <v>NW</v>
      </c>
      <c r="AH170" s="86" t="str">
        <f t="shared" si="67"/>
        <v>"%USERPROFILE%\Documents\GitHub\eaglep3\Utilities\RefineRTDCRunTimes.py" --tripid 810-21 --locoid 4021 --swversion DE.1.0.9.0 --startMP 300:58628 --initTime 2017-02-21T08:06:19 --startdatetime 2017-02-21T08:11:27 --delay 1 --endMP 204:867 --enddatetime 2017-02-21T08:25:03 --enforcementcount 0 &gt;&gt;C:\Users\stu\Documents\GitHub\eaglep3-reporting\EC\2017-02-21-refined-times.txt</v>
      </c>
      <c r="AI170" s="108" t="str">
        <f t="shared" si="68"/>
        <v>echo {"issue":{"subject":"","project_id":79,"tracker_id":40,"status_id":1,"priority_id":2,"assigned_to_id":23,"start_date":"2017-02-21","description":"","custom_fields":[{"id":1,"name":"Subdivision","value":"NW"},{"id":4,"name":"Milepost","value":"0.0867"},{"id":17,"name":"Train ID","value":"810-21"},{"id":16,"name":"Locomotive ID","value":"4021"},{"id":130,"name":"Impact","value":""},{"id":150,"name":"Time of Event (Mountain Time)","value":"08:25:03"},{"id":151,"name":"Denver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69"/>
        <v>start /low /b %USERPROFILE%\Documents\GitHub\eaglep3\Utilities\DownloadLogsFromS3.py --loco 4021 --day 2017-02-21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"%USERPROFILE%\AppData\Local\Temp\OnboardLogs"\RTDC4021\*4021*20170221* | grep -SE "(Enforcement Action)|(\[TIMEOUT)|(CHR.+\|PRM\|1\|D.+(SWITCH|SIGNAL).+UNKNOWN)" - &gt;&gt; 2017-02-21-UncaughtWiMAX.txt</v>
      </c>
    </row>
    <row r="171" spans="1:91" x14ac:dyDescent="0.25">
      <c r="A171" s="33" t="s">
        <v>466</v>
      </c>
      <c r="B171" s="7">
        <v>4009</v>
      </c>
      <c r="C171" s="21" t="s">
        <v>359</v>
      </c>
      <c r="D171" s="21" t="s">
        <v>797</v>
      </c>
      <c r="E171" s="13">
        <v>42787.343680555554</v>
      </c>
      <c r="F171" s="13">
        <v>42787.348090277781</v>
      </c>
      <c r="G171" s="7">
        <v>1</v>
      </c>
      <c r="H171" s="21" t="s">
        <v>445</v>
      </c>
      <c r="I171" s="13">
        <v>42787.35701388889</v>
      </c>
      <c r="J171" s="7">
        <v>0</v>
      </c>
      <c r="K171" s="98" t="str">
        <f t="shared" si="57"/>
        <v>4009/4010</v>
      </c>
      <c r="L171" s="21" t="str">
        <f>VLOOKUP(A171,'Trips&amp;Operators'!$C$1:$G$99999,5,FALSE)</f>
        <v>BROWN JACOB</v>
      </c>
      <c r="M171" s="6">
        <f t="shared" si="58"/>
        <v>8.923611108912155E-3</v>
      </c>
      <c r="N171" s="7">
        <f t="shared" si="73"/>
        <v>12.849999996833503</v>
      </c>
      <c r="O171" s="7"/>
      <c r="P171" s="7"/>
      <c r="Q171" s="22"/>
      <c r="R171" s="22"/>
      <c r="S171" s="31">
        <f t="shared" si="72"/>
        <v>1</v>
      </c>
      <c r="T171" s="46" t="str">
        <f t="shared" si="59"/>
        <v>NorthBound</v>
      </c>
      <c r="U171" s="193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4" t="str">
        <f t="shared" si="60"/>
        <v>https://d0f6bd738d7f1b3e5a7ca70fe4ff75f0.us-east-1.aws.found.io/app/kibana#/discover/Steve-Slow-Train-Analysis-(2080s-and-2083s)?_g=(refreshInterval:(display:Off,pause:!f,section:0,value:0),time:(from:'2017-02-21T07:14:54-0700',mode:absolute,to:'2017-02-21T09:34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1" s="195" t="str">
        <f t="shared" si="61"/>
        <v>N</v>
      </c>
      <c r="X171" s="195">
        <f t="shared" si="75"/>
        <v>1</v>
      </c>
      <c r="Y171" s="62">
        <f t="shared" si="70"/>
        <v>0.1014</v>
      </c>
      <c r="Z171" s="62">
        <f t="shared" si="71"/>
        <v>5.8920000000000003</v>
      </c>
      <c r="AA171" s="62">
        <f t="shared" si="62"/>
        <v>5.7906000000000004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63"/>
        <v>0811-21</v>
      </c>
      <c r="AE171" s="85" t="str">
        <f t="shared" si="64"/>
        <v>aws s3 cp s3://rtdc.mdm.uploadarchive.raw/RTDC4009/ "%USERPROFILE%\AppData\Local\Temp\OnboardLogs"\RTDC4009\2017-02-21 --exclude "*" --recursive --include "*20170221*" &amp; "%USERPROFILE%\Documents\GitHub\mrs-test-scripts\Headless Mode &amp; Sideloading\WalkAndUnGZ.bat" "%USERPROFILE%\AppData\Local\Temp\OnboardLogs"\RTDC4009\2017-02-21 &amp; aws s3 cp s3://rtdc.mdm.uploadarchive.raw/RTDC4009/ "%USERPROFILE%\AppData\Local\Temp\OnboardLogs"\RTDC4009\2017-02-22 --exclude "*" --recursive --include "*20170222*" &amp; "%USERPROFILE%\Documents\GitHub\mrs-test-scripts\Headless Mode &amp; Sideloading\WalkAndUnGZ.bat" "%USERPROFILE%\AppData\Local\Temp\OnboardLogs"\RTDC4009\2017-02-22</v>
      </c>
      <c r="AF171" s="82" t="str">
        <f t="shared" si="65"/>
        <v>"C:\Program Files (x86)\AstroGrep\AstroGrep.exe" /spath="%USERPROFILE%\AppData\Local\Temp\OnboardLogs" /stypes="app*4009*20170221*" /stext=" 15:.+((SYSTEM_STATE.+slice.+state.+changed )|(ment ac)|(multiple cpu faults)|(system.+state.+changed )|(\[timeout)|(PRM\|1\|D)|(kpr)|(kdp)|(\|lc)|(penalty))" /e /r /s</v>
      </c>
      <c r="AG171" s="1" t="str">
        <f t="shared" si="66"/>
        <v>NW</v>
      </c>
      <c r="AH171" s="86" t="str">
        <f t="shared" si="67"/>
        <v>"%USERPROFILE%\Documents\GitHub\eaglep3\Utilities\RefineRTDCRunTimes.py" --tripid 811-21 --locoid 4009 --swversion DE.1.0.9.0 --startMP 204:1014 --initTime 2017-02-21T08:14:54 --startdatetime 2017-02-21T08:21:15 --delay 1 --endMP 300:58920 --enddatetime 2017-02-21T08:34:06 --enforcementcount 0 &gt;&gt;C:\Users\stu\Documents\GitHub\eaglep3-reporting\EC\2017-02-21-refined-times.txt</v>
      </c>
      <c r="AI171" s="108" t="str">
        <f t="shared" si="68"/>
        <v>echo {"issue":{"subject":"","project_id":79,"tracker_id":40,"status_id":1,"priority_id":2,"assigned_to_id":23,"start_date":"2017-02-21","description":"","custom_fields":[{"id":1,"name":"Subdivision","value":"NW"},{"id":4,"name":"Milepost","value":"5.892"},{"id":17,"name":"Train ID","value":"811-21"},{"id":16,"name":"Locomotive ID","value":"4009"},{"id":130,"name":"Impact","value":""},{"id":150,"name":"Time of Event (Mountain Time)","value":"08:34:06"},{"id":151,"name":"Denver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69"/>
        <v>start /low /b %USERPROFILE%\Documents\GitHub\eaglep3\Utilities\DownloadLogsFromS3.py --loco 4009 --day 2017-02-21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"%USERPROFILE%\AppData\Local\Temp\OnboardLogs"\RTDC4009\*4009*20170221* | grep -SE "(Enforcement Action)|(\[TIMEOUT)|(CHR.+\|PRM\|1\|D.+(SWITCH|SIGNAL).+UNKNOWN)" - &gt;&gt; 2017-02-21-UncaughtWiMAX.txt</v>
      </c>
    </row>
    <row r="172" spans="1:91" x14ac:dyDescent="0.25">
      <c r="A172" s="33" t="s">
        <v>469</v>
      </c>
      <c r="B172" s="7">
        <v>4010</v>
      </c>
      <c r="C172" s="21" t="s">
        <v>359</v>
      </c>
      <c r="D172" s="21" t="s">
        <v>447</v>
      </c>
      <c r="E172" s="13">
        <v>42787.358136574076</v>
      </c>
      <c r="F172" s="13">
        <v>42787.359398148146</v>
      </c>
      <c r="G172" s="7">
        <v>1</v>
      </c>
      <c r="H172" s="21" t="s">
        <v>798</v>
      </c>
      <c r="I172" s="13">
        <v>42787.371157407404</v>
      </c>
      <c r="J172" s="7">
        <v>0</v>
      </c>
      <c r="K172" s="98" t="str">
        <f t="shared" si="57"/>
        <v>4009/4010</v>
      </c>
      <c r="L172" s="21" t="str">
        <f>VLOOKUP(A172,'Trips&amp;Operators'!$C$1:$G$99999,5,FALSE)</f>
        <v>BROWN JACOB</v>
      </c>
      <c r="M172" s="6">
        <f t="shared" si="58"/>
        <v>1.1759259257814847E-2</v>
      </c>
      <c r="N172" s="7">
        <f t="shared" si="73"/>
        <v>16.93333333125338</v>
      </c>
      <c r="O172" s="7"/>
      <c r="P172" s="7"/>
      <c r="Q172" s="22"/>
      <c r="R172" s="22"/>
      <c r="S172" s="31">
        <f t="shared" si="72"/>
        <v>1</v>
      </c>
      <c r="T172" s="46" t="str">
        <f t="shared" si="59"/>
        <v>Southbound</v>
      </c>
      <c r="U172" s="193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4" t="str">
        <f t="shared" si="60"/>
        <v>https://d0f6bd738d7f1b3e5a7ca70fe4ff75f0.us-east-1.aws.found.io/app/kibana#/discover/Steve-Slow-Train-Analysis-(2080s-and-2083s)?_g=(refreshInterval:(display:Off,pause:!f,section:0,value:0),time:(from:'2017-02-21T07:35:43-0700',mode:absolute,to:'2017-02-21T09:54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2" s="195" t="str">
        <f t="shared" si="61"/>
        <v>N</v>
      </c>
      <c r="X172" s="195">
        <f t="shared" si="75"/>
        <v>1</v>
      </c>
      <c r="Y172" s="62">
        <f t="shared" si="70"/>
        <v>5.8608000000000002</v>
      </c>
      <c r="Z172" s="62">
        <f t="shared" si="71"/>
        <v>7.1499999999999994E-2</v>
      </c>
      <c r="AA172" s="62">
        <f t="shared" si="62"/>
        <v>5.7892999999999999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63"/>
        <v>0812-21</v>
      </c>
      <c r="AE172" s="85" t="str">
        <f t="shared" si="64"/>
        <v>aws s3 cp s3://rtdc.mdm.uploadarchive.raw/RTDC4010/ "%USERPROFILE%\AppData\Local\Temp\OnboardLogs"\RTDC4010\2017-02-21 --exclude "*" --recursive --include "*20170221*" &amp; "%USERPROFILE%\Documents\GitHub\mrs-test-scripts\Headless Mode &amp; Sideloading\WalkAndUnGZ.bat" "%USERPROFILE%\AppData\Local\Temp\OnboardLogs"\RTDC4010\2017-02-21 &amp; aws s3 cp s3://rtdc.mdm.uploadarchive.raw/RTDC4010/ "%USERPROFILE%\AppData\Local\Temp\OnboardLogs"\RTDC4010\2017-02-22 --exclude "*" --recursive --include "*20170222*" &amp; "%USERPROFILE%\Documents\GitHub\mrs-test-scripts\Headless Mode &amp; Sideloading\WalkAndUnGZ.bat" "%USERPROFILE%\AppData\Local\Temp\OnboardLogs"\RTDC4010\2017-02-22</v>
      </c>
      <c r="AF172" s="82" t="str">
        <f t="shared" si="65"/>
        <v>"C:\Program Files (x86)\AstroGrep\AstroGrep.exe" /spath="%USERPROFILE%\AppData\Local\Temp\OnboardLogs" /stypes="app*4010*20170221*" /stext=" 15:.+((SYSTEM_STATE.+slice.+state.+changed )|(ment ac)|(multiple cpu faults)|(system.+state.+changed )|(\[timeout)|(PRM\|1\|D)|(kpr)|(kdp)|(\|lc)|(penalty))" /e /r /s</v>
      </c>
      <c r="AG172" s="1" t="str">
        <f t="shared" si="66"/>
        <v>NW</v>
      </c>
      <c r="AH172" s="86" t="str">
        <f t="shared" si="67"/>
        <v>"%USERPROFILE%\Documents\GitHub\eaglep3\Utilities\RefineRTDCRunTimes.py" --tripid 812-21 --locoid 4010 --swversion DE.1.0.9.0 --startMP 300:58608 --initTime 2017-02-21T08:35:43 --startdatetime 2017-02-21T08:37:32 --delay 1 --endMP 204:715 --enddatetime 2017-02-21T08:54:28 --enforcementcount 0 &gt;&gt;C:\Users\stu\Documents\GitHub\eaglep3-reporting\EC\2017-02-21-refined-times.txt</v>
      </c>
      <c r="AI172" s="108" t="str">
        <f t="shared" si="68"/>
        <v>echo {"issue":{"subject":"","project_id":79,"tracker_id":40,"status_id":1,"priority_id":2,"assigned_to_id":23,"start_date":"2017-02-21","description":"","custom_fields":[{"id":1,"name":"Subdivision","value":"NW"},{"id":4,"name":"Milepost","value":"0.0715"},{"id":17,"name":"Train ID","value":"812-21"},{"id":16,"name":"Locomotive ID","value":"4010"},{"id":130,"name":"Impact","value":""},{"id":150,"name":"Time of Event (Mountain Time)","value":"08:54:28"},{"id":151,"name":"Denver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69"/>
        <v>start /low /b %USERPROFILE%\Documents\GitHub\eaglep3\Utilities\DownloadLogsFromS3.py --loco 4010 --day 2017-02-21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"%USERPROFILE%\AppData\Local\Temp\OnboardLogs"\RTDC4010\*4010*20170221* | grep -SE "(Enforcement Action)|(\[TIMEOUT)|(CHR.+\|PRM\|1\|D.+(SWITCH|SIGNAL).+UNKNOWN)" - &gt;&gt; 2017-02-21-UncaughtWiMAX.txt</v>
      </c>
    </row>
    <row r="173" spans="1:91" s="20" customFormat="1" x14ac:dyDescent="0.25">
      <c r="A173" s="33" t="s">
        <v>554</v>
      </c>
      <c r="B173" s="7">
        <v>4009</v>
      </c>
      <c r="C173" s="21" t="s">
        <v>359</v>
      </c>
      <c r="D173" s="21" t="s">
        <v>799</v>
      </c>
      <c r="E173" s="13">
        <v>42787.38490740741</v>
      </c>
      <c r="F173" s="13">
        <v>42787.389803240738</v>
      </c>
      <c r="G173" s="7">
        <v>1</v>
      </c>
      <c r="H173" s="21" t="s">
        <v>367</v>
      </c>
      <c r="I173" s="13">
        <v>42787.398981481485</v>
      </c>
      <c r="J173" s="7">
        <v>0</v>
      </c>
      <c r="K173" s="98" t="str">
        <f t="shared" si="57"/>
        <v>4009/4010</v>
      </c>
      <c r="L173" s="21" t="str">
        <f>VLOOKUP(A173,'Trips&amp;Operators'!$C$1:$G$99999,5,FALSE)</f>
        <v>BROWN JACOB</v>
      </c>
      <c r="M173" s="6">
        <f t="shared" si="58"/>
        <v>9.1782407471328042E-3</v>
      </c>
      <c r="N173" s="7">
        <f t="shared" si="73"/>
        <v>13.216666675871238</v>
      </c>
      <c r="O173" s="7"/>
      <c r="P173" s="7"/>
      <c r="Q173" s="22"/>
      <c r="R173" s="22"/>
      <c r="S173" s="31">
        <f t="shared" si="72"/>
        <v>1</v>
      </c>
      <c r="T173" s="46" t="str">
        <f t="shared" si="59"/>
        <v>NorthBound</v>
      </c>
      <c r="U173" s="193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4" t="str">
        <f t="shared" si="60"/>
        <v>https://d0f6bd738d7f1b3e5a7ca70fe4ff75f0.us-east-1.aws.found.io/app/kibana#/discover/Steve-Slow-Train-Analysis-(2080s-and-2083s)?_g=(refreshInterval:(display:Off,pause:!f,section:0,value:0),time:(from:'2017-02-21T08:14:16-0700',mode:absolute,to:'2017-02-21T10:34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3" s="195" t="str">
        <f t="shared" si="61"/>
        <v>N</v>
      </c>
      <c r="X173" s="195">
        <f t="shared" si="75"/>
        <v>1</v>
      </c>
      <c r="Y173" s="62">
        <f t="shared" si="70"/>
        <v>0.1004</v>
      </c>
      <c r="Z173" s="62">
        <f t="shared" si="71"/>
        <v>5.8956</v>
      </c>
      <c r="AA173" s="62">
        <f t="shared" si="62"/>
        <v>5.7952000000000004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63"/>
        <v>0813-21</v>
      </c>
      <c r="AE173" s="85" t="str">
        <f t="shared" si="64"/>
        <v>aws s3 cp s3://rtdc.mdm.uploadarchive.raw/RTDC4009/ "%USERPROFILE%\AppData\Local\Temp\OnboardLogs"\RTDC4009\2017-02-21 --exclude "*" --recursive --include "*20170221*" &amp; "%USERPROFILE%\Documents\GitHub\mrs-test-scripts\Headless Mode &amp; Sideloading\WalkAndUnGZ.bat" "%USERPROFILE%\AppData\Local\Temp\OnboardLogs"\RTDC4009\2017-02-21 &amp; aws s3 cp s3://rtdc.mdm.uploadarchive.raw/RTDC4009/ "%USERPROFILE%\AppData\Local\Temp\OnboardLogs"\RTDC4009\2017-02-22 --exclude "*" --recursive --include "*20170222*" &amp; "%USERPROFILE%\Documents\GitHub\mrs-test-scripts\Headless Mode &amp; Sideloading\WalkAndUnGZ.bat" "%USERPROFILE%\AppData\Local\Temp\OnboardLogs"\RTDC4009\2017-02-22</v>
      </c>
      <c r="AF173" s="82" t="str">
        <f t="shared" si="65"/>
        <v>"C:\Program Files (x86)\AstroGrep\AstroGrep.exe" /spath="%USERPROFILE%\AppData\Local\Temp\OnboardLogs" /stypes="app*4009*20170221*" /stext=" 16:.+((SYSTEM_STATE.+slice.+state.+changed )|(ment ac)|(multiple cpu faults)|(system.+state.+changed )|(\[timeout)|(PRM\|1\|D)|(kpr)|(kdp)|(\|lc)|(penalty))" /e /r /s</v>
      </c>
      <c r="AG173" s="1" t="str">
        <f t="shared" si="66"/>
        <v>NW</v>
      </c>
      <c r="AH173" s="86" t="str">
        <f t="shared" si="67"/>
        <v>"%USERPROFILE%\Documents\GitHub\eaglep3\Utilities\RefineRTDCRunTimes.py" --tripid 813-21 --locoid 4009 --swversion DE.1.0.9.0 --startMP 204:1004 --initTime 2017-02-21T09:14:16 --startdatetime 2017-02-21T09:21:19 --delay 1 --endMP 300:58956 --enddatetime 2017-02-21T09:34:32 --enforcementcount 0 &gt;&gt;C:\Users\stu\Documents\GitHub\eaglep3-reporting\EC\2017-02-21-refined-times.txt</v>
      </c>
      <c r="AI173" s="108" t="str">
        <f t="shared" si="68"/>
        <v>echo {"issue":{"subject":"","project_id":79,"tracker_id":40,"status_id":1,"priority_id":2,"assigned_to_id":23,"start_date":"2017-02-21","description":"","custom_fields":[{"id":1,"name":"Subdivision","value":"NW"},{"id":4,"name":"Milepost","value":"5.8956"},{"id":17,"name":"Train ID","value":"813-21"},{"id":16,"name":"Locomotive ID","value":"4009"},{"id":130,"name":"Impact","value":""},{"id":150,"name":"Time of Event (Mountain Time)","value":"09:34:32"},{"id":151,"name":"Denver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69"/>
        <v>start /low /b %USERPROFILE%\Documents\GitHub\eaglep3\Utilities\DownloadLogsFromS3.py --loco 4009 --day 2017-02-21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"%USERPROFILE%\AppData\Local\Temp\OnboardLogs"\RTDC4009\*4009*20170221* | grep -SE "(Enforcement Action)|(\[TIMEOUT)|(CHR.+\|PRM\|1\|D.+(SWITCH|SIGNAL).+UNKNOWN)" - &gt;&gt; 2017-02-21-UncaughtWiMAX.txt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3" t="s">
        <v>470</v>
      </c>
      <c r="B174" s="7">
        <v>4010</v>
      </c>
      <c r="C174" s="21" t="s">
        <v>359</v>
      </c>
      <c r="D174" s="21" t="s">
        <v>436</v>
      </c>
      <c r="E174" s="13">
        <v>42787.399745370371</v>
      </c>
      <c r="F174" s="13">
        <v>42787.400891203702</v>
      </c>
      <c r="G174" s="7">
        <v>1</v>
      </c>
      <c r="H174" s="21" t="s">
        <v>800</v>
      </c>
      <c r="I174" s="13">
        <v>42787.412893518522</v>
      </c>
      <c r="J174" s="7">
        <v>0</v>
      </c>
      <c r="K174" s="98" t="str">
        <f t="shared" si="57"/>
        <v>4009/4010</v>
      </c>
      <c r="L174" s="21" t="str">
        <f>VLOOKUP(A174,'Trips&amp;Operators'!$C$1:$G$99999,5,FALSE)</f>
        <v>BROWN JACOB</v>
      </c>
      <c r="M174" s="6">
        <f t="shared" si="58"/>
        <v>1.2002314819255844E-2</v>
      </c>
      <c r="N174" s="7">
        <f t="shared" si="73"/>
        <v>17.283333339728415</v>
      </c>
      <c r="O174" s="7"/>
      <c r="P174" s="7"/>
      <c r="Q174" s="22"/>
      <c r="R174" s="22"/>
      <c r="S174" s="31">
        <f t="shared" si="72"/>
        <v>1</v>
      </c>
      <c r="T174" s="46" t="str">
        <f t="shared" si="59"/>
        <v>Southbound</v>
      </c>
      <c r="U174" s="193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4" t="str">
        <f t="shared" si="60"/>
        <v>https://d0f6bd738d7f1b3e5a7ca70fe4ff75f0.us-east-1.aws.found.io/app/kibana#/discover/Steve-Slow-Train-Analysis-(2080s-and-2083s)?_g=(refreshInterval:(display:Off,pause:!f,section:0,value:0),time:(from:'2017-02-21T08:35:38-0700',mode:absolute,to:'2017-02-21T10:54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4" s="195" t="str">
        <f t="shared" si="61"/>
        <v>N</v>
      </c>
      <c r="X174" s="195">
        <f t="shared" si="75"/>
        <v>1</v>
      </c>
      <c r="Y174" s="62">
        <f t="shared" si="70"/>
        <v>5.8643000000000001</v>
      </c>
      <c r="Z174" s="62">
        <f t="shared" si="71"/>
        <v>8.7300000000000003E-2</v>
      </c>
      <c r="AA174" s="62">
        <f t="shared" si="62"/>
        <v>5.7770000000000001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63"/>
        <v>0814-21</v>
      </c>
      <c r="AE174" s="85" t="str">
        <f t="shared" si="64"/>
        <v>aws s3 cp s3://rtdc.mdm.uploadarchive.raw/RTDC4010/ "%USERPROFILE%\AppData\Local\Temp\OnboardLogs"\RTDC4010\2017-02-21 --exclude "*" --recursive --include "*20170221*" &amp; "%USERPROFILE%\Documents\GitHub\mrs-test-scripts\Headless Mode &amp; Sideloading\WalkAndUnGZ.bat" "%USERPROFILE%\AppData\Local\Temp\OnboardLogs"\RTDC4010\2017-02-21 &amp; aws s3 cp s3://rtdc.mdm.uploadarchive.raw/RTDC4010/ "%USERPROFILE%\AppData\Local\Temp\OnboardLogs"\RTDC4010\2017-02-22 --exclude "*" --recursive --include "*20170222*" &amp; "%USERPROFILE%\Documents\GitHub\mrs-test-scripts\Headless Mode &amp; Sideloading\WalkAndUnGZ.bat" "%USERPROFILE%\AppData\Local\Temp\OnboardLogs"\RTDC4010\2017-02-22</v>
      </c>
      <c r="AF174" s="82" t="str">
        <f t="shared" si="65"/>
        <v>"C:\Program Files (x86)\AstroGrep\AstroGrep.exe" /spath="%USERPROFILE%\AppData\Local\Temp\OnboardLogs" /stypes="app*4010*20170221*" /stext=" 16:.+((SYSTEM_STATE.+slice.+state.+changed )|(ment ac)|(multiple cpu faults)|(system.+state.+changed )|(\[timeout)|(PRM\|1\|D)|(kpr)|(kdp)|(\|lc)|(penalty))" /e /r /s</v>
      </c>
      <c r="AG174" s="1" t="str">
        <f t="shared" si="66"/>
        <v>NW</v>
      </c>
      <c r="AH174" s="86" t="str">
        <f t="shared" si="67"/>
        <v>"%USERPROFILE%\Documents\GitHub\eaglep3\Utilities\RefineRTDCRunTimes.py" --tripid 814-21 --locoid 4010 --swversion DE.1.0.9.0 --startMP 300:58643 --initTime 2017-02-21T09:35:38 --startdatetime 2017-02-21T09:37:17 --delay 1 --endMP 204:873 --enddatetime 2017-02-21T09:54:34 --enforcementcount 0 &gt;&gt;C:\Users\stu\Documents\GitHub\eaglep3-reporting\EC\2017-02-21-refined-times.txt</v>
      </c>
      <c r="AI174" s="108" t="str">
        <f t="shared" si="68"/>
        <v>echo {"issue":{"subject":"","project_id":79,"tracker_id":40,"status_id":1,"priority_id":2,"assigned_to_id":23,"start_date":"2017-02-21","description":"","custom_fields":[{"id":1,"name":"Subdivision","value":"NW"},{"id":4,"name":"Milepost","value":"0.0873"},{"id":17,"name":"Train ID","value":"814-21"},{"id":16,"name":"Locomotive ID","value":"4010"},{"id":130,"name":"Impact","value":""},{"id":150,"name":"Time of Event (Mountain Time)","value":"09:54:34"},{"id":151,"name":"Denver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69"/>
        <v>start /low /b %USERPROFILE%\Documents\GitHub\eaglep3\Utilities\DownloadLogsFromS3.py --loco 4010 --day 2017-02-21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"%USERPROFILE%\AppData\Local\Temp\OnboardLogs"\RTDC4010\*4010*20170221* | grep -SE "(Enforcement Action)|(\[TIMEOUT)|(CHR.+\|PRM\|1\|D.+(SWITCH|SIGNAL).+UNKNOWN)" - &gt;&gt; 2017-02-21-UncaughtWiMAX.txt</v>
      </c>
    </row>
    <row r="175" spans="1:91" s="20" customFormat="1" x14ac:dyDescent="0.25">
      <c r="A175" s="33" t="s">
        <v>562</v>
      </c>
      <c r="B175" s="7">
        <v>4007</v>
      </c>
      <c r="C175" s="21" t="s">
        <v>359</v>
      </c>
      <c r="D175" s="21" t="s">
        <v>801</v>
      </c>
      <c r="E175" s="13">
        <v>42787.428865740738</v>
      </c>
      <c r="F175" s="13">
        <v>42787.431516203702</v>
      </c>
      <c r="G175" s="7">
        <v>1</v>
      </c>
      <c r="H175" s="21" t="s">
        <v>802</v>
      </c>
      <c r="I175" s="13">
        <v>42787.440983796296</v>
      </c>
      <c r="J175" s="7">
        <v>0</v>
      </c>
      <c r="K175" s="98" t="str">
        <f t="shared" si="57"/>
        <v>4007/4008</v>
      </c>
      <c r="L175" s="21" t="str">
        <f>VLOOKUP(A175,'Trips&amp;Operators'!$C$1:$G$99999,5,FALSE)</f>
        <v>BROWN JACOB</v>
      </c>
      <c r="M175" s="6">
        <f t="shared" si="58"/>
        <v>9.4675925938645378E-3</v>
      </c>
      <c r="N175" s="7">
        <f t="shared" si="73"/>
        <v>13.633333335164934</v>
      </c>
      <c r="O175" s="7"/>
      <c r="P175" s="7"/>
      <c r="Q175" s="22"/>
      <c r="R175" s="22"/>
      <c r="S175" s="31">
        <f t="shared" si="72"/>
        <v>1</v>
      </c>
      <c r="T175" s="46" t="str">
        <f t="shared" si="59"/>
        <v>NorthBound</v>
      </c>
      <c r="U175" s="193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4" t="str">
        <f t="shared" si="60"/>
        <v>https://d0f6bd738d7f1b3e5a7ca70fe4ff75f0.us-east-1.aws.found.io/app/kibana#/discover/Steve-Slow-Train-Analysis-(2080s-and-2083s)?_g=(refreshInterval:(display:Off,pause:!f,section:0,value:0),time:(from:'2017-02-21T09:17:34-0700',mode:absolute,to:'2017-02-21T11:35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5" s="195" t="str">
        <f t="shared" si="61"/>
        <v>N</v>
      </c>
      <c r="X175" s="195">
        <f t="shared" si="75"/>
        <v>1</v>
      </c>
      <c r="Y175" s="62">
        <f t="shared" si="70"/>
        <v>3.3399999999999999E-2</v>
      </c>
      <c r="Z175" s="62">
        <f t="shared" si="71"/>
        <v>5.8948</v>
      </c>
      <c r="AA175" s="62">
        <f t="shared" si="62"/>
        <v>5.8613999999999997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63"/>
        <v>0815-21</v>
      </c>
      <c r="AE175" s="85" t="str">
        <f t="shared" si="64"/>
        <v>aws s3 cp s3://rtdc.mdm.uploadarchive.raw/RTDC4007/ "%USERPROFILE%\AppData\Local\Temp\OnboardLogs"\RTDC4007\2017-02-21 --exclude "*" --recursive --include "*20170221*" &amp; "%USERPROFILE%\Documents\GitHub\mrs-test-scripts\Headless Mode &amp; Sideloading\WalkAndUnGZ.bat" "%USERPROFILE%\AppData\Local\Temp\OnboardLogs"\RTDC4007\2017-02-21 &amp; aws s3 cp s3://rtdc.mdm.uploadarchive.raw/RTDC4007/ "%USERPROFILE%\AppData\Local\Temp\OnboardLogs"\RTDC4007\2017-02-22 --exclude "*" --recursive --include "*20170222*" &amp; "%USERPROFILE%\Documents\GitHub\mrs-test-scripts\Headless Mode &amp; Sideloading\WalkAndUnGZ.bat" "%USERPROFILE%\AppData\Local\Temp\OnboardLogs"\RTDC4007\2017-02-22</v>
      </c>
      <c r="AF175" s="82" t="str">
        <f t="shared" si="65"/>
        <v>"C:\Program Files (x86)\AstroGrep\AstroGrep.exe" /spath="%USERPROFILE%\AppData\Local\Temp\OnboardLogs" /stypes="app*4007*20170221*" /stext=" 17:.+((SYSTEM_STATE.+slice.+state.+changed )|(ment ac)|(multiple cpu faults)|(system.+state.+changed )|(\[timeout)|(PRM\|1\|D)|(kpr)|(kdp)|(\|lc)|(penalty))" /e /r /s</v>
      </c>
      <c r="AG175" s="1" t="str">
        <f t="shared" si="66"/>
        <v>NW</v>
      </c>
      <c r="AH175" s="86" t="str">
        <f t="shared" si="67"/>
        <v>"%USERPROFILE%\Documents\GitHub\eaglep3\Utilities\RefineRTDCRunTimes.py" --tripid 815-21 --locoid 4007 --swversion DE.1.0.9.0 --startMP 204:334 --initTime 2017-02-21T10:17:34 --startdatetime 2017-02-21T10:21:23 --delay 1 --endMP 300:58948 --enddatetime 2017-02-21T10:35:01 --enforcementcount 0 &gt;&gt;C:\Users\stu\Documents\GitHub\eaglep3-reporting\EC\2017-02-21-refined-times.txt</v>
      </c>
      <c r="AI175" s="108" t="str">
        <f t="shared" si="68"/>
        <v>echo {"issue":{"subject":"","project_id":79,"tracker_id":40,"status_id":1,"priority_id":2,"assigned_to_id":23,"start_date":"2017-02-21","description":"","custom_fields":[{"id":1,"name":"Subdivision","value":"NW"},{"id":4,"name":"Milepost","value":"5.8948"},{"id":17,"name":"Train ID","value":"815-21"},{"id":16,"name":"Locomotive ID","value":"4007"},{"id":130,"name":"Impact","value":""},{"id":150,"name":"Time of Event (Mountain Time)","value":"10:35:01"},{"id":151,"name":"Denver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69"/>
        <v>start /low /b %USERPROFILE%\Documents\GitHub\eaglep3\Utilities\DownloadLogsFromS3.py --loco 4007 --day 2017-02-21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"%USERPROFILE%\AppData\Local\Temp\OnboardLogs"\RTDC4007\*4007*20170221* | grep -SE "(Enforcement Action)|(\[TIMEOUT)|(CHR.+\|PRM\|1\|D.+(SWITCH|SIGNAL).+UNKNOWN)" - &gt;&gt; 2017-02-21-UncaughtWiMAX.txt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3" t="s">
        <v>564</v>
      </c>
      <c r="B176" s="7">
        <v>4008</v>
      </c>
      <c r="C176" s="21" t="s">
        <v>359</v>
      </c>
      <c r="D176" s="21" t="s">
        <v>803</v>
      </c>
      <c r="E176" s="13">
        <v>42787.441736111112</v>
      </c>
      <c r="F176" s="13">
        <v>42787.442986111113</v>
      </c>
      <c r="G176" s="7">
        <v>1</v>
      </c>
      <c r="H176" s="21" t="s">
        <v>804</v>
      </c>
      <c r="I176" s="13">
        <v>42787.455104166664</v>
      </c>
      <c r="J176" s="7">
        <v>0</v>
      </c>
      <c r="K176" s="98" t="str">
        <f t="shared" si="57"/>
        <v>4007/4008</v>
      </c>
      <c r="L176" s="21" t="str">
        <f>VLOOKUP(A176,'Trips&amp;Operators'!$C$1:$G$99999,5,FALSE)</f>
        <v>BROWN JACOB</v>
      </c>
      <c r="M176" s="6">
        <f t="shared" si="58"/>
        <v>1.211805555067258E-2</v>
      </c>
      <c r="N176" s="7">
        <f t="shared" si="73"/>
        <v>17.449999992968515</v>
      </c>
      <c r="O176" s="7"/>
      <c r="P176" s="7"/>
      <c r="Q176" s="22"/>
      <c r="R176" s="22"/>
      <c r="S176" s="31">
        <f t="shared" si="72"/>
        <v>1</v>
      </c>
      <c r="T176" s="46" t="str">
        <f t="shared" si="59"/>
        <v>Southbound</v>
      </c>
      <c r="U176" s="193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4" t="str">
        <f t="shared" si="60"/>
        <v>https://d0f6bd738d7f1b3e5a7ca70fe4ff75f0.us-east-1.aws.found.io/app/kibana#/discover/Steve-Slow-Train-Analysis-(2080s-and-2083s)?_g=(refreshInterval:(display:Off,pause:!f,section:0,value:0),time:(from:'2017-02-21T09:36:06-0700',mode:absolute,to:'2017-02-21T11:55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6" s="195" t="str">
        <f t="shared" si="61"/>
        <v>N</v>
      </c>
      <c r="X176" s="195">
        <f t="shared" si="75"/>
        <v>1</v>
      </c>
      <c r="Y176" s="62">
        <f t="shared" si="70"/>
        <v>5.8635999999999999</v>
      </c>
      <c r="Z176" s="62">
        <f t="shared" si="71"/>
        <v>1.44E-2</v>
      </c>
      <c r="AA176" s="62">
        <f t="shared" si="62"/>
        <v>5.8491999999999997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63"/>
        <v>0816-21</v>
      </c>
      <c r="AE176" s="85" t="str">
        <f t="shared" si="64"/>
        <v>aws s3 cp s3://rtdc.mdm.uploadarchive.raw/RTDC4008/ "%USERPROFILE%\AppData\Local\Temp\OnboardLogs"\RTDC4008\2017-02-21 --exclude "*" --recursive --include "*20170221*" &amp; "%USERPROFILE%\Documents\GitHub\mrs-test-scripts\Headless Mode &amp; Sideloading\WalkAndUnGZ.bat" "%USERPROFILE%\AppData\Local\Temp\OnboardLogs"\RTDC4008\2017-02-21 &amp; aws s3 cp s3://rtdc.mdm.uploadarchive.raw/RTDC4008/ "%USERPROFILE%\AppData\Local\Temp\OnboardLogs"\RTDC4008\2017-02-22 --exclude "*" --recursive --include "*20170222*" &amp; "%USERPROFILE%\Documents\GitHub\mrs-test-scripts\Headless Mode &amp; Sideloading\WalkAndUnGZ.bat" "%USERPROFILE%\AppData\Local\Temp\OnboardLogs"\RTDC4008\2017-02-22</v>
      </c>
      <c r="AF176" s="82" t="str">
        <f t="shared" si="65"/>
        <v>"C:\Program Files (x86)\AstroGrep\AstroGrep.exe" /spath="%USERPROFILE%\AppData\Local\Temp\OnboardLogs" /stypes="app*4008*20170221*" /stext=" 17:.+((SYSTEM_STATE.+slice.+state.+changed )|(ment ac)|(multiple cpu faults)|(system.+state.+changed )|(\[timeout)|(PRM\|1\|D)|(kpr)|(kdp)|(\|lc)|(penalty))" /e /r /s</v>
      </c>
      <c r="AG176" s="1" t="str">
        <f t="shared" si="66"/>
        <v>NW</v>
      </c>
      <c r="AH176" s="86" t="str">
        <f t="shared" si="67"/>
        <v>"%USERPROFILE%\Documents\GitHub\eaglep3\Utilities\RefineRTDCRunTimes.py" --tripid 816-21 --locoid 4008 --swversion DE.1.0.9.0 --startMP 300:58636 --initTime 2017-02-21T10:36:06 --startdatetime 2017-02-21T10:37:54 --delay 1 --endMP 204:144 --enddatetime 2017-02-21T10:55:21 --enforcementcount 0 &gt;&gt;C:\Users\stu\Documents\GitHub\eaglep3-reporting\EC\2017-02-21-refined-times.txt</v>
      </c>
      <c r="AI176" s="108" t="str">
        <f t="shared" si="68"/>
        <v>echo {"issue":{"subject":"","project_id":79,"tracker_id":40,"status_id":1,"priority_id":2,"assigned_to_id":23,"start_date":"2017-02-21","description":"","custom_fields":[{"id":1,"name":"Subdivision","value":"NW"},{"id":4,"name":"Milepost","value":"0.0144"},{"id":17,"name":"Train ID","value":"816-21"},{"id":16,"name":"Locomotive ID","value":"4008"},{"id":130,"name":"Impact","value":""},{"id":150,"name":"Time of Event (Mountain Time)","value":"10:55:21"},{"id":151,"name":"Denver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69"/>
        <v>start /low /b %USERPROFILE%\Documents\GitHub\eaglep3\Utilities\DownloadLogsFromS3.py --loco 4008 --day 2017-02-21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"%USERPROFILE%\AppData\Local\Temp\OnboardLogs"\RTDC4008\*4008*20170221* | grep -SE "(Enforcement Action)|(\[TIMEOUT)|(CHR.+\|PRM\|1\|D.+(SWITCH|SIGNAL).+UNKNOWN)" - &gt;&gt; 2017-02-21-UncaughtWiMAX.txt</v>
      </c>
    </row>
    <row r="177" spans="1:40" x14ac:dyDescent="0.25">
      <c r="A177" s="33" t="s">
        <v>569</v>
      </c>
      <c r="B177" s="7">
        <v>4009</v>
      </c>
      <c r="C177" s="21" t="s">
        <v>359</v>
      </c>
      <c r="D177" s="21" t="s">
        <v>805</v>
      </c>
      <c r="E177" s="13">
        <v>42787.463495370372</v>
      </c>
      <c r="F177" s="13">
        <v>42787.473171296297</v>
      </c>
      <c r="G177" s="7">
        <v>2</v>
      </c>
      <c r="H177" s="21" t="s">
        <v>370</v>
      </c>
      <c r="I177" s="13">
        <v>42787.482662037037</v>
      </c>
      <c r="J177" s="7">
        <v>0</v>
      </c>
      <c r="K177" s="98" t="str">
        <f t="shared" si="57"/>
        <v>4009/4010</v>
      </c>
      <c r="L177" s="21" t="str">
        <f>VLOOKUP(A177,'Trips&amp;Operators'!$C$1:$G$99999,5,FALSE)</f>
        <v>SWANSON BRYCE</v>
      </c>
      <c r="M177" s="6">
        <f t="shared" si="58"/>
        <v>9.4907407401478849E-3</v>
      </c>
      <c r="N177" s="7">
        <f t="shared" si="73"/>
        <v>13.666666665812954</v>
      </c>
      <c r="O177" s="7"/>
      <c r="P177" s="7"/>
      <c r="Q177" s="22"/>
      <c r="R177" s="22"/>
      <c r="S177" s="31">
        <f t="shared" si="72"/>
        <v>1</v>
      </c>
      <c r="T177" s="46" t="str">
        <f t="shared" si="59"/>
        <v>NorthBound</v>
      </c>
      <c r="U177" s="193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4" t="str">
        <f t="shared" si="60"/>
        <v>https://d0f6bd738d7f1b3e5a7ca70fe4ff75f0.us-east-1.aws.found.io/app/kibana#/discover/Steve-Slow-Train-Analysis-(2080s-and-2083s)?_g=(refreshInterval:(display:Off,pause:!f,section:0,value:0),time:(from:'2017-02-21T10:07:26-0700',mode:absolute,to:'2017-02-21T12:35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7" s="195" t="str">
        <f t="shared" si="61"/>
        <v>N</v>
      </c>
      <c r="X177" s="195">
        <f t="shared" si="75"/>
        <v>1</v>
      </c>
      <c r="Y177" s="62">
        <f t="shared" si="70"/>
        <v>0.1139</v>
      </c>
      <c r="Z177" s="62">
        <f t="shared" si="71"/>
        <v>5.8940999999999999</v>
      </c>
      <c r="AA177" s="62">
        <f t="shared" si="62"/>
        <v>5.7801999999999998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63"/>
        <v>0817-21</v>
      </c>
      <c r="AE177" s="85" t="str">
        <f t="shared" si="64"/>
        <v>aws s3 cp s3://rtdc.mdm.uploadarchive.raw/RTDC4009/ "%USERPROFILE%\AppData\Local\Temp\OnboardLogs"\RTDC4009\2017-02-21 --exclude "*" --recursive --include "*20170221*" &amp; "%USERPROFILE%\Documents\GitHub\mrs-test-scripts\Headless Mode &amp; Sideloading\WalkAndUnGZ.bat" "%USERPROFILE%\AppData\Local\Temp\OnboardLogs"\RTDC4009\2017-02-21 &amp; aws s3 cp s3://rtdc.mdm.uploadarchive.raw/RTDC4009/ "%USERPROFILE%\AppData\Local\Temp\OnboardLogs"\RTDC4009\2017-02-22 --exclude "*" --recursive --include "*20170222*" &amp; "%USERPROFILE%\Documents\GitHub\mrs-test-scripts\Headless Mode &amp; Sideloading\WalkAndUnGZ.bat" "%USERPROFILE%\AppData\Local\Temp\OnboardLogs"\RTDC4009\2017-02-22</v>
      </c>
      <c r="AF177" s="82" t="str">
        <f t="shared" si="65"/>
        <v>"C:\Program Files (x86)\AstroGrep\AstroGrep.exe" /spath="%USERPROFILE%\AppData\Local\Temp\OnboardLogs" /stypes="app*4009*20170221*" /stext=" 18:.+((SYSTEM_STATE.+slice.+state.+changed )|(ment ac)|(multiple cpu faults)|(system.+state.+changed )|(\[timeout)|(PRM\|1\|D)|(kpr)|(kdp)|(\|lc)|(penalty))" /e /r /s</v>
      </c>
      <c r="AG177" s="1" t="str">
        <f t="shared" si="66"/>
        <v>NW</v>
      </c>
      <c r="AH177" s="86" t="str">
        <f t="shared" si="67"/>
        <v>"%USERPROFILE%\Documents\GitHub\eaglep3\Utilities\RefineRTDCRunTimes.py" --tripid 817-21 --locoid 4009 --swversion DE.1.0.9.0 --startMP 204:1139 --initTime 2017-02-21T11:07:26 --startdatetime 2017-02-21T11:21:22 --delay 2 --endMP 300:58941 --enddatetime 2017-02-21T11:35:02 --enforcementcount 0 &gt;&gt;C:\Users\stu\Documents\GitHub\eaglep3-reporting\EC\2017-02-21-refined-times.txt</v>
      </c>
      <c r="AI177" s="108" t="str">
        <f t="shared" si="68"/>
        <v>echo {"issue":{"subject":"","project_id":79,"tracker_id":40,"status_id":1,"priority_id":2,"assigned_to_id":23,"start_date":"2017-02-21","description":"","custom_fields":[{"id":1,"name":"Subdivision","value":"NW"},{"id":4,"name":"Milepost","value":"5.8941"},{"id":17,"name":"Train ID","value":"817-21"},{"id":16,"name":"Locomotive ID","value":"4009"},{"id":130,"name":"Impact","value":""},{"id":150,"name":"Time of Event (Mountain Time)","value":"11:35:02"},{"id":151,"name":"Denver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69"/>
        <v>start /low /b %USERPROFILE%\Documents\GitHub\eaglep3\Utilities\DownloadLogsFromS3.py --loco 4009 --day 2017-02-21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"%USERPROFILE%\AppData\Local\Temp\OnboardLogs"\RTDC4009\*4009*20170221* | grep -SE "(Enforcement Action)|(\[TIMEOUT)|(CHR.+\|PRM\|1\|D.+(SWITCH|SIGNAL).+UNKNOWN)" - &gt;&gt; 2017-02-21-UncaughtWiMAX.txt</v>
      </c>
    </row>
    <row r="178" spans="1:40" x14ac:dyDescent="0.25">
      <c r="A178" s="33" t="s">
        <v>572</v>
      </c>
      <c r="B178" s="7">
        <v>4010</v>
      </c>
      <c r="C178" s="21" t="s">
        <v>359</v>
      </c>
      <c r="D178" s="21" t="s">
        <v>371</v>
      </c>
      <c r="E178" s="13">
        <v>42787.483472222222</v>
      </c>
      <c r="F178" s="13">
        <v>42787.484872685185</v>
      </c>
      <c r="G178" s="7">
        <v>1</v>
      </c>
      <c r="H178" s="21" t="s">
        <v>450</v>
      </c>
      <c r="I178" s="13">
        <v>42787.49658564815</v>
      </c>
      <c r="J178" s="7">
        <v>0</v>
      </c>
      <c r="K178" s="98" t="str">
        <f t="shared" si="57"/>
        <v>4009/4010</v>
      </c>
      <c r="L178" s="21" t="str">
        <f>VLOOKUP(A178,'Trips&amp;Operators'!$C$1:$G$99999,5,FALSE)</f>
        <v>SWANSON BRYCE</v>
      </c>
      <c r="M178" s="6">
        <f t="shared" si="58"/>
        <v>1.1712962965248153E-2</v>
      </c>
      <c r="N178" s="7">
        <f t="shared" si="73"/>
        <v>16.86666666995734</v>
      </c>
      <c r="O178" s="7"/>
      <c r="P178" s="7"/>
      <c r="Q178" s="22"/>
      <c r="R178" s="22"/>
      <c r="S178" s="31">
        <f t="shared" si="72"/>
        <v>1</v>
      </c>
      <c r="T178" s="46" t="str">
        <f t="shared" si="59"/>
        <v>Southbound</v>
      </c>
      <c r="U178" s="193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4" t="str">
        <f t="shared" si="60"/>
        <v>https://d0f6bd738d7f1b3e5a7ca70fe4ff75f0.us-east-1.aws.found.io/app/kibana#/discover/Steve-Slow-Train-Analysis-(2080s-and-2083s)?_g=(refreshInterval:(display:Off,pause:!f,section:0,value:0),time:(from:'2017-02-21T10:36:12-0700',mode:absolute,to:'2017-02-21T12:55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8" s="195" t="str">
        <f t="shared" si="61"/>
        <v>N</v>
      </c>
      <c r="X178" s="195">
        <f t="shared" si="75"/>
        <v>1</v>
      </c>
      <c r="Y178" s="62">
        <f t="shared" si="70"/>
        <v>5.8620999999999999</v>
      </c>
      <c r="Z178" s="62">
        <f t="shared" si="71"/>
        <v>6.8699999999999997E-2</v>
      </c>
      <c r="AA178" s="62">
        <f t="shared" si="62"/>
        <v>5.7934000000000001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63"/>
        <v>0818-21</v>
      </c>
      <c r="AE178" s="85" t="str">
        <f t="shared" si="64"/>
        <v>aws s3 cp s3://rtdc.mdm.uploadarchive.raw/RTDC4010/ "%USERPROFILE%\AppData\Local\Temp\OnboardLogs"\RTDC4010\2017-02-21 --exclude "*" --recursive --include "*20170221*" &amp; "%USERPROFILE%\Documents\GitHub\mrs-test-scripts\Headless Mode &amp; Sideloading\WalkAndUnGZ.bat" "%USERPROFILE%\AppData\Local\Temp\OnboardLogs"\RTDC4010\2017-02-21 &amp; aws s3 cp s3://rtdc.mdm.uploadarchive.raw/RTDC4010/ "%USERPROFILE%\AppData\Local\Temp\OnboardLogs"\RTDC4010\2017-02-22 --exclude "*" --recursive --include "*20170222*" &amp; "%USERPROFILE%\Documents\GitHub\mrs-test-scripts\Headless Mode &amp; Sideloading\WalkAndUnGZ.bat" "%USERPROFILE%\AppData\Local\Temp\OnboardLogs"\RTDC4010\2017-02-22</v>
      </c>
      <c r="AF178" s="82" t="str">
        <f t="shared" si="65"/>
        <v>"C:\Program Files (x86)\AstroGrep\AstroGrep.exe" /spath="%USERPROFILE%\AppData\Local\Temp\OnboardLogs" /stypes="app*4010*20170221*" /stext=" 18:.+((SYSTEM_STATE.+slice.+state.+changed )|(ment ac)|(multiple cpu faults)|(system.+state.+changed )|(\[timeout)|(PRM\|1\|D)|(kpr)|(kdp)|(\|lc)|(penalty))" /e /r /s</v>
      </c>
      <c r="AG178" s="1" t="str">
        <f t="shared" si="66"/>
        <v>NW</v>
      </c>
      <c r="AH178" s="86" t="str">
        <f t="shared" si="67"/>
        <v>"%USERPROFILE%\Documents\GitHub\eaglep3\Utilities\RefineRTDCRunTimes.py" --tripid 818-21 --locoid 4010 --swversion DE.1.0.9.0 --startMP 300:58621 --initTime 2017-02-21T11:36:12 --startdatetime 2017-02-21T11:38:13 --delay 1 --endMP 204:687 --enddatetime 2017-02-21T11:55:05 --enforcementcount 0 &gt;&gt;C:\Users\stu\Documents\GitHub\eaglep3-reporting\EC\2017-02-21-refined-times.txt</v>
      </c>
      <c r="AI178" s="108" t="str">
        <f t="shared" si="68"/>
        <v>echo {"issue":{"subject":"","project_id":79,"tracker_id":40,"status_id":1,"priority_id":2,"assigned_to_id":23,"start_date":"2017-02-21","description":"","custom_fields":[{"id":1,"name":"Subdivision","value":"NW"},{"id":4,"name":"Milepost","value":"0.0687"},{"id":17,"name":"Train ID","value":"818-21"},{"id":16,"name":"Locomotive ID","value":"4010"},{"id":130,"name":"Impact","value":""},{"id":150,"name":"Time of Event (Mountain Time)","value":"11:55:05"},{"id":151,"name":"Denver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69"/>
        <v>start /low /b %USERPROFILE%\Documents\GitHub\eaglep3\Utilities\DownloadLogsFromS3.py --loco 4010 --day 2017-02-21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"%USERPROFILE%\AppData\Local\Temp\OnboardLogs"\RTDC4010\*4010*20170221* | grep -SE "(Enforcement Action)|(\[TIMEOUT)|(CHR.+\|PRM\|1\|D.+(SWITCH|SIGNAL).+UNKNOWN)" - &gt;&gt; 2017-02-21-UncaughtWiMAX.txt</v>
      </c>
    </row>
    <row r="179" spans="1:40" x14ac:dyDescent="0.25">
      <c r="A179" s="33" t="s">
        <v>476</v>
      </c>
      <c r="B179" s="7">
        <v>4009</v>
      </c>
      <c r="C179" s="21" t="s">
        <v>359</v>
      </c>
      <c r="D179" s="21" t="s">
        <v>438</v>
      </c>
      <c r="E179" s="13">
        <v>42787.504444444443</v>
      </c>
      <c r="F179" s="13">
        <v>42787.514745370368</v>
      </c>
      <c r="G179" s="7">
        <v>1</v>
      </c>
      <c r="H179" s="21" t="s">
        <v>802</v>
      </c>
      <c r="I179" s="13">
        <v>42787.526655092595</v>
      </c>
      <c r="J179" s="7">
        <v>0</v>
      </c>
      <c r="K179" s="98" t="str">
        <f t="shared" si="57"/>
        <v>4009/4010</v>
      </c>
      <c r="L179" s="21" t="str">
        <f>VLOOKUP(A179,'Trips&amp;Operators'!$C$1:$G$99999,5,FALSE)</f>
        <v>BROWN JACOB</v>
      </c>
      <c r="M179" s="6">
        <f t="shared" si="58"/>
        <v>1.1909722226846498E-2</v>
      </c>
      <c r="N179" s="7">
        <f t="shared" si="73"/>
        <v>17.150000006658956</v>
      </c>
      <c r="O179" s="7"/>
      <c r="P179" s="7"/>
      <c r="Q179" s="22"/>
      <c r="R179" s="22"/>
      <c r="S179" s="31">
        <f t="shared" si="72"/>
        <v>1</v>
      </c>
      <c r="T179" s="46" t="str">
        <f t="shared" si="59"/>
        <v>NorthBound</v>
      </c>
      <c r="U179" s="193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4" t="str">
        <f t="shared" si="60"/>
        <v>https://d0f6bd738d7f1b3e5a7ca70fe4ff75f0.us-east-1.aws.found.io/app/kibana#/discover/Steve-Slow-Train-Analysis-(2080s-and-2083s)?_g=(refreshInterval:(display:Off,pause:!f,section:0,value:0),time:(from:'2017-02-21T11:06:24-0700',mode:absolute,to:'2017-02-21T13:38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9" s="195" t="str">
        <f t="shared" si="61"/>
        <v>N</v>
      </c>
      <c r="X179" s="195">
        <f t="shared" si="75"/>
        <v>1</v>
      </c>
      <c r="Y179" s="62">
        <f t="shared" si="70"/>
        <v>9.69E-2</v>
      </c>
      <c r="Z179" s="62">
        <f t="shared" si="71"/>
        <v>5.8948</v>
      </c>
      <c r="AA179" s="62">
        <f t="shared" si="62"/>
        <v>5.7979000000000003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63"/>
        <v>0819-21</v>
      </c>
      <c r="AE179" s="85" t="str">
        <f t="shared" si="64"/>
        <v>aws s3 cp s3://rtdc.mdm.uploadarchive.raw/RTDC4009/ "%USERPROFILE%\AppData\Local\Temp\OnboardLogs"\RTDC4009\2017-02-21 --exclude "*" --recursive --include "*20170221*" &amp; "%USERPROFILE%\Documents\GitHub\mrs-test-scripts\Headless Mode &amp; Sideloading\WalkAndUnGZ.bat" "%USERPROFILE%\AppData\Local\Temp\OnboardLogs"\RTDC4009\2017-02-21 &amp; aws s3 cp s3://rtdc.mdm.uploadarchive.raw/RTDC4009/ "%USERPROFILE%\AppData\Local\Temp\OnboardLogs"\RTDC4009\2017-02-22 --exclude "*" --recursive --include "*20170222*" &amp; "%USERPROFILE%\Documents\GitHub\mrs-test-scripts\Headless Mode &amp; Sideloading\WalkAndUnGZ.bat" "%USERPROFILE%\AppData\Local\Temp\OnboardLogs"\RTDC4009\2017-02-22</v>
      </c>
      <c r="AF179" s="82" t="str">
        <f t="shared" si="65"/>
        <v>"C:\Program Files (x86)\AstroGrep\AstroGrep.exe" /spath="%USERPROFILE%\AppData\Local\Temp\OnboardLogs" /stypes="app*4009*20170221*" /stext=" 19:.+((SYSTEM_STATE.+slice.+state.+changed )|(ment ac)|(multiple cpu faults)|(system.+state.+changed )|(\[timeout)|(PRM\|1\|D)|(kpr)|(kdp)|(\|lc)|(penalty))" /e /r /s</v>
      </c>
      <c r="AG179" s="1" t="str">
        <f t="shared" si="66"/>
        <v>NW</v>
      </c>
      <c r="AH179" s="86" t="str">
        <f t="shared" si="67"/>
        <v>"%USERPROFILE%\Documents\GitHub\eaglep3\Utilities\RefineRTDCRunTimes.py" --tripid 819-21 --locoid 4009 --swversion DE.1.0.9.0 --startMP 204:969 --initTime 2017-02-21T12:06:24 --startdatetime 2017-02-21T12:21:14 --delay 1 --endMP 300:58948 --enddatetime 2017-02-21T12:38:23 --enforcementcount 0 &gt;&gt;C:\Users\stu\Documents\GitHub\eaglep3-reporting\EC\2017-02-21-refined-times.txt</v>
      </c>
      <c r="AI179" s="108" t="str">
        <f t="shared" si="68"/>
        <v>echo {"issue":{"subject":"","project_id":79,"tracker_id":40,"status_id":1,"priority_id":2,"assigned_to_id":23,"start_date":"2017-02-21","description":"","custom_fields":[{"id":1,"name":"Subdivision","value":"NW"},{"id":4,"name":"Milepost","value":"5.8948"},{"id":17,"name":"Train ID","value":"819-21"},{"id":16,"name":"Locomotive ID","value":"4009"},{"id":130,"name":"Impact","value":""},{"id":150,"name":"Time of Event (Mountain Time)","value":"12:38:23"},{"id":151,"name":"Denver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69"/>
        <v>start /low /b %USERPROFILE%\Documents\GitHub\eaglep3\Utilities\DownloadLogsFromS3.py --loco 4009 --day 2017-02-21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"%USERPROFILE%\AppData\Local\Temp\OnboardLogs"\RTDC4009\*4009*20170221* | grep -SE "(Enforcement Action)|(\[TIMEOUT)|(CHR.+\|PRM\|1\|D.+(SWITCH|SIGNAL).+UNKNOWN)" - &gt;&gt; 2017-02-21-UncaughtWiMAX.txt</v>
      </c>
    </row>
    <row r="180" spans="1:40" x14ac:dyDescent="0.25">
      <c r="A180" s="33" t="s">
        <v>585</v>
      </c>
      <c r="B180" s="7">
        <v>4010</v>
      </c>
      <c r="C180" s="21" t="s">
        <v>359</v>
      </c>
      <c r="D180" s="21" t="s">
        <v>806</v>
      </c>
      <c r="E180" s="13">
        <v>42787.534456018519</v>
      </c>
      <c r="F180" s="13">
        <v>42787.537175925929</v>
      </c>
      <c r="G180" s="7">
        <v>1</v>
      </c>
      <c r="H180" s="21" t="s">
        <v>807</v>
      </c>
      <c r="I180" s="13">
        <v>42787.546805555554</v>
      </c>
      <c r="J180" s="7">
        <v>0</v>
      </c>
      <c r="K180" s="98" t="str">
        <f t="shared" si="57"/>
        <v>4009/4010</v>
      </c>
      <c r="L180" s="21" t="str">
        <f>VLOOKUP(A180,'Trips&amp;Operators'!$C$1:$G$99999,5,FALSE)</f>
        <v>BROWN JACOB</v>
      </c>
      <c r="M180" s="6">
        <f t="shared" si="58"/>
        <v>9.6296296251239255E-3</v>
      </c>
      <c r="N180" s="7">
        <f t="shared" si="73"/>
        <v>13.866666660178453</v>
      </c>
      <c r="O180" s="7"/>
      <c r="P180" s="7"/>
      <c r="Q180" s="22"/>
      <c r="R180" s="22"/>
      <c r="S180" s="31">
        <f t="shared" si="72"/>
        <v>1</v>
      </c>
      <c r="T180" s="46" t="str">
        <f t="shared" si="59"/>
        <v>Southbound</v>
      </c>
      <c r="U180" s="193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4" t="str">
        <f t="shared" si="60"/>
        <v>https://d0f6bd738d7f1b3e5a7ca70fe4ff75f0.us-east-1.aws.found.io/app/kibana#/discover/Steve-Slow-Train-Analysis-(2080s-and-2083s)?_g=(refreshInterval:(display:Off,pause:!f,section:0,value:0),time:(from:'2017-02-21T11:49:37-0700',mode:absolute,to:'2017-02-21T14:07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0" s="195" t="str">
        <f t="shared" si="61"/>
        <v>N</v>
      </c>
      <c r="X180" s="195">
        <f t="shared" si="75"/>
        <v>1</v>
      </c>
      <c r="Y180" s="62">
        <f t="shared" si="70"/>
        <v>5.8625999999999996</v>
      </c>
      <c r="Z180" s="62">
        <f t="shared" si="71"/>
        <v>9.0200000000000002E-2</v>
      </c>
      <c r="AA180" s="62">
        <f t="shared" si="62"/>
        <v>5.7723999999999993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63"/>
        <v>0820-21</v>
      </c>
      <c r="AE180" s="85" t="str">
        <f t="shared" si="64"/>
        <v>aws s3 cp s3://rtdc.mdm.uploadarchive.raw/RTDC4010/ "%USERPROFILE%\AppData\Local\Temp\OnboardLogs"\RTDC4010\2017-02-21 --exclude "*" --recursive --include "*20170221*" &amp; "%USERPROFILE%\Documents\GitHub\mrs-test-scripts\Headless Mode &amp; Sideloading\WalkAndUnGZ.bat" "%USERPROFILE%\AppData\Local\Temp\OnboardLogs"\RTDC4010\2017-02-21 &amp; aws s3 cp s3://rtdc.mdm.uploadarchive.raw/RTDC4010/ "%USERPROFILE%\AppData\Local\Temp\OnboardLogs"\RTDC4010\2017-02-22 --exclude "*" --recursive --include "*20170222*" &amp; "%USERPROFILE%\Documents\GitHub\mrs-test-scripts\Headless Mode &amp; Sideloading\WalkAndUnGZ.bat" "%USERPROFILE%\AppData\Local\Temp\OnboardLogs"\RTDC4010\2017-02-22</v>
      </c>
      <c r="AF180" s="82" t="str">
        <f t="shared" si="65"/>
        <v>"C:\Program Files (x86)\AstroGrep\AstroGrep.exe" /spath="%USERPROFILE%\AppData\Local\Temp\OnboardLogs" /stypes="app*4010*20170221*" /stext=" 20:.+((SYSTEM_STATE.+slice.+state.+changed )|(ment ac)|(multiple cpu faults)|(system.+state.+changed )|(\[timeout)|(PRM\|1\|D)|(kpr)|(kdp)|(\|lc)|(penalty))" /e /r /s</v>
      </c>
      <c r="AG180" s="1" t="str">
        <f t="shared" si="66"/>
        <v>NW</v>
      </c>
      <c r="AH180" s="86" t="str">
        <f t="shared" si="67"/>
        <v>"%USERPROFILE%\Documents\GitHub\eaglep3\Utilities\RefineRTDCRunTimes.py" --tripid 820-21 --locoid 4010 --swversion DE.1.0.9.0 --startMP 300:58626 --initTime 2017-02-21T12:49:37 --startdatetime 2017-02-21T12:53:32 --delay 1 --endMP 204:902 --enddatetime 2017-02-21T13:07:24 --enforcementcount 0 &gt;&gt;C:\Users\stu\Documents\GitHub\eaglep3-reporting\EC\2017-02-21-refined-times.txt</v>
      </c>
      <c r="AI180" s="108" t="str">
        <f t="shared" si="68"/>
        <v>echo {"issue":{"subject":"","project_id":79,"tracker_id":40,"status_id":1,"priority_id":2,"assigned_to_id":23,"start_date":"2017-02-21","description":"","custom_fields":[{"id":1,"name":"Subdivision","value":"NW"},{"id":4,"name":"Milepost","value":"0.0902"},{"id":17,"name":"Train ID","value":"820-21"},{"id":16,"name":"Locomotive ID","value":"4010"},{"id":130,"name":"Impact","value":""},{"id":150,"name":"Time of Event (Mountain Time)","value":"13:07:24"},{"id":151,"name":"Denver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69"/>
        <v>start /low /b %USERPROFILE%\Documents\GitHub\eaglep3\Utilities\DownloadLogsFromS3.py --loco 4010 --day 2017-02-21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"%USERPROFILE%\AppData\Local\Temp\OnboardLogs"\RTDC4010\*4010*20170221* | grep -SE "(Enforcement Action)|(\[TIMEOUT)|(CHR.+\|PRM\|1\|D.+(SWITCH|SIGNAL).+UNKNOWN)" - &gt;&gt; 2017-02-21-UncaughtWiMAX.txt</v>
      </c>
    </row>
    <row r="181" spans="1:40" x14ac:dyDescent="0.25">
      <c r="A181" s="33" t="s">
        <v>590</v>
      </c>
      <c r="B181" s="7">
        <v>4007</v>
      </c>
      <c r="C181" s="21" t="s">
        <v>359</v>
      </c>
      <c r="D181" s="21" t="s">
        <v>699</v>
      </c>
      <c r="E181" s="13">
        <v>42787.549826388888</v>
      </c>
      <c r="F181" s="13">
        <v>42787.556446759256</v>
      </c>
      <c r="G181" s="7">
        <v>1</v>
      </c>
      <c r="H181" s="21" t="s">
        <v>294</v>
      </c>
      <c r="I181" s="13">
        <v>42787.565312500003</v>
      </c>
      <c r="J181" s="7">
        <v>0</v>
      </c>
      <c r="K181" s="98" t="str">
        <f t="shared" si="57"/>
        <v>4007/4008</v>
      </c>
      <c r="L181" s="21" t="str">
        <f>VLOOKUP(A181,'Trips&amp;Operators'!$C$1:$G$99999,5,FALSE)</f>
        <v>LEVIN SCOTT</v>
      </c>
      <c r="M181" s="6">
        <f t="shared" si="58"/>
        <v>8.8657407468417659E-3</v>
      </c>
      <c r="N181" s="7">
        <f t="shared" si="73"/>
        <v>12.766666675452143</v>
      </c>
      <c r="O181" s="7"/>
      <c r="P181" s="7"/>
      <c r="Q181" s="22"/>
      <c r="R181" s="22"/>
      <c r="S181" s="31">
        <f t="shared" si="72"/>
        <v>1</v>
      </c>
      <c r="T181" s="46" t="str">
        <f t="shared" si="59"/>
        <v>NorthBound</v>
      </c>
      <c r="U181" s="193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4" t="str">
        <f t="shared" si="60"/>
        <v>https://d0f6bd738d7f1b3e5a7ca70fe4ff75f0.us-east-1.aws.found.io/app/kibana#/discover/Steve-Slow-Train-Analysis-(2080s-and-2083s)?_g=(refreshInterval:(display:Off,pause:!f,section:0,value:0),time:(from:'2017-02-21T12:11:45-0700',mode:absolute,to:'2017-02-21T14:34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1" s="195" t="str">
        <f t="shared" si="61"/>
        <v>N</v>
      </c>
      <c r="X181" s="195">
        <f t="shared" si="75"/>
        <v>1</v>
      </c>
      <c r="Y181" s="62">
        <f t="shared" si="70"/>
        <v>4.3299999999999998E-2</v>
      </c>
      <c r="Z181" s="62">
        <f t="shared" si="71"/>
        <v>5.8936999999999999</v>
      </c>
      <c r="AA181" s="62">
        <f t="shared" si="62"/>
        <v>5.8503999999999996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63"/>
        <v>0821-21</v>
      </c>
      <c r="AE181" s="85" t="str">
        <f t="shared" si="64"/>
        <v>aws s3 cp s3://rtdc.mdm.uploadarchive.raw/RTDC4007/ "%USERPROFILE%\AppData\Local\Temp\OnboardLogs"\RTDC4007\2017-02-21 --exclude "*" --recursive --include "*20170221*" &amp; "%USERPROFILE%\Documents\GitHub\mrs-test-scripts\Headless Mode &amp; Sideloading\WalkAndUnGZ.bat" "%USERPROFILE%\AppData\Local\Temp\OnboardLogs"\RTDC4007\2017-02-21 &amp; aws s3 cp s3://rtdc.mdm.uploadarchive.raw/RTDC4007/ "%USERPROFILE%\AppData\Local\Temp\OnboardLogs"\RTDC4007\2017-02-22 --exclude "*" --recursive --include "*20170222*" &amp; "%USERPROFILE%\Documents\GitHub\mrs-test-scripts\Headless Mode &amp; Sideloading\WalkAndUnGZ.bat" "%USERPROFILE%\AppData\Local\Temp\OnboardLogs"\RTDC4007\2017-02-22</v>
      </c>
      <c r="AF181" s="82" t="str">
        <f t="shared" si="65"/>
        <v>"C:\Program Files (x86)\AstroGrep\AstroGrep.exe" /spath="%USERPROFILE%\AppData\Local\Temp\OnboardLogs" /stypes="app*4007*20170221*" /stext=" 20:.+((SYSTEM_STATE.+slice.+state.+changed )|(ment ac)|(multiple cpu faults)|(system.+state.+changed )|(\[timeout)|(PRM\|1\|D)|(kpr)|(kdp)|(\|lc)|(penalty))" /e /r /s</v>
      </c>
      <c r="AG181" s="1" t="str">
        <f t="shared" si="66"/>
        <v>NW</v>
      </c>
      <c r="AH181" s="86" t="str">
        <f t="shared" si="67"/>
        <v>"%USERPROFILE%\Documents\GitHub\eaglep3\Utilities\RefineRTDCRunTimes.py" --tripid 821-21 --locoid 4007 --swversion DE.1.0.9.0 --startMP 204:433 --initTime 2017-02-21T13:11:45 --startdatetime 2017-02-21T13:21:17 --delay 1 --endMP 300:58937 --enddatetime 2017-02-21T13:34:03 --enforcementcount 0 &gt;&gt;C:\Users\stu\Documents\GitHub\eaglep3-reporting\EC\2017-02-21-refined-times.txt</v>
      </c>
      <c r="AI181" s="108" t="str">
        <f t="shared" si="68"/>
        <v>echo {"issue":{"subject":"","project_id":79,"tracker_id":40,"status_id":1,"priority_id":2,"assigned_to_id":23,"start_date":"2017-02-21","description":"","custom_fields":[{"id":1,"name":"Subdivision","value":"NW"},{"id":4,"name":"Milepost","value":"5.8937"},{"id":17,"name":"Train ID","value":"821-21"},{"id":16,"name":"Locomotive ID","value":"4007"},{"id":130,"name":"Impact","value":""},{"id":150,"name":"Time of Event (Mountain Time)","value":"13:34:03"},{"id":151,"name":"Denver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69"/>
        <v>start /low /b %USERPROFILE%\Documents\GitHub\eaglep3\Utilities\DownloadLogsFromS3.py --loco 4007 --day 2017-02-21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"%USERPROFILE%\AppData\Local\Temp\OnboardLogs"\RTDC4007\*4007*20170221* | grep -SE "(Enforcement Action)|(\[TIMEOUT)|(CHR.+\|PRM\|1\|D.+(SWITCH|SIGNAL).+UNKNOWN)" - &gt;&gt; 2017-02-21-UncaughtWiMAX.txt</v>
      </c>
    </row>
    <row r="182" spans="1:40" x14ac:dyDescent="0.25">
      <c r="A182" s="33" t="s">
        <v>592</v>
      </c>
      <c r="B182" s="7">
        <v>4008</v>
      </c>
      <c r="C182" s="21" t="s">
        <v>359</v>
      </c>
      <c r="D182" s="21" t="s">
        <v>337</v>
      </c>
      <c r="E182" s="13">
        <v>42787.567766203705</v>
      </c>
      <c r="F182" s="13">
        <v>42787.568888888891</v>
      </c>
      <c r="G182" s="7">
        <v>1</v>
      </c>
      <c r="H182" s="21" t="s">
        <v>808</v>
      </c>
      <c r="I182" s="13">
        <v>42787.579756944448</v>
      </c>
      <c r="J182" s="7">
        <v>0</v>
      </c>
      <c r="K182" s="98" t="str">
        <f t="shared" si="57"/>
        <v>4007/4008</v>
      </c>
      <c r="L182" s="21" t="str">
        <f>VLOOKUP(A182,'Trips&amp;Operators'!$C$1:$G$99999,5,FALSE)</f>
        <v>LEVIN SCOTT</v>
      </c>
      <c r="M182" s="6">
        <f t="shared" si="58"/>
        <v>1.0868055556784384E-2</v>
      </c>
      <c r="N182" s="7">
        <f t="shared" si="73"/>
        <v>15.650000001769513</v>
      </c>
      <c r="O182" s="7"/>
      <c r="P182" s="7"/>
      <c r="Q182" s="22"/>
      <c r="R182" s="22"/>
      <c r="S182" s="31">
        <f t="shared" si="72"/>
        <v>1</v>
      </c>
      <c r="T182" s="46" t="str">
        <f t="shared" si="59"/>
        <v>Southbound</v>
      </c>
      <c r="U182" s="193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4" t="str">
        <f t="shared" si="60"/>
        <v>https://d0f6bd738d7f1b3e5a7ca70fe4ff75f0.us-east-1.aws.found.io/app/kibana#/discover/Steve-Slow-Train-Analysis-(2080s-and-2083s)?_g=(refreshInterval:(display:Off,pause:!f,section:0,value:0),time:(from:'2017-02-21T12:37:35-0700',mode:absolute,to:'2017-02-21T14:54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2" s="195" t="str">
        <f t="shared" si="61"/>
        <v>N</v>
      </c>
      <c r="X182" s="195">
        <f t="shared" si="75"/>
        <v>1</v>
      </c>
      <c r="Y182" s="62">
        <f t="shared" si="70"/>
        <v>5.8619000000000003</v>
      </c>
      <c r="Z182" s="62">
        <f t="shared" si="71"/>
        <v>6.4000000000000001E-2</v>
      </c>
      <c r="AA182" s="62">
        <f t="shared" si="62"/>
        <v>5.7979000000000003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63"/>
        <v>0822-21</v>
      </c>
      <c r="AE182" s="85" t="str">
        <f t="shared" si="64"/>
        <v>aws s3 cp s3://rtdc.mdm.uploadarchive.raw/RTDC4008/ "%USERPROFILE%\AppData\Local\Temp\OnboardLogs"\RTDC4008\2017-02-21 --exclude "*" --recursive --include "*20170221*" &amp; "%USERPROFILE%\Documents\GitHub\mrs-test-scripts\Headless Mode &amp; Sideloading\WalkAndUnGZ.bat" "%USERPROFILE%\AppData\Local\Temp\OnboardLogs"\RTDC4008\2017-02-21 &amp; aws s3 cp s3://rtdc.mdm.uploadarchive.raw/RTDC4008/ "%USERPROFILE%\AppData\Local\Temp\OnboardLogs"\RTDC4008\2017-02-22 --exclude "*" --recursive --include "*20170222*" &amp; "%USERPROFILE%\Documents\GitHub\mrs-test-scripts\Headless Mode &amp; Sideloading\WalkAndUnGZ.bat" "%USERPROFILE%\AppData\Local\Temp\OnboardLogs"\RTDC4008\2017-02-22</v>
      </c>
      <c r="AF182" s="82" t="str">
        <f t="shared" si="65"/>
        <v>"C:\Program Files (x86)\AstroGrep\AstroGrep.exe" /spath="%USERPROFILE%\AppData\Local\Temp\OnboardLogs" /stypes="app*4008*20170221*" /stext=" 20:.+((SYSTEM_STATE.+slice.+state.+changed )|(ment ac)|(multiple cpu faults)|(system.+state.+changed )|(\[timeout)|(PRM\|1\|D)|(kpr)|(kdp)|(\|lc)|(penalty))" /e /r /s</v>
      </c>
      <c r="AG182" s="1" t="str">
        <f t="shared" si="66"/>
        <v>NW</v>
      </c>
      <c r="AH182" s="86" t="str">
        <f t="shared" si="67"/>
        <v>"%USERPROFILE%\Documents\GitHub\eaglep3\Utilities\RefineRTDCRunTimes.py" --tripid 822-21 --locoid 4008 --swversion DE.1.0.9.0 --startMP 300:58619 --initTime 2017-02-21T13:37:35 --startdatetime 2017-02-21T13:39:12 --delay 1 --endMP 204:640 --enddatetime 2017-02-21T13:54:51 --enforcementcount 0 &gt;&gt;C:\Users\stu\Documents\GitHub\eaglep3-reporting\EC\2017-02-21-refined-times.txt</v>
      </c>
      <c r="AI182" s="108" t="str">
        <f t="shared" si="68"/>
        <v>echo {"issue":{"subject":"","project_id":79,"tracker_id":40,"status_id":1,"priority_id":2,"assigned_to_id":23,"start_date":"2017-02-21","description":"","custom_fields":[{"id":1,"name":"Subdivision","value":"NW"},{"id":4,"name":"Milepost","value":"0.064"},{"id":17,"name":"Train ID","value":"822-21"},{"id":16,"name":"Locomotive ID","value":"4008"},{"id":130,"name":"Impact","value":""},{"id":150,"name":"Time of Event (Mountain Time)","value":"13:54:51"},{"id":151,"name":"Denver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69"/>
        <v>start /low /b %USERPROFILE%\Documents\GitHub\eaglep3\Utilities\DownloadLogsFromS3.py --loco 4008 --day 2017-02-21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"%USERPROFILE%\AppData\Local\Temp\OnboardLogs"\RTDC4008\*4008*20170221* | grep -SE "(Enforcement Action)|(\[TIMEOUT)|(CHR.+\|PRM\|1\|D.+(SWITCH|SIGNAL).+UNKNOWN)" - &gt;&gt; 2017-02-21-UncaughtWiMAX.txt</v>
      </c>
    </row>
    <row r="183" spans="1:40" x14ac:dyDescent="0.25">
      <c r="A183" s="33" t="s">
        <v>477</v>
      </c>
      <c r="B183" s="7">
        <v>4007</v>
      </c>
      <c r="C183" s="21" t="s">
        <v>359</v>
      </c>
      <c r="D183" s="21" t="s">
        <v>440</v>
      </c>
      <c r="E183" s="13">
        <v>42787.595995370371</v>
      </c>
      <c r="F183" s="13">
        <v>42787.598090277781</v>
      </c>
      <c r="G183" s="7">
        <v>1</v>
      </c>
      <c r="H183" s="21" t="s">
        <v>795</v>
      </c>
      <c r="I183" s="13">
        <v>42787.60728009259</v>
      </c>
      <c r="J183" s="7">
        <v>0</v>
      </c>
      <c r="K183" s="98" t="str">
        <f t="shared" si="57"/>
        <v>4007/4008</v>
      </c>
      <c r="L183" s="21" t="str">
        <f>VLOOKUP(A183,'Trips&amp;Operators'!$C$1:$G$99999,5,FALSE)</f>
        <v>LEVIN SCOTT</v>
      </c>
      <c r="M183" s="6">
        <f t="shared" si="58"/>
        <v>9.1898148093605414E-3</v>
      </c>
      <c r="N183" s="7">
        <f t="shared" si="73"/>
        <v>13.23333332547918</v>
      </c>
      <c r="O183" s="7"/>
      <c r="P183" s="7"/>
      <c r="Q183" s="22"/>
      <c r="R183" s="22"/>
      <c r="S183" s="31">
        <f t="shared" si="72"/>
        <v>1</v>
      </c>
      <c r="T183" s="46" t="str">
        <f t="shared" si="59"/>
        <v>NorthBound</v>
      </c>
      <c r="U183" s="193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4" t="str">
        <f t="shared" si="60"/>
        <v>https://d0f6bd738d7f1b3e5a7ca70fe4ff75f0.us-east-1.aws.found.io/app/kibana#/discover/Steve-Slow-Train-Analysis-(2080s-and-2083s)?_g=(refreshInterval:(display:Off,pause:!f,section:0,value:0),time:(from:'2017-02-21T13:18:14-0700',mode:absolute,to:'2017-02-21T15:34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3" s="195" t="str">
        <f t="shared" si="61"/>
        <v>N</v>
      </c>
      <c r="X183" s="195">
        <f t="shared" si="75"/>
        <v>1</v>
      </c>
      <c r="Y183" s="62">
        <f t="shared" si="70"/>
        <v>9.2999999999999999E-2</v>
      </c>
      <c r="Z183" s="62">
        <f t="shared" si="71"/>
        <v>5.8943000000000003</v>
      </c>
      <c r="AA183" s="62">
        <f t="shared" si="62"/>
        <v>5.8013000000000003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63"/>
        <v>0823-21</v>
      </c>
      <c r="AE183" s="85" t="str">
        <f t="shared" si="64"/>
        <v>aws s3 cp s3://rtdc.mdm.uploadarchive.raw/RTDC4007/ "%USERPROFILE%\AppData\Local\Temp\OnboardLogs"\RTDC4007\2017-02-21 --exclude "*" --recursive --include "*20170221*" &amp; "%USERPROFILE%\Documents\GitHub\mrs-test-scripts\Headless Mode &amp; Sideloading\WalkAndUnGZ.bat" "%USERPROFILE%\AppData\Local\Temp\OnboardLogs"\RTDC4007\2017-02-21 &amp; aws s3 cp s3://rtdc.mdm.uploadarchive.raw/RTDC4007/ "%USERPROFILE%\AppData\Local\Temp\OnboardLogs"\RTDC4007\2017-02-22 --exclude "*" --recursive --include "*20170222*" &amp; "%USERPROFILE%\Documents\GitHub\mrs-test-scripts\Headless Mode &amp; Sideloading\WalkAndUnGZ.bat" "%USERPROFILE%\AppData\Local\Temp\OnboardLogs"\RTDC4007\2017-02-22</v>
      </c>
      <c r="AF183" s="82" t="str">
        <f t="shared" si="65"/>
        <v>"C:\Program Files (x86)\AstroGrep\AstroGrep.exe" /spath="%USERPROFILE%\AppData\Local\Temp\OnboardLogs" /stypes="app*4007*20170221*" /stext=" 21:.+((SYSTEM_STATE.+slice.+state.+changed )|(ment ac)|(multiple cpu faults)|(system.+state.+changed )|(\[timeout)|(PRM\|1\|D)|(kpr)|(kdp)|(\|lc)|(penalty))" /e /r /s</v>
      </c>
      <c r="AG183" s="1" t="str">
        <f t="shared" si="66"/>
        <v>NW</v>
      </c>
      <c r="AH183" s="86" t="str">
        <f t="shared" si="67"/>
        <v>"%USERPROFILE%\Documents\GitHub\eaglep3\Utilities\RefineRTDCRunTimes.py" --tripid 823-21 --locoid 4007 --swversion DE.1.0.9.0 --startMP 204:930 --initTime 2017-02-21T14:18:14 --startdatetime 2017-02-21T14:21:15 --delay 1 --endMP 300:58943 --enddatetime 2017-02-21T14:34:29 --enforcementcount 0 &gt;&gt;C:\Users\stu\Documents\GitHub\eaglep3-reporting\EC\2017-02-21-refined-times.txt</v>
      </c>
      <c r="AI183" s="108" t="str">
        <f t="shared" si="68"/>
        <v>echo {"issue":{"subject":"","project_id":79,"tracker_id":40,"status_id":1,"priority_id":2,"assigned_to_id":23,"start_date":"2017-02-21","description":"","custom_fields":[{"id":1,"name":"Subdivision","value":"NW"},{"id":4,"name":"Milepost","value":"5.8943"},{"id":17,"name":"Train ID","value":"823-21"},{"id":16,"name":"Locomotive ID","value":"4007"},{"id":130,"name":"Impact","value":""},{"id":150,"name":"Time of Event (Mountain Time)","value":"14:34:29"},{"id":151,"name":"Denver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69"/>
        <v>start /low /b %USERPROFILE%\Documents\GitHub\eaglep3\Utilities\DownloadLogsFromS3.py --loco 4007 --day 2017-02-21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"%USERPROFILE%\AppData\Local\Temp\OnboardLogs"\RTDC4007\*4007*20170221* | grep -SE "(Enforcement Action)|(\[TIMEOUT)|(CHR.+\|PRM\|1\|D.+(SWITCH|SIGNAL).+UNKNOWN)" - &gt;&gt; 2017-02-21-UncaughtWiMAX.txt</v>
      </c>
    </row>
    <row r="184" spans="1:40" x14ac:dyDescent="0.25">
      <c r="A184" s="33" t="s">
        <v>603</v>
      </c>
      <c r="B184" s="7">
        <v>4008</v>
      </c>
      <c r="C184" s="21" t="s">
        <v>359</v>
      </c>
      <c r="D184" s="21" t="s">
        <v>337</v>
      </c>
      <c r="E184" s="13">
        <v>42787.608368055553</v>
      </c>
      <c r="F184" s="13">
        <v>42787.609583333331</v>
      </c>
      <c r="G184" s="7">
        <v>1</v>
      </c>
      <c r="H184" s="21" t="s">
        <v>692</v>
      </c>
      <c r="I184" s="13">
        <v>42787.62159722222</v>
      </c>
      <c r="J184" s="7">
        <v>0</v>
      </c>
      <c r="K184" s="98" t="str">
        <f t="shared" si="57"/>
        <v>4007/4008</v>
      </c>
      <c r="L184" s="21" t="str">
        <f>VLOOKUP(A184,'Trips&amp;Operators'!$C$1:$G$99999,5,FALSE)</f>
        <v>LEVIN SCOTT</v>
      </c>
      <c r="M184" s="6">
        <f t="shared" si="58"/>
        <v>1.2013888888759539E-2</v>
      </c>
      <c r="N184" s="7">
        <f t="shared" si="73"/>
        <v>17.299999999813735</v>
      </c>
      <c r="O184" s="7"/>
      <c r="P184" s="7"/>
      <c r="Q184" s="22"/>
      <c r="R184" s="22"/>
      <c r="S184" s="31">
        <f t="shared" si="72"/>
        <v>1</v>
      </c>
      <c r="T184" s="46" t="str">
        <f t="shared" si="59"/>
        <v>Southbound</v>
      </c>
      <c r="U184" s="193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4" t="str">
        <f t="shared" si="60"/>
        <v>https://d0f6bd738d7f1b3e5a7ca70fe4ff75f0.us-east-1.aws.found.io/app/kibana#/discover/Steve-Slow-Train-Analysis-(2080s-and-2083s)?_g=(refreshInterval:(display:Off,pause:!f,section:0,value:0),time:(from:'2017-02-21T13:36:03-0700',mode:absolute,to:'2017-02-21T15:55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4" s="195" t="str">
        <f t="shared" si="61"/>
        <v>N</v>
      </c>
      <c r="X184" s="195">
        <f t="shared" si="75"/>
        <v>1</v>
      </c>
      <c r="Y184" s="62">
        <f t="shared" si="70"/>
        <v>5.8619000000000003</v>
      </c>
      <c r="Z184" s="62">
        <f t="shared" si="71"/>
        <v>1.1900000000000001E-2</v>
      </c>
      <c r="AA184" s="62">
        <f t="shared" si="62"/>
        <v>5.8500000000000005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63"/>
        <v>0824-21</v>
      </c>
      <c r="AE184" s="85" t="str">
        <f t="shared" si="64"/>
        <v>aws s3 cp s3://rtdc.mdm.uploadarchive.raw/RTDC4008/ "%USERPROFILE%\AppData\Local\Temp\OnboardLogs"\RTDC4008\2017-02-21 --exclude "*" --recursive --include "*20170221*" &amp; "%USERPROFILE%\Documents\GitHub\mrs-test-scripts\Headless Mode &amp; Sideloading\WalkAndUnGZ.bat" "%USERPROFILE%\AppData\Local\Temp\OnboardLogs"\RTDC4008\2017-02-21 &amp; aws s3 cp s3://rtdc.mdm.uploadarchive.raw/RTDC4008/ "%USERPROFILE%\AppData\Local\Temp\OnboardLogs"\RTDC4008\2017-02-22 --exclude "*" --recursive --include "*20170222*" &amp; "%USERPROFILE%\Documents\GitHub\mrs-test-scripts\Headless Mode &amp; Sideloading\WalkAndUnGZ.bat" "%USERPROFILE%\AppData\Local\Temp\OnboardLogs"\RTDC4008\2017-02-22</v>
      </c>
      <c r="AF184" s="82" t="str">
        <f t="shared" si="65"/>
        <v>"C:\Program Files (x86)\AstroGrep\AstroGrep.exe" /spath="%USERPROFILE%\AppData\Local\Temp\OnboardLogs" /stypes="app*4008*20170221*" /stext=" 21:.+((SYSTEM_STATE.+slice.+state.+changed )|(ment ac)|(multiple cpu faults)|(system.+state.+changed )|(\[timeout)|(PRM\|1\|D)|(kpr)|(kdp)|(\|lc)|(penalty))" /e /r /s</v>
      </c>
      <c r="AG184" s="1" t="str">
        <f t="shared" si="66"/>
        <v>NW</v>
      </c>
      <c r="AH184" s="86" t="str">
        <f t="shared" si="67"/>
        <v>"%USERPROFILE%\Documents\GitHub\eaglep3\Utilities\RefineRTDCRunTimes.py" --tripid 824-21 --locoid 4008 --swversion DE.1.0.9.0 --startMP 300:58619 --initTime 2017-02-21T14:36:03 --startdatetime 2017-02-21T14:37:48 --delay 1 --endMP 204:119 --enddatetime 2017-02-21T14:55:06 --enforcementcount 0 &gt;&gt;C:\Users\stu\Documents\GitHub\eaglep3-reporting\EC\2017-02-21-refined-times.txt</v>
      </c>
      <c r="AI184" s="108" t="str">
        <f t="shared" si="68"/>
        <v>echo {"issue":{"subject":"","project_id":79,"tracker_id":40,"status_id":1,"priority_id":2,"assigned_to_id":23,"start_date":"2017-02-21","description":"","custom_fields":[{"id":1,"name":"Subdivision","value":"NW"},{"id":4,"name":"Milepost","value":"0.0119"},{"id":17,"name":"Train ID","value":"824-21"},{"id":16,"name":"Locomotive ID","value":"4008"},{"id":130,"name":"Impact","value":""},{"id":150,"name":"Time of Event (Mountain Time)","value":"14:55:06"},{"id":151,"name":"Denver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69"/>
        <v>start /low /b %USERPROFILE%\Documents\GitHub\eaglep3\Utilities\DownloadLogsFromS3.py --loco 4008 --day 2017-02-21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"%USERPROFILE%\AppData\Local\Temp\OnboardLogs"\RTDC4008\*4008*20170221* | grep -SE "(Enforcement Action)|(\[TIMEOUT)|(CHR.+\|PRM\|1\|D.+(SWITCH|SIGNAL).+UNKNOWN)" - &gt;&gt; 2017-02-21-UncaughtWiMAX.txt</v>
      </c>
    </row>
    <row r="185" spans="1:40" x14ac:dyDescent="0.25">
      <c r="A185" s="33" t="s">
        <v>610</v>
      </c>
      <c r="B185" s="7">
        <v>4031</v>
      </c>
      <c r="C185" s="21" t="s">
        <v>359</v>
      </c>
      <c r="D185" s="21" t="s">
        <v>809</v>
      </c>
      <c r="E185" s="13">
        <v>42787.634120370371</v>
      </c>
      <c r="F185" s="13">
        <v>42787.639756944445</v>
      </c>
      <c r="G185" s="7">
        <v>1</v>
      </c>
      <c r="H185" s="21" t="s">
        <v>810</v>
      </c>
      <c r="I185" s="13">
        <v>42787.649039351854</v>
      </c>
      <c r="J185" s="7">
        <v>0</v>
      </c>
      <c r="K185" s="98" t="str">
        <f t="shared" si="57"/>
        <v>4031/4032</v>
      </c>
      <c r="L185" s="21" t="str">
        <f>VLOOKUP(A185,'Trips&amp;Operators'!$C$1:$G$99999,5,FALSE)</f>
        <v>LEVIN SCOTT</v>
      </c>
      <c r="M185" s="6">
        <f t="shared" si="58"/>
        <v>9.2824074090458453E-3</v>
      </c>
      <c r="N185" s="7">
        <f t="shared" si="73"/>
        <v>13.366666669026017</v>
      </c>
      <c r="O185" s="7"/>
      <c r="P185" s="7"/>
      <c r="Q185" s="22"/>
      <c r="R185" s="22"/>
      <c r="S185" s="31">
        <f t="shared" si="72"/>
        <v>1</v>
      </c>
      <c r="T185" s="46" t="str">
        <f t="shared" si="59"/>
        <v>NorthBound</v>
      </c>
      <c r="U185" s="193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4" t="str">
        <f t="shared" si="60"/>
        <v>https://d0f6bd738d7f1b3e5a7ca70fe4ff75f0.us-east-1.aws.found.io/app/kibana#/discover/Steve-Slow-Train-Analysis-(2080s-and-2083s)?_g=(refreshInterval:(display:Off,pause:!f,section:0,value:0),time:(from:'2017-02-21T14:13:08-0700',mode:absolute,to:'2017-02-21T16:34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5" s="195" t="str">
        <f t="shared" si="61"/>
        <v>N</v>
      </c>
      <c r="X185" s="195">
        <f t="shared" si="75"/>
        <v>1</v>
      </c>
      <c r="Y185" s="62">
        <f t="shared" si="70"/>
        <v>0.1212</v>
      </c>
      <c r="Z185" s="62">
        <f t="shared" si="71"/>
        <v>5.8944000000000001</v>
      </c>
      <c r="AA185" s="62">
        <f t="shared" si="62"/>
        <v>5.7732000000000001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63"/>
        <v>0825-21</v>
      </c>
      <c r="AE185" s="85" t="str">
        <f t="shared" si="64"/>
        <v>aws s3 cp s3://rtdc.mdm.uploadarchive.raw/RTDC4031/ "%USERPROFILE%\AppData\Local\Temp\OnboardLogs"\RTDC4031\2017-02-21 --exclude "*" --recursive --include "*20170221*" &amp; "%USERPROFILE%\Documents\GitHub\mrs-test-scripts\Headless Mode &amp; Sideloading\WalkAndUnGZ.bat" "%USERPROFILE%\AppData\Local\Temp\OnboardLogs"\RTDC4031\2017-02-21 &amp; aws s3 cp s3://rtdc.mdm.uploadarchive.raw/RTDC4031/ "%USERPROFILE%\AppData\Local\Temp\OnboardLogs"\RTDC4031\2017-02-22 --exclude "*" --recursive --include "*20170222*" &amp; "%USERPROFILE%\Documents\GitHub\mrs-test-scripts\Headless Mode &amp; Sideloading\WalkAndUnGZ.bat" "%USERPROFILE%\AppData\Local\Temp\OnboardLogs"\RTDC4031\2017-02-22</v>
      </c>
      <c r="AF185" s="82" t="str">
        <f t="shared" si="65"/>
        <v>"C:\Program Files (x86)\AstroGrep\AstroGrep.exe" /spath="%USERPROFILE%\AppData\Local\Temp\OnboardLogs" /stypes="app*4031*20170221*" /stext=" 22:.+((SYSTEM_STATE.+slice.+state.+changed )|(ment ac)|(multiple cpu faults)|(system.+state.+changed )|(\[timeout)|(PRM\|1\|D)|(kpr)|(kdp)|(\|lc)|(penalty))" /e /r /s</v>
      </c>
      <c r="AG185" s="1" t="str">
        <f t="shared" si="66"/>
        <v>NW</v>
      </c>
      <c r="AH185" s="86" t="str">
        <f t="shared" si="67"/>
        <v>"%USERPROFILE%\Documents\GitHub\eaglep3\Utilities\RefineRTDCRunTimes.py" --tripid 825-21 --locoid 4031 --swversion DE.1.0.9.0 --startMP 204:1212 --initTime 2017-02-21T15:13:08 --startdatetime 2017-02-21T15:21:15 --delay 1 --endMP 300:58944 --enddatetime 2017-02-21T15:34:37 --enforcementcount 0 &gt;&gt;C:\Users\stu\Documents\GitHub\eaglep3-reporting\EC\2017-02-21-refined-times.txt</v>
      </c>
      <c r="AI185" s="108" t="str">
        <f t="shared" si="68"/>
        <v>echo {"issue":{"subject":"","project_id":79,"tracker_id":40,"status_id":1,"priority_id":2,"assigned_to_id":23,"start_date":"2017-02-21","description":"","custom_fields":[{"id":1,"name":"Subdivision","value":"NW"},{"id":4,"name":"Milepost","value":"5.8944"},{"id":17,"name":"Train ID","value":"825-21"},{"id":16,"name":"Locomotive ID","value":"4031"},{"id":130,"name":"Impact","value":""},{"id":150,"name":"Time of Event (Mountain Time)","value":"15:34:37"},{"id":151,"name":"Denver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69"/>
        <v>start /low /b %USERPROFILE%\Documents\GitHub\eaglep3\Utilities\DownloadLogsFromS3.py --loco 4031 --day 2017-02-21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"%USERPROFILE%\AppData\Local\Temp\OnboardLogs"\RTDC4031\*4031*20170221* | grep -SE "(Enforcement Action)|(\[TIMEOUT)|(CHR.+\|PRM\|1\|D.+(SWITCH|SIGNAL).+UNKNOWN)" - &gt;&gt; 2017-02-21-UncaughtWiMAX.txt</v>
      </c>
    </row>
    <row r="186" spans="1:40" x14ac:dyDescent="0.25">
      <c r="A186" s="33" t="s">
        <v>614</v>
      </c>
      <c r="B186" s="7">
        <v>4032</v>
      </c>
      <c r="C186" s="21" t="s">
        <v>359</v>
      </c>
      <c r="D186" s="21" t="s">
        <v>788</v>
      </c>
      <c r="E186" s="13">
        <v>42787.650347222225</v>
      </c>
      <c r="F186" s="13">
        <v>42787.651747685188</v>
      </c>
      <c r="G186" s="7">
        <v>1</v>
      </c>
      <c r="H186" s="21" t="s">
        <v>771</v>
      </c>
      <c r="I186" s="13">
        <v>42787.663645833331</v>
      </c>
      <c r="J186" s="7">
        <v>0</v>
      </c>
      <c r="K186" s="98" t="str">
        <f t="shared" si="57"/>
        <v>4031/4032</v>
      </c>
      <c r="L186" s="21" t="str">
        <f>VLOOKUP(A186,'Trips&amp;Operators'!$C$1:$G$99999,5,FALSE)</f>
        <v>LEVIN SCOTT</v>
      </c>
      <c r="M186" s="6">
        <f t="shared" si="58"/>
        <v>1.1898148142790888E-2</v>
      </c>
      <c r="N186" s="7">
        <f t="shared" si="73"/>
        <v>17.133333325618878</v>
      </c>
      <c r="O186" s="7"/>
      <c r="P186" s="7"/>
      <c r="Q186" s="22"/>
      <c r="R186" s="22"/>
      <c r="S186" s="31">
        <f t="shared" si="72"/>
        <v>1</v>
      </c>
      <c r="T186" s="46" t="str">
        <f t="shared" si="59"/>
        <v>Southbound</v>
      </c>
      <c r="U186" s="193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4" t="str">
        <f t="shared" si="60"/>
        <v>https://d0f6bd738d7f1b3e5a7ca70fe4ff75f0.us-east-1.aws.found.io/app/kibana#/discover/Steve-Slow-Train-Analysis-(2080s-and-2083s)?_g=(refreshInterval:(display:Off,pause:!f,section:0,value:0),time:(from:'2017-02-21T14:36:30-0700',mode:absolute,to:'2017-02-21T16:55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6" s="195" t="str">
        <f t="shared" si="61"/>
        <v>N</v>
      </c>
      <c r="X186" s="195">
        <f t="shared" si="75"/>
        <v>1</v>
      </c>
      <c r="Y186" s="62">
        <f t="shared" si="70"/>
        <v>5.8624000000000001</v>
      </c>
      <c r="Z186" s="62">
        <f t="shared" si="71"/>
        <v>6.5000000000000002E-2</v>
      </c>
      <c r="AA186" s="62">
        <f t="shared" si="62"/>
        <v>5.7973999999999997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63"/>
        <v>0826-21</v>
      </c>
      <c r="AE186" s="85" t="str">
        <f t="shared" si="64"/>
        <v>aws s3 cp s3://rtdc.mdm.uploadarchive.raw/RTDC4032/ "%USERPROFILE%\AppData\Local\Temp\OnboardLogs"\RTDC4032\2017-02-21 --exclude "*" --recursive --include "*20170221*" &amp; "%USERPROFILE%\Documents\GitHub\mrs-test-scripts\Headless Mode &amp; Sideloading\WalkAndUnGZ.bat" "%USERPROFILE%\AppData\Local\Temp\OnboardLogs"\RTDC4032\2017-02-21 &amp; aws s3 cp s3://rtdc.mdm.uploadarchive.raw/RTDC4032/ "%USERPROFILE%\AppData\Local\Temp\OnboardLogs"\RTDC4032\2017-02-22 --exclude "*" --recursive --include "*20170222*" &amp; "%USERPROFILE%\Documents\GitHub\mrs-test-scripts\Headless Mode &amp; Sideloading\WalkAndUnGZ.bat" "%USERPROFILE%\AppData\Local\Temp\OnboardLogs"\RTDC4032\2017-02-22</v>
      </c>
      <c r="AF186" s="82" t="str">
        <f t="shared" si="65"/>
        <v>"C:\Program Files (x86)\AstroGrep\AstroGrep.exe" /spath="%USERPROFILE%\AppData\Local\Temp\OnboardLogs" /stypes="app*4032*20170221*" /stext=" 22:.+((SYSTEM_STATE.+slice.+state.+changed )|(ment ac)|(multiple cpu faults)|(system.+state.+changed )|(\[timeout)|(PRM\|1\|D)|(kpr)|(kdp)|(\|lc)|(penalty))" /e /r /s</v>
      </c>
      <c r="AG186" s="1" t="str">
        <f t="shared" si="66"/>
        <v>NW</v>
      </c>
      <c r="AH186" s="86" t="str">
        <f t="shared" si="67"/>
        <v>"%USERPROFILE%\Documents\GitHub\eaglep3\Utilities\RefineRTDCRunTimes.py" --tripid 826-21 --locoid 4032 --swversion DE.1.0.9.0 --startMP 300:58624 --initTime 2017-02-21T15:36:30 --startdatetime 2017-02-21T15:38:31 --delay 1 --endMP 204:650 --enddatetime 2017-02-21T15:55:39 --enforcementcount 0 &gt;&gt;C:\Users\stu\Documents\GitHub\eaglep3-reporting\EC\2017-02-21-refined-times.txt</v>
      </c>
      <c r="AI186" s="108" t="str">
        <f t="shared" si="68"/>
        <v>echo {"issue":{"subject":"","project_id":79,"tracker_id":40,"status_id":1,"priority_id":2,"assigned_to_id":23,"start_date":"2017-02-21","description":"","custom_fields":[{"id":1,"name":"Subdivision","value":"NW"},{"id":4,"name":"Milepost","value":"0.065"},{"id":17,"name":"Train ID","value":"826-21"},{"id":16,"name":"Locomotive ID","value":"4032"},{"id":130,"name":"Impact","value":""},{"id":150,"name":"Time of Event (Mountain Time)","value":"15:55:39"},{"id":151,"name":"Denver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69"/>
        <v>start /low /b %USERPROFILE%\Documents\GitHub\eaglep3\Utilities\DownloadLogsFromS3.py --loco 4032 --day 2017-02-21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"%USERPROFILE%\AppData\Local\Temp\OnboardLogs"\RTDC4032\*4032*20170221* | grep -SE "(Enforcement Action)|(\[TIMEOUT)|(CHR.+\|PRM\|1\|D.+(SWITCH|SIGNAL).+UNKNOWN)" - &gt;&gt; 2017-02-21-UncaughtWiMAX.txt</v>
      </c>
    </row>
    <row r="187" spans="1:40" x14ac:dyDescent="0.25">
      <c r="A187" s="33" t="s">
        <v>478</v>
      </c>
      <c r="B187" s="7">
        <v>4009</v>
      </c>
      <c r="C187" s="21" t="s">
        <v>359</v>
      </c>
      <c r="D187" s="21" t="s">
        <v>811</v>
      </c>
      <c r="E187" s="13">
        <v>42787.649224537039</v>
      </c>
      <c r="F187" s="13">
        <v>42787.660844907405</v>
      </c>
      <c r="G187" s="7">
        <v>1</v>
      </c>
      <c r="H187" s="21" t="s">
        <v>812</v>
      </c>
      <c r="I187" s="13">
        <v>42787.670914351853</v>
      </c>
      <c r="J187" s="7">
        <v>0</v>
      </c>
      <c r="K187" s="98" t="str">
        <f t="shared" si="57"/>
        <v>4009/4010</v>
      </c>
      <c r="L187" s="21" t="str">
        <f>VLOOKUP(A187,'Trips&amp;Operators'!$C$1:$G$99999,5,FALSE)</f>
        <v>HILLS DUSTIN</v>
      </c>
      <c r="M187" s="6">
        <f t="shared" si="58"/>
        <v>1.0069444448163267E-2</v>
      </c>
      <c r="N187" s="7">
        <f t="shared" si="73"/>
        <v>14.500000005355105</v>
      </c>
      <c r="O187" s="7"/>
      <c r="P187" s="7"/>
      <c r="Q187" s="22"/>
      <c r="R187" s="22"/>
      <c r="S187" s="31">
        <f t="shared" si="72"/>
        <v>1</v>
      </c>
      <c r="T187" s="46" t="str">
        <f t="shared" si="59"/>
        <v>NorthBound</v>
      </c>
      <c r="U187" s="193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4" t="str">
        <f t="shared" si="60"/>
        <v>https://d0f6bd738d7f1b3e5a7ca70fe4ff75f0.us-east-1.aws.found.io/app/kibana#/discover/Steve-Slow-Train-Analysis-(2080s-and-2083s)?_g=(refreshInterval:(display:Off,pause:!f,section:0,value:0),time:(from:'2017-02-21T14:34:53-0700',mode:absolute,to:'2017-02-21T17:06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7" s="195" t="str">
        <f t="shared" si="61"/>
        <v>N</v>
      </c>
      <c r="X187" s="195">
        <f t="shared" si="75"/>
        <v>1</v>
      </c>
      <c r="Y187" s="62">
        <f t="shared" si="70"/>
        <v>9.0899999999999995E-2</v>
      </c>
      <c r="Z187" s="62">
        <f t="shared" si="71"/>
        <v>5.9013999999999998</v>
      </c>
      <c r="AA187" s="62">
        <f t="shared" si="62"/>
        <v>5.8104999999999993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63"/>
        <v>0827-21</v>
      </c>
      <c r="AE187" s="85" t="str">
        <f t="shared" si="64"/>
        <v>aws s3 cp s3://rtdc.mdm.uploadarchive.raw/RTDC4009/ "%USERPROFILE%\AppData\Local\Temp\OnboardLogs"\RTDC4009\2017-02-21 --exclude "*" --recursive --include "*20170221*" &amp; "%USERPROFILE%\Documents\GitHub\mrs-test-scripts\Headless Mode &amp; Sideloading\WalkAndUnGZ.bat" "%USERPROFILE%\AppData\Local\Temp\OnboardLogs"\RTDC4009\2017-02-21 &amp; aws s3 cp s3://rtdc.mdm.uploadarchive.raw/RTDC4009/ "%USERPROFILE%\AppData\Local\Temp\OnboardLogs"\RTDC4009\2017-02-22 --exclude "*" --recursive --include "*20170222*" &amp; "%USERPROFILE%\Documents\GitHub\mrs-test-scripts\Headless Mode &amp; Sideloading\WalkAndUnGZ.bat" "%USERPROFILE%\AppData\Local\Temp\OnboardLogs"\RTDC4009\2017-02-22</v>
      </c>
      <c r="AF187" s="82" t="str">
        <f t="shared" si="65"/>
        <v>"C:\Program Files (x86)\AstroGrep\AstroGrep.exe" /spath="%USERPROFILE%\AppData\Local\Temp\OnboardLogs" /stypes="app*4009*20170221*" /stext=" 23:.+((SYSTEM_STATE.+slice.+state.+changed )|(ment ac)|(multiple cpu faults)|(system.+state.+changed )|(\[timeout)|(PRM\|1\|D)|(kpr)|(kdp)|(\|lc)|(penalty))" /e /r /s</v>
      </c>
      <c r="AG187" s="1" t="str">
        <f t="shared" si="66"/>
        <v>NW</v>
      </c>
      <c r="AH187" s="86" t="str">
        <f t="shared" si="67"/>
        <v>"%USERPROFILE%\Documents\GitHub\eaglep3\Utilities\RefineRTDCRunTimes.py" --tripid 827-21 --locoid 4009 --swversion DE.1.0.9.0 --startMP 204:909 --initTime 2017-02-21T15:34:53 --startdatetime 2017-02-21T15:51:37 --delay 1 --endMP 300:59014 --enddatetime 2017-02-21T16:06:07 --enforcementcount 0 &gt;&gt;C:\Users\stu\Documents\GitHub\eaglep3-reporting\EC\2017-02-21-refined-times.txt</v>
      </c>
      <c r="AI187" s="108" t="str">
        <f t="shared" si="68"/>
        <v>echo {"issue":{"subject":"","project_id":79,"tracker_id":40,"status_id":1,"priority_id":2,"assigned_to_id":23,"start_date":"2017-02-21","description":"","custom_fields":[{"id":1,"name":"Subdivision","value":"NW"},{"id":4,"name":"Milepost","value":"5.9014"},{"id":17,"name":"Train ID","value":"827-21"},{"id":16,"name":"Locomotive ID","value":"4009"},{"id":130,"name":"Impact","value":""},{"id":150,"name":"Time of Event (Mountain Time)","value":"16:06:07"},{"id":151,"name":"Denver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69"/>
        <v>start /low /b %USERPROFILE%\Documents\GitHub\eaglep3\Utilities\DownloadLogsFromS3.py --loco 4009 --day 2017-02-21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"%USERPROFILE%\AppData\Local\Temp\OnboardLogs"\RTDC4009\*4009*20170221* | grep -SE "(Enforcement Action)|(\[TIMEOUT)|(CHR.+\|PRM\|1\|D.+(SWITCH|SIGNAL).+UNKNOWN)" - &gt;&gt; 2017-02-21-UncaughtWiMAX.txt</v>
      </c>
    </row>
    <row r="188" spans="1:40" x14ac:dyDescent="0.25">
      <c r="A188" s="33" t="s">
        <v>619</v>
      </c>
      <c r="B188" s="7">
        <v>4010</v>
      </c>
      <c r="C188" s="21" t="s">
        <v>359</v>
      </c>
      <c r="D188" s="21" t="s">
        <v>813</v>
      </c>
      <c r="E188" s="13">
        <v>42787.67291666667</v>
      </c>
      <c r="F188" s="13">
        <v>42787.674814814818</v>
      </c>
      <c r="G188" s="7">
        <v>1</v>
      </c>
      <c r="H188" s="21" t="s">
        <v>808</v>
      </c>
      <c r="I188" s="13">
        <v>42787.684201388889</v>
      </c>
      <c r="J188" s="7">
        <v>0</v>
      </c>
      <c r="K188" s="98" t="str">
        <f t="shared" si="57"/>
        <v>4009/4010</v>
      </c>
      <c r="L188" s="21" t="str">
        <f>VLOOKUP(A188,'Trips&amp;Operators'!$C$1:$G$99999,5,FALSE)</f>
        <v>HILLS DUSTIN</v>
      </c>
      <c r="M188" s="6">
        <f t="shared" si="58"/>
        <v>9.3865740709588863E-3</v>
      </c>
      <c r="N188" s="7">
        <f t="shared" si="73"/>
        <v>13.516666662180796</v>
      </c>
      <c r="O188" s="7"/>
      <c r="P188" s="7"/>
      <c r="Q188" s="22"/>
      <c r="R188" s="22"/>
      <c r="S188" s="31">
        <f t="shared" si="72"/>
        <v>1</v>
      </c>
      <c r="T188" s="46" t="str">
        <f t="shared" si="59"/>
        <v>Southbound</v>
      </c>
      <c r="U188" s="193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4" t="str">
        <f t="shared" si="60"/>
        <v>https://d0f6bd738d7f1b3e5a7ca70fe4ff75f0.us-east-1.aws.found.io/app/kibana#/discover/Steve-Slow-Train-Analysis-(2080s-and-2083s)?_g=(refreshInterval:(display:Off,pause:!f,section:0,value:0),time:(from:'2017-02-21T15:09:00-0700',mode:absolute,to:'2017-02-21T17:25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8" s="195" t="str">
        <f t="shared" si="61"/>
        <v>N</v>
      </c>
      <c r="X188" s="195">
        <f t="shared" si="75"/>
        <v>1</v>
      </c>
      <c r="Y188" s="62">
        <f t="shared" si="70"/>
        <v>5.8704000000000001</v>
      </c>
      <c r="Z188" s="62">
        <f t="shared" si="71"/>
        <v>6.4000000000000001E-2</v>
      </c>
      <c r="AA188" s="62">
        <f t="shared" si="62"/>
        <v>5.8064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63"/>
        <v>0828-21</v>
      </c>
      <c r="AE188" s="85" t="str">
        <f t="shared" si="64"/>
        <v>aws s3 cp s3://rtdc.mdm.uploadarchive.raw/RTDC4010/ "%USERPROFILE%\AppData\Local\Temp\OnboardLogs"\RTDC4010\2017-02-21 --exclude "*" --recursive --include "*20170221*" &amp; "%USERPROFILE%\Documents\GitHub\mrs-test-scripts\Headless Mode &amp; Sideloading\WalkAndUnGZ.bat" "%USERPROFILE%\AppData\Local\Temp\OnboardLogs"\RTDC4010\2017-02-21 &amp; aws s3 cp s3://rtdc.mdm.uploadarchive.raw/RTDC4010/ "%USERPROFILE%\AppData\Local\Temp\OnboardLogs"\RTDC4010\2017-02-22 --exclude "*" --recursive --include "*20170222*" &amp; "%USERPROFILE%\Documents\GitHub\mrs-test-scripts\Headless Mode &amp; Sideloading\WalkAndUnGZ.bat" "%USERPROFILE%\AppData\Local\Temp\OnboardLogs"\RTDC4010\2017-02-22</v>
      </c>
      <c r="AF188" s="82" t="str">
        <f t="shared" si="65"/>
        <v>"C:\Program Files (x86)\AstroGrep\AstroGrep.exe" /spath="%USERPROFILE%\AppData\Local\Temp\OnboardLogs" /stypes="app*4010*20170221*" /stext=" 23:.+((SYSTEM_STATE.+slice.+state.+changed )|(ment ac)|(multiple cpu faults)|(system.+state.+changed )|(\[timeout)|(PRM\|1\|D)|(kpr)|(kdp)|(\|lc)|(penalty))" /e /r /s</v>
      </c>
      <c r="AG188" s="1" t="str">
        <f t="shared" si="66"/>
        <v>NW</v>
      </c>
      <c r="AH188" s="86" t="str">
        <f t="shared" si="67"/>
        <v>"%USERPROFILE%\Documents\GitHub\eaglep3\Utilities\RefineRTDCRunTimes.py" --tripid 828-21 --locoid 4010 --swversion DE.1.0.9.0 --startMP 300:58704 --initTime 2017-02-21T16:09:00 --startdatetime 2017-02-21T16:11:44 --delay 1 --endMP 204:640 --enddatetime 2017-02-21T16:25:15 --enforcementcount 0 &gt;&gt;C:\Users\stu\Documents\GitHub\eaglep3-reporting\EC\2017-02-21-refined-times.txt</v>
      </c>
      <c r="AI188" s="108" t="str">
        <f t="shared" si="68"/>
        <v>echo {"issue":{"subject":"","project_id":79,"tracker_id":40,"status_id":1,"priority_id":2,"assigned_to_id":23,"start_date":"2017-02-21","description":"","custom_fields":[{"id":1,"name":"Subdivision","value":"NW"},{"id":4,"name":"Milepost","value":"0.064"},{"id":17,"name":"Train ID","value":"828-21"},{"id":16,"name":"Locomotive ID","value":"4010"},{"id":130,"name":"Impact","value":""},{"id":150,"name":"Time of Event (Mountain Time)","value":"16:25:15"},{"id":151,"name":"Denver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69"/>
        <v>start /low /b %USERPROFILE%\Documents\GitHub\eaglep3\Utilities\DownloadLogsFromS3.py --loco 4010 --day 2017-02-21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"%USERPROFILE%\AppData\Local\Temp\OnboardLogs"\RTDC4010\*4010*20170221* | grep -SE "(Enforcement Action)|(\[TIMEOUT)|(CHR.+\|PRM\|1\|D.+(SWITCH|SIGNAL).+UNKNOWN)" - &gt;&gt; 2017-02-21-UncaughtWiMAX.txt</v>
      </c>
    </row>
    <row r="189" spans="1:40" x14ac:dyDescent="0.25">
      <c r="A189" s="33" t="s">
        <v>480</v>
      </c>
      <c r="B189" s="7">
        <v>4031</v>
      </c>
      <c r="C189" s="21" t="s">
        <v>359</v>
      </c>
      <c r="D189" s="21" t="s">
        <v>814</v>
      </c>
      <c r="E189" s="13">
        <v>42787.673043981478</v>
      </c>
      <c r="F189" s="13">
        <v>42787.681493055556</v>
      </c>
      <c r="G189" s="7">
        <v>3</v>
      </c>
      <c r="H189" s="21" t="s">
        <v>435</v>
      </c>
      <c r="I189" s="13">
        <v>42787.693159722221</v>
      </c>
      <c r="J189" s="7">
        <v>0</v>
      </c>
      <c r="K189" s="98" t="str">
        <f t="shared" si="57"/>
        <v>4031/4032</v>
      </c>
      <c r="L189" s="21" t="str">
        <f>VLOOKUP(A189,'Trips&amp;Operators'!$C$1:$G$99999,5,FALSE)</f>
        <v>BERLING GARY</v>
      </c>
      <c r="M189" s="6">
        <f t="shared" si="58"/>
        <v>1.1666666665405501E-2</v>
      </c>
      <c r="N189" s="7">
        <f t="shared" si="73"/>
        <v>16.799999998183921</v>
      </c>
      <c r="O189" s="7"/>
      <c r="P189" s="7"/>
      <c r="Q189" s="22"/>
      <c r="R189" s="22"/>
      <c r="S189" s="31">
        <f t="shared" si="72"/>
        <v>1</v>
      </c>
      <c r="T189" s="46" t="str">
        <f t="shared" si="59"/>
        <v>NorthBound</v>
      </c>
      <c r="U189" s="193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4" t="str">
        <f t="shared" si="60"/>
        <v>https://d0f6bd738d7f1b3e5a7ca70fe4ff75f0.us-east-1.aws.found.io/app/kibana#/discover/Steve-Slow-Train-Analysis-(2080s-and-2083s)?_g=(refreshInterval:(display:Off,pause:!f,section:0,value:0),time:(from:'2017-02-21T15:09:11-0700',mode:absolute,to:'2017-02-21T17:38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9" s="195" t="str">
        <f t="shared" si="61"/>
        <v>N</v>
      </c>
      <c r="X189" s="195">
        <f t="shared" si="75"/>
        <v>1</v>
      </c>
      <c r="Y189" s="62">
        <f t="shared" si="70"/>
        <v>9.3200000000000005E-2</v>
      </c>
      <c r="Z189" s="62">
        <f t="shared" si="71"/>
        <v>5.8930999999999996</v>
      </c>
      <c r="AA189" s="62">
        <f t="shared" si="62"/>
        <v>5.7998999999999992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63"/>
        <v>0829-21</v>
      </c>
      <c r="AE189" s="85" t="str">
        <f t="shared" si="64"/>
        <v>aws s3 cp s3://rtdc.mdm.uploadarchive.raw/RTDC4031/ "%USERPROFILE%\AppData\Local\Temp\OnboardLogs"\RTDC4031\2017-02-21 --exclude "*" --recursive --include "*20170221*" &amp; "%USERPROFILE%\Documents\GitHub\mrs-test-scripts\Headless Mode &amp; Sideloading\WalkAndUnGZ.bat" "%USERPROFILE%\AppData\Local\Temp\OnboardLogs"\RTDC4031\2017-02-21 &amp; aws s3 cp s3://rtdc.mdm.uploadarchive.raw/RTDC4031/ "%USERPROFILE%\AppData\Local\Temp\OnboardLogs"\RTDC4031\2017-02-22 --exclude "*" --recursive --include "*20170222*" &amp; "%USERPROFILE%\Documents\GitHub\mrs-test-scripts\Headless Mode &amp; Sideloading\WalkAndUnGZ.bat" "%USERPROFILE%\AppData\Local\Temp\OnboardLogs"\RTDC4031\2017-02-22</v>
      </c>
      <c r="AF189" s="82" t="str">
        <f t="shared" si="65"/>
        <v>"C:\Program Files (x86)\AstroGrep\AstroGrep.exe" /spath="%USERPROFILE%\AppData\Local\Temp\OnboardLogs" /stypes="app*4031*20170221*" /stext=" 23:.+((SYSTEM_STATE.+slice.+state.+changed )|(ment ac)|(multiple cpu faults)|(system.+state.+changed )|(\[timeout)|(PRM\|1\|D)|(kpr)|(kdp)|(\|lc)|(penalty))" /e /r /s</v>
      </c>
      <c r="AG189" s="1" t="str">
        <f t="shared" si="66"/>
        <v>NW</v>
      </c>
      <c r="AH189" s="86" t="str">
        <f t="shared" si="67"/>
        <v>"%USERPROFILE%\Documents\GitHub\eaglep3\Utilities\RefineRTDCRunTimes.py" --tripid 829-21 --locoid 4031 --swversion DE.1.0.9.0 --startMP 204:932 --initTime 2017-02-21T16:09:11 --startdatetime 2017-02-21T16:21:21 --delay 3 --endMP 300:58931 --enddatetime 2017-02-21T16:38:09 --enforcementcount 0 &gt;&gt;C:\Users\stu\Documents\GitHub\eaglep3-reporting\EC\2017-02-21-refined-times.txt</v>
      </c>
      <c r="AI189" s="108" t="str">
        <f t="shared" si="68"/>
        <v>echo {"issue":{"subject":"","project_id":79,"tracker_id":40,"status_id":1,"priority_id":2,"assigned_to_id":23,"start_date":"2017-02-21","description":"","custom_fields":[{"id":1,"name":"Subdivision","value":"NW"},{"id":4,"name":"Milepost","value":"5.8931"},{"id":17,"name":"Train ID","value":"829-21"},{"id":16,"name":"Locomotive ID","value":"4031"},{"id":130,"name":"Impact","value":""},{"id":150,"name":"Time of Event (Mountain Time)","value":"16:38:09"},{"id":151,"name":"Denver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69"/>
        <v>start /low /b %USERPROFILE%\Documents\GitHub\eaglep3\Utilities\DownloadLogsFromS3.py --loco 4031 --day 2017-02-21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"%USERPROFILE%\AppData\Local\Temp\OnboardLogs"\RTDC4031\*4031*20170221* | grep -SE "(Enforcement Action)|(\[TIMEOUT)|(CHR.+\|PRM\|1\|D.+(SWITCH|SIGNAL).+UNKNOWN)" - &gt;&gt; 2017-02-21-UncaughtWiMAX.txt</v>
      </c>
    </row>
    <row r="190" spans="1:40" x14ac:dyDescent="0.25">
      <c r="A190" s="33" t="s">
        <v>623</v>
      </c>
      <c r="B190" s="7">
        <v>4032</v>
      </c>
      <c r="C190" s="21" t="s">
        <v>359</v>
      </c>
      <c r="D190" s="21" t="s">
        <v>444</v>
      </c>
      <c r="E190" s="13">
        <v>42787.694247685184</v>
      </c>
      <c r="F190" s="13">
        <v>42787.695937500001</v>
      </c>
      <c r="G190" s="7">
        <v>1</v>
      </c>
      <c r="H190" s="21" t="s">
        <v>441</v>
      </c>
      <c r="I190" s="13">
        <v>42787.706793981481</v>
      </c>
      <c r="J190" s="7">
        <v>0</v>
      </c>
      <c r="K190" s="98" t="str">
        <f t="shared" si="57"/>
        <v>4031/4032</v>
      </c>
      <c r="L190" s="21" t="str">
        <f>VLOOKUP(A190,'Trips&amp;Operators'!$C$1:$G$99999,5,FALSE)</f>
        <v>BERLING GARY</v>
      </c>
      <c r="M190" s="6">
        <f t="shared" si="58"/>
        <v>1.0856481480004732E-2</v>
      </c>
      <c r="N190" s="7">
        <f t="shared" si="73"/>
        <v>15.633333331206813</v>
      </c>
      <c r="O190" s="7"/>
      <c r="P190" s="7"/>
      <c r="Q190" s="22"/>
      <c r="R190" s="22"/>
      <c r="S190" s="31">
        <f t="shared" si="72"/>
        <v>1</v>
      </c>
      <c r="T190" s="46" t="str">
        <f t="shared" si="59"/>
        <v>Southbound</v>
      </c>
      <c r="U190" s="193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4" t="str">
        <f t="shared" si="60"/>
        <v>https://d0f6bd738d7f1b3e5a7ca70fe4ff75f0.us-east-1.aws.found.io/app/kibana#/discover/Steve-Slow-Train-Analysis-(2080s-and-2083s)?_g=(refreshInterval:(display:Off,pause:!f,section:0,value:0),time:(from:'2017-02-21T15:39:43-0700',mode:absolute,to:'2017-02-21T17:57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0" s="195" t="str">
        <f t="shared" si="61"/>
        <v>N</v>
      </c>
      <c r="X190" s="195">
        <f t="shared" si="75"/>
        <v>1</v>
      </c>
      <c r="Y190" s="62">
        <f t="shared" si="70"/>
        <v>5.8611000000000004</v>
      </c>
      <c r="Z190" s="62">
        <f t="shared" si="71"/>
        <v>6.8900000000000003E-2</v>
      </c>
      <c r="AA190" s="62">
        <f t="shared" si="62"/>
        <v>5.7922000000000002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63"/>
        <v>0830-21</v>
      </c>
      <c r="AE190" s="85" t="str">
        <f t="shared" si="64"/>
        <v>aws s3 cp s3://rtdc.mdm.uploadarchive.raw/RTDC4032/ "%USERPROFILE%\AppData\Local\Temp\OnboardLogs"\RTDC4032\2017-02-21 --exclude "*" --recursive --include "*20170221*" &amp; "%USERPROFILE%\Documents\GitHub\mrs-test-scripts\Headless Mode &amp; Sideloading\WalkAndUnGZ.bat" "%USERPROFILE%\AppData\Local\Temp\OnboardLogs"\RTDC4032\2017-02-21 &amp; aws s3 cp s3://rtdc.mdm.uploadarchive.raw/RTDC4032/ "%USERPROFILE%\AppData\Local\Temp\OnboardLogs"\RTDC4032\2017-02-22 --exclude "*" --recursive --include "*20170222*" &amp; "%USERPROFILE%\Documents\GitHub\mrs-test-scripts\Headless Mode &amp; Sideloading\WalkAndUnGZ.bat" "%USERPROFILE%\AppData\Local\Temp\OnboardLogs"\RTDC4032\2017-02-22</v>
      </c>
      <c r="AF190" s="82" t="str">
        <f t="shared" si="65"/>
        <v>"C:\Program Files (x86)\AstroGrep\AstroGrep.exe" /spath="%USERPROFILE%\AppData\Local\Temp\OnboardLogs" /stypes="app*4032*20170221*" /stext=" 23:.+((SYSTEM_STATE.+slice.+state.+changed )|(ment ac)|(multiple cpu faults)|(system.+state.+changed )|(\[timeout)|(PRM\|1\|D)|(kpr)|(kdp)|(\|lc)|(penalty))" /e /r /s</v>
      </c>
      <c r="AG190" s="1" t="str">
        <f t="shared" si="66"/>
        <v>NW</v>
      </c>
      <c r="AH190" s="86" t="str">
        <f t="shared" si="67"/>
        <v>"%USERPROFILE%\Documents\GitHub\eaglep3\Utilities\RefineRTDCRunTimes.py" --tripid 830-21 --locoid 4032 --swversion DE.1.0.9.0 --startMP 300:58611 --initTime 2017-02-21T16:39:43 --startdatetime 2017-02-21T16:42:09 --delay 1 --endMP 204:689 --enddatetime 2017-02-21T16:57:47 --enforcementcount 0 &gt;&gt;C:\Users\stu\Documents\GitHub\eaglep3-reporting\EC\2017-02-21-refined-times.txt</v>
      </c>
      <c r="AI190" s="108" t="str">
        <f t="shared" si="68"/>
        <v>echo {"issue":{"subject":"","project_id":79,"tracker_id":40,"status_id":1,"priority_id":2,"assigned_to_id":23,"start_date":"2017-02-21","description":"","custom_fields":[{"id":1,"name":"Subdivision","value":"NW"},{"id":4,"name":"Milepost","value":"0.0689"},{"id":17,"name":"Train ID","value":"830-21"},{"id":16,"name":"Locomotive ID","value":"4032"},{"id":130,"name":"Impact","value":""},{"id":150,"name":"Time of Event (Mountain Time)","value":"16:57:47"},{"id":151,"name":"Denver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69"/>
        <v>start /low /b %USERPROFILE%\Documents\GitHub\eaglep3\Utilities\DownloadLogsFromS3.py --loco 4032 --day 2017-02-21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"%USERPROFILE%\AppData\Local\Temp\OnboardLogs"\RTDC4032\*4032*20170221* | grep -SE "(Enforcement Action)|(\[TIMEOUT)|(CHR.+\|PRM\|1\|D.+(SWITCH|SIGNAL).+UNKNOWN)" - &gt;&gt; 2017-02-21-UncaughtWiMAX.txt</v>
      </c>
    </row>
    <row r="191" spans="1:40" x14ac:dyDescent="0.25">
      <c r="A191" s="33" t="s">
        <v>482</v>
      </c>
      <c r="B191" s="7">
        <v>4009</v>
      </c>
      <c r="C191" s="21" t="s">
        <v>359</v>
      </c>
      <c r="D191" s="21" t="s">
        <v>815</v>
      </c>
      <c r="E191" s="13">
        <v>42787.685497685183</v>
      </c>
      <c r="F191" s="13">
        <v>42787.702361111114</v>
      </c>
      <c r="G191" s="7">
        <v>1</v>
      </c>
      <c r="H191" s="21" t="s">
        <v>816</v>
      </c>
      <c r="I191" s="13">
        <v>42787.711585648147</v>
      </c>
      <c r="J191" s="7">
        <v>0</v>
      </c>
      <c r="K191" s="98" t="str">
        <f t="shared" si="57"/>
        <v>4009/4010</v>
      </c>
      <c r="L191" s="21" t="str">
        <f>VLOOKUP(A191,'Trips&amp;Operators'!$C$1:$G$99999,5,FALSE)</f>
        <v>HILLS DUSTIN</v>
      </c>
      <c r="M191" s="6">
        <f t="shared" si="58"/>
        <v>9.2245370324235409E-3</v>
      </c>
      <c r="N191" s="7">
        <f t="shared" si="73"/>
        <v>13.283333326689899</v>
      </c>
      <c r="O191" s="7"/>
      <c r="P191" s="7"/>
      <c r="Q191" s="22"/>
      <c r="R191" s="22"/>
      <c r="S191" s="31">
        <f t="shared" si="72"/>
        <v>1</v>
      </c>
      <c r="T191" s="46" t="str">
        <f t="shared" si="59"/>
        <v>NorthBound</v>
      </c>
      <c r="U191" s="193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4" t="str">
        <f t="shared" si="60"/>
        <v>https://d0f6bd738d7f1b3e5a7ca70fe4ff75f0.us-east-1.aws.found.io/app/kibana#/discover/Steve-Slow-Train-Analysis-(2080s-and-2083s)?_g=(refreshInterval:(display:Off,pause:!f,section:0,value:0),time:(from:'2017-02-21T15:27:07-0700',mode:absolute,to:'2017-02-21T18:04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1" s="195" t="str">
        <f t="shared" si="61"/>
        <v>N</v>
      </c>
      <c r="X191" s="195">
        <f t="shared" si="75"/>
        <v>1</v>
      </c>
      <c r="Y191" s="62">
        <f t="shared" si="70"/>
        <v>9.1800000000000007E-2</v>
      </c>
      <c r="Z191" s="62">
        <f t="shared" si="71"/>
        <v>5.9001000000000001</v>
      </c>
      <c r="AA191" s="62">
        <f t="shared" si="62"/>
        <v>5.8083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63"/>
        <v>0831-21</v>
      </c>
      <c r="AE191" s="85" t="str">
        <f t="shared" si="64"/>
        <v>aws s3 cp s3://rtdc.mdm.uploadarchive.raw/RTDC4009/ "%USERPROFILE%\AppData\Local\Temp\OnboardLogs"\RTDC4009\2017-02-21 --exclude "*" --recursive --include "*20170221*" &amp; "%USERPROFILE%\Documents\GitHub\mrs-test-scripts\Headless Mode &amp; Sideloading\WalkAndUnGZ.bat" "%USERPROFILE%\AppData\Local\Temp\OnboardLogs"\RTDC4009\2017-02-21 &amp; aws s3 cp s3://rtdc.mdm.uploadarchive.raw/RTDC4009/ "%USERPROFILE%\AppData\Local\Temp\OnboardLogs"\RTDC4009\2017-02-22 --exclude "*" --recursive --include "*20170222*" &amp; "%USERPROFILE%\Documents\GitHub\mrs-test-scripts\Headless Mode &amp; Sideloading\WalkAndUnGZ.bat" "%USERPROFILE%\AppData\Local\Temp\OnboardLogs"\RTDC4009\2017-02-22</v>
      </c>
      <c r="AF191" s="82" t="str">
        <f t="shared" si="65"/>
        <v>"C:\Program Files (x86)\AstroGrep\AstroGrep.exe" /spath="%USERPROFILE%\AppData\Local\Temp\OnboardLogs" /stypes="app*4009*20170222*" /stext=" 00:.+((SYSTEM_STATE.+slice.+state.+changed )|(ment ac)|(multiple cpu faults)|(system.+state.+changed )|(\[timeout)|(PRM\|1\|D)|(kpr)|(kdp)|(\|lc)|(penalty))" /e /r /s</v>
      </c>
      <c r="AG191" s="1" t="str">
        <f t="shared" si="66"/>
        <v>NW</v>
      </c>
      <c r="AH191" s="86" t="str">
        <f t="shared" si="67"/>
        <v>"%USERPROFILE%\Documents\GitHub\eaglep3\Utilities\RefineRTDCRunTimes.py" --tripid 831-21 --locoid 4009 --swversion DE.1.0.9.0 --startMP 204:918 --initTime 2017-02-21T16:27:07 --startdatetime 2017-02-21T16:51:24 --delay 1 --endMP 300:59001 --enddatetime 2017-02-21T17:04:41 --enforcementcount 0 &gt;&gt;C:\Users\stu\Documents\GitHub\eaglep3-reporting\EC\2017-02-21-refined-times.txt</v>
      </c>
      <c r="AI191" s="108" t="str">
        <f t="shared" si="68"/>
        <v>echo {"issue":{"subject":"","project_id":79,"tracker_id":40,"status_id":1,"priority_id":2,"assigned_to_id":23,"start_date":"2017-02-21","description":"","custom_fields":[{"id":1,"name":"Subdivision","value":"NW"},{"id":4,"name":"Milepost","value":"5.9001"},{"id":17,"name":"Train ID","value":"831-21"},{"id":16,"name":"Locomotive ID","value":"4009"},{"id":130,"name":"Impact","value":""},{"id":150,"name":"Time of Event (Mountain Time)","value":"17:04:41"},{"id":151,"name":"Denver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69"/>
        <v>start /low /b %USERPROFILE%\Documents\GitHub\eaglep3\Utilities\DownloadLogsFromS3.py --loco 4009 --day 2017-02-21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"%USERPROFILE%\AppData\Local\Temp\OnboardLogs"\RTDC4009\*4009*20170221* | grep -SE "(Enforcement Action)|(\[TIMEOUT)|(CHR.+\|PRM\|1\|D.+(SWITCH|SIGNAL).+UNKNOWN)" - &gt;&gt; 2017-02-21-UncaughtWiMAX.txt</v>
      </c>
    </row>
    <row r="192" spans="1:40" x14ac:dyDescent="0.25">
      <c r="A192" s="33" t="s">
        <v>483</v>
      </c>
      <c r="B192" s="7">
        <v>4010</v>
      </c>
      <c r="C192" s="21" t="s">
        <v>359</v>
      </c>
      <c r="D192" s="21" t="s">
        <v>817</v>
      </c>
      <c r="E192" s="13">
        <v>42787.713796296295</v>
      </c>
      <c r="F192" s="13">
        <v>42787.715231481481</v>
      </c>
      <c r="G192" s="7">
        <v>1</v>
      </c>
      <c r="H192" s="21" t="s">
        <v>818</v>
      </c>
      <c r="I192" s="13">
        <v>42787.726111111115</v>
      </c>
      <c r="J192" s="7">
        <v>0</v>
      </c>
      <c r="K192" s="98" t="str">
        <f t="shared" si="57"/>
        <v>4009/4010</v>
      </c>
      <c r="L192" s="21" t="str">
        <f>VLOOKUP(A192,'Trips&amp;Operators'!$C$1:$G$99999,5,FALSE)</f>
        <v>HILLS DUSTIN</v>
      </c>
      <c r="M192" s="6">
        <f t="shared" si="58"/>
        <v>1.0879629633564036E-2</v>
      </c>
      <c r="N192" s="7">
        <f t="shared" si="73"/>
        <v>15.666666672332212</v>
      </c>
      <c r="O192" s="7"/>
      <c r="P192" s="7"/>
      <c r="Q192" s="22"/>
      <c r="R192" s="22"/>
      <c r="S192" s="31">
        <f t="shared" si="72"/>
        <v>1</v>
      </c>
      <c r="T192" s="46" t="str">
        <f t="shared" si="59"/>
        <v>Southbound</v>
      </c>
      <c r="U192" s="193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4" t="str">
        <f t="shared" si="60"/>
        <v>https://d0f6bd738d7f1b3e5a7ca70fe4ff75f0.us-east-1.aws.found.io/app/kibana#/discover/Steve-Slow-Train-Analysis-(2080s-and-2083s)?_g=(refreshInterval:(display:Off,pause:!f,section:0,value:0),time:(from:'2017-02-21T16:07:52-0700',mode:absolute,to:'2017-02-21T18:25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2" s="195" t="str">
        <f t="shared" si="61"/>
        <v>N</v>
      </c>
      <c r="X192" s="195">
        <f t="shared" si="75"/>
        <v>1</v>
      </c>
      <c r="Y192" s="62">
        <f t="shared" si="70"/>
        <v>5.8682999999999996</v>
      </c>
      <c r="Z192" s="62">
        <f t="shared" si="71"/>
        <v>6.54E-2</v>
      </c>
      <c r="AA192" s="62">
        <f t="shared" si="62"/>
        <v>5.8028999999999993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63"/>
        <v>0832-21</v>
      </c>
      <c r="AE192" s="85" t="str">
        <f t="shared" si="64"/>
        <v>aws s3 cp s3://rtdc.mdm.uploadarchive.raw/RTDC4010/ "%USERPROFILE%\AppData\Local\Temp\OnboardLogs"\RTDC4010\2017-02-21 --exclude "*" --recursive --include "*20170221*" &amp; "%USERPROFILE%\Documents\GitHub\mrs-test-scripts\Headless Mode &amp; Sideloading\WalkAndUnGZ.bat" "%USERPROFILE%\AppData\Local\Temp\OnboardLogs"\RTDC4010\2017-02-21 &amp; aws s3 cp s3://rtdc.mdm.uploadarchive.raw/RTDC4010/ "%USERPROFILE%\AppData\Local\Temp\OnboardLogs"\RTDC4010\2017-02-22 --exclude "*" --recursive --include "*20170222*" &amp; "%USERPROFILE%\Documents\GitHub\mrs-test-scripts\Headless Mode &amp; Sideloading\WalkAndUnGZ.bat" "%USERPROFILE%\AppData\Local\Temp\OnboardLogs"\RTDC4010\2017-02-22</v>
      </c>
      <c r="AF192" s="82" t="str">
        <f t="shared" si="65"/>
        <v>"C:\Program Files (x86)\AstroGrep\AstroGrep.exe" /spath="%USERPROFILE%\AppData\Local\Temp\OnboardLogs" /stypes="app*4010*20170222*" /stext=" 00:.+((SYSTEM_STATE.+slice.+state.+changed )|(ment ac)|(multiple cpu faults)|(system.+state.+changed )|(\[timeout)|(PRM\|1\|D)|(kpr)|(kdp)|(\|lc)|(penalty))" /e /r /s</v>
      </c>
      <c r="AG192" s="1" t="str">
        <f t="shared" si="66"/>
        <v>NW</v>
      </c>
      <c r="AH192" s="86" t="str">
        <f t="shared" si="67"/>
        <v>"%USERPROFILE%\Documents\GitHub\eaglep3\Utilities\RefineRTDCRunTimes.py" --tripid 832-21 --locoid 4010 --swversion DE.1.0.9.0 --startMP 300:58683 --initTime 2017-02-21T17:07:52 --startdatetime 2017-02-21T17:09:56 --delay 1 --endMP 204:654 --enddatetime 2017-02-21T17:25:36 --enforcementcount 0 &gt;&gt;C:\Users\stu\Documents\GitHub\eaglep3-reporting\EC\2017-02-21-refined-times.txt</v>
      </c>
      <c r="AI192" s="108" t="str">
        <f t="shared" si="68"/>
        <v>echo {"issue":{"subject":"","project_id":79,"tracker_id":40,"status_id":1,"priority_id":2,"assigned_to_id":23,"start_date":"2017-02-21","description":"","custom_fields":[{"id":1,"name":"Subdivision","value":"NW"},{"id":4,"name":"Milepost","value":"0.0654"},{"id":17,"name":"Train ID","value":"832-21"},{"id":16,"name":"Locomotive ID","value":"4010"},{"id":130,"name":"Impact","value":""},{"id":150,"name":"Time of Event (Mountain Time)","value":"17:25:36"},{"id":151,"name":"Denver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69"/>
        <v>start /low /b %USERPROFILE%\Documents\GitHub\eaglep3\Utilities\DownloadLogsFromS3.py --loco 4010 --day 2017-02-21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"%USERPROFILE%\AppData\Local\Temp\OnboardLogs"\RTDC4010\*4010*20170222* | grep -SE "(Enforcement Action)|(\[TIMEOUT)|(CHR.+\|PRM\|1\|D.+(SWITCH|SIGNAL).+UNKNOWN)" - &gt;&gt; 2017-02-21-UncaughtWiMAX.txt</v>
      </c>
    </row>
    <row r="193" spans="1:40" x14ac:dyDescent="0.25">
      <c r="A193" s="33" t="s">
        <v>484</v>
      </c>
      <c r="B193" s="7">
        <v>4031</v>
      </c>
      <c r="C193" s="21" t="s">
        <v>359</v>
      </c>
      <c r="D193" s="21" t="s">
        <v>437</v>
      </c>
      <c r="E193" s="13">
        <v>42787.719490740739</v>
      </c>
      <c r="F193" s="13">
        <v>42787.723275462966</v>
      </c>
      <c r="G193" s="7">
        <v>1</v>
      </c>
      <c r="H193" s="21" t="s">
        <v>802</v>
      </c>
      <c r="I193" s="13">
        <v>42787.732905092591</v>
      </c>
      <c r="J193" s="7">
        <v>0</v>
      </c>
      <c r="K193" s="98" t="str">
        <f t="shared" si="57"/>
        <v>4031/4032</v>
      </c>
      <c r="L193" s="21" t="str">
        <f>VLOOKUP(A193,'Trips&amp;Operators'!$C$1:$G$99999,5,FALSE)</f>
        <v>LEVIN SCOTT</v>
      </c>
      <c r="M193" s="6">
        <f t="shared" si="58"/>
        <v>9.6296296251239255E-3</v>
      </c>
      <c r="N193" s="7">
        <f t="shared" si="73"/>
        <v>13.866666660178453</v>
      </c>
      <c r="O193" s="7"/>
      <c r="P193" s="7"/>
      <c r="Q193" s="22"/>
      <c r="R193" s="22"/>
      <c r="S193" s="31">
        <f t="shared" si="72"/>
        <v>1</v>
      </c>
      <c r="T193" s="46" t="str">
        <f t="shared" si="59"/>
        <v>NorthBound</v>
      </c>
      <c r="U193" s="193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4" t="str">
        <f t="shared" si="60"/>
        <v>https://d0f6bd738d7f1b3e5a7ca70fe4ff75f0.us-east-1.aws.found.io/app/kibana#/discover/Steve-Slow-Train-Analysis-(2080s-and-2083s)?_g=(refreshInterval:(display:Off,pause:!f,section:0,value:0),time:(from:'2017-02-21T16:16:04-0700',mode:absolute,to:'2017-02-21T18:35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3" s="195" t="str">
        <f t="shared" si="61"/>
        <v>N</v>
      </c>
      <c r="X193" s="195">
        <f t="shared" si="75"/>
        <v>1</v>
      </c>
      <c r="Y193" s="62">
        <f t="shared" si="70"/>
        <v>9.74E-2</v>
      </c>
      <c r="Z193" s="62">
        <f t="shared" si="71"/>
        <v>5.8948</v>
      </c>
      <c r="AA193" s="62">
        <f t="shared" si="62"/>
        <v>5.7973999999999997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63"/>
        <v>0833-21</v>
      </c>
      <c r="AE193" s="85" t="str">
        <f t="shared" si="64"/>
        <v>aws s3 cp s3://rtdc.mdm.uploadarchive.raw/RTDC4031/ "%USERPROFILE%\AppData\Local\Temp\OnboardLogs"\RTDC4031\2017-02-21 --exclude "*" --recursive --include "*20170221*" &amp; "%USERPROFILE%\Documents\GitHub\mrs-test-scripts\Headless Mode &amp; Sideloading\WalkAndUnGZ.bat" "%USERPROFILE%\AppData\Local\Temp\OnboardLogs"\RTDC4031\2017-02-21 &amp; aws s3 cp s3://rtdc.mdm.uploadarchive.raw/RTDC4031/ "%USERPROFILE%\AppData\Local\Temp\OnboardLogs"\RTDC4031\2017-02-22 --exclude "*" --recursive --include "*20170222*" &amp; "%USERPROFILE%\Documents\GitHub\mrs-test-scripts\Headless Mode &amp; Sideloading\WalkAndUnGZ.bat" "%USERPROFILE%\AppData\Local\Temp\OnboardLogs"\RTDC4031\2017-02-22</v>
      </c>
      <c r="AF193" s="82" t="str">
        <f t="shared" si="65"/>
        <v>"C:\Program Files (x86)\AstroGrep\AstroGrep.exe" /spath="%USERPROFILE%\AppData\Local\Temp\OnboardLogs" /stypes="app*4031*20170222*" /stext=" 00:.+((SYSTEM_STATE.+slice.+state.+changed )|(ment ac)|(multiple cpu faults)|(system.+state.+changed )|(\[timeout)|(PRM\|1\|D)|(kpr)|(kdp)|(\|lc)|(penalty))" /e /r /s</v>
      </c>
      <c r="AG193" s="1" t="str">
        <f t="shared" si="66"/>
        <v>NW</v>
      </c>
      <c r="AH193" s="86" t="str">
        <f t="shared" si="67"/>
        <v>"%USERPROFILE%\Documents\GitHub\eaglep3\Utilities\RefineRTDCRunTimes.py" --tripid 833-21 --locoid 4031 --swversion DE.1.0.9.0 --startMP 204:974 --initTime 2017-02-21T17:16:04 --startdatetime 2017-02-21T17:21:31 --delay 1 --endMP 300:58948 --enddatetime 2017-02-21T17:35:23 --enforcementcount 0 &gt;&gt;C:\Users\stu\Documents\GitHub\eaglep3-reporting\EC\2017-02-21-refined-times.txt</v>
      </c>
      <c r="AI193" s="108" t="str">
        <f t="shared" si="68"/>
        <v>echo {"issue":{"subject":"","project_id":79,"tracker_id":40,"status_id":1,"priority_id":2,"assigned_to_id":23,"start_date":"2017-02-21","description":"","custom_fields":[{"id":1,"name":"Subdivision","value":"NW"},{"id":4,"name":"Milepost","value":"5.8948"},{"id":17,"name":"Train ID","value":"833-21"},{"id":16,"name":"Locomotive ID","value":"4031"},{"id":130,"name":"Impact","value":""},{"id":150,"name":"Time of Event (Mountain Time)","value":"17:35:23"},{"id":151,"name":"Denver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69"/>
        <v>start /low /b %USERPROFILE%\Documents\GitHub\eaglep3\Utilities\DownloadLogsFromS3.py --loco 4031 --day 2017-02-21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"%USERPROFILE%\AppData\Local\Temp\OnboardLogs"\RTDC4031\*4031*20170222* | grep -SE "(Enforcement Action)|(\[TIMEOUT)|(CHR.+\|PRM\|1\|D.+(SWITCH|SIGNAL).+UNKNOWN)" - &gt;&gt; 2017-02-21-UncaughtWiMAX.txt</v>
      </c>
    </row>
    <row r="194" spans="1:40" x14ac:dyDescent="0.25">
      <c r="A194" s="33" t="s">
        <v>636</v>
      </c>
      <c r="B194" s="7">
        <v>4032</v>
      </c>
      <c r="C194" s="21" t="s">
        <v>359</v>
      </c>
      <c r="D194" s="21" t="s">
        <v>788</v>
      </c>
      <c r="E194" s="13">
        <v>42787.734363425923</v>
      </c>
      <c r="F194" s="13">
        <v>42787.735648148147</v>
      </c>
      <c r="G194" s="7">
        <v>1</v>
      </c>
      <c r="H194" s="21" t="s">
        <v>819</v>
      </c>
      <c r="I194" s="13">
        <v>42787.746574074074</v>
      </c>
      <c r="J194" s="7">
        <v>0</v>
      </c>
      <c r="K194" s="98" t="str">
        <f t="shared" si="57"/>
        <v>4031/4032</v>
      </c>
      <c r="L194" s="21" t="str">
        <f>VLOOKUP(A194,'Trips&amp;Operators'!$C$1:$G$99999,5,FALSE)</f>
        <v>LEVIN SCOTT</v>
      </c>
      <c r="M194" s="6">
        <f t="shared" si="58"/>
        <v>1.0925925926130731E-2</v>
      </c>
      <c r="N194" s="7">
        <f t="shared" si="73"/>
        <v>15.733333333628252</v>
      </c>
      <c r="O194" s="7"/>
      <c r="P194" s="7"/>
      <c r="Q194" s="22"/>
      <c r="R194" s="22"/>
      <c r="S194" s="31">
        <f t="shared" si="72"/>
        <v>1</v>
      </c>
      <c r="T194" s="46" t="str">
        <f t="shared" si="59"/>
        <v>Southbound</v>
      </c>
      <c r="U194" s="193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4" t="str">
        <f t="shared" si="60"/>
        <v>https://d0f6bd738d7f1b3e5a7ca70fe4ff75f0.us-east-1.aws.found.io/app/kibana#/discover/Steve-Slow-Train-Analysis-(2080s-and-2083s)?_g=(refreshInterval:(display:Off,pause:!f,section:0,value:0),time:(from:'2017-02-21T16:37:29-0700',mode:absolute,to:'2017-02-21T18:55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4" s="195" t="str">
        <f t="shared" si="61"/>
        <v>N</v>
      </c>
      <c r="X194" s="195">
        <f t="shared" si="75"/>
        <v>1</v>
      </c>
      <c r="Y194" s="62">
        <f t="shared" si="70"/>
        <v>5.8624000000000001</v>
      </c>
      <c r="Z194" s="62">
        <f t="shared" si="71"/>
        <v>6.5199999999999994E-2</v>
      </c>
      <c r="AA194" s="62">
        <f t="shared" si="62"/>
        <v>5.7972000000000001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63"/>
        <v>0834-21</v>
      </c>
      <c r="AE194" s="85" t="str">
        <f t="shared" si="64"/>
        <v>aws s3 cp s3://rtdc.mdm.uploadarchive.raw/RTDC4032/ "%USERPROFILE%\AppData\Local\Temp\OnboardLogs"\RTDC4032\2017-02-21 --exclude "*" --recursive --include "*20170221*" &amp; "%USERPROFILE%\Documents\GitHub\mrs-test-scripts\Headless Mode &amp; Sideloading\WalkAndUnGZ.bat" "%USERPROFILE%\AppData\Local\Temp\OnboardLogs"\RTDC4032\2017-02-21 &amp; aws s3 cp s3://rtdc.mdm.uploadarchive.raw/RTDC4032/ "%USERPROFILE%\AppData\Local\Temp\OnboardLogs"\RTDC4032\2017-02-22 --exclude "*" --recursive --include "*20170222*" &amp; "%USERPROFILE%\Documents\GitHub\mrs-test-scripts\Headless Mode &amp; Sideloading\WalkAndUnGZ.bat" "%USERPROFILE%\AppData\Local\Temp\OnboardLogs"\RTDC4032\2017-02-22</v>
      </c>
      <c r="AF194" s="82" t="str">
        <f t="shared" si="65"/>
        <v>"C:\Program Files (x86)\AstroGrep\AstroGrep.exe" /spath="%USERPROFILE%\AppData\Local\Temp\OnboardLogs" /stypes="app*4032*20170222*" /stext=" 00:.+((SYSTEM_STATE.+slice.+state.+changed )|(ment ac)|(multiple cpu faults)|(system.+state.+changed )|(\[timeout)|(PRM\|1\|D)|(kpr)|(kdp)|(\|lc)|(penalty))" /e /r /s</v>
      </c>
      <c r="AG194" s="1" t="str">
        <f t="shared" si="66"/>
        <v>NW</v>
      </c>
      <c r="AH194" s="86" t="str">
        <f t="shared" si="67"/>
        <v>"%USERPROFILE%\Documents\GitHub\eaglep3\Utilities\RefineRTDCRunTimes.py" --tripid 834-21 --locoid 4032 --swversion DE.1.0.9.0 --startMP 300:58624 --initTime 2017-02-21T17:37:29 --startdatetime 2017-02-21T17:39:20 --delay 1 --endMP 204:652 --enddatetime 2017-02-21T17:55:04 --enforcementcount 0 &gt;&gt;C:\Users\stu\Documents\GitHub\eaglep3-reporting\EC\2017-02-21-refined-times.txt</v>
      </c>
      <c r="AI194" s="108" t="str">
        <f t="shared" si="68"/>
        <v>echo {"issue":{"subject":"","project_id":79,"tracker_id":40,"status_id":1,"priority_id":2,"assigned_to_id":23,"start_date":"2017-02-21","description":"","custom_fields":[{"id":1,"name":"Subdivision","value":"NW"},{"id":4,"name":"Milepost","value":"0.0652"},{"id":17,"name":"Train ID","value":"834-21"},{"id":16,"name":"Locomotive ID","value":"4032"},{"id":130,"name":"Impact","value":""},{"id":150,"name":"Time of Event (Mountain Time)","value":"17:55:04"},{"id":151,"name":"Denver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69"/>
        <v>start /low /b %USERPROFILE%\Documents\GitHub\eaglep3\Utilities\DownloadLogsFromS3.py --loco 4032 --day 2017-02-21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"%USERPROFILE%\AppData\Local\Temp\OnboardLogs"\RTDC4032\*4032*20170222* | grep -SE "(Enforcement Action)|(\[TIMEOUT)|(CHR.+\|PRM\|1\|D.+(SWITCH|SIGNAL).+UNKNOWN)" - &gt;&gt; 2017-02-21-UncaughtWiMAX.txt</v>
      </c>
    </row>
    <row r="195" spans="1:40" x14ac:dyDescent="0.25">
      <c r="A195" s="33" t="s">
        <v>634</v>
      </c>
      <c r="B195" s="7">
        <v>4009</v>
      </c>
      <c r="C195" s="21" t="s">
        <v>359</v>
      </c>
      <c r="D195" s="21" t="s">
        <v>820</v>
      </c>
      <c r="E195" s="13">
        <v>42787.727743055555</v>
      </c>
      <c r="F195" s="13">
        <v>42787.743993055556</v>
      </c>
      <c r="G195" s="7">
        <v>1</v>
      </c>
      <c r="H195" s="21" t="s">
        <v>821</v>
      </c>
      <c r="I195" s="13">
        <v>42787.753946759258</v>
      </c>
      <c r="J195" s="7">
        <v>0</v>
      </c>
      <c r="K195" s="98" t="str">
        <f t="shared" si="57"/>
        <v>4009/4010</v>
      </c>
      <c r="L195" s="21" t="str">
        <f>VLOOKUP(A195,'Trips&amp;Operators'!$C$1:$G$99999,5,FALSE)</f>
        <v>HILLS DUSTIN</v>
      </c>
      <c r="M195" s="6">
        <f t="shared" si="58"/>
        <v>9.9537037021946162E-3</v>
      </c>
      <c r="N195" s="7">
        <f t="shared" si="73"/>
        <v>14.333333331160247</v>
      </c>
      <c r="O195" s="7"/>
      <c r="P195" s="7"/>
      <c r="Q195" s="22"/>
      <c r="R195" s="22"/>
      <c r="S195" s="31">
        <f t="shared" ref="S195:S226" si="76">SUM(U195:U195)/IF(AG195="EC",12,1)</f>
        <v>1</v>
      </c>
      <c r="T195" s="46" t="str">
        <f t="shared" si="59"/>
        <v>NorthBound</v>
      </c>
      <c r="U195" s="193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4" t="str">
        <f t="shared" si="60"/>
        <v>https://d0f6bd738d7f1b3e5a7ca70fe4ff75f0.us-east-1.aws.found.io/app/kibana#/discover/Steve-Slow-Train-Analysis-(2080s-and-2083s)?_g=(refreshInterval:(display:Off,pause:!f,section:0,value:0),time:(from:'2017-02-21T16:27:57-0700',mode:absolute,to:'2017-02-21T19:05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5" s="195" t="str">
        <f t="shared" si="61"/>
        <v>N</v>
      </c>
      <c r="X195" s="195">
        <f t="shared" si="75"/>
        <v>1</v>
      </c>
      <c r="Y195" s="62">
        <f t="shared" si="70"/>
        <v>9.4799999999999995E-2</v>
      </c>
      <c r="Z195" s="62">
        <f t="shared" si="71"/>
        <v>5.8994999999999997</v>
      </c>
      <c r="AA195" s="62">
        <f t="shared" si="62"/>
        <v>5.8046999999999995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63"/>
        <v>0835-21</v>
      </c>
      <c r="AE195" s="85" t="str">
        <f t="shared" si="64"/>
        <v>aws s3 cp s3://rtdc.mdm.uploadarchive.raw/RTDC4009/ "%USERPROFILE%\AppData\Local\Temp\OnboardLogs"\RTDC4009\2017-02-21 --exclude "*" --recursive --include "*20170221*" &amp; "%USERPROFILE%\Documents\GitHub\mrs-test-scripts\Headless Mode &amp; Sideloading\WalkAndUnGZ.bat" "%USERPROFILE%\AppData\Local\Temp\OnboardLogs"\RTDC4009\2017-02-21 &amp; aws s3 cp s3://rtdc.mdm.uploadarchive.raw/RTDC4009/ "%USERPROFILE%\AppData\Local\Temp\OnboardLogs"\RTDC4009\2017-02-22 --exclude "*" --recursive --include "*20170222*" &amp; "%USERPROFILE%\Documents\GitHub\mrs-test-scripts\Headless Mode &amp; Sideloading\WalkAndUnGZ.bat" "%USERPROFILE%\AppData\Local\Temp\OnboardLogs"\RTDC4009\2017-02-22</v>
      </c>
      <c r="AF195" s="82" t="str">
        <f t="shared" si="65"/>
        <v>"C:\Program Files (x86)\AstroGrep\AstroGrep.exe" /spath="%USERPROFILE%\AppData\Local\Temp\OnboardLogs" /stypes="app*4009*20170222*" /stext=" 01:.+((SYSTEM_STATE.+slice.+state.+changed )|(ment ac)|(multiple cpu faults)|(system.+state.+changed )|(\[timeout)|(PRM\|1\|D)|(kpr)|(kdp)|(\|lc)|(penalty))" /e /r /s</v>
      </c>
      <c r="AG195" s="1" t="str">
        <f t="shared" si="66"/>
        <v>NW</v>
      </c>
      <c r="AH195" s="86" t="str">
        <f t="shared" si="67"/>
        <v>"%USERPROFILE%\Documents\GitHub\eaglep3\Utilities\RefineRTDCRunTimes.py" --tripid 835-21 --locoid 4009 --swversion DE.1.0.9.0 --startMP 204:948 --initTime 2017-02-21T17:27:57 --startdatetime 2017-02-21T17:51:21 --delay 1 --endMP 300:58995 --enddatetime 2017-02-21T18:05:41 --enforcementcount 0 &gt;&gt;C:\Users\stu\Documents\GitHub\eaglep3-reporting\EC\2017-02-21-refined-times.txt</v>
      </c>
      <c r="AI195" s="108" t="str">
        <f t="shared" si="68"/>
        <v>echo {"issue":{"subject":"","project_id":79,"tracker_id":40,"status_id":1,"priority_id":2,"assigned_to_id":23,"start_date":"2017-02-21","description":"","custom_fields":[{"id":1,"name":"Subdivision","value":"NW"},{"id":4,"name":"Milepost","value":"5.8995"},{"id":17,"name":"Train ID","value":"835-21"},{"id":16,"name":"Locomotive ID","value":"4009"},{"id":130,"name":"Impact","value":""},{"id":150,"name":"Time of Event (Mountain Time)","value":"18:05:41"},{"id":151,"name":"Denver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69"/>
        <v>start /low /b %USERPROFILE%\Documents\GitHub\eaglep3\Utilities\DownloadLogsFromS3.py --loco 4009 --day 2017-02-21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"%USERPROFILE%\AppData\Local\Temp\OnboardLogs"\RTDC4009\*4009*20170222* | grep -SE "(Enforcement Action)|(\[TIMEOUT)|(CHR.+\|PRM\|1\|D.+(SWITCH|SIGNAL).+UNKNOWN)" - &gt;&gt; 2017-02-21-UncaughtWiMAX.txt</v>
      </c>
    </row>
    <row r="196" spans="1:40" x14ac:dyDescent="0.25">
      <c r="A196" s="33" t="s">
        <v>485</v>
      </c>
      <c r="B196" s="7">
        <v>4010</v>
      </c>
      <c r="C196" s="21" t="s">
        <v>359</v>
      </c>
      <c r="D196" s="21" t="s">
        <v>817</v>
      </c>
      <c r="E196" s="13">
        <v>42787.755219907405</v>
      </c>
      <c r="F196" s="13">
        <v>42787.758310185185</v>
      </c>
      <c r="G196" s="7">
        <v>2</v>
      </c>
      <c r="H196" s="21" t="s">
        <v>822</v>
      </c>
      <c r="I196" s="13">
        <v>42787.768217592595</v>
      </c>
      <c r="J196" s="7">
        <v>0</v>
      </c>
      <c r="K196" s="98" t="str">
        <f t="shared" si="57"/>
        <v>4009/4010</v>
      </c>
      <c r="L196" s="21" t="str">
        <f>VLOOKUP(A196,'Trips&amp;Operators'!$C$1:$G$99999,5,FALSE)</f>
        <v>HILLS DUSTIN</v>
      </c>
      <c r="M196" s="6">
        <f t="shared" si="58"/>
        <v>9.9074074096279219E-3</v>
      </c>
      <c r="N196" s="7">
        <f t="shared" si="73"/>
        <v>14.266666669864208</v>
      </c>
      <c r="O196" s="7"/>
      <c r="P196" s="7"/>
      <c r="Q196" s="22"/>
      <c r="R196" s="22"/>
      <c r="S196" s="31">
        <f t="shared" si="76"/>
        <v>1</v>
      </c>
      <c r="T196" s="46" t="str">
        <f t="shared" si="59"/>
        <v>Southbound</v>
      </c>
      <c r="U196" s="193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4" t="str">
        <f t="shared" si="60"/>
        <v>https://d0f6bd738d7f1b3e5a7ca70fe4ff75f0.us-east-1.aws.found.io/app/kibana#/discover/Steve-Slow-Train-Analysis-(2080s-and-2083s)?_g=(refreshInterval:(display:Off,pause:!f,section:0,value:0),time:(from:'2017-02-21T17:07:31-0700',mode:absolute,to:'2017-02-21T19:26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6" s="195" t="str">
        <f t="shared" si="61"/>
        <v>N</v>
      </c>
      <c r="X196" s="195">
        <f t="shared" si="75"/>
        <v>1</v>
      </c>
      <c r="Y196" s="62">
        <f t="shared" si="70"/>
        <v>5.8682999999999996</v>
      </c>
      <c r="Z196" s="62">
        <f t="shared" si="71"/>
        <v>7.5700000000000003E-2</v>
      </c>
      <c r="AA196" s="62">
        <f t="shared" si="62"/>
        <v>5.7925999999999993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63"/>
        <v>0836-21</v>
      </c>
      <c r="AE196" s="85" t="str">
        <f t="shared" si="64"/>
        <v>aws s3 cp s3://rtdc.mdm.uploadarchive.raw/RTDC4010/ "%USERPROFILE%\AppData\Local\Temp\OnboardLogs"\RTDC4010\2017-02-21 --exclude "*" --recursive --include "*20170221*" &amp; "%USERPROFILE%\Documents\GitHub\mrs-test-scripts\Headless Mode &amp; Sideloading\WalkAndUnGZ.bat" "%USERPROFILE%\AppData\Local\Temp\OnboardLogs"\RTDC4010\2017-02-21 &amp; aws s3 cp s3://rtdc.mdm.uploadarchive.raw/RTDC4010/ "%USERPROFILE%\AppData\Local\Temp\OnboardLogs"\RTDC4010\2017-02-22 --exclude "*" --recursive --include "*20170222*" &amp; "%USERPROFILE%\Documents\GitHub\mrs-test-scripts\Headless Mode &amp; Sideloading\WalkAndUnGZ.bat" "%USERPROFILE%\AppData\Local\Temp\OnboardLogs"\RTDC4010\2017-02-22</v>
      </c>
      <c r="AF196" s="82" t="str">
        <f t="shared" si="65"/>
        <v>"C:\Program Files (x86)\AstroGrep\AstroGrep.exe" /spath="%USERPROFILE%\AppData\Local\Temp\OnboardLogs" /stypes="app*4010*20170222*" /stext=" 01:.+((SYSTEM_STATE.+slice.+state.+changed )|(ment ac)|(multiple cpu faults)|(system.+state.+changed )|(\[timeout)|(PRM\|1\|D)|(kpr)|(kdp)|(\|lc)|(penalty))" /e /r /s</v>
      </c>
      <c r="AG196" s="1" t="str">
        <f t="shared" si="66"/>
        <v>NW</v>
      </c>
      <c r="AH196" s="86" t="str">
        <f t="shared" si="67"/>
        <v>"%USERPROFILE%\Documents\GitHub\eaglep3\Utilities\RefineRTDCRunTimes.py" --tripid 836-21 --locoid 4010 --swversion DE.1.0.9.0 --startMP 300:58683 --initTime 2017-02-21T18:07:31 --startdatetime 2017-02-21T18:11:58 --delay 2 --endMP 204:757 --enddatetime 2017-02-21T18:26:14 --enforcementcount 0 &gt;&gt;C:\Users\stu\Documents\GitHub\eaglep3-reporting\EC\2017-02-21-refined-times.txt</v>
      </c>
      <c r="AI196" s="108" t="str">
        <f t="shared" si="68"/>
        <v>echo {"issue":{"subject":"","project_id":79,"tracker_id":40,"status_id":1,"priority_id":2,"assigned_to_id":23,"start_date":"2017-02-21","description":"","custom_fields":[{"id":1,"name":"Subdivision","value":"NW"},{"id":4,"name":"Milepost","value":"0.0757"},{"id":17,"name":"Train ID","value":"836-21"},{"id":16,"name":"Locomotive ID","value":"4010"},{"id":130,"name":"Impact","value":""},{"id":150,"name":"Time of Event (Mountain Time)","value":"18:26:14"},{"id":151,"name":"Denver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69"/>
        <v>start /low /b %USERPROFILE%\Documents\GitHub\eaglep3\Utilities\DownloadLogsFromS3.py --loco 4010 --day 2017-02-21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"%USERPROFILE%\AppData\Local\Temp\OnboardLogs"\RTDC4010\*4010*20170222* | grep -SE "(Enforcement Action)|(\[TIMEOUT)|(CHR.+\|PRM\|1\|D.+(SWITCH|SIGNAL).+UNKNOWN)" - &gt;&gt; 2017-02-21-UncaughtWiMAX.txt</v>
      </c>
    </row>
    <row r="197" spans="1:40" x14ac:dyDescent="0.25">
      <c r="A197" s="33" t="s">
        <v>646</v>
      </c>
      <c r="B197" s="7">
        <v>4031</v>
      </c>
      <c r="C197" s="21" t="s">
        <v>359</v>
      </c>
      <c r="D197" s="21" t="s">
        <v>823</v>
      </c>
      <c r="E197" s="13">
        <v>42787.761377314811</v>
      </c>
      <c r="F197" s="13">
        <v>42787.764768518522</v>
      </c>
      <c r="G197" s="7">
        <v>1</v>
      </c>
      <c r="H197" s="21" t="s">
        <v>370</v>
      </c>
      <c r="I197" s="13">
        <v>42787.774004629631</v>
      </c>
      <c r="J197" s="7">
        <v>0</v>
      </c>
      <c r="K197" s="98" t="str">
        <f t="shared" si="57"/>
        <v>4031/4032</v>
      </c>
      <c r="L197" s="21" t="str">
        <f>VLOOKUP(A197,'Trips&amp;Operators'!$C$1:$G$99999,5,FALSE)</f>
        <v>LEVIN SCOTT</v>
      </c>
      <c r="M197" s="6">
        <f t="shared" si="58"/>
        <v>9.2361111092031933E-3</v>
      </c>
      <c r="N197" s="7">
        <f t="shared" ref="N197:N228" si="77">24*60*SUM($M197:$M197)</f>
        <v>13.299999997252598</v>
      </c>
      <c r="O197" s="7"/>
      <c r="P197" s="7"/>
      <c r="Q197" s="22"/>
      <c r="R197" s="22"/>
      <c r="S197" s="31">
        <f t="shared" si="76"/>
        <v>1</v>
      </c>
      <c r="T197" s="46" t="str">
        <f t="shared" si="59"/>
        <v>NorthBound</v>
      </c>
      <c r="U197" s="193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4" t="str">
        <f t="shared" si="60"/>
        <v>https://d0f6bd738d7f1b3e5a7ca70fe4ff75f0.us-east-1.aws.found.io/app/kibana#/discover/Steve-Slow-Train-Analysis-(2080s-and-2083s)?_g=(refreshInterval:(display:Off,pause:!f,section:0,value:0),time:(from:'2017-02-21T17:16:23-0700',mode:absolute,to:'2017-02-21T19:34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7" s="195" t="str">
        <f t="shared" si="61"/>
        <v>N</v>
      </c>
      <c r="X197" s="195">
        <f t="shared" si="75"/>
        <v>1</v>
      </c>
      <c r="Y197" s="62">
        <f t="shared" si="70"/>
        <v>9.4399999999999998E-2</v>
      </c>
      <c r="Z197" s="62">
        <f t="shared" si="71"/>
        <v>5.8940999999999999</v>
      </c>
      <c r="AA197" s="62">
        <f t="shared" si="62"/>
        <v>5.7996999999999996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63"/>
        <v>0837-21</v>
      </c>
      <c r="AE197" s="85" t="str">
        <f t="shared" si="64"/>
        <v>aws s3 cp s3://rtdc.mdm.uploadarchive.raw/RTDC4031/ "%USERPROFILE%\AppData\Local\Temp\OnboardLogs"\RTDC4031\2017-02-21 --exclude "*" --recursive --include "*20170221*" &amp; "%USERPROFILE%\Documents\GitHub\mrs-test-scripts\Headless Mode &amp; Sideloading\WalkAndUnGZ.bat" "%USERPROFILE%\AppData\Local\Temp\OnboardLogs"\RTDC4031\2017-02-21 &amp; aws s3 cp s3://rtdc.mdm.uploadarchive.raw/RTDC4031/ "%USERPROFILE%\AppData\Local\Temp\OnboardLogs"\RTDC4031\2017-02-22 --exclude "*" --recursive --include "*20170222*" &amp; "%USERPROFILE%\Documents\GitHub\mrs-test-scripts\Headless Mode &amp; Sideloading\WalkAndUnGZ.bat" "%USERPROFILE%\AppData\Local\Temp\OnboardLogs"\RTDC4031\2017-02-22</v>
      </c>
      <c r="AF197" s="82" t="str">
        <f t="shared" si="65"/>
        <v>"C:\Program Files (x86)\AstroGrep\AstroGrep.exe" /spath="%USERPROFILE%\AppData\Local\Temp\OnboardLogs" /stypes="app*4031*20170222*" /stext=" 01:.+((SYSTEM_STATE.+slice.+state.+changed )|(ment ac)|(multiple cpu faults)|(system.+state.+changed )|(\[timeout)|(PRM\|1\|D)|(kpr)|(kdp)|(\|lc)|(penalty))" /e /r /s</v>
      </c>
      <c r="AG197" s="1" t="str">
        <f t="shared" si="66"/>
        <v>NW</v>
      </c>
      <c r="AH197" s="86" t="str">
        <f t="shared" si="67"/>
        <v>"%USERPROFILE%\Documents\GitHub\eaglep3\Utilities\RefineRTDCRunTimes.py" --tripid 837-21 --locoid 4031 --swversion DE.1.0.9.0 --startMP 204:944 --initTime 2017-02-21T18:16:23 --startdatetime 2017-02-21T18:21:16 --delay 1 --endMP 300:58941 --enddatetime 2017-02-21T18:34:34 --enforcementcount 0 &gt;&gt;C:\Users\stu\Documents\GitHub\eaglep3-reporting\EC\2017-02-21-refined-times.txt</v>
      </c>
      <c r="AI197" s="108" t="str">
        <f t="shared" si="68"/>
        <v>echo {"issue":{"subject":"","project_id":79,"tracker_id":40,"status_id":1,"priority_id":2,"assigned_to_id":23,"start_date":"2017-02-21","description":"","custom_fields":[{"id":1,"name":"Subdivision","value":"NW"},{"id":4,"name":"Milepost","value":"5.8941"},{"id":17,"name":"Train ID","value":"837-21"},{"id":16,"name":"Locomotive ID","value":"4031"},{"id":130,"name":"Impact","value":""},{"id":150,"name":"Time of Event (Mountain Time)","value":"18:34:34"},{"id":151,"name":"Denver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69"/>
        <v>start /low /b %USERPROFILE%\Documents\GitHub\eaglep3\Utilities\DownloadLogsFromS3.py --loco 4031 --day 2017-02-21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"%USERPROFILE%\AppData\Local\Temp\OnboardLogs"\RTDC4031\*4031*20170222* | grep -SE "(Enforcement Action)|(\[TIMEOUT)|(CHR.+\|PRM\|1\|D.+(SWITCH|SIGNAL).+UNKNOWN)" - &gt;&gt; 2017-02-21-UncaughtWiMAX.txt</v>
      </c>
    </row>
    <row r="198" spans="1:40" x14ac:dyDescent="0.25">
      <c r="A198" s="33" t="s">
        <v>650</v>
      </c>
      <c r="B198" s="7">
        <v>4032</v>
      </c>
      <c r="C198" s="21" t="s">
        <v>359</v>
      </c>
      <c r="D198" s="21" t="s">
        <v>293</v>
      </c>
      <c r="E198" s="13">
        <v>42787.775196759256</v>
      </c>
      <c r="F198" s="13">
        <v>42787.776388888888</v>
      </c>
      <c r="G198" s="7">
        <v>1</v>
      </c>
      <c r="H198" s="21" t="s">
        <v>824</v>
      </c>
      <c r="I198" s="13">
        <v>42787.789884259262</v>
      </c>
      <c r="J198" s="7">
        <v>0</v>
      </c>
      <c r="K198" s="98" t="str">
        <f t="shared" si="57"/>
        <v>4031/4032</v>
      </c>
      <c r="L198" s="21" t="str">
        <f>VLOOKUP(A198,'Trips&amp;Operators'!$C$1:$G$99999,5,FALSE)</f>
        <v>LEVIN SCOTT</v>
      </c>
      <c r="M198" s="6">
        <f t="shared" si="58"/>
        <v>1.3495370374585036E-2</v>
      </c>
      <c r="N198" s="7">
        <f t="shared" si="77"/>
        <v>19.433333339402452</v>
      </c>
      <c r="O198" s="7"/>
      <c r="P198" s="7"/>
      <c r="Q198" s="22"/>
      <c r="R198" s="22"/>
      <c r="S198" s="31">
        <f t="shared" si="76"/>
        <v>1</v>
      </c>
      <c r="T198" s="46" t="str">
        <f t="shared" si="59"/>
        <v>Southbound</v>
      </c>
      <c r="U198" s="193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4" t="str">
        <f t="shared" si="60"/>
        <v>https://d0f6bd738d7f1b3e5a7ca70fe4ff75f0.us-east-1.aws.found.io/app/kibana#/discover/Steve-Slow-Train-Analysis-(2080s-and-2083s)?_g=(refreshInterval:(display:Off,pause:!f,section:0,value:0),time:(from:'2017-02-21T17:36:17-0700',mode:absolute,to:'2017-02-21T19:57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8" s="195" t="str">
        <f t="shared" si="61"/>
        <v>N</v>
      </c>
      <c r="X198" s="195">
        <f t="shared" si="75"/>
        <v>1</v>
      </c>
      <c r="Y198" s="62">
        <f t="shared" si="70"/>
        <v>5.8623000000000003</v>
      </c>
      <c r="Z198" s="62">
        <f t="shared" si="71"/>
        <v>6.5699999999999995E-2</v>
      </c>
      <c r="AA198" s="62">
        <f t="shared" si="62"/>
        <v>5.7966000000000006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63"/>
        <v>0838-21</v>
      </c>
      <c r="AE198" s="85" t="str">
        <f t="shared" si="64"/>
        <v>aws s3 cp s3://rtdc.mdm.uploadarchive.raw/RTDC4032/ "%USERPROFILE%\AppData\Local\Temp\OnboardLogs"\RTDC4032\2017-02-21 --exclude "*" --recursive --include "*20170221*" &amp; "%USERPROFILE%\Documents\GitHub\mrs-test-scripts\Headless Mode &amp; Sideloading\WalkAndUnGZ.bat" "%USERPROFILE%\AppData\Local\Temp\OnboardLogs"\RTDC4032\2017-02-21 &amp; aws s3 cp s3://rtdc.mdm.uploadarchive.raw/RTDC4032/ "%USERPROFILE%\AppData\Local\Temp\OnboardLogs"\RTDC4032\2017-02-22 --exclude "*" --recursive --include "*20170222*" &amp; "%USERPROFILE%\Documents\GitHub\mrs-test-scripts\Headless Mode &amp; Sideloading\WalkAndUnGZ.bat" "%USERPROFILE%\AppData\Local\Temp\OnboardLogs"\RTDC4032\2017-02-22</v>
      </c>
      <c r="AF198" s="82" t="str">
        <f t="shared" si="65"/>
        <v>"C:\Program Files (x86)\AstroGrep\AstroGrep.exe" /spath="%USERPROFILE%\AppData\Local\Temp\OnboardLogs" /stypes="app*4032*20170222*" /stext=" 01:.+((SYSTEM_STATE.+slice.+state.+changed )|(ment ac)|(multiple cpu faults)|(system.+state.+changed )|(\[timeout)|(PRM\|1\|D)|(kpr)|(kdp)|(\|lc)|(penalty))" /e /r /s</v>
      </c>
      <c r="AG198" s="1" t="str">
        <f t="shared" si="66"/>
        <v>NW</v>
      </c>
      <c r="AH198" s="86" t="str">
        <f t="shared" si="67"/>
        <v>"%USERPROFILE%\Documents\GitHub\eaglep3\Utilities\RefineRTDCRunTimes.py" --tripid 838-21 --locoid 4032 --swversion DE.1.0.9.0 --startMP 300:58623 --initTime 2017-02-21T18:36:17 --startdatetime 2017-02-21T18:38:00 --delay 1 --endMP 204:657 --enddatetime 2017-02-21T18:57:26 --enforcementcount 0 &gt;&gt;C:\Users\stu\Documents\GitHub\eaglep3-reporting\EC\2017-02-21-refined-times.txt</v>
      </c>
      <c r="AI198" s="108" t="str">
        <f t="shared" si="68"/>
        <v>echo {"issue":{"subject":"","project_id":79,"tracker_id":40,"status_id":1,"priority_id":2,"assigned_to_id":23,"start_date":"2017-02-21","description":"","custom_fields":[{"id":1,"name":"Subdivision","value":"NW"},{"id":4,"name":"Milepost","value":"0.0657"},{"id":17,"name":"Train ID","value":"838-21"},{"id":16,"name":"Locomotive ID","value":"4032"},{"id":130,"name":"Impact","value":""},{"id":150,"name":"Time of Event (Mountain Time)","value":"18:57:26"},{"id":151,"name":"Denver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69"/>
        <v>start /low /b %USERPROFILE%\Documents\GitHub\eaglep3\Utilities\DownloadLogsFromS3.py --loco 4032 --day 2017-02-21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"%USERPROFILE%\AppData\Local\Temp\OnboardLogs"\RTDC4032\*4032*20170222* | grep -SE "(Enforcement Action)|(\[TIMEOUT)|(CHR.+\|PRM\|1\|D.+(SWITCH|SIGNAL).+UNKNOWN)" - &gt;&gt; 2017-02-21-UncaughtWiMAX.txt</v>
      </c>
    </row>
    <row r="199" spans="1:40" x14ac:dyDescent="0.25">
      <c r="A199" s="33" t="s">
        <v>486</v>
      </c>
      <c r="B199" s="7">
        <v>4009</v>
      </c>
      <c r="C199" s="21" t="s">
        <v>359</v>
      </c>
      <c r="D199" s="21" t="s">
        <v>825</v>
      </c>
      <c r="E199" s="13">
        <v>42787.76939814815</v>
      </c>
      <c r="F199" s="13">
        <v>42787.785543981481</v>
      </c>
      <c r="G199" s="7">
        <v>1</v>
      </c>
      <c r="H199" s="21" t="s">
        <v>821</v>
      </c>
      <c r="I199" s="13">
        <v>42787.795532407406</v>
      </c>
      <c r="J199" s="7">
        <v>0</v>
      </c>
      <c r="K199" s="98" t="str">
        <f t="shared" si="57"/>
        <v>4009/4010</v>
      </c>
      <c r="L199" s="21" t="str">
        <f>VLOOKUP(A199,'Trips&amp;Operators'!$C$1:$G$99999,5,FALSE)</f>
        <v>HILLS DUSTIN</v>
      </c>
      <c r="M199" s="6">
        <f t="shared" si="58"/>
        <v>9.9884259252576157E-3</v>
      </c>
      <c r="N199" s="7">
        <f t="shared" si="77"/>
        <v>14.383333332370967</v>
      </c>
      <c r="O199" s="7"/>
      <c r="P199" s="7"/>
      <c r="Q199" s="22"/>
      <c r="R199" s="22"/>
      <c r="S199" s="31">
        <f t="shared" si="76"/>
        <v>1</v>
      </c>
      <c r="T199" s="46" t="str">
        <f t="shared" si="59"/>
        <v>NorthBound</v>
      </c>
      <c r="U199" s="193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4" t="str">
        <f t="shared" si="60"/>
        <v>https://d0f6bd738d7f1b3e5a7ca70fe4ff75f0.us-east-1.aws.found.io/app/kibana#/discover/Steve-Slow-Train-Analysis-(2080s-and-2083s)?_g=(refreshInterval:(display:Off,pause:!f,section:0,value:0),time:(from:'2017-02-21T17:27:56-0700',mode:absolute,to:'2017-02-21T20:05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9" s="195" t="str">
        <f t="shared" si="61"/>
        <v>N</v>
      </c>
      <c r="X199" s="195">
        <f t="shared" si="75"/>
        <v>1</v>
      </c>
      <c r="Y199" s="62">
        <f t="shared" si="70"/>
        <v>0.1037</v>
      </c>
      <c r="Z199" s="62">
        <f t="shared" si="71"/>
        <v>5.8994999999999997</v>
      </c>
      <c r="AA199" s="62">
        <f t="shared" si="62"/>
        <v>5.7957999999999998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63"/>
        <v>0839-21</v>
      </c>
      <c r="AE199" s="85" t="str">
        <f t="shared" si="64"/>
        <v>aws s3 cp s3://rtdc.mdm.uploadarchive.raw/RTDC4009/ "%USERPROFILE%\AppData\Local\Temp\OnboardLogs"\RTDC4009\2017-02-21 --exclude "*" --recursive --include "*20170221*" &amp; "%USERPROFILE%\Documents\GitHub\mrs-test-scripts\Headless Mode &amp; Sideloading\WalkAndUnGZ.bat" "%USERPROFILE%\AppData\Local\Temp\OnboardLogs"\RTDC4009\2017-02-21 &amp; aws s3 cp s3://rtdc.mdm.uploadarchive.raw/RTDC4009/ "%USERPROFILE%\AppData\Local\Temp\OnboardLogs"\RTDC4009\2017-02-22 --exclude "*" --recursive --include "*20170222*" &amp; "%USERPROFILE%\Documents\GitHub\mrs-test-scripts\Headless Mode &amp; Sideloading\WalkAndUnGZ.bat" "%USERPROFILE%\AppData\Local\Temp\OnboardLogs"\RTDC4009\2017-02-22</v>
      </c>
      <c r="AF199" s="82" t="str">
        <f t="shared" si="65"/>
        <v>"C:\Program Files (x86)\AstroGrep\AstroGrep.exe" /spath="%USERPROFILE%\AppData\Local\Temp\OnboardLogs" /stypes="app*4009*20170222*" /stext=" 02:.+((SYSTEM_STATE.+slice.+state.+changed )|(ment ac)|(multiple cpu faults)|(system.+state.+changed )|(\[timeout)|(PRM\|1\|D)|(kpr)|(kdp)|(\|lc)|(penalty))" /e /r /s</v>
      </c>
      <c r="AG199" s="1" t="str">
        <f t="shared" si="66"/>
        <v>NW</v>
      </c>
      <c r="AH199" s="86" t="str">
        <f t="shared" si="67"/>
        <v>"%USERPROFILE%\Documents\GitHub\eaglep3\Utilities\RefineRTDCRunTimes.py" --tripid 839-21 --locoid 4009 --swversion DE.1.0.9.0 --startMP 204:1037 --initTime 2017-02-21T18:27:56 --startdatetime 2017-02-21T18:51:11 --delay 1 --endMP 300:58995 --enddatetime 2017-02-21T19:05:34 --enforcementcount 0 &gt;&gt;C:\Users\stu\Documents\GitHub\eaglep3-reporting\EC\2017-02-21-refined-times.txt</v>
      </c>
      <c r="AI199" s="108" t="str">
        <f t="shared" si="68"/>
        <v>echo {"issue":{"subject":"","project_id":79,"tracker_id":40,"status_id":1,"priority_id":2,"assigned_to_id":23,"start_date":"2017-02-21","description":"","custom_fields":[{"id":1,"name":"Subdivision","value":"NW"},{"id":4,"name":"Milepost","value":"5.8995"},{"id":17,"name":"Train ID","value":"839-21"},{"id":16,"name":"Locomotive ID","value":"4009"},{"id":130,"name":"Impact","value":""},{"id":150,"name":"Time of Event (Mountain Time)","value":"19:05:34"},{"id":151,"name":"Denver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69"/>
        <v>start /low /b %USERPROFILE%\Documents\GitHub\eaglep3\Utilities\DownloadLogsFromS3.py --loco 4009 --day 2017-02-21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"%USERPROFILE%\AppData\Local\Temp\OnboardLogs"\RTDC4009\*4009*20170222* | grep -SE "(Enforcement Action)|(\[TIMEOUT)|(CHR.+\|PRM\|1\|D.+(SWITCH|SIGNAL).+UNKNOWN)" - &gt;&gt; 2017-02-21-UncaughtWiMAX.txt</v>
      </c>
    </row>
    <row r="200" spans="1:40" x14ac:dyDescent="0.25">
      <c r="A200" s="33" t="s">
        <v>660</v>
      </c>
      <c r="B200" s="7">
        <v>4032</v>
      </c>
      <c r="C200" s="21" t="s">
        <v>359</v>
      </c>
      <c r="D200" s="21" t="s">
        <v>293</v>
      </c>
      <c r="E200" s="13">
        <v>42787.816631944443</v>
      </c>
      <c r="F200" s="13">
        <v>42787.817939814813</v>
      </c>
      <c r="G200" s="7">
        <v>1</v>
      </c>
      <c r="H200" s="21" t="s">
        <v>448</v>
      </c>
      <c r="I200" s="13">
        <v>42787.829756944448</v>
      </c>
      <c r="J200" s="7">
        <v>0</v>
      </c>
      <c r="K200" s="98" t="str">
        <f t="shared" si="57"/>
        <v>4031/4032</v>
      </c>
      <c r="L200" s="21" t="str">
        <f>VLOOKUP(A200,'Trips&amp;Operators'!$C$1:$G$99999,5,FALSE)</f>
        <v>LEVIN SCOTT</v>
      </c>
      <c r="M200" s="6">
        <f t="shared" si="58"/>
        <v>1.1817129634437151E-2</v>
      </c>
      <c r="N200" s="7">
        <f t="shared" si="77"/>
        <v>17.016666673589498</v>
      </c>
      <c r="O200" s="7"/>
      <c r="P200" s="7"/>
      <c r="Q200" s="22"/>
      <c r="R200" s="22"/>
      <c r="S200" s="31">
        <f t="shared" si="76"/>
        <v>1</v>
      </c>
      <c r="T200" s="46" t="str">
        <f t="shared" si="59"/>
        <v>Southbound</v>
      </c>
      <c r="U200" s="193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4" t="str">
        <f t="shared" si="60"/>
        <v>https://d0f6bd738d7f1b3e5a7ca70fe4ff75f0.us-east-1.aws.found.io/app/kibana#/discover/Steve-Slow-Train-Analysis-(2080s-and-2083s)?_g=(refreshInterval:(display:Off,pause:!f,section:0,value:0),time:(from:'2017-02-21T18:35:57-0700',mode:absolute,to:'2017-02-21T20:54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0" s="195" t="str">
        <f t="shared" si="61"/>
        <v>N</v>
      </c>
      <c r="X200" s="195">
        <f t="shared" si="75"/>
        <v>1</v>
      </c>
      <c r="Y200" s="62">
        <f t="shared" si="70"/>
        <v>5.8623000000000003</v>
      </c>
      <c r="Z200" s="62">
        <f t="shared" si="71"/>
        <v>6.6600000000000006E-2</v>
      </c>
      <c r="AA200" s="62">
        <f t="shared" si="62"/>
        <v>5.7957000000000001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63"/>
        <v>0840-21</v>
      </c>
      <c r="AE200" s="85" t="str">
        <f t="shared" si="64"/>
        <v>aws s3 cp s3://rtdc.mdm.uploadarchive.raw/RTDC4032/ "%USERPROFILE%\AppData\Local\Temp\OnboardLogs"\RTDC4032\2017-02-21 --exclude "*" --recursive --include "*20170221*" &amp; "%USERPROFILE%\Documents\GitHub\mrs-test-scripts\Headless Mode &amp; Sideloading\WalkAndUnGZ.bat" "%USERPROFILE%\AppData\Local\Temp\OnboardLogs"\RTDC4032\2017-02-21 &amp; aws s3 cp s3://rtdc.mdm.uploadarchive.raw/RTDC4032/ "%USERPROFILE%\AppData\Local\Temp\OnboardLogs"\RTDC4032\2017-02-22 --exclude "*" --recursive --include "*20170222*" &amp; "%USERPROFILE%\Documents\GitHub\mrs-test-scripts\Headless Mode &amp; Sideloading\WalkAndUnGZ.bat" "%USERPROFILE%\AppData\Local\Temp\OnboardLogs"\RTDC4032\2017-02-22</v>
      </c>
      <c r="AF200" s="82" t="str">
        <f t="shared" si="65"/>
        <v>"C:\Program Files (x86)\AstroGrep\AstroGrep.exe" /spath="%USERPROFILE%\AppData\Local\Temp\OnboardLogs" /stypes="app*4032*20170222*" /stext=" 02:.+((SYSTEM_STATE.+slice.+state.+changed )|(ment ac)|(multiple cpu faults)|(system.+state.+changed )|(\[timeout)|(PRM\|1\|D)|(kpr)|(kdp)|(\|lc)|(penalty))" /e /r /s</v>
      </c>
      <c r="AG200" s="1" t="str">
        <f t="shared" si="66"/>
        <v>NW</v>
      </c>
      <c r="AH200" s="86" t="str">
        <f t="shared" si="67"/>
        <v>"%USERPROFILE%\Documents\GitHub\eaglep3\Utilities\RefineRTDCRunTimes.py" --tripid 840-21 --locoid 4032 --swversion DE.1.0.9.0 --startMP 300:58623 --initTime 2017-02-21T19:35:57 --startdatetime 2017-02-21T19:37:50 --delay 1 --endMP 204:666 --enddatetime 2017-02-21T19:54:51 --enforcementcount 0 &gt;&gt;C:\Users\stu\Documents\GitHub\eaglep3-reporting\EC\2017-02-21-refined-times.txt</v>
      </c>
      <c r="AI200" s="108" t="str">
        <f t="shared" si="68"/>
        <v>echo {"issue":{"subject":"","project_id":79,"tracker_id":40,"status_id":1,"priority_id":2,"assigned_to_id":23,"start_date":"2017-02-21","description":"","custom_fields":[{"id":1,"name":"Subdivision","value":"NW"},{"id":4,"name":"Milepost","value":"0.0666"},{"id":17,"name":"Train ID","value":"840-21"},{"id":16,"name":"Locomotive ID","value":"4032"},{"id":130,"name":"Impact","value":""},{"id":150,"name":"Time of Event (Mountain Time)","value":"19:54:51"},{"id":151,"name":"Denver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69"/>
        <v>start /low /b %USERPROFILE%\Documents\GitHub\eaglep3\Utilities\DownloadLogsFromS3.py --loco 4032 --day 2017-02-21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"%USERPROFILE%\AppData\Local\Temp\OnboardLogs"\RTDC4032\*4032*20170222* | grep -SE "(Enforcement Action)|(\[TIMEOUT)|(CHR.+\|PRM\|1\|D.+(SWITCH|SIGNAL).+UNKNOWN)" - &gt;&gt; 2017-02-21-UncaughtWiMAX.txt</v>
      </c>
    </row>
    <row r="201" spans="1:40" x14ac:dyDescent="0.25">
      <c r="A201" s="33" t="s">
        <v>658</v>
      </c>
      <c r="B201" s="7">
        <v>4031</v>
      </c>
      <c r="C201" s="21" t="s">
        <v>359</v>
      </c>
      <c r="D201" s="21" t="s">
        <v>826</v>
      </c>
      <c r="E201" s="13">
        <v>42787.802476851852</v>
      </c>
      <c r="F201" s="13">
        <v>42787.806446759256</v>
      </c>
      <c r="G201" s="7">
        <v>1</v>
      </c>
      <c r="H201" s="21" t="s">
        <v>435</v>
      </c>
      <c r="I201" s="13">
        <v>42787.815613425926</v>
      </c>
      <c r="J201" s="7">
        <v>0</v>
      </c>
      <c r="K201" s="98" t="str">
        <f t="shared" si="57"/>
        <v>4031/4032</v>
      </c>
      <c r="L201" s="21" t="str">
        <f>VLOOKUP(A201,'Trips&amp;Operators'!$C$1:$G$99999,5,FALSE)</f>
        <v>LEVIN SCOTT</v>
      </c>
      <c r="M201" s="6">
        <f t="shared" si="58"/>
        <v>9.1666666703531519E-3</v>
      </c>
      <c r="N201" s="7">
        <f t="shared" si="77"/>
        <v>13.200000005308539</v>
      </c>
      <c r="O201" s="7"/>
      <c r="P201" s="7"/>
      <c r="Q201" s="22"/>
      <c r="R201" s="22"/>
      <c r="S201" s="31">
        <f t="shared" si="76"/>
        <v>1</v>
      </c>
      <c r="T201" s="46" t="str">
        <f t="shared" si="59"/>
        <v>NorthBound</v>
      </c>
      <c r="U201" s="193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4" t="str">
        <f t="shared" si="60"/>
        <v>https://d0f6bd738d7f1b3e5a7ca70fe4ff75f0.us-east-1.aws.found.io/app/kibana#/discover/Steve-Slow-Train-Analysis-(2080s-and-2083s)?_g=(refreshInterval:(display:Off,pause:!f,section:0,value:0),time:(from:'2017-02-21T18:15:34-0700',mode:absolute,to:'2017-02-21T20:34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1" s="195" t="str">
        <f t="shared" si="61"/>
        <v>N</v>
      </c>
      <c r="X201" s="195">
        <f t="shared" si="75"/>
        <v>1</v>
      </c>
      <c r="Y201" s="62">
        <f t="shared" si="70"/>
        <v>9.4600000000000004E-2</v>
      </c>
      <c r="Z201" s="62">
        <f t="shared" si="71"/>
        <v>5.8930999999999996</v>
      </c>
      <c r="AA201" s="62">
        <f t="shared" si="62"/>
        <v>5.7984999999999998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63"/>
        <v>0841-21</v>
      </c>
      <c r="AE201" s="85" t="str">
        <f t="shared" si="64"/>
        <v>aws s3 cp s3://rtdc.mdm.uploadarchive.raw/RTDC4031/ "%USERPROFILE%\AppData\Local\Temp\OnboardLogs"\RTDC4031\2017-02-21 --exclude "*" --recursive --include "*20170221*" &amp; "%USERPROFILE%\Documents\GitHub\mrs-test-scripts\Headless Mode &amp; Sideloading\WalkAndUnGZ.bat" "%USERPROFILE%\AppData\Local\Temp\OnboardLogs"\RTDC4031\2017-02-21 &amp; aws s3 cp s3://rtdc.mdm.uploadarchive.raw/RTDC4031/ "%USERPROFILE%\AppData\Local\Temp\OnboardLogs"\RTDC4031\2017-02-22 --exclude "*" --recursive --include "*20170222*" &amp; "%USERPROFILE%\Documents\GitHub\mrs-test-scripts\Headless Mode &amp; Sideloading\WalkAndUnGZ.bat" "%USERPROFILE%\AppData\Local\Temp\OnboardLogs"\RTDC4031\2017-02-22</v>
      </c>
      <c r="AF201" s="82" t="str">
        <f t="shared" si="65"/>
        <v>"C:\Program Files (x86)\AstroGrep\AstroGrep.exe" /spath="%USERPROFILE%\AppData\Local\Temp\OnboardLogs" /stypes="app*4031*20170222*" /stext=" 02:.+((SYSTEM_STATE.+slice.+state.+changed )|(ment ac)|(multiple cpu faults)|(system.+state.+changed )|(\[timeout)|(PRM\|1\|D)|(kpr)|(kdp)|(\|lc)|(penalty))" /e /r /s</v>
      </c>
      <c r="AG201" s="1" t="str">
        <f t="shared" si="66"/>
        <v>NW</v>
      </c>
      <c r="AH201" s="86" t="str">
        <f t="shared" si="67"/>
        <v>"%USERPROFILE%\Documents\GitHub\eaglep3\Utilities\RefineRTDCRunTimes.py" --tripid 841-21 --locoid 4031 --swversion DE.1.0.9.0 --startMP 204:946 --initTime 2017-02-21T19:15:34 --startdatetime 2017-02-21T19:21:17 --delay 1 --endMP 300:58931 --enddatetime 2017-02-21T19:34:29 --enforcementcount 0 &gt;&gt;C:\Users\stu\Documents\GitHub\eaglep3-reporting\EC\2017-02-21-refined-times.txt</v>
      </c>
      <c r="AI201" s="108" t="str">
        <f t="shared" si="68"/>
        <v>echo {"issue":{"subject":"","project_id":79,"tracker_id":40,"status_id":1,"priority_id":2,"assigned_to_id":23,"start_date":"2017-02-21","description":"","custom_fields":[{"id":1,"name":"Subdivision","value":"NW"},{"id":4,"name":"Milepost","value":"5.8931"},{"id":17,"name":"Train ID","value":"841-21"},{"id":16,"name":"Locomotive ID","value":"4031"},{"id":130,"name":"Impact","value":""},{"id":150,"name":"Time of Event (Mountain Time)","value":"19:34:29"},{"id":151,"name":"Denver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69"/>
        <v>start /low /b %USERPROFILE%\Documents\GitHub\eaglep3\Utilities\DownloadLogsFromS3.py --loco 4031 --day 2017-02-21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"%USERPROFILE%\AppData\Local\Temp\OnboardLogs"\RTDC4031\*4031*20170222* | grep -SE "(Enforcement Action)|(\[TIMEOUT)|(CHR.+\|PRM\|1\|D.+(SWITCH|SIGNAL).+UNKNOWN)" - &gt;&gt; 2017-02-21-UncaughtWiMAX.txt</v>
      </c>
    </row>
    <row r="202" spans="1:40" x14ac:dyDescent="0.25">
      <c r="A202" s="33" t="s">
        <v>667</v>
      </c>
      <c r="B202" s="7">
        <v>4032</v>
      </c>
      <c r="C202" s="21" t="s">
        <v>359</v>
      </c>
      <c r="D202" s="21" t="s">
        <v>827</v>
      </c>
      <c r="E202" s="13">
        <v>42787.858553240738</v>
      </c>
      <c r="F202" s="13">
        <v>42787.859814814816</v>
      </c>
      <c r="G202" s="7">
        <v>1</v>
      </c>
      <c r="H202" s="21" t="s">
        <v>828</v>
      </c>
      <c r="I202" s="13">
        <v>42787.871562499997</v>
      </c>
      <c r="J202" s="7">
        <v>0</v>
      </c>
      <c r="K202" s="98" t="str">
        <f t="shared" si="57"/>
        <v>4031/4032</v>
      </c>
      <c r="L202" s="21" t="str">
        <f>VLOOKUP(A202,'Trips&amp;Operators'!$C$1:$G$99999,5,FALSE)</f>
        <v>LEVIN SCOTT</v>
      </c>
      <c r="M202" s="6">
        <f t="shared" si="58"/>
        <v>1.1747685181035195E-2</v>
      </c>
      <c r="N202" s="7">
        <f t="shared" si="77"/>
        <v>16.91666666069068</v>
      </c>
      <c r="O202" s="7"/>
      <c r="P202" s="7"/>
      <c r="Q202" s="22"/>
      <c r="R202" s="22"/>
      <c r="S202" s="31">
        <f t="shared" si="76"/>
        <v>1</v>
      </c>
      <c r="T202" s="46" t="str">
        <f t="shared" si="59"/>
        <v>Southbound</v>
      </c>
      <c r="U202" s="193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4" t="str">
        <f t="shared" si="60"/>
        <v>https://d0f6bd738d7f1b3e5a7ca70fe4ff75f0.us-east-1.aws.found.io/app/kibana#/discover/Steve-Slow-Train-Analysis-(2080s-and-2083s)?_g=(refreshInterval:(display:Off,pause:!f,section:0,value:0),time:(from:'2017-02-21T19:36:19-0700',mode:absolute,to:'2017-02-21T21:55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2" s="195" t="str">
        <f t="shared" si="61"/>
        <v>N</v>
      </c>
      <c r="X202" s="195">
        <f t="shared" ref="X202:X233" si="78">VALUE(LEFT(AD202,4))-VALUE(LEFT(AD201,4))</f>
        <v>1</v>
      </c>
      <c r="Y202" s="62">
        <f t="shared" si="70"/>
        <v>5.8601999999999999</v>
      </c>
      <c r="Z202" s="62">
        <f t="shared" si="71"/>
        <v>6.4699999999999994E-2</v>
      </c>
      <c r="AA202" s="62">
        <f t="shared" si="62"/>
        <v>5.7954999999999997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63"/>
        <v>0842-21</v>
      </c>
      <c r="AE202" s="85" t="str">
        <f t="shared" si="64"/>
        <v>aws s3 cp s3://rtdc.mdm.uploadarchive.raw/RTDC4032/ "%USERPROFILE%\AppData\Local\Temp\OnboardLogs"\RTDC4032\2017-02-21 --exclude "*" --recursive --include "*20170221*" &amp; "%USERPROFILE%\Documents\GitHub\mrs-test-scripts\Headless Mode &amp; Sideloading\WalkAndUnGZ.bat" "%USERPROFILE%\AppData\Local\Temp\OnboardLogs"\RTDC4032\2017-02-21 &amp; aws s3 cp s3://rtdc.mdm.uploadarchive.raw/RTDC4032/ "%USERPROFILE%\AppData\Local\Temp\OnboardLogs"\RTDC4032\2017-02-22 --exclude "*" --recursive --include "*20170222*" &amp; "%USERPROFILE%\Documents\GitHub\mrs-test-scripts\Headless Mode &amp; Sideloading\WalkAndUnGZ.bat" "%USERPROFILE%\AppData\Local\Temp\OnboardLogs"\RTDC4032\2017-02-22</v>
      </c>
      <c r="AF202" s="82" t="str">
        <f t="shared" si="65"/>
        <v>"C:\Program Files (x86)\AstroGrep\AstroGrep.exe" /spath="%USERPROFILE%\AppData\Local\Temp\OnboardLogs" /stypes="app*4032*20170222*" /stext=" 03:.+((SYSTEM_STATE.+slice.+state.+changed )|(ment ac)|(multiple cpu faults)|(system.+state.+changed )|(\[timeout)|(PRM\|1\|D)|(kpr)|(kdp)|(\|lc)|(penalty))" /e /r /s</v>
      </c>
      <c r="AG202" s="1" t="str">
        <f t="shared" si="66"/>
        <v>NW</v>
      </c>
      <c r="AH202" s="86" t="str">
        <f t="shared" si="67"/>
        <v>"%USERPROFILE%\Documents\GitHub\eaglep3\Utilities\RefineRTDCRunTimes.py" --tripid 842-21 --locoid 4032 --swversion DE.1.0.9.0 --startMP 300:58602 --initTime 2017-02-21T20:36:19 --startdatetime 2017-02-21T20:38:08 --delay 1 --endMP 204:647 --enddatetime 2017-02-21T20:55:03 --enforcementcount 0 &gt;&gt;C:\Users\stu\Documents\GitHub\eaglep3-reporting\EC\2017-02-21-refined-times.txt</v>
      </c>
      <c r="AI202" s="108" t="str">
        <f t="shared" si="68"/>
        <v>echo {"issue":{"subject":"","project_id":79,"tracker_id":40,"status_id":1,"priority_id":2,"assigned_to_id":23,"start_date":"2017-02-21","description":"","custom_fields":[{"id":1,"name":"Subdivision","value":"NW"},{"id":4,"name":"Milepost","value":"0.0647"},{"id":17,"name":"Train ID","value":"842-21"},{"id":16,"name":"Locomotive ID","value":"4032"},{"id":130,"name":"Impact","value":""},{"id":150,"name":"Time of Event (Mountain Time)","value":"20:55:03"},{"id":151,"name":"Denver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69"/>
        <v>start /low /b %USERPROFILE%\Documents\GitHub\eaglep3\Utilities\DownloadLogsFromS3.py --loco 4032 --day 2017-02-21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"%USERPROFILE%\AppData\Local\Temp\OnboardLogs"\RTDC4032\*4032*20170222* | grep -SE "(Enforcement Action)|(\[TIMEOUT)|(CHR.+\|PRM\|1\|D.+(SWITCH|SIGNAL).+UNKNOWN)" - &gt;&gt; 2017-02-21-UncaughtWiMAX.txt</v>
      </c>
    </row>
    <row r="203" spans="1:40" x14ac:dyDescent="0.25">
      <c r="A203" s="33" t="s">
        <v>664</v>
      </c>
      <c r="B203" s="7">
        <v>4031</v>
      </c>
      <c r="C203" s="21" t="s">
        <v>359</v>
      </c>
      <c r="D203" s="21" t="s">
        <v>826</v>
      </c>
      <c r="E203" s="13">
        <v>42787.844525462962</v>
      </c>
      <c r="F203" s="13">
        <v>42787.848090277781</v>
      </c>
      <c r="G203" s="7">
        <v>1</v>
      </c>
      <c r="H203" s="21" t="s">
        <v>446</v>
      </c>
      <c r="I203" s="13">
        <v>42787.857245370367</v>
      </c>
      <c r="J203" s="7">
        <v>0</v>
      </c>
      <c r="K203" s="98" t="str">
        <f t="shared" si="57"/>
        <v>4031/4032</v>
      </c>
      <c r="L203" s="21" t="str">
        <f>VLOOKUP(A203,'Trips&amp;Operators'!$C$1:$G$99999,5,FALSE)</f>
        <v>LEVIN SCOTT</v>
      </c>
      <c r="M203" s="6">
        <f t="shared" si="58"/>
        <v>9.1550925862975419E-3</v>
      </c>
      <c r="N203" s="7">
        <f t="shared" si="77"/>
        <v>13.18333332426846</v>
      </c>
      <c r="O203" s="7"/>
      <c r="P203" s="7"/>
      <c r="Q203" s="22"/>
      <c r="R203" s="22"/>
      <c r="S203" s="31">
        <f t="shared" si="76"/>
        <v>1</v>
      </c>
      <c r="T203" s="46" t="str">
        <f t="shared" si="59"/>
        <v>NorthBound</v>
      </c>
      <c r="U203" s="193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4" t="str">
        <f t="shared" si="60"/>
        <v>https://d0f6bd738d7f1b3e5a7ca70fe4ff75f0.us-east-1.aws.found.io/app/kibana#/discover/Steve-Slow-Train-Analysis-(2080s-and-2083s)?_g=(refreshInterval:(display:Off,pause:!f,section:0,value:0),time:(from:'2017-02-21T19:16:07-0700',mode:absolute,to:'2017-02-21T21:34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3" s="195" t="str">
        <f t="shared" si="61"/>
        <v>N</v>
      </c>
      <c r="X203" s="195">
        <f t="shared" si="78"/>
        <v>1</v>
      </c>
      <c r="Y203" s="62">
        <f t="shared" si="70"/>
        <v>9.4600000000000004E-2</v>
      </c>
      <c r="Z203" s="62">
        <f t="shared" si="71"/>
        <v>5.8925999999999998</v>
      </c>
      <c r="AA203" s="62">
        <f t="shared" si="62"/>
        <v>5.798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63"/>
        <v>0843-21</v>
      </c>
      <c r="AE203" s="85" t="str">
        <f t="shared" si="64"/>
        <v>aws s3 cp s3://rtdc.mdm.uploadarchive.raw/RTDC4031/ "%USERPROFILE%\AppData\Local\Temp\OnboardLogs"\RTDC4031\2017-02-21 --exclude "*" --recursive --include "*20170221*" &amp; "%USERPROFILE%\Documents\GitHub\mrs-test-scripts\Headless Mode &amp; Sideloading\WalkAndUnGZ.bat" "%USERPROFILE%\AppData\Local\Temp\OnboardLogs"\RTDC4031\2017-02-21 &amp; aws s3 cp s3://rtdc.mdm.uploadarchive.raw/RTDC4031/ "%USERPROFILE%\AppData\Local\Temp\OnboardLogs"\RTDC4031\2017-02-22 --exclude "*" --recursive --include "*20170222*" &amp; "%USERPROFILE%\Documents\GitHub\mrs-test-scripts\Headless Mode &amp; Sideloading\WalkAndUnGZ.bat" "%USERPROFILE%\AppData\Local\Temp\OnboardLogs"\RTDC4031\2017-02-22</v>
      </c>
      <c r="AF203" s="82" t="str">
        <f t="shared" si="65"/>
        <v>"C:\Program Files (x86)\AstroGrep\AstroGrep.exe" /spath="%USERPROFILE%\AppData\Local\Temp\OnboardLogs" /stypes="app*4031*20170222*" /stext=" 03:.+((SYSTEM_STATE.+slice.+state.+changed )|(ment ac)|(multiple cpu faults)|(system.+state.+changed )|(\[timeout)|(PRM\|1\|D)|(kpr)|(kdp)|(\|lc)|(penalty))" /e /r /s</v>
      </c>
      <c r="AG203" s="1" t="str">
        <f t="shared" si="66"/>
        <v>NW</v>
      </c>
      <c r="AH203" s="86" t="str">
        <f t="shared" si="67"/>
        <v>"%USERPROFILE%\Documents\GitHub\eaglep3\Utilities\RefineRTDCRunTimes.py" --tripid 843-21 --locoid 4031 --swversion DE.1.0.9.0 --startMP 204:946 --initTime 2017-02-21T20:16:07 --startdatetime 2017-02-21T20:21:15 --delay 1 --endMP 300:58926 --enddatetime 2017-02-21T20:34:26 --enforcementcount 0 &gt;&gt;C:\Users\stu\Documents\GitHub\eaglep3-reporting\EC\2017-02-21-refined-times.txt</v>
      </c>
      <c r="AI203" s="108" t="str">
        <f t="shared" si="68"/>
        <v>echo {"issue":{"subject":"","project_id":79,"tracker_id":40,"status_id":1,"priority_id":2,"assigned_to_id":23,"start_date":"2017-02-21","description":"","custom_fields":[{"id":1,"name":"Subdivision","value":"NW"},{"id":4,"name":"Milepost","value":"5.8926"},{"id":17,"name":"Train ID","value":"843-21"},{"id":16,"name":"Locomotive ID","value":"4031"},{"id":130,"name":"Impact","value":""},{"id":150,"name":"Time of Event (Mountain Time)","value":"20:34:26"},{"id":151,"name":"Denver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69"/>
        <v>start /low /b %USERPROFILE%\Documents\GitHub\eaglep3\Utilities\DownloadLogsFromS3.py --loco 4031 --day 2017-02-21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"%USERPROFILE%\AppData\Local\Temp\OnboardLogs"\RTDC4031\*4031*20170222* | grep -SE "(Enforcement Action)|(\[TIMEOUT)|(CHR.+\|PRM\|1\|D.+(SWITCH|SIGNAL).+UNKNOWN)" - &gt;&gt; 2017-02-21-UncaughtWiMAX.txt</v>
      </c>
    </row>
    <row r="204" spans="1:40" x14ac:dyDescent="0.25">
      <c r="A204" s="33" t="s">
        <v>490</v>
      </c>
      <c r="B204" s="7">
        <v>4032</v>
      </c>
      <c r="C204" s="21" t="s">
        <v>359</v>
      </c>
      <c r="D204" s="21" t="s">
        <v>803</v>
      </c>
      <c r="E204" s="13">
        <v>42787.900787037041</v>
      </c>
      <c r="F204" s="13">
        <v>42787.902592592596</v>
      </c>
      <c r="G204" s="7">
        <v>1</v>
      </c>
      <c r="H204" s="21" t="s">
        <v>369</v>
      </c>
      <c r="I204" s="13">
        <v>42787.913171296299</v>
      </c>
      <c r="J204" s="7">
        <v>0</v>
      </c>
      <c r="K204" s="98" t="str">
        <f t="shared" si="57"/>
        <v>4031/4032</v>
      </c>
      <c r="L204" s="21" t="str">
        <f>VLOOKUP(A204,'Trips&amp;Operators'!$C$1:$G$99999,5,FALSE)</f>
        <v>HILLS DUSTIN</v>
      </c>
      <c r="M204" s="6">
        <f t="shared" si="58"/>
        <v>1.0578703702776693E-2</v>
      </c>
      <c r="N204" s="7">
        <f t="shared" si="77"/>
        <v>15.233333331998438</v>
      </c>
      <c r="O204" s="7"/>
      <c r="P204" s="7"/>
      <c r="Q204" s="22"/>
      <c r="R204" s="22"/>
      <c r="S204" s="31">
        <f t="shared" si="76"/>
        <v>1</v>
      </c>
      <c r="T204" s="46" t="str">
        <f t="shared" si="59"/>
        <v>Southbound</v>
      </c>
      <c r="U204" s="193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4" t="str">
        <f t="shared" si="60"/>
        <v>https://d0f6bd738d7f1b3e5a7ca70fe4ff75f0.us-east-1.aws.found.io/app/kibana#/discover/Steve-Slow-Train-Analysis-(2080s-and-2083s)?_g=(refreshInterval:(display:Off,pause:!f,section:0,value:0),time:(from:'2017-02-21T20:37:08-0700',mode:absolute,to:'2017-02-21T22:54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4" s="195" t="str">
        <f t="shared" si="61"/>
        <v>N</v>
      </c>
      <c r="X204" s="195">
        <f t="shared" si="78"/>
        <v>1</v>
      </c>
      <c r="Y204" s="62">
        <f t="shared" si="70"/>
        <v>5.8635999999999999</v>
      </c>
      <c r="Z204" s="62">
        <f t="shared" si="71"/>
        <v>6.9199999999999998E-2</v>
      </c>
      <c r="AA204" s="62">
        <f t="shared" si="62"/>
        <v>5.7943999999999996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63"/>
        <v>0844-21</v>
      </c>
      <c r="AE204" s="85" t="str">
        <f t="shared" si="64"/>
        <v>aws s3 cp s3://rtdc.mdm.uploadarchive.raw/RTDC4032/ "%USERPROFILE%\AppData\Local\Temp\OnboardLogs"\RTDC4032\2017-02-21 --exclude "*" --recursive --include "*20170221*" &amp; "%USERPROFILE%\Documents\GitHub\mrs-test-scripts\Headless Mode &amp; Sideloading\WalkAndUnGZ.bat" "%USERPROFILE%\AppData\Local\Temp\OnboardLogs"\RTDC4032\2017-02-21 &amp; aws s3 cp s3://rtdc.mdm.uploadarchive.raw/RTDC4032/ "%USERPROFILE%\AppData\Local\Temp\OnboardLogs"\RTDC4032\2017-02-22 --exclude "*" --recursive --include "*20170222*" &amp; "%USERPROFILE%\Documents\GitHub\mrs-test-scripts\Headless Mode &amp; Sideloading\WalkAndUnGZ.bat" "%USERPROFILE%\AppData\Local\Temp\OnboardLogs"\RTDC4032\2017-02-22</v>
      </c>
      <c r="AF204" s="82" t="str">
        <f t="shared" si="65"/>
        <v>"C:\Program Files (x86)\AstroGrep\AstroGrep.exe" /spath="%USERPROFILE%\AppData\Local\Temp\OnboardLogs" /stypes="app*4032*20170222*" /stext=" 04:.+((SYSTEM_STATE.+slice.+state.+changed )|(ment ac)|(multiple cpu faults)|(system.+state.+changed )|(\[timeout)|(PRM\|1\|D)|(kpr)|(kdp)|(\|lc)|(penalty))" /e /r /s</v>
      </c>
      <c r="AG204" s="1" t="str">
        <f t="shared" si="66"/>
        <v>NW</v>
      </c>
      <c r="AH204" s="86" t="str">
        <f t="shared" si="67"/>
        <v>"%USERPROFILE%\Documents\GitHub\eaglep3\Utilities\RefineRTDCRunTimes.py" --tripid 844-21 --locoid 4032 --swversion DE.1.0.9.0 --startMP 300:58636 --initTime 2017-02-21T21:37:08 --startdatetime 2017-02-21T21:39:44 --delay 1 --endMP 204:692 --enddatetime 2017-02-21T21:54:58 --enforcementcount 0 &gt;&gt;C:\Users\stu\Documents\GitHub\eaglep3-reporting\EC\2017-02-21-refined-times.txt</v>
      </c>
      <c r="AI204" s="108" t="str">
        <f t="shared" si="68"/>
        <v>echo {"issue":{"subject":"","project_id":79,"tracker_id":40,"status_id":1,"priority_id":2,"assigned_to_id":23,"start_date":"2017-02-21","description":"","custom_fields":[{"id":1,"name":"Subdivision","value":"NW"},{"id":4,"name":"Milepost","value":"0.0692"},{"id":17,"name":"Train ID","value":"844-21"},{"id":16,"name":"Locomotive ID","value":"4032"},{"id":130,"name":"Impact","value":""},{"id":150,"name":"Time of Event (Mountain Time)","value":"21:54:58"},{"id":151,"name":"Denver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69"/>
        <v>start /low /b %USERPROFILE%\Documents\GitHub\eaglep3\Utilities\DownloadLogsFromS3.py --loco 4032 --day 2017-02-21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"%USERPROFILE%\AppData\Local\Temp\OnboardLogs"\RTDC4032\*4032*20170222* | grep -SE "(Enforcement Action)|(\[TIMEOUT)|(CHR.+\|PRM\|1\|D.+(SWITCH|SIGNAL).+UNKNOWN)" - &gt;&gt; 2017-02-21-UncaughtWiMAX.txt</v>
      </c>
    </row>
    <row r="205" spans="1:40" x14ac:dyDescent="0.25">
      <c r="A205" s="33" t="s">
        <v>488</v>
      </c>
      <c r="B205" s="7">
        <v>4031</v>
      </c>
      <c r="C205" s="21" t="s">
        <v>359</v>
      </c>
      <c r="D205" s="21" t="s">
        <v>829</v>
      </c>
      <c r="E205" s="13">
        <v>42787.875</v>
      </c>
      <c r="F205" s="13">
        <v>42787.889745370368</v>
      </c>
      <c r="G205" s="7">
        <v>2</v>
      </c>
      <c r="H205" s="21" t="s">
        <v>830</v>
      </c>
      <c r="I205" s="13">
        <v>42787.899270833332</v>
      </c>
      <c r="J205" s="7">
        <v>0</v>
      </c>
      <c r="K205" s="98" t="str">
        <f t="shared" ref="K205:K252" si="79">IF(ISEVEN(B205),(B205-1)&amp;"/"&amp;B205,B205&amp;"/"&amp;(B205+1))</f>
        <v>4031/4032</v>
      </c>
      <c r="L205" s="21" t="str">
        <f>VLOOKUP(A205,'Trips&amp;Operators'!$C$1:$G$99999,5,FALSE)</f>
        <v>HILLS DUSTIN</v>
      </c>
      <c r="M205" s="6">
        <f t="shared" ref="M205:M252" si="80">I205-F205</f>
        <v>9.5254629632108845E-3</v>
      </c>
      <c r="N205" s="7">
        <f t="shared" si="77"/>
        <v>13.716666667023674</v>
      </c>
      <c r="O205" s="7"/>
      <c r="P205" s="7"/>
      <c r="Q205" s="22"/>
      <c r="R205" s="22"/>
      <c r="S205" s="31">
        <f t="shared" si="76"/>
        <v>1</v>
      </c>
      <c r="T205" s="46" t="str">
        <f t="shared" ref="T205:T252" si="81">IF(ISEVEN(LEFT(AD205,4)),"Southbound","NorthBound")</f>
        <v>NorthBound</v>
      </c>
      <c r="U205" s="193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4" t="str">
        <f t="shared" ref="V205:V252" si="82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-02-21T20:00:00-0700',mode:absolute,to:'2017-02-21T22:34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5" s="195" t="str">
        <f t="shared" ref="W205:W252" si="83">IF(AA205&lt;IF(AG205="EC",23,5.65),"Y","N")</f>
        <v>N</v>
      </c>
      <c r="X205" s="195">
        <f t="shared" si="78"/>
        <v>1</v>
      </c>
      <c r="Y205" s="62">
        <f t="shared" si="70"/>
        <v>9.3700000000000006E-2</v>
      </c>
      <c r="Z205" s="62">
        <f t="shared" si="71"/>
        <v>5.8964999999999996</v>
      </c>
      <c r="AA205" s="62">
        <f t="shared" ref="AA205:AA268" si="84">ABS(Z205-Y205)</f>
        <v>5.8027999999999995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52" si="85">IF(LEN(A205)=6,"0"&amp;A205,A205)</f>
        <v>0845-21</v>
      </c>
      <c r="AE205" s="85" t="str">
        <f t="shared" ref="AE205:AE252" si="86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s3://rtdc.mdm.uploadarchive.raw/RTDC4031/ "%USERPROFILE%\AppData\Local\Temp\OnboardLogs"\RTDC4031\2017-02-21 --exclude "*" --recursive --include "*20170221*" &amp; "%USERPROFILE%\Documents\GitHub\mrs-test-scripts\Headless Mode &amp; Sideloading\WalkAndUnGZ.bat" "%USERPROFILE%\AppData\Local\Temp\OnboardLogs"\RTDC4031\2017-02-21 &amp; aws s3 cp s3://rtdc.mdm.uploadarchive.raw/RTDC4031/ "%USERPROFILE%\AppData\Local\Temp\OnboardLogs"\RTDC4031\2017-02-22 --exclude "*" --recursive --include "*20170222*" &amp; "%USERPROFILE%\Documents\GitHub\mrs-test-scripts\Headless Mode &amp; Sideloading\WalkAndUnGZ.bat" "%USERPROFILE%\AppData\Local\Temp\OnboardLogs"\RTDC4031\2017-02-22</v>
      </c>
      <c r="AF205" s="82" t="str">
        <f t="shared" ref="AF205:AF252" si="87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/stypes="app*4031*20170222*" /stext=" 04:.+((SYSTEM_STATE.+slice.+state.+changed )|(ment ac)|(multiple cpu faults)|(system.+state.+changed )|(\[timeout)|(PRM\|1\|D)|(kpr)|(kdp)|(\|lc)|(penalty))" /e /r /s</v>
      </c>
      <c r="AG205" s="1" t="str">
        <f t="shared" ref="AG205:AG252" si="88">IFERROR(IF(VALUE(LEFT(AD205,2))&lt;=2,"EC",IF(OR(VALUE(LEFT(AD205,2))=8,VALUE(LEFT(AD205,2))=18),"NW","Other")),"Other")</f>
        <v>NW</v>
      </c>
      <c r="AH205" s="86" t="str">
        <f t="shared" ref="AH205:AH252" si="89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845-21 --locoid 4031 --swversion DE.1.0.9.0 --startMP 204:937 --initTime 2017-02-21T21:00:00 --startdatetime 2017-02-21T21:21:14 --delay 2 --endMP 300:58965 --enddatetime 2017-02-21T21:34:57 --enforcementcount 0 &gt;&gt;C:\Users\stu\Documents\GitHub\eaglep3-reporting\EC\2017-02-21-refined-times.txt</v>
      </c>
      <c r="AI205" s="108" t="str">
        <f t="shared" ref="AI205:AI252" si="90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{"issue":{"subject":"","project_id":79,"tracker_id":40,"status_id":1,"priority_id":2,"assigned_to_id":23,"start_date":"2017-02-21","description":"","custom_fields":[{"id":1,"name":"Subdivision","value":"NW"},{"id":4,"name":"Milepost","value":"5.8965"},{"id":17,"name":"Train ID","value":"845-21"},{"id":16,"name":"Locomotive ID","value":"4031"},{"id":130,"name":"Impact","value":""},{"id":150,"name":"Time of Event (Mountain Time)","value":"21:34:57"},{"id":151,"name":"Denver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ref="AM205:AM252" si="91">"start /low /b "&amp;dls3logs&amp;" --loco "&amp;B205&amp;" --day "&amp;TEXT(F205,"YYYY-MM-DD")</f>
        <v>start /low /b %USERPROFILE%\Documents\GitHub\eaglep3\Utilities\DownloadLogsFromS3.py --loco 4031 --day 2017-02-21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"%USERPROFILE%\AppData\Local\Temp\OnboardLogs"\RTDC4031\*4031*20170222* | grep -SE "(Enforcement Action)|(\[TIMEOUT)|(CHR.+\|PRM\|1\|D.+(SWITCH|SIGNAL).+UNKNOWN)" - &gt;&gt; 2017-02-21-UncaughtWiMAX.txt</v>
      </c>
    </row>
    <row r="206" spans="1:40" x14ac:dyDescent="0.25">
      <c r="A206" s="33" t="s">
        <v>491</v>
      </c>
      <c r="B206" s="7">
        <v>4031</v>
      </c>
      <c r="C206" s="21" t="s">
        <v>359</v>
      </c>
      <c r="D206" s="21" t="s">
        <v>831</v>
      </c>
      <c r="E206" s="13">
        <v>42787.915462962963</v>
      </c>
      <c r="F206" s="13">
        <v>42787.931643518517</v>
      </c>
      <c r="G206" s="7">
        <v>1</v>
      </c>
      <c r="H206" s="21" t="s">
        <v>442</v>
      </c>
      <c r="I206" s="13">
        <v>42787.941284722219</v>
      </c>
      <c r="J206" s="7">
        <v>0</v>
      </c>
      <c r="K206" s="98" t="str">
        <f t="shared" si="79"/>
        <v>4031/4032</v>
      </c>
      <c r="L206" s="21" t="str">
        <f>VLOOKUP(A206,'Trips&amp;Operators'!$C$1:$G$99999,5,FALSE)</f>
        <v>HILLS DUSTIN</v>
      </c>
      <c r="M206" s="6">
        <f t="shared" si="80"/>
        <v>9.6412037019035779E-3</v>
      </c>
      <c r="N206" s="7">
        <f t="shared" si="77"/>
        <v>13.883333330741152</v>
      </c>
      <c r="O206" s="7"/>
      <c r="P206" s="7"/>
      <c r="Q206" s="22"/>
      <c r="R206" s="22"/>
      <c r="S206" s="31">
        <f t="shared" si="76"/>
        <v>1</v>
      </c>
      <c r="T206" s="46" t="str">
        <f t="shared" si="81"/>
        <v>NorthBound</v>
      </c>
      <c r="U206" s="193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4" t="str">
        <f t="shared" si="82"/>
        <v>https://d0f6bd738d7f1b3e5a7ca70fe4ff75f0.us-east-1.aws.found.io/app/kibana#/discover/Steve-Slow-Train-Analysis-(2080s-and-2083s)?_g=(refreshInterval:(display:Off,pause:!f,section:0,value:0),time:(from:'2017-02-21T20:58:16-0700',mode:absolute,to:'2017-02-21T23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6" s="195" t="str">
        <f t="shared" si="83"/>
        <v>N</v>
      </c>
      <c r="X206" s="195">
        <f t="shared" si="78"/>
        <v>2</v>
      </c>
      <c r="Y206" s="62">
        <f t="shared" si="70"/>
        <v>9.8299999999999998E-2</v>
      </c>
      <c r="Z206" s="62">
        <f t="shared" si="71"/>
        <v>5.8975</v>
      </c>
      <c r="AA206" s="62">
        <f t="shared" si="84"/>
        <v>5.7991999999999999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85"/>
        <v>0847-21</v>
      </c>
      <c r="AE206" s="85" t="str">
        <f t="shared" si="86"/>
        <v>aws s3 cp s3://rtdc.mdm.uploadarchive.raw/RTDC4031/ "%USERPROFILE%\AppData\Local\Temp\OnboardLogs"\RTDC4031\2017-02-21 --exclude "*" --recursive --include "*20170221*" &amp; "%USERPROFILE%\Documents\GitHub\mrs-test-scripts\Headless Mode &amp; Sideloading\WalkAndUnGZ.bat" "%USERPROFILE%\AppData\Local\Temp\OnboardLogs"\RTDC4031\2017-02-21 &amp; aws s3 cp s3://rtdc.mdm.uploadarchive.raw/RTDC4031/ "%USERPROFILE%\AppData\Local\Temp\OnboardLogs"\RTDC4031\2017-02-22 --exclude "*" --recursive --include "*20170222*" &amp; "%USERPROFILE%\Documents\GitHub\mrs-test-scripts\Headless Mode &amp; Sideloading\WalkAndUnGZ.bat" "%USERPROFILE%\AppData\Local\Temp\OnboardLogs"\RTDC4031\2017-02-22</v>
      </c>
      <c r="AF206" s="82" t="str">
        <f t="shared" si="87"/>
        <v>"C:\Program Files (x86)\AstroGrep\AstroGrep.exe" /spath="%USERPROFILE%\AppData\Local\Temp\OnboardLogs" /stypes="app*4031*20170222*" /stext=" 05:.+((SYSTEM_STATE.+slice.+state.+changed )|(ment ac)|(multiple cpu faults)|(system.+state.+changed )|(\[timeout)|(PRM\|1\|D)|(kpr)|(kdp)|(\|lc)|(penalty))" /e /r /s</v>
      </c>
      <c r="AG206" s="1" t="str">
        <f t="shared" si="88"/>
        <v>NW</v>
      </c>
      <c r="AH206" s="86" t="str">
        <f t="shared" si="89"/>
        <v>"%USERPROFILE%\Documents\GitHub\eaglep3\Utilities\RefineRTDCRunTimes.py" --tripid 847-21 --locoid 4031 --swversion DE.1.0.9.0 --startMP 204:983 --initTime 2017-02-21T21:58:16 --startdatetime 2017-02-21T22:21:34 --delay 1 --endMP 300:58975 --enddatetime 2017-02-21T22:35:27 --enforcementcount 0 &gt;&gt;C:\Users\stu\Documents\GitHub\eaglep3-reporting\EC\2017-02-21-refined-times.txt</v>
      </c>
      <c r="AI206" s="108" t="str">
        <f t="shared" si="90"/>
        <v>echo {"issue":{"subject":"","project_id":79,"tracker_id":40,"status_id":1,"priority_id":2,"assigned_to_id":23,"start_date":"2017-02-21","description":"","custom_fields":[{"id":1,"name":"Subdivision","value":"NW"},{"id":4,"name":"Milepost","value":"5.8975"},{"id":17,"name":"Train ID","value":"847-21"},{"id":16,"name":"Locomotive ID","value":"4031"},{"id":130,"name":"Impact","value":""},{"id":150,"name":"Time of Event (Mountain Time)","value":"22:35:27"},{"id":151,"name":"Denver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si="91"/>
        <v>start /low /b %USERPROFILE%\Documents\GitHub\eaglep3\Utilities\DownloadLogsFromS3.py --loco 4031 --day 2017-02-21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"%USERPROFILE%\AppData\Local\Temp\OnboardLogs"\RTDC4031\*4031*20170222* | grep -SE "(Enforcement Action)|(\[TIMEOUT)|(CHR.+\|PRM\|1\|D.+(SWITCH|SIGNAL).+UNKNOWN)" - &gt;&gt; 2017-02-21-UncaughtWiMAX.txt</v>
      </c>
    </row>
    <row r="207" spans="1:40" x14ac:dyDescent="0.25">
      <c r="A207" s="33" t="s">
        <v>499</v>
      </c>
      <c r="B207" s="7">
        <v>4005</v>
      </c>
      <c r="C207" s="21" t="s">
        <v>359</v>
      </c>
      <c r="D207" s="21" t="s">
        <v>759</v>
      </c>
      <c r="E207" s="13">
        <v>42787.115057870367</v>
      </c>
      <c r="F207" s="13">
        <v>42787.118761574071</v>
      </c>
      <c r="G207" s="7">
        <v>5</v>
      </c>
      <c r="H207" s="21" t="s">
        <v>184</v>
      </c>
      <c r="I207" s="13">
        <v>42787.123090277775</v>
      </c>
      <c r="J207" s="7">
        <v>0</v>
      </c>
      <c r="K207" s="98" t="str">
        <f t="shared" si="79"/>
        <v>4005/4006</v>
      </c>
      <c r="L207" s="21" t="str">
        <f>VLOOKUP(A207,'Trips&amp;Operators'!$C$1:$G$99999,5,FALSE)</f>
        <v>SANTIZO D. EDY</v>
      </c>
      <c r="M207" s="6">
        <f t="shared" si="80"/>
        <v>4.3287037042318843E-3</v>
      </c>
      <c r="N207" s="7">
        <f t="shared" si="77"/>
        <v>6.2333333340939134</v>
      </c>
      <c r="O207" s="7"/>
      <c r="P207" s="7"/>
      <c r="Q207" s="22"/>
      <c r="R207" s="22"/>
      <c r="S207" s="31">
        <f t="shared" si="76"/>
        <v>1</v>
      </c>
      <c r="T207" s="46" t="str">
        <f t="shared" si="81"/>
        <v>Southbound</v>
      </c>
      <c r="U207" s="193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4" t="str">
        <f t="shared" si="82"/>
        <v>https://d0f6bd738d7f1b3e5a7ca70fe4ff75f0.us-east-1.aws.found.io/app/kibana#/discover/Steve-Slow-Train-Analysis-(2080s-and-2083s)?_g=(refreshInterval:(display:Off,pause:!f,section:0,value:0),time:(from:'2017-02-21T01:45:41-0700',mode:absolute,to:'2017-02-21T03:57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7" s="195" t="str">
        <f t="shared" si="83"/>
        <v>Y</v>
      </c>
      <c r="X207" s="195">
        <f t="shared" si="78"/>
        <v>-545</v>
      </c>
      <c r="Y207" s="62">
        <f t="shared" ref="Y207:Y252" si="92">RIGHT(D207,LEN(D207)-4)/10000</f>
        <v>1.9607000000000001</v>
      </c>
      <c r="Z207" s="62">
        <f t="shared" ref="Z207:Z252" si="93">RIGHT(H207,LEN(H207)-4)/10000</f>
        <v>1.49E-2</v>
      </c>
      <c r="AA207" s="62">
        <f t="shared" si="84"/>
        <v>1.9458000000000002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85"/>
        <v>0302-21</v>
      </c>
      <c r="AE207" s="85" t="str">
        <f t="shared" si="86"/>
        <v>aws s3 cp s3://rtdc.mdm.uploadarchive.raw/RTDC4005/ "%USERPROFILE%\AppData\Local\Temp\OnboardLogs"\RTDC4005\2017-02-21 --exclude "*" --recursive --include "*20170221*" &amp; "%USERPROFILE%\Documents\GitHub\mrs-test-scripts\Headless Mode &amp; Sideloading\WalkAndUnGZ.bat" "%USERPROFILE%\AppData\Local\Temp\OnboardLogs"\RTDC4005\2017-02-21 &amp; aws s3 cp s3://rtdc.mdm.uploadarchive.raw/RTDC4005/ "%USERPROFILE%\AppData\Local\Temp\OnboardLogs"\RTDC4005\2017-02-22 --exclude "*" --recursive --include "*20170222*" &amp; "%USERPROFILE%\Documents\GitHub\mrs-test-scripts\Headless Mode &amp; Sideloading\WalkAndUnGZ.bat" "%USERPROFILE%\AppData\Local\Temp\OnboardLogs"\RTDC4005\2017-02-22</v>
      </c>
      <c r="AF207" s="82" t="str">
        <f t="shared" si="87"/>
        <v>"C:\Program Files (x86)\AstroGrep\AstroGrep.exe" /spath="%USERPROFILE%\AppData\Local\Temp\OnboardLogs" /stypes="app*4005*20170221*" /stext=" 09:.+((SYSTEM_STATE.+slice.+state.+changed )|(ment ac)|(multiple cpu faults)|(system.+state.+changed )|(\[timeout)|(PRM\|1\|D)|(kpr)|(kdp)|(\|lc)|(penalty))" /e /r /s</v>
      </c>
      <c r="AG207" s="1" t="str">
        <f t="shared" si="88"/>
        <v>Other</v>
      </c>
      <c r="AH207" s="86" t="str">
        <f t="shared" si="89"/>
        <v>"%USERPROFILE%\Documents\GitHub\eaglep3\Utilities\RefineRTDCRunTimes.py" --tripid 302-21 --locoid 4005 --swversion DE.1.0.9.0 --startMP 300:19607 --initTime 2017-02-21T02:45:41 --startdatetime 2017-02-21T02:51:01 --delay 5 --endMP 204:149 --enddatetime 2017-02-21T02:57:15 --enforcementcount 0 &gt;&gt;C:\Users\stu\Documents\GitHub\eaglep3-reporting\EC\2017-02-21-refined-times.txt</v>
      </c>
      <c r="AI207" s="108" t="str">
        <f t="shared" si="90"/>
        <v>echo {"issue":{"subject":"","project_id":79,"tracker_id":40,"status_id":1,"priority_id":2,"assigned_to_id":23,"start_date":"2017-02-21","description":"","custom_fields":[{"id":1,"name":"Subdivision","value":"Other"},{"id":4,"name":"Milepost","value":"0.0149"},{"id":17,"name":"Train ID","value":"302-21"},{"id":16,"name":"Locomotive ID","value":"4005"},{"id":130,"name":"Impact","value":""},{"id":150,"name":"Time of Event (Mountain Time)","value":"02:57:15"},{"id":151,"name":"Denver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91"/>
        <v>start /low /b %USERPROFILE%\Documents\GitHub\eaglep3\Utilities\DownloadLogsFromS3.py --loco 4005 --day 2017-02-21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"%USERPROFILE%\AppData\Local\Temp\OnboardLogs"\RTDC4005\*4005*20170221* | grep -SE "(Enforcement Action)|(\[TIMEOUT)|(CHR.+\|PRM\|1\|D.+(SWITCH|SIGNAL).+UNKNOWN)" - &gt;&gt; 2017-02-21-UncaughtWiMAX.txt</v>
      </c>
    </row>
    <row r="208" spans="1:40" x14ac:dyDescent="0.25">
      <c r="A208" s="33" t="s">
        <v>651</v>
      </c>
      <c r="B208" s="7">
        <v>4027</v>
      </c>
      <c r="C208" s="21" t="s">
        <v>359</v>
      </c>
      <c r="D208" s="21" t="s">
        <v>291</v>
      </c>
      <c r="E208" s="13">
        <v>42787.777175925927</v>
      </c>
      <c r="F208" s="13">
        <v>25568.708333333332</v>
      </c>
      <c r="G208" s="7">
        <v>1</v>
      </c>
      <c r="H208" s="21" t="s">
        <v>290</v>
      </c>
      <c r="I208" s="13">
        <v>25568.708333333332</v>
      </c>
      <c r="J208" s="7">
        <v>0</v>
      </c>
      <c r="K208" s="98" t="str">
        <f t="shared" si="79"/>
        <v>4027/4028</v>
      </c>
      <c r="L208" s="21" t="str">
        <f>VLOOKUP(A208,'Trips&amp;Operators'!$C$1:$G$99999,5,FALSE)</f>
        <v>CLARK KATHLEEN</v>
      </c>
      <c r="M208" s="6">
        <f t="shared" si="80"/>
        <v>0</v>
      </c>
      <c r="N208" s="7">
        <f t="shared" si="77"/>
        <v>0</v>
      </c>
      <c r="O208" s="7"/>
      <c r="P208" s="7"/>
      <c r="Q208" s="22"/>
      <c r="R208" s="22"/>
      <c r="S208" s="31">
        <f t="shared" si="76"/>
        <v>1</v>
      </c>
      <c r="T208" s="46" t="str">
        <f t="shared" si="81"/>
        <v>NorthBound</v>
      </c>
      <c r="U208" s="193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4" t="str">
        <f t="shared" si="82"/>
        <v>https://d0f6bd738d7f1b3e5a7ca70fe4ff75f0.us-east-1.aws.found.io/app/kibana#/discover/Steve-Slow-Train-Analysis-(2080s-and-2083s)?_g=(refreshInterval:(display:Off,pause:!f,section:0,value:0),time:(from:'2017-02-21T17:39:08-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8" s="195" t="str">
        <f t="shared" si="83"/>
        <v>Y</v>
      </c>
      <c r="X208" s="195">
        <f t="shared" si="78"/>
        <v>1</v>
      </c>
      <c r="Y208" s="62">
        <f t="shared" si="92"/>
        <v>4.7699999999999999E-2</v>
      </c>
      <c r="Z208" s="62">
        <f t="shared" si="93"/>
        <v>2.3346</v>
      </c>
      <c r="AA208" s="62">
        <f t="shared" si="84"/>
        <v>2.2869000000000002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85"/>
        <v>0303-21</v>
      </c>
      <c r="AE208" s="85" t="str">
        <f t="shared" si="86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08" s="82" t="str">
        <f t="shared" si="87"/>
        <v>"C:\Program Files (x86)\AstroGrep\AstroGrep.exe" /spath="%USERPROFILE%\AppData\Local\Temp\OnboardLogs" /stypes="app*4027*19700101*" /stext=" 00:.+((SYSTEM_STATE.+slice.+state.+changed )|(ment ac)|(multiple cpu faults)|(system.+state.+changed )|(\[timeout)|(PRM\|1\|D)|(kpr)|(kdp)|(\|lc)|(penalty))" /e /r /s</v>
      </c>
      <c r="AG208" s="1" t="str">
        <f t="shared" si="88"/>
        <v>Other</v>
      </c>
      <c r="AH208" s="86" t="str">
        <f t="shared" si="89"/>
        <v>"%USERPROFILE%\Documents\GitHub\eaglep3\Utilities\RefineRTDCRunTimes.py" --tripid 303-21 --locoid 4027 --swversion DE.1.0.9.0 --startMP 204:477 --initTime 2017-02-21T18:39:08 --startdatetime 1969-12-31T17:00:00 --delay 1 --endMP 300:23346 --enddatetime 1969-12-31T17:00:00 --enforcementcount 0 &gt;&gt;C:\Users\stu\Documents\GitHub\eaglep3-reporting\EC\2017-02-21-refined-times.txt</v>
      </c>
      <c r="AI208" s="108" t="str">
        <f t="shared" si="90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ID","value":"303-21"},{"id":16,"name":"Locomotive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91"/>
        <v>start /low /b %USERPROFILE%\Documents\GitHub\eaglep3\Utilities\DownloadLogsFromS3.py --loco 4027 --day 1969-12-31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"%USERPROFILE%\AppData\Local\Temp\OnboardLogs"\RTDC4027\*4027*19700101* | grep -SE "(Enforcement Action)|(\[TIMEOUT)|(CHR.+\|PRM\|1\|D.+(SWITCH|SIGNAL).+UNKNOWN)" - &gt;&gt; 2017-02-21-UncaughtWiMAX.txt</v>
      </c>
    </row>
    <row r="209" spans="1:40" x14ac:dyDescent="0.25">
      <c r="A209" s="33" t="s">
        <v>656</v>
      </c>
      <c r="B209" s="7">
        <v>4006</v>
      </c>
      <c r="C209" s="21" t="s">
        <v>359</v>
      </c>
      <c r="D209" s="21" t="s">
        <v>229</v>
      </c>
      <c r="E209" s="13">
        <v>42787.797812500001</v>
      </c>
      <c r="F209" s="13">
        <v>25568.708333333332</v>
      </c>
      <c r="G209" s="7">
        <v>1</v>
      </c>
      <c r="H209" s="21" t="s">
        <v>760</v>
      </c>
      <c r="I209" s="13">
        <v>25568.708333333332</v>
      </c>
      <c r="J209" s="7">
        <v>0</v>
      </c>
      <c r="K209" s="98" t="str">
        <f t="shared" si="79"/>
        <v>4005/4006</v>
      </c>
      <c r="L209" s="21" t="str">
        <f>VLOOKUP(A209,'Trips&amp;Operators'!$C$1:$G$99999,5,FALSE)</f>
        <v>CRAYTON QUNTRELL</v>
      </c>
      <c r="M209" s="6">
        <f t="shared" si="80"/>
        <v>0</v>
      </c>
      <c r="N209" s="7">
        <f t="shared" si="77"/>
        <v>0</v>
      </c>
      <c r="O209" s="7"/>
      <c r="P209" s="7"/>
      <c r="Q209" s="22"/>
      <c r="R209" s="22"/>
      <c r="S209" s="31">
        <f t="shared" si="76"/>
        <v>1</v>
      </c>
      <c r="T209" s="46" t="str">
        <f t="shared" si="81"/>
        <v>NorthBound</v>
      </c>
      <c r="U209" s="193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4" t="str">
        <f t="shared" si="82"/>
        <v>https://d0f6bd738d7f1b3e5a7ca70fe4ff75f0.us-east-1.aws.found.io/app/kibana#/discover/Steve-Slow-Train-Analysis-(2080s-and-2083s)?_g=(refreshInterval:(display:Off,pause:!f,section:0,value:0),time:(from:'2017-02-21T18:08:51-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9" s="195" t="str">
        <f t="shared" si="83"/>
        <v>Y</v>
      </c>
      <c r="X209" s="195">
        <f t="shared" si="78"/>
        <v>2</v>
      </c>
      <c r="Y209" s="62">
        <f t="shared" si="92"/>
        <v>4.5999999999999999E-2</v>
      </c>
      <c r="Z209" s="62">
        <f t="shared" si="93"/>
        <v>2.3308</v>
      </c>
      <c r="AA209" s="62">
        <f t="shared" si="84"/>
        <v>2.2848000000000002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85"/>
        <v>0305-21</v>
      </c>
      <c r="AE209" s="85" t="str">
        <f t="shared" si="86"/>
        <v>aws s3 cp s3://rtdc.mdm.uploadarchive.raw/RTDC4006/ "%USERPROFILE%\AppData\Local\Temp\OnboardLogs"\RTDC4006\1969-12-31 --exclude "*" --recursive --include "*19691231*" &amp; "%USERPROFILE%\Documents\GitHub\mrs-test-scripts\Headless Mode &amp; Sideloading\WalkAndUnGZ.bat" "%USERPROFILE%\AppData\Local\Temp\OnboardLogs"\RTDC4006\1969-12-31 &amp; aws s3 cp s3://rtdc.mdm.uploadarchive.raw/RTDC4006/ "%USERPROFILE%\AppData\Local\Temp\OnboardLogs"\RTDC4006\1970-01-01 --exclude "*" --recursive --include "*19700101*" &amp; "%USERPROFILE%\Documents\GitHub\mrs-test-scripts\Headless Mode &amp; Sideloading\WalkAndUnGZ.bat" "%USERPROFILE%\AppData\Local\Temp\OnboardLogs"\RTDC4006\1970-01-01</v>
      </c>
      <c r="AF209" s="82" t="str">
        <f t="shared" si="87"/>
        <v>"C:\Program Files (x86)\AstroGrep\AstroGrep.exe" /spath="%USERPROFILE%\AppData\Local\Temp\OnboardLogs" /stypes="app*4006*19700101*" /stext=" 00:.+((SYSTEM_STATE.+slice.+state.+changed )|(ment ac)|(multiple cpu faults)|(system.+state.+changed )|(\[timeout)|(PRM\|1\|D)|(kpr)|(kdp)|(\|lc)|(penalty))" /e /r /s</v>
      </c>
      <c r="AG209" s="1" t="str">
        <f t="shared" si="88"/>
        <v>Other</v>
      </c>
      <c r="AH209" s="86" t="str">
        <f t="shared" si="89"/>
        <v>"%USERPROFILE%\Documents\GitHub\eaglep3\Utilities\RefineRTDCRunTimes.py" --tripid 305-21 --locoid 4006 --swversion DE.1.0.9.0 --startMP 204:460 --initTime 2017-02-21T19:08:51 --startdatetime 1969-12-31T17:00:00 --delay 1 --endMP 300:23308 --enddatetime 1969-12-31T17:00:00 --enforcementcount 0 &gt;&gt;C:\Users\stu\Documents\GitHub\eaglep3-reporting\EC\2017-02-21-refined-times.txt</v>
      </c>
      <c r="AI209" s="108" t="str">
        <f t="shared" si="90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ID","value":"305-21"},{"id":16,"name":"Locomotive ID","value":"4006"},{"id":130,"name":"Impact","value":""},{"id":150,"name":"Time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91"/>
        <v>start /low /b %USERPROFILE%\Documents\GitHub\eaglep3\Utilities\DownloadLogsFromS3.py --loco 4006 --day 1969-12-31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"%USERPROFILE%\AppData\Local\Temp\OnboardLogs"\RTDC4006\*4006*19700101* | grep -SE "(Enforcement Action)|(\[TIMEOUT)|(CHR.+\|PRM\|1\|D.+(SWITCH|SIGNAL).+UNKNOWN)" - &gt;&gt; 2017-02-21-UncaughtWiMAX.txt</v>
      </c>
    </row>
    <row r="210" spans="1:40" x14ac:dyDescent="0.25">
      <c r="A210" s="33" t="s">
        <v>505</v>
      </c>
      <c r="B210" s="7">
        <v>4030</v>
      </c>
      <c r="C210" s="21" t="s">
        <v>359</v>
      </c>
      <c r="D210" s="21" t="s">
        <v>761</v>
      </c>
      <c r="E210" s="13">
        <v>42787.163576388892</v>
      </c>
      <c r="F210" s="13">
        <v>42787.166712962964</v>
      </c>
      <c r="G210" s="7">
        <v>4</v>
      </c>
      <c r="H210" s="21" t="s">
        <v>286</v>
      </c>
      <c r="I210" s="13">
        <v>42787.1719212963</v>
      </c>
      <c r="J210" s="7">
        <v>0</v>
      </c>
      <c r="K210" s="98" t="str">
        <f t="shared" si="79"/>
        <v>4029/4030</v>
      </c>
      <c r="L210" s="21" t="str">
        <f>VLOOKUP(A210,'Trips&amp;Operators'!$C$1:$G$99999,5,FALSE)</f>
        <v>STARKS ANGELINA</v>
      </c>
      <c r="M210" s="6">
        <f t="shared" si="80"/>
        <v>5.2083333357586525E-3</v>
      </c>
      <c r="N210" s="7">
        <f t="shared" si="77"/>
        <v>7.5000000034924597</v>
      </c>
      <c r="O210" s="7"/>
      <c r="P210" s="7"/>
      <c r="Q210" s="22"/>
      <c r="R210" s="22"/>
      <c r="S210" s="31">
        <f t="shared" si="76"/>
        <v>1</v>
      </c>
      <c r="T210" s="46" t="str">
        <f t="shared" si="81"/>
        <v>Southbound</v>
      </c>
      <c r="U210" s="193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4" t="str">
        <f t="shared" si="82"/>
        <v>https://d0f6bd738d7f1b3e5a7ca70fe4ff75f0.us-east-1.aws.found.io/app/kibana#/discover/Steve-Slow-Train-Analysis-(2080s-and-2083s)?_g=(refreshInterval:(display:Off,pause:!f,section:0,value:0),time:(from:'2017-02-21T02:55:33-0700',mode:absolute,to:'2017-02-21T05:07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0" s="195" t="str">
        <f t="shared" si="83"/>
        <v>Y</v>
      </c>
      <c r="X210" s="195">
        <f t="shared" si="78"/>
        <v>1</v>
      </c>
      <c r="Y210" s="62">
        <f t="shared" si="92"/>
        <v>2.3188</v>
      </c>
      <c r="Z210" s="62">
        <f t="shared" si="93"/>
        <v>1.5599999999999999E-2</v>
      </c>
      <c r="AA210" s="62">
        <f t="shared" si="84"/>
        <v>2.3031999999999999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85"/>
        <v>0306-21</v>
      </c>
      <c r="AE210" s="85" t="str">
        <f t="shared" si="86"/>
        <v>aws s3 cp s3://rtdc.mdm.uploadarchive.raw/RTDC4030/ "%USERPROFILE%\AppData\Local\Temp\OnboardLogs"\RTDC4030\2017-02-21 --exclude "*" --recursive --include "*20170221*" &amp; "%USERPROFILE%\Documents\GitHub\mrs-test-scripts\Headless Mode &amp; Sideloading\WalkAndUnGZ.bat" "%USERPROFILE%\AppData\Local\Temp\OnboardLogs"\RTDC4030\2017-02-21 &amp; aws s3 cp s3://rtdc.mdm.uploadarchive.raw/RTDC4030/ "%USERPROFILE%\AppData\Local\Temp\OnboardLogs"\RTDC4030\2017-02-22 --exclude "*" --recursive --include "*20170222*" &amp; "%USERPROFILE%\Documents\GitHub\mrs-test-scripts\Headless Mode &amp; Sideloading\WalkAndUnGZ.bat" "%USERPROFILE%\AppData\Local\Temp\OnboardLogs"\RTDC4030\2017-02-22</v>
      </c>
      <c r="AF210" s="82" t="str">
        <f t="shared" si="87"/>
        <v>"C:\Program Files (x86)\AstroGrep\AstroGrep.exe" /spath="%USERPROFILE%\AppData\Local\Temp\OnboardLogs" /stypes="app*4030*20170221*" /stext=" 11:.+((SYSTEM_STATE.+slice.+state.+changed )|(ment ac)|(multiple cpu faults)|(system.+state.+changed )|(\[timeout)|(PRM\|1\|D)|(kpr)|(kdp)|(\|lc)|(penalty))" /e /r /s</v>
      </c>
      <c r="AG210" s="1" t="str">
        <f t="shared" si="88"/>
        <v>Other</v>
      </c>
      <c r="AH210" s="86" t="str">
        <f t="shared" si="89"/>
        <v>"%USERPROFILE%\Documents\GitHub\eaglep3\Utilities\RefineRTDCRunTimes.py" --tripid 306-21 --locoid 4030 --swversion DE.1.0.9.0 --startMP 300:23188 --initTime 2017-02-21T03:55:33 --startdatetime 2017-02-21T04:00:04 --delay 4 --endMP 204:156 --enddatetime 2017-02-21T04:07:34 --enforcementcount 0 &gt;&gt;C:\Users\stu\Documents\GitHub\eaglep3-reporting\EC\2017-02-21-refined-times.txt</v>
      </c>
      <c r="AI210" s="108" t="str">
        <f t="shared" si="90"/>
        <v>echo {"issue":{"subject":"","project_id":79,"tracker_id":40,"status_id":1,"priority_id":2,"assigned_to_id":23,"start_date":"2017-02-21","description":"","custom_fields":[{"id":1,"name":"Subdivision","value":"Other"},{"id":4,"name":"Milepost","value":"0.0156"},{"id":17,"name":"Train ID","value":"306-21"},{"id":16,"name":"Locomotive ID","value":"4030"},{"id":130,"name":"Impact","value":""},{"id":150,"name":"Time of Event (Mountain Time)","value":"04:07:34"},{"id":151,"name":"Denver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91"/>
        <v>start /low /b %USERPROFILE%\Documents\GitHub\eaglep3\Utilities\DownloadLogsFromS3.py --loco 4030 --day 2017-02-21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"%USERPROFILE%\AppData\Local\Temp\OnboardLogs"\RTDC4030\*4030*20170221* | grep -SE "(Enforcement Action)|(\[TIMEOUT)|(CHR.+\|PRM\|1\|D.+(SWITCH|SIGNAL).+UNKNOWN)" - &gt;&gt; 2017-02-21-UncaughtWiMAX.txt</v>
      </c>
    </row>
    <row r="211" spans="1:40" x14ac:dyDescent="0.25">
      <c r="A211" s="33" t="s">
        <v>661</v>
      </c>
      <c r="B211" s="7">
        <v>4014</v>
      </c>
      <c r="C211" s="21" t="s">
        <v>359</v>
      </c>
      <c r="D211" s="21" t="s">
        <v>226</v>
      </c>
      <c r="E211" s="13">
        <v>42787.816678240742</v>
      </c>
      <c r="F211" s="13">
        <v>25568.708333333332</v>
      </c>
      <c r="G211" s="7">
        <v>1</v>
      </c>
      <c r="H211" s="21" t="s">
        <v>762</v>
      </c>
      <c r="I211" s="13">
        <v>25568.708333333332</v>
      </c>
      <c r="J211" s="7">
        <v>0</v>
      </c>
      <c r="K211" s="98" t="str">
        <f t="shared" si="79"/>
        <v>4013/4014</v>
      </c>
      <c r="L211" s="21" t="str">
        <f>VLOOKUP(A211,'Trips&amp;Operators'!$C$1:$G$99999,5,FALSE)</f>
        <v>LALONDE GREGORY</v>
      </c>
      <c r="M211" s="6">
        <f t="shared" si="80"/>
        <v>0</v>
      </c>
      <c r="N211" s="7">
        <f t="shared" si="77"/>
        <v>0</v>
      </c>
      <c r="O211" s="7"/>
      <c r="P211" s="7"/>
      <c r="Q211" s="22"/>
      <c r="R211" s="22"/>
      <c r="S211" s="31">
        <f t="shared" si="76"/>
        <v>1</v>
      </c>
      <c r="T211" s="46" t="str">
        <f t="shared" si="81"/>
        <v>NorthBound</v>
      </c>
      <c r="U211" s="193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4" t="str">
        <f t="shared" si="82"/>
        <v>https://d0f6bd738d7f1b3e5a7ca70fe4ff75f0.us-east-1.aws.found.io/app/kibana#/discover/Steve-Slow-Train-Analysis-(2080s-and-2083s)?_g=(refreshInterval:(display:Off,pause:!f,section:0,value:0),time:(from:'2017-02-21T18:36:01-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1" s="195" t="str">
        <f t="shared" si="83"/>
        <v>Y</v>
      </c>
      <c r="X211" s="195">
        <f t="shared" si="78"/>
        <v>1</v>
      </c>
      <c r="Y211" s="62">
        <f t="shared" si="92"/>
        <v>4.5699999999999998E-2</v>
      </c>
      <c r="Z211" s="62">
        <f t="shared" si="93"/>
        <v>2.3302</v>
      </c>
      <c r="AA211" s="62">
        <f t="shared" si="84"/>
        <v>2.2845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85"/>
        <v>0307-21</v>
      </c>
      <c r="AE211" s="85" t="str">
        <f t="shared" si="86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11" s="82" t="str">
        <f t="shared" si="87"/>
        <v>"C:\Program Files (x86)\AstroGrep\AstroGrep.exe" /spath="%USERPROFILE%\AppData\Local\Temp\OnboardLogs" /stypes="app*4014*19700101*" /stext=" 00:.+((SYSTEM_STATE.+slice.+state.+changed )|(ment ac)|(multiple cpu faults)|(system.+state.+changed )|(\[timeout)|(PRM\|1\|D)|(kpr)|(kdp)|(\|lc)|(penalty))" /e /r /s</v>
      </c>
      <c r="AG211" s="1" t="str">
        <f t="shared" si="88"/>
        <v>Other</v>
      </c>
      <c r="AH211" s="86" t="str">
        <f t="shared" si="89"/>
        <v>"%USERPROFILE%\Documents\GitHub\eaglep3\Utilities\RefineRTDCRunTimes.py" --tripid 307-21 --locoid 4014 --swversion DE.1.0.9.0 --startMP 204:457 --initTime 2017-02-21T19:36:01 --startdatetime 1969-12-31T17:00:00 --delay 1 --endMP 300:23302 --enddatetime 1969-12-31T17:00:00 --enforcementcount 0 &gt;&gt;C:\Users\stu\Documents\GitHub\eaglep3-reporting\EC\2017-02-21-refined-times.txt</v>
      </c>
      <c r="AI211" s="108" t="str">
        <f t="shared" si="90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ID","value":"307-21"},{"id":16,"name":"Locomotive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91"/>
        <v>start /low /b %USERPROFILE%\Documents\GitHub\eaglep3\Utilities\DownloadLogsFromS3.py --loco 4014 --day 1969-12-31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"%USERPROFILE%\AppData\Local\Temp\OnboardLogs"\RTDC4014\*4014*19700101* | grep -SE "(Enforcement Action)|(\[TIMEOUT)|(CHR.+\|PRM\|1\|D.+(SWITCH|SIGNAL).+UNKNOWN)" - &gt;&gt; 2017-02-21-UncaughtWiMAX.txt</v>
      </c>
    </row>
    <row r="212" spans="1:40" x14ac:dyDescent="0.25">
      <c r="A212" s="33" t="s">
        <v>507</v>
      </c>
      <c r="B212" s="7">
        <v>4004</v>
      </c>
      <c r="C212" s="21" t="s">
        <v>359</v>
      </c>
      <c r="D212" s="21" t="s">
        <v>763</v>
      </c>
      <c r="E212" s="13">
        <v>42787.174490740741</v>
      </c>
      <c r="F212" s="13">
        <v>42787.176099537035</v>
      </c>
      <c r="G212" s="7">
        <v>1</v>
      </c>
      <c r="H212" s="21" t="s">
        <v>206</v>
      </c>
      <c r="I212" s="13">
        <v>42787.181435185186</v>
      </c>
      <c r="J212" s="7">
        <v>0</v>
      </c>
      <c r="K212" s="98" t="str">
        <f t="shared" si="79"/>
        <v>4003/4004</v>
      </c>
      <c r="L212" s="21" t="str">
        <f>VLOOKUP(A212,'Trips&amp;Operators'!$C$1:$G$99999,5,FALSE)</f>
        <v>BONDS REYNALDO</v>
      </c>
      <c r="M212" s="6">
        <f t="shared" si="80"/>
        <v>5.3356481512309983E-3</v>
      </c>
      <c r="N212" s="7">
        <f t="shared" si="77"/>
        <v>7.6833333377726376</v>
      </c>
      <c r="O212" s="7"/>
      <c r="P212" s="7"/>
      <c r="Q212" s="22"/>
      <c r="R212" s="22"/>
      <c r="S212" s="31">
        <f t="shared" si="76"/>
        <v>1</v>
      </c>
      <c r="T212" s="46" t="str">
        <f t="shared" si="81"/>
        <v>Southbound</v>
      </c>
      <c r="U212" s="193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4" t="str">
        <f t="shared" si="82"/>
        <v>https://d0f6bd738d7f1b3e5a7ca70fe4ff75f0.us-east-1.aws.found.io/app/kibana#/discover/Steve-Slow-Train-Analysis-(2080s-and-2083s)?_g=(refreshInterval:(display:Off,pause:!f,section:0,value:0),time:(from:'2017-02-21T03:11:16-0700',mode:absolute,to:'2017-02-21T05:21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2" s="195" t="str">
        <f t="shared" si="83"/>
        <v>Y</v>
      </c>
      <c r="X212" s="195">
        <f t="shared" si="78"/>
        <v>1</v>
      </c>
      <c r="Y212" s="62">
        <f t="shared" si="92"/>
        <v>2.2145000000000001</v>
      </c>
      <c r="Z212" s="62">
        <f t="shared" si="93"/>
        <v>1.52E-2</v>
      </c>
      <c r="AA212" s="62">
        <f t="shared" si="84"/>
        <v>2.1993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85"/>
        <v>0308-21</v>
      </c>
      <c r="AE212" s="85" t="str">
        <f t="shared" si="86"/>
        <v>aws s3 cp s3://rtdc.mdm.uploadarchive.raw/RTDC4004/ "%USERPROFILE%\AppData\Local\Temp\OnboardLogs"\RTDC4004\2017-02-21 --exclude "*" --recursive --include "*20170221*" &amp; "%USERPROFILE%\Documents\GitHub\mrs-test-scripts\Headless Mode &amp; Sideloading\WalkAndUnGZ.bat" "%USERPROFILE%\AppData\Local\Temp\OnboardLogs"\RTDC4004\2017-02-21 &amp; aws s3 cp s3://rtdc.mdm.uploadarchive.raw/RTDC4004/ "%USERPROFILE%\AppData\Local\Temp\OnboardLogs"\RTDC4004\2017-02-22 --exclude "*" --recursive --include "*20170222*" &amp; "%USERPROFILE%\Documents\GitHub\mrs-test-scripts\Headless Mode &amp; Sideloading\WalkAndUnGZ.bat" "%USERPROFILE%\AppData\Local\Temp\OnboardLogs"\RTDC4004\2017-02-22</v>
      </c>
      <c r="AF212" s="82" t="str">
        <f t="shared" si="87"/>
        <v>"C:\Program Files (x86)\AstroGrep\AstroGrep.exe" /spath="%USERPROFILE%\AppData\Local\Temp\OnboardLogs" /stypes="app*4004*20170221*" /stext=" 11:.+((SYSTEM_STATE.+slice.+state.+changed )|(ment ac)|(multiple cpu faults)|(system.+state.+changed )|(\[timeout)|(PRM\|1\|D)|(kpr)|(kdp)|(\|lc)|(penalty))" /e /r /s</v>
      </c>
      <c r="AG212" s="1" t="str">
        <f t="shared" si="88"/>
        <v>Other</v>
      </c>
      <c r="AH212" s="86" t="str">
        <f t="shared" si="89"/>
        <v>"%USERPROFILE%\Documents\GitHub\eaglep3\Utilities\RefineRTDCRunTimes.py" --tripid 308-21 --locoid 4004 --swversion DE.1.0.9.0 --startMP 300:22145 --initTime 2017-02-21T04:11:16 --startdatetime 2017-02-21T04:13:35 --delay 1 --endMP 204:152 --enddatetime 2017-02-21T04:21:16 --enforcementcount 0 &gt;&gt;C:\Users\stu\Documents\GitHub\eaglep3-reporting\EC\2017-02-21-refined-times.txt</v>
      </c>
      <c r="AI212" s="108" t="str">
        <f t="shared" si="90"/>
        <v>echo {"issue":{"subject":"","project_id":79,"tracker_id":40,"status_id":1,"priority_id":2,"assigned_to_id":23,"start_date":"2017-02-21","description":"","custom_fields":[{"id":1,"name":"Subdivision","value":"Other"},{"id":4,"name":"Milepost","value":"0.0152"},{"id":17,"name":"Train ID","value":"308-21"},{"id":16,"name":"Locomotive ID","value":"4004"},{"id":130,"name":"Impact","value":""},{"id":150,"name":"Time of Event (Mountain Time)","value":"04:21:16"},{"id":151,"name":"Denver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91"/>
        <v>start /low /b %USERPROFILE%\Documents\GitHub\eaglep3\Utilities\DownloadLogsFromS3.py --loco 4004 --day 2017-02-21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"%USERPROFILE%\AppData\Local\Temp\OnboardLogs"\RTDC4004\*4004*20170221* | grep -SE "(Enforcement Action)|(\[TIMEOUT)|(CHR.+\|PRM\|1\|D.+(SWITCH|SIGNAL).+UNKNOWN)" - &gt;&gt; 2017-02-21-UncaughtWiMAX.txt</v>
      </c>
    </row>
    <row r="213" spans="1:40" x14ac:dyDescent="0.25">
      <c r="A213" s="33" t="s">
        <v>682</v>
      </c>
      <c r="B213" s="7">
        <v>4029</v>
      </c>
      <c r="C213" s="21" t="s">
        <v>359</v>
      </c>
      <c r="D213" s="21" t="s">
        <v>256</v>
      </c>
      <c r="E213" s="13">
        <v>42788.049039351848</v>
      </c>
      <c r="F213" s="13">
        <v>25568.708333333332</v>
      </c>
      <c r="G213" s="7">
        <v>2</v>
      </c>
      <c r="H213" s="21" t="s">
        <v>290</v>
      </c>
      <c r="I213" s="13">
        <v>25568.708333333332</v>
      </c>
      <c r="J213" s="7">
        <v>0</v>
      </c>
      <c r="K213" s="98" t="str">
        <f t="shared" si="79"/>
        <v>4029/4030</v>
      </c>
      <c r="L213" s="21" t="str">
        <f>VLOOKUP(A213,'Trips&amp;Operators'!$C$1:$G$99999,5,FALSE)</f>
        <v>NELSON ARIANE</v>
      </c>
      <c r="M213" s="6">
        <f t="shared" si="80"/>
        <v>0</v>
      </c>
      <c r="N213" s="7">
        <f t="shared" si="77"/>
        <v>0</v>
      </c>
      <c r="O213" s="7"/>
      <c r="P213" s="7"/>
      <c r="Q213" s="22"/>
      <c r="R213" s="22"/>
      <c r="S213" s="31">
        <f t="shared" si="76"/>
        <v>1</v>
      </c>
      <c r="T213" s="46" t="str">
        <f t="shared" si="81"/>
        <v>NorthBound</v>
      </c>
      <c r="U213" s="193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4" t="str">
        <f t="shared" si="82"/>
        <v>https://d0f6bd738d7f1b3e5a7ca70fe4ff75f0.us-east-1.aws.found.io/app/kibana#/discover/Steve-Slow-Train-Analysis-(2080s-and-2083s)?_g=(refreshInterval:(display:Off,pause:!f,section:0,value:0),time:(from:'2017-02-22T00:10:37-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3" s="195" t="str">
        <f t="shared" si="83"/>
        <v>Y</v>
      </c>
      <c r="X213" s="195">
        <f t="shared" si="78"/>
        <v>1</v>
      </c>
      <c r="Y213" s="62">
        <f t="shared" si="92"/>
        <v>4.4600000000000001E-2</v>
      </c>
      <c r="Z213" s="62">
        <f t="shared" si="93"/>
        <v>2.3346</v>
      </c>
      <c r="AA213" s="62">
        <f t="shared" si="84"/>
        <v>2.29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85"/>
        <v>0309-21</v>
      </c>
      <c r="AE213" s="85" t="str">
        <f t="shared" si="86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13" s="82" t="str">
        <f t="shared" si="87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13" s="1" t="str">
        <f t="shared" si="88"/>
        <v>Other</v>
      </c>
      <c r="AH213" s="86" t="str">
        <f t="shared" si="89"/>
        <v>"%USERPROFILE%\Documents\GitHub\eaglep3\Utilities\RefineRTDCRunTimes.py" --tripid 309-21 --locoid 4029 --swversion DE.1.0.9.0 --startMP 204:446 --initTime 2017-02-22T01:10:37 --startdatetime 1969-12-31T17:00:00 --delay 2 --endMP 300:23346 --enddatetime 1969-12-31T17:00:00 --enforcementcount 0 &gt;&gt;C:\Users\stu\Documents\GitHub\eaglep3-reporting\EC\2017-02-21-refined-times.txt</v>
      </c>
      <c r="AI213" s="108" t="str">
        <f t="shared" si="90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ID","value":"309-21"},{"id":16,"name":"Locomotive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91"/>
        <v>start /low /b %USERPROFILE%\Documents\GitHub\eaglep3\Utilities\DownloadLogsFromS3.py --loco 4029 --day 1969-12-31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"%USERPROFILE%\AppData\Local\Temp\OnboardLogs"\RTDC4029\*4029*19700101* | grep -SE "(Enforcement Action)|(\[TIMEOUT)|(CHR.+\|PRM\|1\|D.+(SWITCH|SIGNAL).+UNKNOWN)" - &gt;&gt; 2017-02-21-UncaughtWiMAX.txt</v>
      </c>
    </row>
    <row r="214" spans="1:40" x14ac:dyDescent="0.25">
      <c r="A214" s="33" t="s">
        <v>509</v>
      </c>
      <c r="B214" s="7">
        <v>4028</v>
      </c>
      <c r="C214" s="21" t="s">
        <v>359</v>
      </c>
      <c r="D214" s="21" t="s">
        <v>764</v>
      </c>
      <c r="E214" s="13">
        <v>42787.179386574076</v>
      </c>
      <c r="F214" s="13">
        <v>42787.180532407408</v>
      </c>
      <c r="G214" s="7">
        <v>1</v>
      </c>
      <c r="H214" s="21" t="s">
        <v>285</v>
      </c>
      <c r="I214" s="13">
        <v>42787.185833333337</v>
      </c>
      <c r="J214" s="7">
        <v>0</v>
      </c>
      <c r="K214" s="98" t="str">
        <f t="shared" si="79"/>
        <v>4027/4028</v>
      </c>
      <c r="L214" s="21" t="str">
        <f>VLOOKUP(A214,'Trips&amp;Operators'!$C$1:$G$99999,5,FALSE)</f>
        <v>ACKERMAN JARED</v>
      </c>
      <c r="M214" s="6">
        <f t="shared" si="80"/>
        <v>5.3009259281679988E-3</v>
      </c>
      <c r="N214" s="7">
        <f t="shared" si="77"/>
        <v>7.6333333365619183</v>
      </c>
      <c r="O214" s="7"/>
      <c r="P214" s="7"/>
      <c r="Q214" s="22"/>
      <c r="R214" s="22"/>
      <c r="S214" s="31">
        <f t="shared" si="76"/>
        <v>1</v>
      </c>
      <c r="T214" s="46" t="str">
        <f t="shared" si="81"/>
        <v>Southbound</v>
      </c>
      <c r="U214" s="193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4" t="str">
        <f t="shared" si="82"/>
        <v>https://d0f6bd738d7f1b3e5a7ca70fe4ff75f0.us-east-1.aws.found.io/app/kibana#/discover/Steve-Slow-Train-Analysis-(2080s-and-2083s)?_g=(refreshInterval:(display:Off,pause:!f,section:0,value:0),time:(from:'2017-02-21T03:18:19-0700',mode:absolute,to:'2017-02-21T05:27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4" s="195" t="str">
        <f t="shared" si="83"/>
        <v>Y</v>
      </c>
      <c r="X214" s="195">
        <f t="shared" si="78"/>
        <v>1</v>
      </c>
      <c r="Y214" s="62">
        <f t="shared" si="92"/>
        <v>2.2471999999999999</v>
      </c>
      <c r="Z214" s="62">
        <f t="shared" si="93"/>
        <v>1.3599999999999999E-2</v>
      </c>
      <c r="AA214" s="62">
        <f t="shared" si="84"/>
        <v>2.2336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85"/>
        <v>0310-21</v>
      </c>
      <c r="AE214" s="85" t="str">
        <f t="shared" si="86"/>
        <v>aws s3 cp s3://rtdc.mdm.uploadarchive.raw/RTDC4028/ "%USERPROFILE%\AppData\Local\Temp\OnboardLogs"\RTDC4028\2017-02-21 --exclude "*" --recursive --include "*20170221*" &amp; "%USERPROFILE%\Documents\GitHub\mrs-test-scripts\Headless Mode &amp; Sideloading\WalkAndUnGZ.bat" "%USERPROFILE%\AppData\Local\Temp\OnboardLogs"\RTDC4028\2017-02-21 &amp; aws s3 cp s3://rtdc.mdm.uploadarchive.raw/RTDC4028/ "%USERPROFILE%\AppData\Local\Temp\OnboardLogs"\RTDC4028\2017-02-22 --exclude "*" --recursive --include "*20170222*" &amp; "%USERPROFILE%\Documents\GitHub\mrs-test-scripts\Headless Mode &amp; Sideloading\WalkAndUnGZ.bat" "%USERPROFILE%\AppData\Local\Temp\OnboardLogs"\RTDC4028\2017-02-22</v>
      </c>
      <c r="AF214" s="82" t="str">
        <f t="shared" si="87"/>
        <v>"C:\Program Files (x86)\AstroGrep\AstroGrep.exe" /spath="%USERPROFILE%\AppData\Local\Temp\OnboardLogs" /stypes="app*4028*20170221*" /stext=" 11:.+((SYSTEM_STATE.+slice.+state.+changed )|(ment ac)|(multiple cpu faults)|(system.+state.+changed )|(\[timeout)|(PRM\|1\|D)|(kpr)|(kdp)|(\|lc)|(penalty))" /e /r /s</v>
      </c>
      <c r="AG214" s="1" t="str">
        <f t="shared" si="88"/>
        <v>Other</v>
      </c>
      <c r="AH214" s="86" t="str">
        <f t="shared" si="89"/>
        <v>"%USERPROFILE%\Documents\GitHub\eaglep3\Utilities\RefineRTDCRunTimes.py" --tripid 310-21 --locoid 4028 --swversion DE.1.0.9.0 --startMP 300:22472 --initTime 2017-02-21T04:18:19 --startdatetime 2017-02-21T04:19:58 --delay 1 --endMP 204:136 --enddatetime 2017-02-21T04:27:36 --enforcementcount 0 &gt;&gt;C:\Users\stu\Documents\GitHub\eaglep3-reporting\EC\2017-02-21-refined-times.txt</v>
      </c>
      <c r="AI214" s="108" t="str">
        <f t="shared" si="90"/>
        <v>echo {"issue":{"subject":"","project_id":79,"tracker_id":40,"status_id":1,"priority_id":2,"assigned_to_id":23,"start_date":"2017-02-21","description":"","custom_fields":[{"id":1,"name":"Subdivision","value":"Other"},{"id":4,"name":"Milepost","value":"0.0136"},{"id":17,"name":"Train ID","value":"310-21"},{"id":16,"name":"Locomotive ID","value":"4028"},{"id":130,"name":"Impact","value":""},{"id":150,"name":"Time of Event (Mountain Time)","value":"04:27:36"},{"id":151,"name":"Denver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91"/>
        <v>start /low /b %USERPROFILE%\Documents\GitHub\eaglep3\Utilities\DownloadLogsFromS3.py --loco 4028 --day 2017-02-21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"%USERPROFILE%\AppData\Local\Temp\OnboardLogs"\RTDC4028\*4028*20170221* | grep -SE "(Enforcement Action)|(\[TIMEOUT)|(CHR.+\|PRM\|1\|D.+(SWITCH|SIGNAL).+UNKNOWN)" - &gt;&gt; 2017-02-21-UncaughtWiMAX.txt</v>
      </c>
    </row>
    <row r="215" spans="1:40" x14ac:dyDescent="0.25">
      <c r="A215" s="33" t="s">
        <v>684</v>
      </c>
      <c r="B215" s="7">
        <v>4051</v>
      </c>
      <c r="C215" s="21" t="s">
        <v>359</v>
      </c>
      <c r="D215" s="21" t="s">
        <v>428</v>
      </c>
      <c r="E215" s="13">
        <v>42788.069201388891</v>
      </c>
      <c r="F215" s="13">
        <v>25568.708333333332</v>
      </c>
      <c r="G215" s="7">
        <v>1</v>
      </c>
      <c r="H215" s="21" t="s">
        <v>765</v>
      </c>
      <c r="I215" s="13">
        <v>25568.708333333332</v>
      </c>
      <c r="J215" s="7">
        <v>0</v>
      </c>
      <c r="K215" s="98" t="str">
        <f t="shared" si="79"/>
        <v>4051/4052</v>
      </c>
      <c r="L215" s="21" t="str">
        <f>VLOOKUP(A215,'Trips&amp;Operators'!$C$1:$G$99999,5,FALSE)</f>
        <v>STORY SAMANTHA</v>
      </c>
      <c r="M215" s="6">
        <f t="shared" si="80"/>
        <v>0</v>
      </c>
      <c r="N215" s="7">
        <f t="shared" si="77"/>
        <v>0</v>
      </c>
      <c r="O215" s="7"/>
      <c r="P215" s="7"/>
      <c r="Q215" s="22"/>
      <c r="R215" s="22"/>
      <c r="S215" s="31">
        <f t="shared" si="76"/>
        <v>1</v>
      </c>
      <c r="T215" s="46" t="str">
        <f t="shared" si="81"/>
        <v>NorthBound</v>
      </c>
      <c r="U215" s="193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4" t="str">
        <f t="shared" si="82"/>
        <v>https://d0f6bd738d7f1b3e5a7ca70fe4ff75f0.us-east-1.aws.found.io/app/kibana#/discover/Steve-Slow-Train-Analysis-(2080s-and-2083s)?_g=(refreshInterval:(display:Off,pause:!f,section:0,value:0),time:(from:'2017-02-22T00:39:39-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5" s="195" t="str">
        <f t="shared" si="83"/>
        <v>Y</v>
      </c>
      <c r="X215" s="195">
        <f t="shared" si="78"/>
        <v>1</v>
      </c>
      <c r="Y215" s="62">
        <f t="shared" si="92"/>
        <v>4.8000000000000001E-2</v>
      </c>
      <c r="Z215" s="62">
        <f t="shared" si="93"/>
        <v>2.3163999999999998</v>
      </c>
      <c r="AA215" s="62">
        <f t="shared" si="84"/>
        <v>2.2683999999999997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85"/>
        <v>0311-21</v>
      </c>
      <c r="AE215" s="85" t="str">
        <f t="shared" si="86"/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AF215" s="82" t="str">
        <f t="shared" si="87"/>
        <v>"C:\Program Files (x86)\AstroGrep\AstroGrep.exe" /spath="%USERPROFILE%\AppData\Local\Temp\OnboardLogs" /stypes="app*4051*19700101*" /stext=" 00:.+((SYSTEM_STATE.+slice.+state.+changed )|(ment ac)|(multiple cpu faults)|(system.+state.+changed )|(\[timeout)|(PRM\|1\|D)|(kpr)|(kdp)|(\|lc)|(penalty))" /e /r /s</v>
      </c>
      <c r="AG215" s="1" t="str">
        <f t="shared" si="88"/>
        <v>Other</v>
      </c>
      <c r="AH215" s="86" t="str">
        <f t="shared" si="89"/>
        <v>"%USERPROFILE%\Documents\GitHub\eaglep3\Utilities\RefineRTDCRunTimes.py" --tripid 311-21 --locoid 4051 --swversion DE.1.0.9.0 --startMP 204:480 --initTime 2017-02-22T01:39:39 --startdatetime 1969-12-31T17:00:00 --delay 1 --endMP 300:23164 --enddatetime 1969-12-31T17:00:00 --enforcementcount 0 &gt;&gt;C:\Users\stu\Documents\GitHub\eaglep3-reporting\EC\2017-02-21-refined-times.txt</v>
      </c>
      <c r="AI215" s="108" t="str">
        <f t="shared" si="90"/>
        <v>echo {"issue":{"subject":"","project_id":79,"tracker_id":40,"status_id":1,"priority_id":2,"assigned_to_id":23,"start_date":"1969-12-31","description":"","custom_fields":[{"id":1,"name":"Subdivision","value":"Other"},{"id":4,"name":"Milepost","value":"2.3164"},{"id":17,"name":"Train ID","value":"311-21"},{"id":16,"name":"Locomotive ID","value":"4051"},{"id":130,"name":"Impact","value":""},{"id":150,"name":"Time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91"/>
        <v>start /low /b %USERPROFILE%\Documents\GitHub\eaglep3\Utilities\DownloadLogsFromS3.py --loco 4051 --day 1969-12-31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"%USERPROFILE%\AppData\Local\Temp\OnboardLogs"\RTDC4051\*4051*19700101* | grep -SE "(Enforcement Action)|(\[TIMEOUT)|(CHR.+\|PRM\|1\|D.+(SWITCH|SIGNAL).+UNKNOWN)" - &gt;&gt; 2017-02-21-UncaughtWiMAX.txt</v>
      </c>
    </row>
    <row r="216" spans="1:40" x14ac:dyDescent="0.25">
      <c r="A216" s="33" t="s">
        <v>409</v>
      </c>
      <c r="B216" s="7">
        <v>4046</v>
      </c>
      <c r="C216" s="21" t="s">
        <v>359</v>
      </c>
      <c r="D216" s="21" t="s">
        <v>424</v>
      </c>
      <c r="E216" s="13">
        <v>42787.088252314818</v>
      </c>
      <c r="F216" s="13">
        <v>25568.708333333332</v>
      </c>
      <c r="G216" s="7">
        <v>1</v>
      </c>
      <c r="H216" s="21" t="s">
        <v>432</v>
      </c>
      <c r="I216" s="13">
        <v>25568.708333333332</v>
      </c>
      <c r="J216" s="7">
        <v>0</v>
      </c>
      <c r="K216" s="98" t="str">
        <f t="shared" si="79"/>
        <v>4045/4046</v>
      </c>
      <c r="L216" s="21" t="str">
        <f>VLOOKUP(A216,'Trips&amp;Operators'!$C$1:$G$99999,5,FALSE)</f>
        <v>STORY SAMANTHA</v>
      </c>
      <c r="M216" s="6">
        <f t="shared" si="80"/>
        <v>0</v>
      </c>
      <c r="N216" s="7">
        <f t="shared" si="77"/>
        <v>0</v>
      </c>
      <c r="O216" s="7"/>
      <c r="P216" s="7"/>
      <c r="Q216" s="22"/>
      <c r="R216" s="22"/>
      <c r="S216" s="31">
        <f t="shared" si="76"/>
        <v>1</v>
      </c>
      <c r="T216" s="46" t="str">
        <f t="shared" si="81"/>
        <v>NorthBound</v>
      </c>
      <c r="U216" s="193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4" t="str">
        <f t="shared" si="82"/>
        <v>https://d0f6bd738d7f1b3e5a7ca70fe4ff75f0.us-east-1.aws.found.io/app/kibana#/discover/Steve-Slow-Train-Analysis-(2080s-and-2083s)?_g=(refreshInterval:(display:Off,pause:!f,section:0,value:0),time:(from:'2017-02-21T01:07:05-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6" s="195" t="str">
        <f t="shared" si="83"/>
        <v>Y</v>
      </c>
      <c r="X216" s="195">
        <f t="shared" si="78"/>
        <v>2</v>
      </c>
      <c r="Y216" s="62">
        <f t="shared" si="92"/>
        <v>4.6899999999999997E-2</v>
      </c>
      <c r="Z216" s="62">
        <f t="shared" si="93"/>
        <v>2.3311999999999999</v>
      </c>
      <c r="AA216" s="62">
        <f t="shared" si="84"/>
        <v>2.2843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85"/>
        <v>0313-20</v>
      </c>
      <c r="AE216" s="85" t="str">
        <f t="shared" si="86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16" s="82" t="str">
        <f t="shared" si="87"/>
        <v>"C:\Program Files (x86)\AstroGrep\AstroGrep.exe" /spath="%USERPROFILE%\AppData\Local\Temp\OnboardLogs" /stypes="app*4046*19700101*" /stext=" 00:.+((SYSTEM_STATE.+slice.+state.+changed )|(ment ac)|(multiple cpu faults)|(system.+state.+changed )|(\[timeout)|(PRM\|1\|D)|(kpr)|(kdp)|(\|lc)|(penalty))" /e /r /s</v>
      </c>
      <c r="AG216" s="1" t="str">
        <f t="shared" si="88"/>
        <v>Other</v>
      </c>
      <c r="AH216" s="86" t="str">
        <f t="shared" si="89"/>
        <v>"%USERPROFILE%\Documents\GitHub\eaglep3\Utilities\RefineRTDCRunTimes.py" --tripid 313-20 --locoid 4046 --swversion DE.1.0.9.0 --startMP 204:469 --initTime 2017-02-21T02:07:05 --startdatetime 1969-12-31T17:00:00 --delay 1 --endMP 300:23312 --enddatetime 1969-12-31T17:00:00 --enforcementcount 0 &gt;&gt;C:\Users\stu\Documents\GitHub\eaglep3-reporting\EC\2017-02-21-refined-times.txt</v>
      </c>
      <c r="AI216" s="108" t="str">
        <f t="shared" si="90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ID","value":"313-20"},{"id":16,"name":"Locomotive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91"/>
        <v>start /low /b %USERPROFILE%\Documents\GitHub\eaglep3\Utilities\DownloadLogsFromS3.py --loco 4046 --day 1969-12-31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"%USERPROFILE%\AppData\Local\Temp\OnboardLogs"\RTDC4046\*4046*19700101* | grep -SE "(Enforcement Action)|(\[TIMEOUT)|(CHR.+\|PRM\|1\|D.+(SWITCH|SIGNAL).+UNKNOWN)" - &gt;&gt; 2017-02-21-UncaughtWiMAX.txt</v>
      </c>
    </row>
    <row r="217" spans="1:40" x14ac:dyDescent="0.25">
      <c r="A217" s="33" t="s">
        <v>685</v>
      </c>
      <c r="B217" s="7">
        <v>4003</v>
      </c>
      <c r="C217" s="21" t="s">
        <v>359</v>
      </c>
      <c r="D217" s="21" t="s">
        <v>766</v>
      </c>
      <c r="E217" s="13">
        <v>42788.087604166663</v>
      </c>
      <c r="F217" s="13">
        <v>25568.708333333332</v>
      </c>
      <c r="G217" s="7">
        <v>1</v>
      </c>
      <c r="H217" s="21" t="s">
        <v>762</v>
      </c>
      <c r="I217" s="13">
        <v>25568.708333333332</v>
      </c>
      <c r="J217" s="7">
        <v>0</v>
      </c>
      <c r="K217" s="98" t="str">
        <f t="shared" si="79"/>
        <v>4003/4004</v>
      </c>
      <c r="L217" s="21" t="str">
        <f>VLOOKUP(A217,'Trips&amp;Operators'!$C$1:$G$99999,5,FALSE)</f>
        <v>STAMBAUGH JAMES</v>
      </c>
      <c r="M217" s="6">
        <f t="shared" si="80"/>
        <v>0</v>
      </c>
      <c r="N217" s="7">
        <f t="shared" si="77"/>
        <v>0</v>
      </c>
      <c r="O217" s="7"/>
      <c r="P217" s="7"/>
      <c r="Q217" s="22"/>
      <c r="R217" s="22"/>
      <c r="S217" s="31">
        <f t="shared" si="76"/>
        <v>1</v>
      </c>
      <c r="T217" s="46" t="str">
        <f t="shared" si="81"/>
        <v>NorthBound</v>
      </c>
      <c r="U217" s="193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4" t="str">
        <f t="shared" si="82"/>
        <v>https://d0f6bd738d7f1b3e5a7ca70fe4ff75f0.us-east-1.aws.found.io/app/kibana#/discover/Steve-Slow-Train-Analysis-(2080s-and-2083s)?_g=(refreshInterval:(display:Off,pause:!f,section:0,value:0),time:(from:'2017-02-22T01:06:09-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7" s="195" t="str">
        <f t="shared" si="83"/>
        <v>Y</v>
      </c>
      <c r="X217" s="195">
        <f t="shared" si="78"/>
        <v>0</v>
      </c>
      <c r="Y217" s="62">
        <f t="shared" si="92"/>
        <v>6.4600000000000005E-2</v>
      </c>
      <c r="Z217" s="62">
        <f t="shared" si="93"/>
        <v>2.3302</v>
      </c>
      <c r="AA217" s="62">
        <f t="shared" si="84"/>
        <v>2.2656000000000001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85"/>
        <v>0313-21</v>
      </c>
      <c r="AE217" s="85" t="str">
        <f t="shared" si="86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17" s="82" t="str">
        <f t="shared" si="87"/>
        <v>"C:\Program Files (x86)\AstroGrep\AstroGrep.exe" /spath="%USERPROFILE%\AppData\Local\Temp\OnboardLogs" /stypes="app*4003*19700101*" /stext=" 00:.+((SYSTEM_STATE.+slice.+state.+changed )|(ment ac)|(multiple cpu faults)|(system.+state.+changed )|(\[timeout)|(PRM\|1\|D)|(kpr)|(kdp)|(\|lc)|(penalty))" /e /r /s</v>
      </c>
      <c r="AG217" s="1" t="str">
        <f t="shared" si="88"/>
        <v>Other</v>
      </c>
      <c r="AH217" s="86" t="str">
        <f t="shared" si="89"/>
        <v>"%USERPROFILE%\Documents\GitHub\eaglep3\Utilities\RefineRTDCRunTimes.py" --tripid 313-21 --locoid 4003 --swversion DE.1.0.9.0 --startMP 204:646 --initTime 2017-02-22T02:06:09 --startdatetime 1969-12-31T17:00:00 --delay 1 --endMP 300:23302 --enddatetime 1969-12-31T17:00:00 --enforcementcount 0 &gt;&gt;C:\Users\stu\Documents\GitHub\eaglep3-reporting\EC\2017-02-21-refined-times.txt</v>
      </c>
      <c r="AI217" s="108" t="str">
        <f t="shared" si="90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ID","value":"313-21"},{"id":16,"name":"Locomotive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91"/>
        <v>start /low /b %USERPROFILE%\Documents\GitHub\eaglep3\Utilities\DownloadLogsFromS3.py --loco 4003 --day 1969-12-31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"%USERPROFILE%\AppData\Local\Temp\OnboardLogs"\RTDC4003\*4003*19700101* | grep -SE "(Enforcement Action)|(\[TIMEOUT)|(CHR.+\|PRM\|1\|D.+(SWITCH|SIGNAL).+UNKNOWN)" - &gt;&gt; 2017-02-21-UncaughtWiMAX.txt</v>
      </c>
    </row>
    <row r="218" spans="1:40" x14ac:dyDescent="0.25">
      <c r="A218" s="33" t="s">
        <v>681</v>
      </c>
      <c r="B218" s="7">
        <v>4025</v>
      </c>
      <c r="C218" s="21" t="s">
        <v>359</v>
      </c>
      <c r="D218" s="21" t="s">
        <v>742</v>
      </c>
      <c r="E218" s="13">
        <v>42788.028333333335</v>
      </c>
      <c r="F218" s="13">
        <v>42788.030405092592</v>
      </c>
      <c r="G218" s="7">
        <v>1</v>
      </c>
      <c r="H218" s="21" t="s">
        <v>767</v>
      </c>
      <c r="I218" s="13">
        <v>42788.035636574074</v>
      </c>
      <c r="J218" s="7">
        <v>0</v>
      </c>
      <c r="K218" s="98" t="str">
        <f t="shared" si="79"/>
        <v>4025/4026</v>
      </c>
      <c r="L218" s="21" t="str">
        <f>VLOOKUP(A218,'Trips&amp;Operators'!$C$1:$G$99999,5,FALSE)</f>
        <v>CHANDLER KELVIN</v>
      </c>
      <c r="M218" s="6">
        <f t="shared" si="80"/>
        <v>5.2314814820419997E-3</v>
      </c>
      <c r="N218" s="7">
        <f t="shared" si="77"/>
        <v>7.5333333341404796</v>
      </c>
      <c r="O218" s="7"/>
      <c r="P218" s="7"/>
      <c r="Q218" s="22"/>
      <c r="R218" s="22"/>
      <c r="S218" s="31">
        <f t="shared" si="76"/>
        <v>1</v>
      </c>
      <c r="T218" s="46" t="str">
        <f t="shared" si="81"/>
        <v>NorthBound</v>
      </c>
      <c r="U218" s="193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4" t="str">
        <f t="shared" si="82"/>
        <v>https://d0f6bd738d7f1b3e5a7ca70fe4ff75f0.us-east-1.aws.found.io/app/kibana#/discover/Steve-Slow-Train-Analysis-(2080s-and-2083s)?_g=(refreshInterval:(display:Off,pause:!f,section:0,value:0),time:(from:'2017-02-21T23:40:48-0700',mode:absolute,to:'2017-02-22T01:51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8" s="195" t="str">
        <f t="shared" si="83"/>
        <v>Y</v>
      </c>
      <c r="X218" s="195">
        <f t="shared" si="78"/>
        <v>2</v>
      </c>
      <c r="Y218" s="62">
        <f t="shared" si="92"/>
        <v>4.8599999999999997E-2</v>
      </c>
      <c r="Z218" s="62">
        <f t="shared" si="93"/>
        <v>2.3296999999999999</v>
      </c>
      <c r="AA218" s="62">
        <f t="shared" si="84"/>
        <v>2.2810999999999999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85"/>
        <v>0315-21</v>
      </c>
      <c r="AE218" s="85" t="str">
        <f t="shared" si="86"/>
        <v>aws s3 cp s3://rtdc.mdm.uploadarchive.raw/RTDC4025/ "%USERPROFILE%\AppData\Local\Temp\OnboardLogs"\RTDC4025\2017-02-22 --exclude "*" --recursive --include "*20170222*" &amp; "%USERPROFILE%\Documents\GitHub\mrs-test-scripts\Headless Mode &amp; Sideloading\WalkAndUnGZ.bat" "%USERPROFILE%\AppData\Local\Temp\OnboardLogs"\RTDC4025\2017-02-22 &amp; aws s3 cp s3://rtdc.mdm.uploadarchive.raw/RTDC4025/ "%USERPROFILE%\AppData\Local\Temp\OnboardLogs"\RTDC4025\2017-02-23 --exclude "*" --recursive --include "*20170223*" &amp; "%USERPROFILE%\Documents\GitHub\mrs-test-scripts\Headless Mode &amp; Sideloading\WalkAndUnGZ.bat" "%USERPROFILE%\AppData\Local\Temp\OnboardLogs"\RTDC4025\2017-02-23</v>
      </c>
      <c r="AF218" s="82" t="str">
        <f t="shared" si="87"/>
        <v>"C:\Program Files (x86)\AstroGrep\AstroGrep.exe" /spath="%USERPROFILE%\AppData\Local\Temp\OnboardLogs" /stypes="app*4025*20170222*" /stext=" 07:.+((SYSTEM_STATE.+slice.+state.+changed )|(ment ac)|(multiple cpu faults)|(system.+state.+changed )|(\[timeout)|(PRM\|1\|D)|(kpr)|(kdp)|(\|lc)|(penalty))" /e /r /s</v>
      </c>
      <c r="AG218" s="1" t="str">
        <f t="shared" si="88"/>
        <v>Other</v>
      </c>
      <c r="AH218" s="86" t="str">
        <f t="shared" si="89"/>
        <v>"%USERPROFILE%\Documents\GitHub\eaglep3\Utilities\RefineRTDCRunTimes.py" --tripid 315-21 --locoid 4025 --swversion DE.1.0.9.0 --startMP 204:486 --initTime 2017-02-22T00:40:48 --startdatetime 2017-02-22T00:43:47 --delay 1 --endMP 300:23297 --enddatetime 2017-02-22T00:51:19 --enforcementcount 0 &gt;&gt;C:\Users\stu\Documents\GitHub\eaglep3-reporting\EC\2017-02-21-refined-times.txt</v>
      </c>
      <c r="AI218" s="108" t="str">
        <f t="shared" si="90"/>
        <v>echo {"issue":{"subject":"","project_id":79,"tracker_id":40,"status_id":1,"priority_id":2,"assigned_to_id":23,"start_date":"2017-02-22","description":"","custom_fields":[{"id":1,"name":"Subdivision","value":"Other"},{"id":4,"name":"Milepost","value":"2.3297"},{"id":17,"name":"Train ID","value":"315-21"},{"id":16,"name":"Locomotive ID","value":"4025"},{"id":130,"name":"Impact","value":""},{"id":150,"name":"Time of Event (Mountain Time)","value":"00:51:19"},{"id":151,"name":"Denver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91"/>
        <v>start /low /b %USERPROFILE%\Documents\GitHub\eaglep3\Utilities\DownloadLogsFromS3.py --loco 4025 --day 2017-02-22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"%USERPROFILE%\AppData\Local\Temp\OnboardLogs"\RTDC4025\*4025*20170222* | grep -SE "(Enforcement Action)|(\[TIMEOUT)|(CHR.+\|PRM\|1\|D.+(SWITCH|SIGNAL).+UNKNOWN)" - &gt;&gt; 2017-02-21-UncaughtWiMAX.txt</v>
      </c>
    </row>
    <row r="219" spans="1:40" x14ac:dyDescent="0.25">
      <c r="A219" s="33" t="s">
        <v>511</v>
      </c>
      <c r="B219" s="7">
        <v>4031</v>
      </c>
      <c r="C219" s="21" t="s">
        <v>359</v>
      </c>
      <c r="D219" s="21" t="s">
        <v>832</v>
      </c>
      <c r="E219" s="13">
        <v>42787.201562499999</v>
      </c>
      <c r="F219" s="13">
        <v>42787.202499999999</v>
      </c>
      <c r="G219" s="7">
        <v>1</v>
      </c>
      <c r="H219" s="21" t="s">
        <v>368</v>
      </c>
      <c r="I219" s="13">
        <v>42787.207187499997</v>
      </c>
      <c r="J219" s="7">
        <v>0</v>
      </c>
      <c r="K219" s="98" t="str">
        <f t="shared" si="79"/>
        <v>4031/4032</v>
      </c>
      <c r="L219" s="21" t="str">
        <f>VLOOKUP(A219,'Trips&amp;Operators'!$C$1:$G$99999,5,FALSE)</f>
        <v>YORK EDGAR</v>
      </c>
      <c r="M219" s="6">
        <f t="shared" si="80"/>
        <v>4.687499997089617E-3</v>
      </c>
      <c r="N219" s="7">
        <f t="shared" si="77"/>
        <v>6.7499999958090484</v>
      </c>
      <c r="O219" s="7"/>
      <c r="P219" s="7"/>
      <c r="Q219" s="22"/>
      <c r="R219" s="22"/>
      <c r="S219" s="31">
        <f t="shared" si="76"/>
        <v>0</v>
      </c>
      <c r="T219" s="46" t="str">
        <f t="shared" si="81"/>
        <v>NorthBound</v>
      </c>
      <c r="U219" s="193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4" t="str">
        <f t="shared" si="82"/>
        <v>https://d0f6bd738d7f1b3e5a7ca70fe4ff75f0.us-east-1.aws.found.io/app/kibana#/discover/Steve-Slow-Train-Analysis-(2080s-and-2083s)?_g=(refreshInterval:(display:Off,pause:!f,section:0,value:0),time:(from:'2017-02-21T03:50:15-0700',mode:absolute,to:'2017-02-21T05:58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9" s="195" t="str">
        <f t="shared" si="83"/>
        <v>Y</v>
      </c>
      <c r="X219" s="195">
        <f t="shared" si="78"/>
        <v>586</v>
      </c>
      <c r="Y219" s="62">
        <f t="shared" si="92"/>
        <v>3.0506000000000002</v>
      </c>
      <c r="Z219" s="62">
        <f t="shared" si="93"/>
        <v>5.8945999999999996</v>
      </c>
      <c r="AA219" s="62">
        <f t="shared" si="84"/>
        <v>2.8439999999999994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85"/>
        <v>0901-21</v>
      </c>
      <c r="AE219" s="85" t="str">
        <f t="shared" si="86"/>
        <v>aws s3 cp s3://rtdc.mdm.uploadarchive.raw/RTDC4031/ "%USERPROFILE%\AppData\Local\Temp\OnboardLogs"\RTDC4031\2017-02-21 --exclude "*" --recursive --include "*20170221*" &amp; "%USERPROFILE%\Documents\GitHub\mrs-test-scripts\Headless Mode &amp; Sideloading\WalkAndUnGZ.bat" "%USERPROFILE%\AppData\Local\Temp\OnboardLogs"\RTDC4031\2017-02-21 &amp; aws s3 cp s3://rtdc.mdm.uploadarchive.raw/RTDC4031/ "%USERPROFILE%\AppData\Local\Temp\OnboardLogs"\RTDC4031\2017-02-22 --exclude "*" --recursive --include "*20170222*" &amp; "%USERPROFILE%\Documents\GitHub\mrs-test-scripts\Headless Mode &amp; Sideloading\WalkAndUnGZ.bat" "%USERPROFILE%\AppData\Local\Temp\OnboardLogs"\RTDC4031\2017-02-22</v>
      </c>
      <c r="AF219" s="82" t="str">
        <f t="shared" si="87"/>
        <v>"C:\Program Files (x86)\AstroGrep\AstroGrep.exe" /spath="%USERPROFILE%\AppData\Local\Temp\OnboardLogs" /stypes="app*4031*20170221*" /stext=" 11:.+((SYSTEM_STATE.+slice.+state.+changed )|(ment ac)|(multiple cpu faults)|(system.+state.+changed )|(\[timeout)|(PRM\|1\|D)|(kpr)|(kdp)|(\|lc)|(penalty))" /e /r /s</v>
      </c>
      <c r="AG219" s="1" t="str">
        <f t="shared" si="88"/>
        <v>Other</v>
      </c>
      <c r="AH219" s="86" t="str">
        <f t="shared" si="89"/>
        <v>"%USERPROFILE%\Documents\GitHub\eaglep3\Utilities\RefineRTDCRunTimes.py" --tripid 901-21 --locoid 4031 --swversion DE.1.0.9.0 --startMP 300:30506 --initTime 2017-02-21T04:50:15 --startdatetime 2017-02-21T04:51:36 --delay 1 --endMP 300:58946 --enddatetime 2017-02-21T04:58:21 --enforcementcount 0 &gt;&gt;C:\Users\stu\Documents\GitHub\eaglep3-reporting\EC\2017-02-21-refined-times.txt</v>
      </c>
      <c r="AI219" s="108" t="str">
        <f t="shared" si="90"/>
        <v>echo {"issue":{"subject":"","project_id":79,"tracker_id":40,"status_id":1,"priority_id":2,"assigned_to_id":23,"start_date":"2017-02-21","description":"","custom_fields":[{"id":1,"name":"Subdivision","value":"Other"},{"id":4,"name":"Milepost","value":"5.8946"},{"id":17,"name":"Train ID","value":"901-21"},{"id":16,"name":"Locomotive ID","value":"4031"},{"id":130,"name":"Impact","value":""},{"id":150,"name":"Time of Event (Mountain Time)","value":"04:58:21"},{"id":151,"name":"Denver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91"/>
        <v>start /low /b %USERPROFILE%\Documents\GitHub\eaglep3\Utilities\DownloadLogsFromS3.py --loco 4031 --day 2017-02-21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"%USERPROFILE%\AppData\Local\Temp\OnboardLogs"\RTDC4031\*4031*20170221* | grep -SE "(Enforcement Action)|(\[TIMEOUT)|(CHR.+\|PRM\|1\|D.+(SWITCH|SIGNAL).+UNKNOWN)" - &gt;&gt; 2017-02-21-UncaughtWiMAX.txt</v>
      </c>
    </row>
    <row r="220" spans="1:40" x14ac:dyDescent="0.25">
      <c r="A220" s="33" t="s">
        <v>521</v>
      </c>
      <c r="B220" s="7">
        <v>4010</v>
      </c>
      <c r="C220" s="21" t="s">
        <v>359</v>
      </c>
      <c r="D220" s="21" t="s">
        <v>833</v>
      </c>
      <c r="E220" s="13">
        <v>42787.242291666669</v>
      </c>
      <c r="F220" s="13">
        <v>42787.24490740741</v>
      </c>
      <c r="G220" s="7">
        <v>3</v>
      </c>
      <c r="H220" s="21" t="s">
        <v>834</v>
      </c>
      <c r="I220" s="13">
        <v>42787.249976851854</v>
      </c>
      <c r="J220" s="7">
        <v>0</v>
      </c>
      <c r="K220" s="98" t="str">
        <f t="shared" si="79"/>
        <v>4009/4010</v>
      </c>
      <c r="L220" s="21" t="str">
        <f>VLOOKUP(A220,'Trips&amp;Operators'!$C$1:$G$99999,5,FALSE)</f>
        <v>BROWN JACOB</v>
      </c>
      <c r="M220" s="6">
        <f t="shared" si="80"/>
        <v>5.0694444435066544E-3</v>
      </c>
      <c r="N220" s="7">
        <f t="shared" si="77"/>
        <v>7.2999999986495823</v>
      </c>
      <c r="O220" s="7"/>
      <c r="P220" s="7"/>
      <c r="Q220" s="22"/>
      <c r="R220" s="22"/>
      <c r="S220" s="31">
        <f t="shared" si="76"/>
        <v>1</v>
      </c>
      <c r="T220" s="46" t="str">
        <f t="shared" si="81"/>
        <v>Southbound</v>
      </c>
      <c r="U220" s="193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4" t="str">
        <f t="shared" si="82"/>
        <v>https://d0f6bd738d7f1b3e5a7ca70fe4ff75f0.us-east-1.aws.found.io/app/kibana#/discover/Steve-Slow-Train-Analysis-(2080s-and-2083s)?_g=(refreshInterval:(display:Off,pause:!f,section:0,value:0),time:(from:'2017-02-21T04:48:54-0700',mode:absolute,to:'2017-02-21T06:59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0" s="195" t="str">
        <f t="shared" si="83"/>
        <v>Y</v>
      </c>
      <c r="X220" s="195">
        <f t="shared" si="78"/>
        <v>1</v>
      </c>
      <c r="Y220" s="62">
        <f t="shared" si="92"/>
        <v>2.3191999999999999</v>
      </c>
      <c r="Z220" s="62">
        <f t="shared" si="93"/>
        <v>7.1999999999999995E-2</v>
      </c>
      <c r="AA220" s="62">
        <f t="shared" si="84"/>
        <v>2.2471999999999999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85"/>
        <v>0902-21</v>
      </c>
      <c r="AE220" s="85" t="str">
        <f t="shared" si="86"/>
        <v>aws s3 cp s3://rtdc.mdm.uploadarchive.raw/RTDC4010/ "%USERPROFILE%\AppData\Local\Temp\OnboardLogs"\RTDC4010\2017-02-21 --exclude "*" --recursive --include "*20170221*" &amp; "%USERPROFILE%\Documents\GitHub\mrs-test-scripts\Headless Mode &amp; Sideloading\WalkAndUnGZ.bat" "%USERPROFILE%\AppData\Local\Temp\OnboardLogs"\RTDC4010\2017-02-21 &amp; aws s3 cp s3://rtdc.mdm.uploadarchive.raw/RTDC4010/ "%USERPROFILE%\AppData\Local\Temp\OnboardLogs"\RTDC4010\2017-02-22 --exclude "*" --recursive --include "*20170222*" &amp; "%USERPROFILE%\Documents\GitHub\mrs-test-scripts\Headless Mode &amp; Sideloading\WalkAndUnGZ.bat" "%USERPROFILE%\AppData\Local\Temp\OnboardLogs"\RTDC4010\2017-02-22</v>
      </c>
      <c r="AF220" s="82" t="str">
        <f t="shared" si="87"/>
        <v>"C:\Program Files (x86)\AstroGrep\AstroGrep.exe" /spath="%USERPROFILE%\AppData\Local\Temp\OnboardLogs" /stypes="app*4010*20170221*" /stext=" 12:.+((SYSTEM_STATE.+slice.+state.+changed )|(ment ac)|(multiple cpu faults)|(system.+state.+changed )|(\[timeout)|(PRM\|1\|D)|(kpr)|(kdp)|(\|lc)|(penalty))" /e /r /s</v>
      </c>
      <c r="AG220" s="1" t="str">
        <f t="shared" si="88"/>
        <v>Other</v>
      </c>
      <c r="AH220" s="86" t="str">
        <f t="shared" si="89"/>
        <v>"%USERPROFILE%\Documents\GitHub\eaglep3\Utilities\RefineRTDCRunTimes.py" --tripid 902-21 --locoid 4010 --swversion DE.1.0.9.0 --startMP 300:23192 --initTime 2017-02-21T05:48:54 --startdatetime 2017-02-21T05:52:40 --delay 3 --endMP 204:720 --enddatetime 2017-02-21T05:59:58 --enforcementcount 0 &gt;&gt;C:\Users\stu\Documents\GitHub\eaglep3-reporting\EC\2017-02-21-refined-times.txt</v>
      </c>
      <c r="AI220" s="108" t="str">
        <f t="shared" si="90"/>
        <v>echo {"issue":{"subject":"","project_id":79,"tracker_id":40,"status_id":1,"priority_id":2,"assigned_to_id":23,"start_date":"2017-02-21","description":"","custom_fields":[{"id":1,"name":"Subdivision","value":"Other"},{"id":4,"name":"Milepost","value":"0.072"},{"id":17,"name":"Train ID","value":"902-21"},{"id":16,"name":"Locomotive ID","value":"4010"},{"id":130,"name":"Impact","value":""},{"id":150,"name":"Time of Event (Mountain Time)","value":"05:59:58"},{"id":151,"name":"Denver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91"/>
        <v>start /low /b %USERPROFILE%\Documents\GitHub\eaglep3\Utilities\DownloadLogsFromS3.py --loco 4010 --day 2017-02-21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"%USERPROFILE%\AppData\Local\Temp\OnboardLogs"\RTDC4010\*4010*20170221* | grep -SE "(Enforcement Action)|(\[TIMEOUT)|(CHR.+\|PRM\|1\|D.+(SWITCH|SIGNAL).+UNKNOWN)" - &gt;&gt; 2017-02-21-UncaughtWiMAX.txt</v>
      </c>
    </row>
    <row r="221" spans="1:40" x14ac:dyDescent="0.25">
      <c r="A221" s="33" t="s">
        <v>547</v>
      </c>
      <c r="B221" s="7">
        <v>4022</v>
      </c>
      <c r="C221" s="21" t="s">
        <v>359</v>
      </c>
      <c r="D221" s="21" t="s">
        <v>835</v>
      </c>
      <c r="E221" s="13">
        <v>42787.351863425924</v>
      </c>
      <c r="F221" s="13">
        <v>25568.708333333332</v>
      </c>
      <c r="G221" s="7">
        <v>0</v>
      </c>
      <c r="H221" s="21" t="s">
        <v>836</v>
      </c>
      <c r="I221" s="13">
        <v>25568.708333333332</v>
      </c>
      <c r="J221" s="7">
        <v>0</v>
      </c>
      <c r="K221" s="98" t="str">
        <f t="shared" si="79"/>
        <v>4021/4022</v>
      </c>
      <c r="L221" s="21" t="str">
        <f>VLOOKUP(A221,'Trips&amp;Operators'!$C$1:$G$99999,5,FALSE)</f>
        <v>YORK EDGAR</v>
      </c>
      <c r="M221" s="6">
        <f t="shared" si="80"/>
        <v>0</v>
      </c>
      <c r="N221" s="7">
        <f t="shared" si="77"/>
        <v>0</v>
      </c>
      <c r="O221" s="7"/>
      <c r="P221" s="7"/>
      <c r="Q221" s="22"/>
      <c r="R221" s="22"/>
      <c r="S221" s="31">
        <f t="shared" si="76"/>
        <v>1</v>
      </c>
      <c r="T221" s="46" t="str">
        <f t="shared" si="81"/>
        <v>NorthBound</v>
      </c>
      <c r="U221" s="193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4" t="str">
        <f t="shared" si="82"/>
        <v>https://d0f6bd738d7f1b3e5a7ca70fe4ff75f0.us-east-1.aws.found.io/app/kibana#/discover/Steve-Slow-Train-Analysis-(2080s-and-2083s)?_g=(refreshInterval:(display:Off,pause:!f,section:0,value:0),time:(from:'2017-02-21T07:26:41-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1" s="195" t="str">
        <f t="shared" si="83"/>
        <v>Y</v>
      </c>
      <c r="X221" s="195">
        <f t="shared" si="78"/>
        <v>1</v>
      </c>
      <c r="Y221" s="62">
        <f t="shared" si="92"/>
        <v>0.11650000000000001</v>
      </c>
      <c r="Z221" s="62">
        <f t="shared" si="93"/>
        <v>2.4220000000000002</v>
      </c>
      <c r="AA221" s="62">
        <f t="shared" si="84"/>
        <v>2.3055000000000003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85"/>
        <v>0903-21</v>
      </c>
      <c r="AE221" s="85" t="str">
        <f t="shared" si="86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21" s="82" t="str">
        <f t="shared" si="87"/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221" s="1" t="str">
        <f t="shared" si="88"/>
        <v>Other</v>
      </c>
      <c r="AH221" s="86" t="str">
        <f t="shared" si="89"/>
        <v>"%USERPROFILE%\Documents\GitHub\eaglep3\Utilities\RefineRTDCRunTimes.py" --tripid 903-21 --locoid 4022 --swversion DE.1.0.9.0 --startMP 204:1165 --initTime 2017-02-21T08:26:41 --startdatetime 1969-12-31T17:00:00 --delay 0 --endMP 300:24220 --enddatetime 1969-12-31T17:00:00 --enforcementcount 0 &gt;&gt;C:\Users\stu\Documents\GitHub\eaglep3-reporting\EC\2017-02-21-refined-times.txt</v>
      </c>
      <c r="AI221" s="108" t="str">
        <f t="shared" si="90"/>
        <v>echo {"issue":{"subject":"","project_id":79,"tracker_id":40,"status_id":1,"priority_id":2,"assigned_to_id":23,"start_date":"1969-12-31","description":"","custom_fields":[{"id":1,"name":"Subdivision","value":"Other"},{"id":4,"name":"Milepost","value":"2.422"},{"id":17,"name":"Train ID","value":"903-21"},{"id":16,"name":"Locomotive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91"/>
        <v>start /low /b %USERPROFILE%\Documents\GitHub\eaglep3\Utilities\DownloadLogsFromS3.py --loco 4022 --day 1969-12-31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"%USERPROFILE%\AppData\Local\Temp\OnboardLogs"\RTDC4022\*4022*19700101* | grep -SE "(Enforcement Action)|(\[TIMEOUT)|(CHR.+\|PRM\|1\|D.+(SWITCH|SIGNAL).+UNKNOWN)" - &gt;&gt; 2017-02-21-UncaughtWiMAX.txt</v>
      </c>
    </row>
    <row r="222" spans="1:40" x14ac:dyDescent="0.25">
      <c r="A222" s="33" t="s">
        <v>655</v>
      </c>
      <c r="B222" s="7">
        <v>4010</v>
      </c>
      <c r="C222" s="21" t="s">
        <v>359</v>
      </c>
      <c r="D222" s="21" t="s">
        <v>837</v>
      </c>
      <c r="E222" s="13">
        <v>42787.796712962961</v>
      </c>
      <c r="F222" s="13">
        <v>25568.708333333332</v>
      </c>
      <c r="G222" s="7">
        <v>1</v>
      </c>
      <c r="H222" s="21" t="s">
        <v>838</v>
      </c>
      <c r="I222" s="13">
        <v>25568.708333333332</v>
      </c>
      <c r="J222" s="7">
        <v>0</v>
      </c>
      <c r="K222" s="98" t="str">
        <f t="shared" si="79"/>
        <v>4009/4010</v>
      </c>
      <c r="L222" s="21" t="str">
        <f>VLOOKUP(A222,'Trips&amp;Operators'!$C$1:$G$99999,5,FALSE)</f>
        <v>HILLS DUSTIN</v>
      </c>
      <c r="M222" s="6">
        <f t="shared" si="80"/>
        <v>0</v>
      </c>
      <c r="N222" s="7">
        <f t="shared" si="77"/>
        <v>0</v>
      </c>
      <c r="O222" s="7"/>
      <c r="P222" s="7"/>
      <c r="Q222" s="22"/>
      <c r="R222" s="22"/>
      <c r="S222" s="31">
        <f t="shared" si="76"/>
        <v>0</v>
      </c>
      <c r="T222" s="46" t="str">
        <f t="shared" si="81"/>
        <v>Southbound</v>
      </c>
      <c r="U222" s="193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4" t="str">
        <f t="shared" si="82"/>
        <v>https://d0f6bd738d7f1b3e5a7ca70fe4ff75f0.us-east-1.aws.found.io/app/kibana#/discover/Steve-Slow-Train-Analysis-(2080s-and-2083s)?_g=(refreshInterval:(display:Off,pause:!f,section:0,value:0),time:(from:'2017-02-21T18:07:16-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2" s="195" t="str">
        <f t="shared" si="83"/>
        <v>Y</v>
      </c>
      <c r="X222" s="195">
        <f t="shared" si="78"/>
        <v>3</v>
      </c>
      <c r="Y222" s="62">
        <f t="shared" si="92"/>
        <v>5.8681000000000001</v>
      </c>
      <c r="Z222" s="62">
        <f t="shared" si="93"/>
        <v>2.8795000000000002</v>
      </c>
      <c r="AA222" s="62">
        <f t="shared" si="84"/>
        <v>2.9885999999999999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85"/>
        <v>0906-21</v>
      </c>
      <c r="AE222" s="85" t="str">
        <f t="shared" si="86"/>
        <v>aws s3 cp s3://rtdc.mdm.uploadarchive.raw/RTDC4010/ "%USERPROFILE%\AppData\Local\Temp\OnboardLogs"\RTDC4010\1969-12-31 --exclude "*" --recursive --include "*19691231*" &amp; "%USERPROFILE%\Documents\GitHub\mrs-test-scripts\Headless Mode &amp; Sideloading\WalkAndUnGZ.bat" "%USERPROFILE%\AppData\Local\Temp\OnboardLogs"\RTDC4010\1969-12-31 &amp; aws s3 cp s3://rtdc.mdm.uploadarchive.raw/RTDC4010/ "%USERPROFILE%\AppData\Local\Temp\OnboardLogs"\RTDC4010\1970-01-01 --exclude "*" --recursive --include "*19700101*" &amp; "%USERPROFILE%\Documents\GitHub\mrs-test-scripts\Headless Mode &amp; Sideloading\WalkAndUnGZ.bat" "%USERPROFILE%\AppData\Local\Temp\OnboardLogs"\RTDC4010\1970-01-01</v>
      </c>
      <c r="AF222" s="82" t="str">
        <f t="shared" si="87"/>
        <v>"C:\Program Files (x86)\AstroGrep\AstroGrep.exe" /spath="%USERPROFILE%\AppData\Local\Temp\OnboardLogs" /stypes="app*4010*19700101*" /stext=" 00:.+((SYSTEM_STATE.+slice.+state.+changed )|(ment ac)|(multiple cpu faults)|(system.+state.+changed )|(\[timeout)|(PRM\|1\|D)|(kpr)|(kdp)|(\|lc)|(penalty))" /e /r /s</v>
      </c>
      <c r="AG222" s="1" t="str">
        <f t="shared" si="88"/>
        <v>Other</v>
      </c>
      <c r="AH222" s="86" t="str">
        <f t="shared" si="89"/>
        <v>"%USERPROFILE%\Documents\GitHub\eaglep3\Utilities\RefineRTDCRunTimes.py" --tripid 906-21 --locoid 4010 --swversion DE.1.0.9.0 --startMP 300:58681 --initTime 2017-02-21T19:07:16 --startdatetime 1969-12-31T17:00:00 --delay 1 --endMP 300:28795 --enddatetime 1969-12-31T17:00:00 --enforcementcount 0 &gt;&gt;C:\Users\stu\Documents\GitHub\eaglep3-reporting\EC\2017-02-21-refined-times.txt</v>
      </c>
      <c r="AI222" s="108" t="str">
        <f t="shared" si="90"/>
        <v>echo {"issue":{"subject":"","project_id":79,"tracker_id":40,"status_id":1,"priority_id":2,"assigned_to_id":23,"start_date":"1969-12-31","description":"","custom_fields":[{"id":1,"name":"Subdivision","value":"Other"},{"id":4,"name":"Milepost","value":"2.8795"},{"id":17,"name":"Train ID","value":"906-21"},{"id":16,"name":"Locomotive ID","value":"4010"},{"id":130,"name":"Impact","value":""},{"id":150,"name":"Time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91"/>
        <v>start /low /b %USERPROFILE%\Documents\GitHub\eaglep3\Utilities\DownloadLogsFromS3.py --loco 4010 --day 1969-12-31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"%USERPROFILE%\AppData\Local\Temp\OnboardLogs"\RTDC4010\*4010*19700101* | grep -SE "(Enforcement Action)|(\[TIMEOUT)|(CHR.+\|PRM\|1\|D.+(SWITCH|SIGNAL).+UNKNOWN)" - &gt;&gt; 2017-02-21-UncaughtWiMAX.txt</v>
      </c>
    </row>
    <row r="223" spans="1:40" x14ac:dyDescent="0.25">
      <c r="A223" s="33" t="s">
        <v>676</v>
      </c>
      <c r="B223" s="7">
        <v>4032</v>
      </c>
      <c r="C223" s="21" t="s">
        <v>359</v>
      </c>
      <c r="D223" s="21" t="s">
        <v>839</v>
      </c>
      <c r="E223" s="13">
        <v>42787.942835648151</v>
      </c>
      <c r="F223" s="13">
        <v>42787.94462962963</v>
      </c>
      <c r="G223" s="7">
        <v>1</v>
      </c>
      <c r="H223" s="21" t="s">
        <v>840</v>
      </c>
      <c r="I223" s="13">
        <v>42787.949432870373</v>
      </c>
      <c r="J223" s="7">
        <v>0</v>
      </c>
      <c r="K223" s="98" t="str">
        <f t="shared" si="79"/>
        <v>4031/4032</v>
      </c>
      <c r="L223" s="21" t="str">
        <f>VLOOKUP(A223,'Trips&amp;Operators'!$C$1:$G$99999,5,FALSE)</f>
        <v>HILLS DUSTIN</v>
      </c>
      <c r="M223" s="6">
        <f t="shared" si="80"/>
        <v>4.803240743058268E-3</v>
      </c>
      <c r="N223" s="7">
        <f t="shared" si="77"/>
        <v>6.9166666700039059</v>
      </c>
      <c r="O223" s="7"/>
      <c r="P223" s="7"/>
      <c r="Q223" s="22"/>
      <c r="R223" s="22"/>
      <c r="S223" s="31">
        <f t="shared" si="76"/>
        <v>0</v>
      </c>
      <c r="T223" s="46" t="str">
        <f t="shared" si="81"/>
        <v>Southbound</v>
      </c>
      <c r="U223" s="193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4" t="str">
        <f t="shared" si="82"/>
        <v>https://d0f6bd738d7f1b3e5a7ca70fe4ff75f0.us-east-1.aws.found.io/app/kibana#/discover/Steve-Slow-Train-Analysis-(2080s-and-2083s)?_g=(refreshInterval:(display:Off,pause:!f,section:0,value:0),time:(from:'2017-02-21T21:37:41-0700',mode:absolute,to:'2017-02-21T23:47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3" s="195" t="str">
        <f t="shared" si="83"/>
        <v>Y</v>
      </c>
      <c r="X223" s="195">
        <f t="shared" si="78"/>
        <v>2</v>
      </c>
      <c r="Y223" s="62">
        <f t="shared" si="92"/>
        <v>5.8657000000000004</v>
      </c>
      <c r="Z223" s="62">
        <f t="shared" si="93"/>
        <v>2.1371000000000002</v>
      </c>
      <c r="AA223" s="62">
        <f t="shared" si="84"/>
        <v>3.7286000000000001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85"/>
        <v>0908-21</v>
      </c>
      <c r="AE223" s="85" t="str">
        <f t="shared" si="86"/>
        <v>aws s3 cp s3://rtdc.mdm.uploadarchive.raw/RTDC4032/ "%USERPROFILE%\AppData\Local\Temp\OnboardLogs"\RTDC4032\2017-02-21 --exclude "*" --recursive --include "*20170221*" &amp; "%USERPROFILE%\Documents\GitHub\mrs-test-scripts\Headless Mode &amp; Sideloading\WalkAndUnGZ.bat" "%USERPROFILE%\AppData\Local\Temp\OnboardLogs"\RTDC4032\2017-02-21 &amp; aws s3 cp s3://rtdc.mdm.uploadarchive.raw/RTDC4032/ "%USERPROFILE%\AppData\Local\Temp\OnboardLogs"\RTDC4032\2017-02-22 --exclude "*" --recursive --include "*20170222*" &amp; "%USERPROFILE%\Documents\GitHub\mrs-test-scripts\Headless Mode &amp; Sideloading\WalkAndUnGZ.bat" "%USERPROFILE%\AppData\Local\Temp\OnboardLogs"\RTDC4032\2017-02-22</v>
      </c>
      <c r="AF223" s="82" t="str">
        <f t="shared" si="87"/>
        <v>"C:\Program Files (x86)\AstroGrep\AstroGrep.exe" /spath="%USERPROFILE%\AppData\Local\Temp\OnboardLogs" /stypes="app*4032*20170222*" /stext=" 05:.+((SYSTEM_STATE.+slice.+state.+changed )|(ment ac)|(multiple cpu faults)|(system.+state.+changed )|(\[timeout)|(PRM\|1\|D)|(kpr)|(kdp)|(\|lc)|(penalty))" /e /r /s</v>
      </c>
      <c r="AG223" s="1" t="str">
        <f t="shared" si="88"/>
        <v>Other</v>
      </c>
      <c r="AH223" s="86" t="str">
        <f t="shared" si="89"/>
        <v>"%USERPROFILE%\Documents\GitHub\eaglep3\Utilities\RefineRTDCRunTimes.py" --tripid 908-21 --locoid 4032 --swversion DE.1.0.9.0 --startMP 300:58657 --initTime 2017-02-21T22:37:41 --startdatetime 2017-02-21T22:40:16 --delay 1 --endMP 300:21371 --enddatetime 2017-02-21T22:47:11 --enforcementcount 0 &gt;&gt;C:\Users\stu\Documents\GitHub\eaglep3-reporting\EC\2017-02-21-refined-times.txt</v>
      </c>
      <c r="AI223" s="108" t="str">
        <f t="shared" si="90"/>
        <v>echo {"issue":{"subject":"","project_id":79,"tracker_id":40,"status_id":1,"priority_id":2,"assigned_to_id":23,"start_date":"2017-02-21","description":"","custom_fields":[{"id":1,"name":"Subdivision","value":"Other"},{"id":4,"name":"Milepost","value":"2.1371"},{"id":17,"name":"Train ID","value":"908-21"},{"id":16,"name":"Locomotive ID","value":"4032"},{"id":130,"name":"Impact","value":""},{"id":150,"name":"Time of Event (Mountain Time)","value":"22:47:11"},{"id":151,"name":"Denver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4" t="str">
        <f t="shared" si="91"/>
        <v>start /low /b %USERPROFILE%\Documents\GitHub\eaglep3\Utilities\DownloadLogsFromS3.py --loco 4032 --day 2017-02-21</v>
      </c>
      <c r="AN223" s="163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"%USERPROFILE%\AppData\Local\Temp\OnboardLogs"\RTDC4032\*4032*20170222* | grep -SE "(Enforcement Action)|(\[TIMEOUT)|(CHR.+\|PRM\|1\|D.+(SWITCH|SIGNAL).+UNKNOWN)" - &gt;&gt; 2017-02-21-UncaughtWiMAX.txt</v>
      </c>
    </row>
    <row r="224" spans="1:40" x14ac:dyDescent="0.25">
      <c r="A224" s="33" t="s">
        <v>501</v>
      </c>
      <c r="B224" s="7">
        <v>4050</v>
      </c>
      <c r="C224" s="21" t="s">
        <v>359</v>
      </c>
      <c r="D224" s="21" t="s">
        <v>768</v>
      </c>
      <c r="E224" s="13">
        <v>42787.14135416667</v>
      </c>
      <c r="F224" s="13">
        <v>25568.708333333332</v>
      </c>
      <c r="G224" s="7">
        <v>1</v>
      </c>
      <c r="H224" s="21" t="s">
        <v>769</v>
      </c>
      <c r="I224" s="13">
        <v>25568.708333333332</v>
      </c>
      <c r="J224" s="7">
        <v>0</v>
      </c>
      <c r="K224" s="98" t="str">
        <f t="shared" si="79"/>
        <v>4049/4050</v>
      </c>
      <c r="L224" s="21" t="str">
        <f>VLOOKUP(A224,'Trips&amp;Operators'!$C$1:$G$99999,5,FALSE)</f>
        <v>YOUNG ELIZABETH</v>
      </c>
      <c r="M224" s="6">
        <f t="shared" si="80"/>
        <v>0</v>
      </c>
      <c r="N224" s="7">
        <f t="shared" si="77"/>
        <v>0</v>
      </c>
      <c r="O224" s="7"/>
      <c r="P224" s="7"/>
      <c r="Q224" s="22"/>
      <c r="R224" s="22"/>
      <c r="S224" s="31">
        <f t="shared" si="76"/>
        <v>0</v>
      </c>
      <c r="T224" s="46" t="e">
        <f t="shared" si="81"/>
        <v>#VALUE!</v>
      </c>
      <c r="U224" s="193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4" t="str">
        <f t="shared" si="82"/>
        <v>https://d0f6bd738d7f1b3e5a7ca70fe4ff75f0.us-east-1.aws.found.io/app/kibana#/discover/Steve-Slow-Train-Analysis-(2080s-and-2083s)?_g=(refreshInterval:(display:Off,pause:!f,section:0,value:0),time:(from:'2017-02-21T02:23:33-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4" s="195" t="str">
        <f t="shared" si="83"/>
        <v>N</v>
      </c>
      <c r="X224" s="195" t="e">
        <f t="shared" si="78"/>
        <v>#VALUE!</v>
      </c>
      <c r="Y224" s="62">
        <f t="shared" si="92"/>
        <v>12.802899999999999</v>
      </c>
      <c r="Z224" s="62">
        <f t="shared" si="93"/>
        <v>1.5299999999999999E-2</v>
      </c>
      <c r="AA224" s="62">
        <f t="shared" si="84"/>
        <v>12.787599999999999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85"/>
        <v>50-21</v>
      </c>
      <c r="AE224" s="85" t="str">
        <f t="shared" si="86"/>
        <v>aws s3 cp s3://rtdc.mdm.uploadarchive.raw/RTDC4050/ "%USERPROFILE%\AppData\Local\Temp\OnboardLogs"\RTDC4050\1969-12-31 --exclude "*" --recursive --include "*19691231*" &amp; "%USERPROFILE%\Documents\GitHub\mrs-test-scripts\Headless Mode &amp; Sideloading\WalkAndUnGZ.bat" "%USERPROFILE%\AppData\Local\Temp\OnboardLogs"\RTDC4050\1969-12-31 &amp; aws s3 cp s3://rtdc.mdm.uploadarchive.raw/RTDC4050/ "%USERPROFILE%\AppData\Local\Temp\OnboardLogs"\RTDC4050\1970-01-01 --exclude "*" --recursive --include "*19700101*" &amp; "%USERPROFILE%\Documents\GitHub\mrs-test-scripts\Headless Mode &amp; Sideloading\WalkAndUnGZ.bat" "%USERPROFILE%\AppData\Local\Temp\OnboardLogs"\RTDC4050\1970-01-01</v>
      </c>
      <c r="AF224" s="82" t="str">
        <f t="shared" si="87"/>
        <v>"C:\Program Files (x86)\AstroGrep\AstroGrep.exe" /spath="%USERPROFILE%\AppData\Local\Temp\OnboardLogs" /stypes="app*4050*19700101*" /stext=" 00:.+((SYSTEM_STATE.+slice.+state.+changed )|(ment ac)|(multiple cpu faults)|(system.+state.+changed )|(\[timeout)|(PRM\|1\|D)|(kpr)|(kdp)|(\|lc)|(penalty))" /e /r /s</v>
      </c>
      <c r="AG224" s="1" t="str">
        <f t="shared" si="88"/>
        <v>Other</v>
      </c>
      <c r="AH224" s="86" t="str">
        <f t="shared" si="89"/>
        <v>"%USERPROFILE%\Documents\GitHub\eaglep3\Utilities\RefineRTDCRunTimes.py" --tripid 50-21 --locoid 4050 --swversion DE.1.0.9.0 --startMP 204:128029 --initTime 2017-02-21T03:23:33 --startdatetime 1969-12-31T17:00:00 --delay 1 --endMP 204:153 --enddatetime 1969-12-31T17:00:00 --enforcementcount 0 &gt;&gt;C:\Users\stu\Documents\GitHub\eaglep3-reporting\EC\2017-02-21-refined-times.txt</v>
      </c>
      <c r="AI224" s="108" t="str">
        <f t="shared" si="90"/>
        <v>echo {"issue":{"subject":"","project_id":79,"tracker_id":40,"status_id":1,"priority_id":2,"assigned_to_id":23,"start_date":"1969-12-31","description":"","custom_fields":[{"id":1,"name":"Subdivision","value":"Other"},{"id":4,"name":"Milepost","value":"0.0153"},{"id":17,"name":"Train ID","value":"50-21"},{"id":16,"name":"Locomotive ID","value":"4050"},{"id":130,"name":"Impact","value":""},{"id":150,"name":"Time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54" t="str">
        <f t="shared" si="91"/>
        <v>start /low /b %USERPROFILE%\Documents\GitHub\eaglep3\Utilities\DownloadLogsFromS3.py --loco 4050 --day 1969-12-31</v>
      </c>
      <c r="AN224" s="163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"%USERPROFILE%\AppData\Local\Temp\OnboardLogs"\RTDC4050\*4050*19700101* | grep -SE "(Enforcement Action)|(\[TIMEOUT)|(CHR.+\|PRM\|1\|D.+(SWITCH|SIGNAL).+UNKNOWN)" - &gt;&gt; 2017-02-21-UncaughtWiMAX.txt</v>
      </c>
    </row>
    <row r="225" spans="1:40" x14ac:dyDescent="0.25">
      <c r="A225" s="33" t="s">
        <v>515</v>
      </c>
      <c r="B225" s="7">
        <v>4006</v>
      </c>
      <c r="C225" s="21" t="s">
        <v>359</v>
      </c>
      <c r="D225" s="21" t="s">
        <v>288</v>
      </c>
      <c r="E225" s="13">
        <v>42787.20988425926</v>
      </c>
      <c r="F225" s="13">
        <v>42787.219293981485</v>
      </c>
      <c r="G225" s="7">
        <v>2</v>
      </c>
      <c r="H225" s="21" t="s">
        <v>334</v>
      </c>
      <c r="I225" s="13">
        <v>42787.243761574071</v>
      </c>
      <c r="J225" s="7">
        <v>0</v>
      </c>
      <c r="K225" s="98" t="str">
        <f t="shared" si="79"/>
        <v>4005/4006</v>
      </c>
      <c r="L225" s="21" t="str">
        <f>VLOOKUP(A225,'Trips&amp;Operators'!$C$1:$G$99999,5,FALSE)</f>
        <v>SANTIZO D. EDY</v>
      </c>
      <c r="M225" s="6">
        <f t="shared" si="80"/>
        <v>2.4467592586006504E-2</v>
      </c>
      <c r="N225" s="7">
        <f t="shared" si="77"/>
        <v>35.233333323849365</v>
      </c>
      <c r="O225" s="7"/>
      <c r="P225" s="7"/>
      <c r="Q225" s="22"/>
      <c r="R225" s="22"/>
      <c r="S225" s="31">
        <f t="shared" si="76"/>
        <v>0</v>
      </c>
      <c r="T225" s="46" t="e">
        <f t="shared" si="81"/>
        <v>#VALUE!</v>
      </c>
      <c r="U225" s="193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4" t="str">
        <f t="shared" si="82"/>
        <v>https://d0f6bd738d7f1b3e5a7ca70fe4ff75f0.us-east-1.aws.found.io/app/kibana#/discover/Steve-Slow-Train-Analysis-(2080s-and-2083s)?_g=(refreshInterval:(display:Off,pause:!f,section:0,value:0),time:(from:'2017-02-21T04:02:14-0700',mode:absolute,to:'2017-02-21T06:51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5" s="195" t="str">
        <f t="shared" si="83"/>
        <v>N</v>
      </c>
      <c r="X225" s="195" t="e">
        <f t="shared" si="78"/>
        <v>#VALUE!</v>
      </c>
      <c r="Y225" s="62">
        <f t="shared" si="92"/>
        <v>4.4400000000000002E-2</v>
      </c>
      <c r="Z225" s="62">
        <f t="shared" si="93"/>
        <v>23.330300000000001</v>
      </c>
      <c r="AA225" s="62">
        <f t="shared" si="84"/>
        <v>23.285900000000002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85"/>
        <v>51-21</v>
      </c>
      <c r="AE225" s="85" t="str">
        <f t="shared" si="86"/>
        <v>aws s3 cp s3://rtdc.mdm.uploadarchive.raw/RTDC4006/ "%USERPROFILE%\AppData\Local\Temp\OnboardLogs"\RTDC4006\2017-02-21 --exclude "*" --recursive --include "*20170221*" &amp; "%USERPROFILE%\Documents\GitHub\mrs-test-scripts\Headless Mode &amp; Sideloading\WalkAndUnGZ.bat" "%USERPROFILE%\AppData\Local\Temp\OnboardLogs"\RTDC4006\2017-02-21 &amp; aws s3 cp s3://rtdc.mdm.uploadarchive.raw/RTDC4006/ "%USERPROFILE%\AppData\Local\Temp\OnboardLogs"\RTDC4006\2017-02-22 --exclude "*" --recursive --include "*20170222*" &amp; "%USERPROFILE%\Documents\GitHub\mrs-test-scripts\Headless Mode &amp; Sideloading\WalkAndUnGZ.bat" "%USERPROFILE%\AppData\Local\Temp\OnboardLogs"\RTDC4006\2017-02-22</v>
      </c>
      <c r="AF225" s="82" t="str">
        <f t="shared" si="87"/>
        <v>"C:\Program Files (x86)\AstroGrep\AstroGrep.exe" /spath="%USERPROFILE%\AppData\Local\Temp\OnboardLogs" /stypes="app*4006*20170221*" /stext=" 12:.+((SYSTEM_STATE.+slice.+state.+changed )|(ment ac)|(multiple cpu faults)|(system.+state.+changed )|(\[timeout)|(PRM\|1\|D)|(kpr)|(kdp)|(\|lc)|(penalty))" /e /r /s</v>
      </c>
      <c r="AG225" s="1" t="str">
        <f t="shared" si="88"/>
        <v>Other</v>
      </c>
      <c r="AH225" s="86" t="str">
        <f t="shared" si="89"/>
        <v>"%USERPROFILE%\Documents\GitHub\eaglep3\Utilities\RefineRTDCRunTimes.py" --tripid 51-21 --locoid 4006 --swversion DE.1.0.9.0 --startMP 204:444 --initTime 2017-02-21T05:02:14 --startdatetime 2017-02-21T05:15:47 --delay 2 --endMP 204:233303 --enddatetime 2017-02-21T05:51:01 --enforcementcount 0 &gt;&gt;C:\Users\stu\Documents\GitHub\eaglep3-reporting\EC\2017-02-21-refined-times.txt</v>
      </c>
      <c r="AI225" s="108" t="str">
        <f t="shared" si="90"/>
        <v>echo {"issue":{"subject":"","project_id":79,"tracker_id":40,"status_id":1,"priority_id":2,"assigned_to_id":23,"start_date":"2017-02-21","description":"","custom_fields":[{"id":1,"name":"Subdivision","value":"Other"},{"id":4,"name":"Milepost","value":"23.3303"},{"id":17,"name":"Train ID","value":"51-21"},{"id":16,"name":"Locomotive ID","value":"4006"},{"id":130,"name":"Impact","value":""},{"id":150,"name":"Time of Event (Mountain Time)","value":"05:51:01"},{"id":151,"name":"Denver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54" t="str">
        <f t="shared" si="91"/>
        <v>start /low /b %USERPROFILE%\Documents\GitHub\eaglep3\Utilities\DownloadLogsFromS3.py --loco 4006 --day 2017-02-21</v>
      </c>
      <c r="AN225" s="163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"%USERPROFILE%\AppData\Local\Temp\OnboardLogs"\RTDC4006\*4006*20170221* | grep -SE "(Enforcement Action)|(\[TIMEOUT)|(CHR.+\|PRM\|1\|D.+(SWITCH|SIGNAL).+UNKNOWN)" - &gt;&gt; 2017-02-21-UncaughtWiMAX.txt</v>
      </c>
    </row>
    <row r="226" spans="1:40" x14ac:dyDescent="0.25">
      <c r="A226" s="33" t="s">
        <v>597</v>
      </c>
      <c r="B226" s="7">
        <v>4032</v>
      </c>
      <c r="C226" s="21" t="s">
        <v>359</v>
      </c>
      <c r="D226" s="21" t="s">
        <v>770</v>
      </c>
      <c r="E226" s="13">
        <v>42787.580104166664</v>
      </c>
      <c r="F226" s="13">
        <v>42787.651747685188</v>
      </c>
      <c r="G226" s="7">
        <v>6</v>
      </c>
      <c r="H226" s="21" t="s">
        <v>771</v>
      </c>
      <c r="I226" s="13">
        <v>42787.663645833331</v>
      </c>
      <c r="J226" s="7">
        <v>0</v>
      </c>
      <c r="K226" s="98" t="str">
        <f t="shared" si="79"/>
        <v>4031/4032</v>
      </c>
      <c r="L226" s="21" t="str">
        <f>VLOOKUP(A226,'Trips&amp;Operators'!$C$1:$G$99999,5,FALSE)</f>
        <v>BERLING GARY</v>
      </c>
      <c r="M226" s="6">
        <f t="shared" si="80"/>
        <v>1.1898148142790888E-2</v>
      </c>
      <c r="N226" s="7">
        <f t="shared" si="77"/>
        <v>17.133333325618878</v>
      </c>
      <c r="O226" s="7"/>
      <c r="P226" s="7"/>
      <c r="Q226" s="22"/>
      <c r="R226" s="22"/>
      <c r="S226" s="31">
        <f t="shared" si="76"/>
        <v>0</v>
      </c>
      <c r="T226" s="46" t="e">
        <f t="shared" si="81"/>
        <v>#VALUE!</v>
      </c>
      <c r="U226" s="193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4" t="str">
        <f t="shared" si="82"/>
        <v>https://d0f6bd738d7f1b3e5a7ca70fe4ff75f0.us-east-1.aws.found.io/app/kibana#/discover/Steve-Slow-Train-Analysis-(2080s-and-2083s)?_g=(refreshInterval:(display:Off,pause:!f,section:0,value:0),time:(from:'2017-02-21T12:55:21-0700',mode:absolute,to:'2017-02-21T16:55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6" s="195" t="str">
        <f t="shared" si="83"/>
        <v>Y</v>
      </c>
      <c r="X226" s="195" t="e">
        <f t="shared" si="78"/>
        <v>#VALUE!</v>
      </c>
      <c r="Y226" s="62">
        <f t="shared" si="92"/>
        <v>2.2046999999999999</v>
      </c>
      <c r="Z226" s="62">
        <f t="shared" si="93"/>
        <v>6.5000000000000002E-2</v>
      </c>
      <c r="AA226" s="62">
        <f t="shared" si="84"/>
        <v>2.1396999999999999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85"/>
        <v>52-21</v>
      </c>
      <c r="AE226" s="85" t="str">
        <f t="shared" si="86"/>
        <v>aws s3 cp s3://rtdc.mdm.uploadarchive.raw/RTDC4032/ "%USERPROFILE%\AppData\Local\Temp\OnboardLogs"\RTDC4032\2017-02-21 --exclude "*" --recursive --include "*20170221*" &amp; "%USERPROFILE%\Documents\GitHub\mrs-test-scripts\Headless Mode &amp; Sideloading\WalkAndUnGZ.bat" "%USERPROFILE%\AppData\Local\Temp\OnboardLogs"\RTDC4032\2017-02-21 &amp; aws s3 cp s3://rtdc.mdm.uploadarchive.raw/RTDC4032/ "%USERPROFILE%\AppData\Local\Temp\OnboardLogs"\RTDC4032\2017-02-22 --exclude "*" --recursive --include "*20170222*" &amp; "%USERPROFILE%\Documents\GitHub\mrs-test-scripts\Headless Mode &amp; Sideloading\WalkAndUnGZ.bat" "%USERPROFILE%\AppData\Local\Temp\OnboardLogs"\RTDC4032\2017-02-22</v>
      </c>
      <c r="AF226" s="82" t="str">
        <f t="shared" si="87"/>
        <v>"C:\Program Files (x86)\AstroGrep\AstroGrep.exe" /spath="%USERPROFILE%\AppData\Local\Temp\OnboardLogs" /stypes="app*4032*20170221*" /stext=" 22:.+((SYSTEM_STATE.+slice.+state.+changed )|(ment ac)|(multiple cpu faults)|(system.+state.+changed )|(\[timeout)|(PRM\|1\|D)|(kpr)|(kdp)|(\|lc)|(penalty))" /e /r /s</v>
      </c>
      <c r="AG226" s="1" t="str">
        <f t="shared" si="88"/>
        <v>Other</v>
      </c>
      <c r="AH226" s="86" t="str">
        <f t="shared" si="89"/>
        <v>"%USERPROFILE%\Documents\GitHub\eaglep3\Utilities\RefineRTDCRunTimes.py" --tripid 52-21 --locoid 4032 --swversion DE.1.0.9.0 --startMP 300:22047 --initTime 2017-02-21T13:55:21 --startdatetime 2017-02-21T15:38:31 --delay 6 --endMP 204:650 --enddatetime 2017-02-21T15:55:39 --enforcementcount 0 &gt;&gt;C:\Users\stu\Documents\GitHub\eaglep3-reporting\EC\2017-02-21-refined-times.txt</v>
      </c>
      <c r="AI226" s="108" t="str">
        <f t="shared" si="90"/>
        <v>echo {"issue":{"subject":"","project_id":79,"tracker_id":40,"status_id":1,"priority_id":2,"assigned_to_id":23,"start_date":"2017-02-21","description":"","custom_fields":[{"id":1,"name":"Subdivision","value":"Other"},{"id":4,"name":"Milepost","value":"0.065"},{"id":17,"name":"Train ID","value":"52-21"},{"id":16,"name":"Locomotive ID","value":"4032"},{"id":130,"name":"Impact","value":""},{"id":150,"name":"Time of Event (Mountain Time)","value":"15:55:39"},{"id":151,"name":"Denver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54" t="str">
        <f t="shared" si="91"/>
        <v>start /low /b %USERPROFILE%\Documents\GitHub\eaglep3\Utilities\DownloadLogsFromS3.py --loco 4032 --day 2017-02-21</v>
      </c>
      <c r="AN226" s="163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"%USERPROFILE%\AppData\Local\Temp\OnboardLogs"\RTDC4032\*4032*20170221* | grep -SE "(Enforcement Action)|(\[TIMEOUT)|(CHR.+\|PRM\|1\|D.+(SWITCH|SIGNAL).+UNKNOWN)" - &gt;&gt; 2017-02-21-UncaughtWiMAX.txt</v>
      </c>
    </row>
    <row r="227" spans="1:40" x14ac:dyDescent="0.25">
      <c r="A227" s="33" t="s">
        <v>609</v>
      </c>
      <c r="B227" s="7">
        <v>4007</v>
      </c>
      <c r="C227" s="21" t="s">
        <v>359</v>
      </c>
      <c r="D227" s="21" t="s">
        <v>772</v>
      </c>
      <c r="E227" s="13">
        <v>42787.633993055555</v>
      </c>
      <c r="F227" s="13">
        <v>25568.708333333332</v>
      </c>
      <c r="G227" s="7">
        <v>2</v>
      </c>
      <c r="H227" s="21" t="s">
        <v>290</v>
      </c>
      <c r="I227" s="13">
        <v>25568.708333333332</v>
      </c>
      <c r="J227" s="7">
        <v>0</v>
      </c>
      <c r="K227" s="98" t="str">
        <f t="shared" si="79"/>
        <v>4007/4008</v>
      </c>
      <c r="L227" s="21" t="str">
        <f>VLOOKUP(A227,'Trips&amp;Operators'!$C$1:$G$99999,5,FALSE)</f>
        <v>SWANSON BRYCE</v>
      </c>
      <c r="M227" s="6">
        <f t="shared" si="80"/>
        <v>0</v>
      </c>
      <c r="N227" s="7">
        <f t="shared" si="77"/>
        <v>0</v>
      </c>
      <c r="O227" s="7"/>
      <c r="P227" s="7"/>
      <c r="Q227" s="22"/>
      <c r="R227" s="22"/>
      <c r="S227" s="31">
        <f t="shared" ref="S227:S252" si="94">SUM(U227:U227)/IF(AG227="EC",12,1)</f>
        <v>0</v>
      </c>
      <c r="T227" s="46" t="e">
        <f t="shared" si="81"/>
        <v>#VALUE!</v>
      </c>
      <c r="U227" s="193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4" t="str">
        <f t="shared" si="82"/>
        <v>https://d0f6bd738d7f1b3e5a7ca70fe4ff75f0.us-east-1.aws.found.io/app/kibana#/discover/Steve-Slow-Train-Analysis-(2080s-and-2083s)?_g=(refreshInterval:(display:Off,pause:!f,section:0,value:0),time:(from:'2017-02-21T14:12:57-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7" s="195" t="str">
        <f t="shared" si="83"/>
        <v>Y</v>
      </c>
      <c r="X227" s="195" t="e">
        <f t="shared" si="78"/>
        <v>#VALUE!</v>
      </c>
      <c r="Y227" s="62">
        <f t="shared" si="92"/>
        <v>4.7E-2</v>
      </c>
      <c r="Z227" s="62">
        <f t="shared" si="93"/>
        <v>2.3346</v>
      </c>
      <c r="AA227" s="62">
        <f t="shared" si="84"/>
        <v>2.2875999999999999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85"/>
        <v>67-21</v>
      </c>
      <c r="AE227" s="85" t="str">
        <f t="shared" si="86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27" s="82" t="str">
        <f t="shared" si="87"/>
        <v>"C:\Program Files (x86)\AstroGrep\AstroGrep.exe" /spath="%USERPROFILE%\AppData\Local\Temp\OnboardLogs" /stypes="app*4007*19700101*" /stext=" 00:.+((SYSTEM_STATE.+slice.+state.+changed )|(ment ac)|(multiple cpu faults)|(system.+state.+changed )|(\[timeout)|(PRM\|1\|D)|(kpr)|(kdp)|(\|lc)|(penalty))" /e /r /s</v>
      </c>
      <c r="AG227" s="1" t="str">
        <f t="shared" si="88"/>
        <v>Other</v>
      </c>
      <c r="AH227" s="86" t="str">
        <f t="shared" si="89"/>
        <v>"%USERPROFILE%\Documents\GitHub\eaglep3\Utilities\RefineRTDCRunTimes.py" --tripid 67-21 --locoid 4007 --swversion DE.1.0.9.0 --startMP 204:470 --initTime 2017-02-21T15:12:57 --startdatetime 1969-12-31T17:00:00 --delay 2 --endMP 300:23346 --enddatetime 1969-12-31T17:00:00 --enforcementcount 0 &gt;&gt;C:\Users\stu\Documents\GitHub\eaglep3-reporting\EC\2017-02-21-refined-times.txt</v>
      </c>
      <c r="AI227" s="108" t="str">
        <f t="shared" si="90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ID","value":"67-21"},{"id":16,"name":"Locomotive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48"/>
      <c r="AK227" s="48"/>
      <c r="AL227" s="48"/>
      <c r="AM227" s="154" t="str">
        <f t="shared" si="91"/>
        <v>start /low /b %USERPROFILE%\Documents\GitHub\eaglep3\Utilities\DownloadLogsFromS3.py --loco 4007 --day 1969-12-31</v>
      </c>
      <c r="AN227" s="163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"%USERPROFILE%\AppData\Local\Temp\OnboardLogs"\RTDC4007\*4007*19700101* | grep -SE "(Enforcement Action)|(\[TIMEOUT)|(CHR.+\|PRM\|1\|D.+(SWITCH|SIGNAL).+UNKNOWN)" - &gt;&gt; 2017-02-21-UncaughtWiMAX.txt</v>
      </c>
    </row>
    <row r="228" spans="1:40" x14ac:dyDescent="0.25">
      <c r="A228" s="33" t="s">
        <v>639</v>
      </c>
      <c r="B228" s="7">
        <v>4045</v>
      </c>
      <c r="C228" s="21" t="s">
        <v>359</v>
      </c>
      <c r="D228" s="21" t="s">
        <v>773</v>
      </c>
      <c r="E228" s="13">
        <v>42787.742349537039</v>
      </c>
      <c r="F228" s="13">
        <v>42787.745011574072</v>
      </c>
      <c r="G228" s="7">
        <v>3</v>
      </c>
      <c r="H228" s="21" t="s">
        <v>774</v>
      </c>
      <c r="I228" s="13">
        <v>42787.753287037034</v>
      </c>
      <c r="J228" s="7">
        <v>0</v>
      </c>
      <c r="K228" s="98" t="str">
        <f t="shared" si="79"/>
        <v>4045/4046</v>
      </c>
      <c r="L228" s="21" t="str">
        <f>VLOOKUP(A228,'Trips&amp;Operators'!$C$1:$G$99999,5,FALSE)</f>
        <v>MAGEE KENYA</v>
      </c>
      <c r="M228" s="6">
        <f t="shared" si="80"/>
        <v>8.2754629620467313E-3</v>
      </c>
      <c r="N228" s="7">
        <f t="shared" si="77"/>
        <v>11.916666665347293</v>
      </c>
      <c r="O228" s="7"/>
      <c r="P228" s="7"/>
      <c r="Q228" s="22"/>
      <c r="R228" s="22"/>
      <c r="S228" s="31">
        <f t="shared" si="94"/>
        <v>0</v>
      </c>
      <c r="T228" s="46" t="e">
        <f t="shared" si="81"/>
        <v>#VALUE!</v>
      </c>
      <c r="U228" s="193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4" t="str">
        <f t="shared" si="82"/>
        <v>https://d0f6bd738d7f1b3e5a7ca70fe4ff75f0.us-east-1.aws.found.io/app/kibana#/discover/Steve-Slow-Train-Analysis-(2080s-and-2083s)?_g=(refreshInterval:(display:Off,pause:!f,section:0,value:0),time:(from:'2017-02-21T16:48:59-0700',mode:absolute,to:'2017-02-21T19:04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8" s="195" t="str">
        <f t="shared" si="83"/>
        <v>Y</v>
      </c>
      <c r="X228" s="195" t="e">
        <f t="shared" si="78"/>
        <v>#VALUE!</v>
      </c>
      <c r="Y228" s="62">
        <f t="shared" si="92"/>
        <v>2.1787999999999998</v>
      </c>
      <c r="Z228" s="62">
        <f t="shared" si="93"/>
        <v>0.17899999999999999</v>
      </c>
      <c r="AA228" s="62">
        <f t="shared" si="84"/>
        <v>1.9997999999999998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85"/>
        <v>72-21</v>
      </c>
      <c r="AE228" s="85" t="str">
        <f t="shared" si="86"/>
        <v>aws s3 cp s3://rtdc.mdm.uploadarchive.raw/RTDC4045/ "%USERPROFILE%\AppData\Local\Temp\OnboardLogs"\RTDC4045\2017-02-21 --exclude "*" --recursive --include "*20170221*" &amp; "%USERPROFILE%\Documents\GitHub\mrs-test-scripts\Headless Mode &amp; Sideloading\WalkAndUnGZ.bat" "%USERPROFILE%\AppData\Local\Temp\OnboardLogs"\RTDC4045\2017-02-21 &amp; aws s3 cp s3://rtdc.mdm.uploadarchive.raw/RTDC4045/ "%USERPROFILE%\AppData\Local\Temp\OnboardLogs"\RTDC4045\2017-02-22 --exclude "*" --recursive --include "*20170222*" &amp; "%USERPROFILE%\Documents\GitHub\mrs-test-scripts\Headless Mode &amp; Sideloading\WalkAndUnGZ.bat" "%USERPROFILE%\AppData\Local\Temp\OnboardLogs"\RTDC4045\2017-02-22</v>
      </c>
      <c r="AF228" s="82" t="str">
        <f t="shared" si="87"/>
        <v>"C:\Program Files (x86)\AstroGrep\AstroGrep.exe" /spath="%USERPROFILE%\AppData\Local\Temp\OnboardLogs" /stypes="app*4045*20170222*" /stext=" 01:.+((SYSTEM_STATE.+slice.+state.+changed )|(ment ac)|(multiple cpu faults)|(system.+state.+changed )|(\[timeout)|(PRM\|1\|D)|(kpr)|(kdp)|(\|lc)|(penalty))" /e /r /s</v>
      </c>
      <c r="AG228" s="1" t="str">
        <f t="shared" si="88"/>
        <v>Other</v>
      </c>
      <c r="AH228" s="86" t="str">
        <f t="shared" si="89"/>
        <v>"%USERPROFILE%\Documents\GitHub\eaglep3\Utilities\RefineRTDCRunTimes.py" --tripid 72-21 --locoid 4045 --swversion DE.1.0.9.0 --startMP 300:21788 --initTime 2017-02-21T17:48:59 --startdatetime 2017-02-21T17:52:49 --delay 3 --endMP 204:1790 --enddatetime 2017-02-21T18:04:44 --enforcementcount 0 &gt;&gt;C:\Users\stu\Documents\GitHub\eaglep3-reporting\EC\2017-02-21-refined-times.txt</v>
      </c>
      <c r="AI228" s="108" t="str">
        <f t="shared" si="90"/>
        <v>echo {"issue":{"subject":"","project_id":79,"tracker_id":40,"status_id":1,"priority_id":2,"assigned_to_id":23,"start_date":"2017-02-21","description":"","custom_fields":[{"id":1,"name":"Subdivision","value":"Other"},{"id":4,"name":"Milepost","value":"0.179"},{"id":17,"name":"Train ID","value":"72-21"},{"id":16,"name":"Locomotive ID","value":"4045"},{"id":130,"name":"Impact","value":""},{"id":150,"name":"Time of Event (Mountain Time)","value":"18:04:44"},{"id":151,"name":"Denver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48"/>
      <c r="AK228" s="48"/>
      <c r="AL228" s="48"/>
      <c r="AM228" s="154" t="str">
        <f t="shared" si="91"/>
        <v>start /low /b %USERPROFILE%\Documents\GitHub\eaglep3\Utilities\DownloadLogsFromS3.py --loco 4045 --day 2017-02-21</v>
      </c>
      <c r="AN228" s="163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"%USERPROFILE%\AppData\Local\Temp\OnboardLogs"\RTDC4045\*4045*20170222* | grep -SE "(Enforcement Action)|(\[TIMEOUT)|(CHR.+\|PRM\|1\|D.+(SWITCH|SIGNAL).+UNKNOWN)" - &gt;&gt; 2017-02-21-UncaughtWiMAX.txt</v>
      </c>
    </row>
    <row r="229" spans="1:40" x14ac:dyDescent="0.25">
      <c r="A229" s="33" t="s">
        <v>631</v>
      </c>
      <c r="B229" s="7">
        <v>4018</v>
      </c>
      <c r="C229" s="21" t="s">
        <v>359</v>
      </c>
      <c r="D229" s="21" t="s">
        <v>775</v>
      </c>
      <c r="E229" s="13">
        <v>42787.726168981484</v>
      </c>
      <c r="F229" s="13">
        <v>25568.708333333332</v>
      </c>
      <c r="G229" s="7">
        <v>1</v>
      </c>
      <c r="H229" s="21" t="s">
        <v>290</v>
      </c>
      <c r="I229" s="13">
        <v>25568.708333333332</v>
      </c>
      <c r="J229" s="7">
        <v>0</v>
      </c>
      <c r="K229" s="98" t="str">
        <f t="shared" si="79"/>
        <v>4017/4018</v>
      </c>
      <c r="L229" s="21" t="str">
        <f>VLOOKUP(A229,'Trips&amp;Operators'!$C$1:$G$99999,5,FALSE)</f>
        <v>DE LA ROSA ALEX</v>
      </c>
      <c r="M229" s="6">
        <f t="shared" si="80"/>
        <v>0</v>
      </c>
      <c r="N229" s="7">
        <f t="shared" ref="N229:N252" si="95">24*60*SUM($M229:$M229)</f>
        <v>0</v>
      </c>
      <c r="O229" s="7"/>
      <c r="P229" s="7"/>
      <c r="Q229" s="22"/>
      <c r="R229" s="22"/>
      <c r="S229" s="31">
        <f t="shared" si="94"/>
        <v>0</v>
      </c>
      <c r="T229" s="46" t="e">
        <f t="shared" si="81"/>
        <v>#VALUE!</v>
      </c>
      <c r="U229" s="193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4" t="str">
        <f t="shared" si="82"/>
        <v>https://d0f6bd738d7f1b3e5a7ca70fe4ff75f0.us-east-1.aws.found.io/app/kibana#/discover/Steve-Slow-Train-Analysis-(2080s-and-2083s)?_g=(refreshInterval:(display:Off,pause:!f,section:0,value:0),time:(from:'2017-02-21T16:25:41-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9" s="195" t="str">
        <f t="shared" si="83"/>
        <v>Y</v>
      </c>
      <c r="X229" s="195" t="e">
        <f t="shared" si="78"/>
        <v>#VALUE!</v>
      </c>
      <c r="Y229" s="62">
        <f t="shared" si="92"/>
        <v>0.1143</v>
      </c>
      <c r="Z229" s="62">
        <f t="shared" si="93"/>
        <v>2.3346</v>
      </c>
      <c r="AA229" s="62">
        <f t="shared" si="84"/>
        <v>2.2202999999999999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85"/>
        <v>73-21</v>
      </c>
      <c r="AE229" s="85" t="str">
        <f t="shared" si="86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29" s="82" t="str">
        <f t="shared" si="87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29" s="1" t="str">
        <f t="shared" si="88"/>
        <v>Other</v>
      </c>
      <c r="AH229" s="86" t="str">
        <f t="shared" si="89"/>
        <v>"%USERPROFILE%\Documents\GitHub\eaglep3\Utilities\RefineRTDCRunTimes.py" --tripid 73-21 --locoid 4018 --swversion DE.1.0.9.0 --startMP 204:1143 --initTime 2017-02-21T17:25:41 --startdatetime 1969-12-31T17:00:00 --delay 1 --endMP 300:23346 --enddatetime 1969-12-31T17:00:00 --enforcementcount 0 &gt;&gt;C:\Users\stu\Documents\GitHub\eaglep3-reporting\EC\2017-02-21-refined-times.txt</v>
      </c>
      <c r="AI229" s="108" t="str">
        <f t="shared" si="90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ID","value":"73-21"},{"id":16,"name":"Locomotive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48"/>
      <c r="AK229" s="48"/>
      <c r="AL229" s="48"/>
      <c r="AM229" s="154" t="str">
        <f t="shared" si="91"/>
        <v>start /low /b %USERPROFILE%\Documents\GitHub\eaglep3\Utilities\DownloadLogsFromS3.py --loco 4018 --day 1969-12-31</v>
      </c>
      <c r="AN229" s="163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"%USERPROFILE%\AppData\Local\Temp\OnboardLogs"\RTDC4018\*4018*19700101* | grep -SE "(Enforcement Action)|(\[TIMEOUT)|(CHR.+\|PRM\|1\|D.+(SWITCH|SIGNAL).+UNKNOWN)" - &gt;&gt; 2017-02-21-UncaughtWiMAX.txt</v>
      </c>
    </row>
    <row r="230" spans="1:40" x14ac:dyDescent="0.25">
      <c r="A230" s="33" t="s">
        <v>642</v>
      </c>
      <c r="B230" s="7">
        <v>4012</v>
      </c>
      <c r="C230" s="21" t="s">
        <v>359</v>
      </c>
      <c r="D230" s="21" t="s">
        <v>776</v>
      </c>
      <c r="E230" s="13">
        <v>42787.744039351855</v>
      </c>
      <c r="F230" s="13">
        <v>42787.747152777774</v>
      </c>
      <c r="G230" s="7">
        <v>4</v>
      </c>
      <c r="H230" s="21" t="s">
        <v>777</v>
      </c>
      <c r="I230" s="13">
        <v>42787.755555555559</v>
      </c>
      <c r="J230" s="7">
        <v>0</v>
      </c>
      <c r="K230" s="98" t="str">
        <f t="shared" si="79"/>
        <v>4011/4012</v>
      </c>
      <c r="L230" s="21" t="str">
        <f>VLOOKUP(A230,'Trips&amp;Operators'!$C$1:$G$99999,5,FALSE)</f>
        <v>STAMBAUGH JAMES</v>
      </c>
      <c r="M230" s="6">
        <f t="shared" si="80"/>
        <v>8.4027777847950347E-3</v>
      </c>
      <c r="N230" s="7">
        <f t="shared" si="95"/>
        <v>12.10000001010485</v>
      </c>
      <c r="O230" s="7"/>
      <c r="P230" s="7"/>
      <c r="Q230" s="22"/>
      <c r="R230" s="22"/>
      <c r="S230" s="31">
        <f t="shared" si="94"/>
        <v>0</v>
      </c>
      <c r="T230" s="46" t="e">
        <f t="shared" si="81"/>
        <v>#VALUE!</v>
      </c>
      <c r="U230" s="193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4" t="str">
        <f t="shared" si="82"/>
        <v>https://d0f6bd738d7f1b3e5a7ca70fe4ff75f0.us-east-1.aws.found.io/app/kibana#/discover/Steve-Slow-Train-Analysis-(2080s-and-2083s)?_g=(refreshInterval:(display:Off,pause:!f,section:0,value:0),time:(from:'2017-02-21T16:51:25-0700',mode:absolute,to:'2017-02-21T19:08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0" s="195" t="str">
        <f t="shared" si="83"/>
        <v>Y</v>
      </c>
      <c r="X230" s="195" t="e">
        <f t="shared" si="78"/>
        <v>#VALUE!</v>
      </c>
      <c r="Y230" s="62">
        <f t="shared" si="92"/>
        <v>2.2073999999999998</v>
      </c>
      <c r="Z230" s="62">
        <f t="shared" si="93"/>
        <v>2.0500000000000001E-2</v>
      </c>
      <c r="AA230" s="62">
        <f t="shared" si="84"/>
        <v>2.1868999999999996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85"/>
        <v>76-21</v>
      </c>
      <c r="AE230" s="85" t="str">
        <f t="shared" si="86"/>
        <v>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 &amp; aws s3 cp s3://rtdc.mdm.uploadarchive.raw/RTDC4012/ "%USERPROFILE%\AppData\Local\Temp\OnboardLogs"\RTDC4012\2017-02-22 --exclude "*" --recursive --include "*20170222*" &amp; "%USERPROFILE%\Documents\GitHub\mrs-test-scripts\Headless Mode &amp; Sideloading\WalkAndUnGZ.bat" "%USERPROFILE%\AppData\Local\Temp\OnboardLogs"\RTDC4012\2017-02-22</v>
      </c>
      <c r="AF230" s="82" t="str">
        <f t="shared" si="87"/>
        <v>"C:\Program Files (x86)\AstroGrep\AstroGrep.exe" /spath="%USERPROFILE%\AppData\Local\Temp\OnboardLogs" /stypes="app*4012*20170222*" /stext=" 01:.+((SYSTEM_STATE.+slice.+state.+changed )|(ment ac)|(multiple cpu faults)|(system.+state.+changed )|(\[timeout)|(PRM\|1\|D)|(kpr)|(kdp)|(\|lc)|(penalty))" /e /r /s</v>
      </c>
      <c r="AG230" s="1" t="str">
        <f t="shared" si="88"/>
        <v>Other</v>
      </c>
      <c r="AH230" s="86" t="str">
        <f t="shared" si="89"/>
        <v>"%USERPROFILE%\Documents\GitHub\eaglep3\Utilities\RefineRTDCRunTimes.py" --tripid 76-21 --locoid 4012 --swversion DE.1.0.9.0 --startMP 300:22074 --initTime 2017-02-21T17:51:25 --startdatetime 2017-02-21T17:55:54 --delay 4 --endMP 204:205 --enddatetime 2017-02-21T18:08:00 --enforcementcount 0 &gt;&gt;C:\Users\stu\Documents\GitHub\eaglep3-reporting\EC\2017-02-21-refined-times.txt</v>
      </c>
      <c r="AI230" s="108" t="str">
        <f t="shared" si="90"/>
        <v>echo {"issue":{"subject":"","project_id":79,"tracker_id":40,"status_id":1,"priority_id":2,"assigned_to_id":23,"start_date":"2017-02-21","description":"","custom_fields":[{"id":1,"name":"Subdivision","value":"Other"},{"id":4,"name":"Milepost","value":"0.0205"},{"id":17,"name":"Train ID","value":"76-21"},{"id":16,"name":"Locomotive ID","value":"4012"},{"id":130,"name":"Impact","value":""},{"id":150,"name":"Time of Event (Mountain Time)","value":"18:08:00"},{"id":151,"name":"Denver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48"/>
      <c r="AK230" s="48"/>
      <c r="AL230" s="48"/>
      <c r="AM230" s="154" t="str">
        <f t="shared" si="91"/>
        <v>start /low /b %USERPROFILE%\Documents\GitHub\eaglep3\Utilities\DownloadLogsFromS3.py --loco 4012 --day 2017-02-21</v>
      </c>
      <c r="AN230" s="163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"%USERPROFILE%\AppData\Local\Temp\OnboardLogs"\RTDC4012\*4012*20170222* | grep -SE "(Enforcement Action)|(\[TIMEOUT)|(CHR.+\|PRM\|1\|D.+(SWITCH|SIGNAL).+UNKNOWN)" - &gt;&gt; 2017-02-21-UncaughtWiMAX.txt</v>
      </c>
    </row>
    <row r="231" spans="1:40" x14ac:dyDescent="0.25">
      <c r="A231" s="33" t="s">
        <v>649</v>
      </c>
      <c r="B231" s="7">
        <v>4011</v>
      </c>
      <c r="C231" s="21" t="s">
        <v>359</v>
      </c>
      <c r="D231" s="21" t="s">
        <v>778</v>
      </c>
      <c r="E231" s="13">
        <v>42787.771666666667</v>
      </c>
      <c r="F231" s="13">
        <v>42787.773553240739</v>
      </c>
      <c r="G231" s="7">
        <v>1</v>
      </c>
      <c r="H231" s="21" t="s">
        <v>779</v>
      </c>
      <c r="I231" s="13">
        <v>42787.779074074075</v>
      </c>
      <c r="J231" s="7">
        <v>0</v>
      </c>
      <c r="K231" s="98" t="str">
        <f t="shared" si="79"/>
        <v>4011/4012</v>
      </c>
      <c r="L231" s="21" t="str">
        <f>VLOOKUP(A231,'Trips&amp;Operators'!$C$1:$G$99999,5,FALSE)</f>
        <v>LEVERE CRAIG</v>
      </c>
      <c r="M231" s="6">
        <f t="shared" si="80"/>
        <v>5.5208333360496908E-3</v>
      </c>
      <c r="N231" s="7">
        <f t="shared" si="95"/>
        <v>7.9500000039115548</v>
      </c>
      <c r="O231" s="7"/>
      <c r="P231" s="7"/>
      <c r="Q231" s="22"/>
      <c r="R231" s="22"/>
      <c r="S231" s="31">
        <f t="shared" si="94"/>
        <v>0</v>
      </c>
      <c r="T231" s="46" t="e">
        <f t="shared" si="81"/>
        <v>#VALUE!</v>
      </c>
      <c r="U231" s="193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4" t="str">
        <f t="shared" si="82"/>
        <v>https://d0f6bd738d7f1b3e5a7ca70fe4ff75f0.us-east-1.aws.found.io/app/kibana#/discover/Steve-Slow-Train-Analysis-(2080s-and-2083s)?_g=(refreshInterval:(display:Off,pause:!f,section:0,value:0),time:(from:'2017-02-21T17:31:12-0700',mode:absolute,to:'2017-02-21T19:41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1" s="195" t="str">
        <f t="shared" si="83"/>
        <v>Y</v>
      </c>
      <c r="X231" s="195" t="e">
        <f t="shared" si="78"/>
        <v>#VALUE!</v>
      </c>
      <c r="Y231" s="62">
        <f t="shared" si="92"/>
        <v>5.1299999999999998E-2</v>
      </c>
      <c r="Z231" s="62">
        <f t="shared" si="93"/>
        <v>2.2846000000000002</v>
      </c>
      <c r="AA231" s="62">
        <f t="shared" si="84"/>
        <v>2.2333000000000003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85"/>
        <v>77-21</v>
      </c>
      <c r="AE231" s="85" t="str">
        <f t="shared" si="86"/>
        <v>aws s3 cp s3://rtdc.mdm.uploadarchive.raw/RTDC4011/ "%USERPROFILE%\AppData\Local\Temp\OnboardLogs"\RTDC4011\2017-02-21 --exclude "*" --recursive --include "*20170221*" &amp; "%USERPROFILE%\Documents\GitHub\mrs-test-scripts\Headless Mode &amp; Sideloading\WalkAndUnGZ.bat" "%USERPROFILE%\AppData\Local\Temp\OnboardLogs"\RTDC4011\2017-02-21 &amp; aws s3 cp s3://rtdc.mdm.uploadarchive.raw/RTDC4011/ "%USERPROFILE%\AppData\Local\Temp\OnboardLogs"\RTDC4011\2017-02-22 --exclude "*" --recursive --include "*20170222*" &amp; "%USERPROFILE%\Documents\GitHub\mrs-test-scripts\Headless Mode &amp; Sideloading\WalkAndUnGZ.bat" "%USERPROFILE%\AppData\Local\Temp\OnboardLogs"\RTDC4011\2017-02-22</v>
      </c>
      <c r="AF231" s="82" t="str">
        <f t="shared" si="87"/>
        <v>"C:\Program Files (x86)\AstroGrep\AstroGrep.exe" /spath="%USERPROFILE%\AppData\Local\Temp\OnboardLogs" /stypes="app*4011*20170222*" /stext=" 01:.+((SYSTEM_STATE.+slice.+state.+changed )|(ment ac)|(multiple cpu faults)|(system.+state.+changed )|(\[timeout)|(PRM\|1\|D)|(kpr)|(kdp)|(\|lc)|(penalty))" /e /r /s</v>
      </c>
      <c r="AG231" s="1" t="str">
        <f t="shared" si="88"/>
        <v>Other</v>
      </c>
      <c r="AH231" s="86" t="str">
        <f t="shared" si="89"/>
        <v>"%USERPROFILE%\Documents\GitHub\eaglep3\Utilities\RefineRTDCRunTimes.py" --tripid 77-21 --locoid 4011 --swversion DE.1.0.9.0 --startMP 204:513 --initTime 2017-02-21T18:31:12 --startdatetime 2017-02-21T18:33:55 --delay 1 --endMP 300:22846 --enddatetime 2017-02-21T18:41:52 --enforcementcount 0 &gt;&gt;C:\Users\stu\Documents\GitHub\eaglep3-reporting\EC\2017-02-21-refined-times.txt</v>
      </c>
      <c r="AI231" s="108" t="str">
        <f t="shared" si="90"/>
        <v>echo {"issue":{"subject":"","project_id":79,"tracker_id":40,"status_id":1,"priority_id":2,"assigned_to_id":23,"start_date":"2017-02-21","description":"","custom_fields":[{"id":1,"name":"Subdivision","value":"Other"},{"id":4,"name":"Milepost","value":"2.2846"},{"id":17,"name":"Train ID","value":"77-21"},{"id":16,"name":"Locomotive ID","value":"4011"},{"id":130,"name":"Impact","value":""},{"id":150,"name":"Time of Event (Mountain Time)","value":"18:41:52"},{"id":151,"name":"Denver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48"/>
      <c r="AK231" s="48"/>
      <c r="AL231" s="48"/>
      <c r="AM231" s="154" t="str">
        <f t="shared" si="91"/>
        <v>start /low /b %USERPROFILE%\Documents\GitHub\eaglep3\Utilities\DownloadLogsFromS3.py --loco 4011 --day 2017-02-21</v>
      </c>
      <c r="AN231" s="163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"%USERPROFILE%\AppData\Local\Temp\OnboardLogs"\RTDC4011\*4011*20170222* | grep -SE "(Enforcement Action)|(\[TIMEOUT)|(CHR.+\|PRM\|1\|D.+(SWITCH|SIGNAL).+UNKNOWN)" - &gt;&gt; 2017-02-21-UncaughtWiMAX.txt</v>
      </c>
    </row>
    <row r="232" spans="1:40" x14ac:dyDescent="0.25">
      <c r="A232" s="33" t="s">
        <v>492</v>
      </c>
      <c r="B232" s="7">
        <v>4049</v>
      </c>
      <c r="C232" s="21" t="s">
        <v>359</v>
      </c>
      <c r="D232" s="21" t="s">
        <v>841</v>
      </c>
      <c r="E232" s="13">
        <v>42787.950729166667</v>
      </c>
      <c r="F232" s="13">
        <v>42787.982719907406</v>
      </c>
      <c r="G232" s="7">
        <v>1</v>
      </c>
      <c r="H232" s="21" t="s">
        <v>842</v>
      </c>
      <c r="I232" s="13">
        <v>42787.985891203702</v>
      </c>
      <c r="J232" s="7">
        <v>0</v>
      </c>
      <c r="K232" s="98" t="str">
        <f t="shared" si="79"/>
        <v>4049/4050</v>
      </c>
      <c r="L232" s="21" t="str">
        <f>VLOOKUP(A232,'Trips&amp;Operators'!$C$1:$G$99999,5,FALSE)</f>
        <v>YANG JAN</v>
      </c>
      <c r="M232" s="6">
        <f t="shared" si="80"/>
        <v>3.1712962954770774E-3</v>
      </c>
      <c r="N232" s="7">
        <f t="shared" si="95"/>
        <v>4.5666666654869914</v>
      </c>
      <c r="O232" s="7"/>
      <c r="P232" s="7"/>
      <c r="Q232" s="22"/>
      <c r="R232" s="22"/>
      <c r="S232" s="31">
        <f t="shared" si="94"/>
        <v>0</v>
      </c>
      <c r="T232" s="46" t="e">
        <f t="shared" si="81"/>
        <v>#VALUE!</v>
      </c>
      <c r="U232" s="193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4" t="str">
        <f t="shared" si="82"/>
        <v>https://d0f6bd738d7f1b3e5a7ca70fe4ff75f0.us-east-1.aws.found.io/app/kibana#/discover/Steve-Slow-Train-Analysis-(2080s-and-2083s)?_g=(refreshInterval:(display:Off,pause:!f,section:0,value:0),time:(from:'2017-02-21T21:49:03-0700',mode:absolute,to:'2017-02-22T00:39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2" s="195" t="str">
        <f t="shared" si="83"/>
        <v>Y</v>
      </c>
      <c r="X232" s="195" t="e">
        <f t="shared" si="78"/>
        <v>#VALUE!</v>
      </c>
      <c r="Y232" s="62">
        <f t="shared" si="92"/>
        <v>0.1244</v>
      </c>
      <c r="Z232" s="62">
        <f t="shared" si="93"/>
        <v>2.3654000000000002</v>
      </c>
      <c r="AA232" s="62">
        <f t="shared" si="84"/>
        <v>2.2410000000000001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85"/>
        <v>PTCTESTNORTH-21</v>
      </c>
      <c r="AE232" s="85" t="str">
        <f t="shared" si="86"/>
        <v>aws s3 cp s3://rtdc.mdm.uploadarchive.raw/RTDC4049/ "%USERPROFILE%\AppData\Local\Temp\OnboardLogs"\RTDC4049\2017-02-21 --exclude "*" --recursive --include "*20170221*" &amp; "%USERPROFILE%\Documents\GitHub\mrs-test-scripts\Headless Mode &amp; Sideloading\WalkAndUnGZ.bat" "%USERPROFILE%\AppData\Local\Temp\OnboardLogs"\RTDC4049\2017-02-21 &amp; aws s3 cp s3://rtdc.mdm.uploadarchive.raw/RTDC4049/ "%USERPROFILE%\AppData\Local\Temp\OnboardLogs"\RTDC4049\2017-02-22 --exclude "*" --recursive --include "*20170222*" &amp; "%USERPROFILE%\Documents\GitHub\mrs-test-scripts\Headless Mode &amp; Sideloading\WalkAndUnGZ.bat" "%USERPROFILE%\AppData\Local\Temp\OnboardLogs"\RTDC4049\2017-02-22</v>
      </c>
      <c r="AF232" s="82" t="str">
        <f t="shared" si="87"/>
        <v>"C:\Program Files (x86)\AstroGrep\AstroGrep.exe" /spath="%USERPROFILE%\AppData\Local\Temp\OnboardLogs" /stypes="app*4049*20170222*" /stext=" 06:.+((SYSTEM_STATE.+slice.+state.+changed )|(ment ac)|(multiple cpu faults)|(system.+state.+changed )|(\[timeout)|(PRM\|1\|D)|(kpr)|(kdp)|(\|lc)|(penalty))" /e /r /s</v>
      </c>
      <c r="AG232" s="1" t="str">
        <f t="shared" si="88"/>
        <v>Other</v>
      </c>
      <c r="AH232" s="86" t="str">
        <f t="shared" si="89"/>
        <v>"%USERPROFILE%\Documents\GitHub\eaglep3\Utilities\RefineRTDCRunTimes.py" --tripid PTCTESTNORTH-21 --locoid 4049 --swversion DE.1.0.9.0 --startMP 204:1244 --initTime 2017-02-21T22:49:03 --startdatetime 2017-02-21T23:35:07 --delay 1 --endMP 300:23654 --enddatetime 2017-02-21T23:39:41 --enforcementcount 0 &gt;&gt;C:\Users\stu\Documents\GitHub\eaglep3-reporting\EC\2017-02-21-refined-times.txt</v>
      </c>
      <c r="AI232" s="108" t="str">
        <f t="shared" si="90"/>
        <v>echo {"issue":{"subject":"","project_id":79,"tracker_id":40,"status_id":1,"priority_id":2,"assigned_to_id":23,"start_date":"2017-02-21","description":"","custom_fields":[{"id":1,"name":"Subdivision","value":"Other"},{"id":4,"name":"Milepost","value":"2.3654"},{"id":17,"name":"Train ID","value":"PTCTESTNORTH-21"},{"id":16,"name":"Locomotive ID","value":"4049"},{"id":130,"name":"Impact","value":""},{"id":150,"name":"Time of Event (Mountain Time)","value":"23:39:41"},{"id":151,"name":"Denver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48"/>
      <c r="AK232" s="48"/>
      <c r="AL232" s="48"/>
      <c r="AM232" s="154" t="str">
        <f t="shared" si="91"/>
        <v>start /low /b %USERPROFILE%\Documents\GitHub\eaglep3\Utilities\DownloadLogsFromS3.py --loco 4049 --day 2017-02-21</v>
      </c>
      <c r="AN232" s="163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"%USERPROFILE%\AppData\Local\Temp\OnboardLogs"\RTDC4049\*4049*20170222* | grep -SE "(Enforcement Action)|(\[TIMEOUT)|(CHR.+\|PRM\|1\|D.+(SWITCH|SIGNAL).+UNKNOWN)" - &gt;&gt; 2017-02-21-UncaughtWiMAX.txt</v>
      </c>
    </row>
    <row r="233" spans="1:40" x14ac:dyDescent="0.25">
      <c r="A233" s="33" t="s">
        <v>492</v>
      </c>
      <c r="B233" s="7">
        <v>4049</v>
      </c>
      <c r="C233" s="21" t="s">
        <v>359</v>
      </c>
      <c r="D233" s="21" t="s">
        <v>843</v>
      </c>
      <c r="E233" s="13">
        <v>42787.971898148149</v>
      </c>
      <c r="F233" s="13">
        <v>42787.996782407405</v>
      </c>
      <c r="G233" s="7">
        <v>1</v>
      </c>
      <c r="H233" s="21" t="s">
        <v>844</v>
      </c>
      <c r="I233" s="13">
        <v>42788.001655092594</v>
      </c>
      <c r="J233" s="7">
        <v>0</v>
      </c>
      <c r="K233" s="98" t="str">
        <f t="shared" si="79"/>
        <v>4049/4050</v>
      </c>
      <c r="L233" s="21" t="str">
        <f>VLOOKUP(A233,'Trips&amp;Operators'!$C$1:$G$99999,5,FALSE)</f>
        <v>YANG JAN</v>
      </c>
      <c r="M233" s="6">
        <f t="shared" si="80"/>
        <v>4.8726851891842671E-3</v>
      </c>
      <c r="N233" s="7">
        <f t="shared" si="95"/>
        <v>7.0166666724253446</v>
      </c>
      <c r="O233" s="7"/>
      <c r="P233" s="7"/>
      <c r="Q233" s="22"/>
      <c r="R233" s="22"/>
      <c r="S233" s="31">
        <f t="shared" si="94"/>
        <v>0</v>
      </c>
      <c r="T233" s="46" t="e">
        <f t="shared" si="81"/>
        <v>#VALUE!</v>
      </c>
      <c r="U233" s="193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4" t="str">
        <f t="shared" si="82"/>
        <v>https://d0f6bd738d7f1b3e5a7ca70fe4ff75f0.us-east-1.aws.found.io/app/kibana#/discover/Steve-Slow-Train-Analysis-(2080s-and-2083s)?_g=(refreshInterval:(display:Off,pause:!f,section:0,value:0),time:(from:'2017-02-21T22:19:32-0700',mode:absolute,to:'2017-02-22T01:02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3" s="195" t="str">
        <f t="shared" si="83"/>
        <v>Y</v>
      </c>
      <c r="X233" s="195" t="e">
        <f t="shared" si="78"/>
        <v>#VALUE!</v>
      </c>
      <c r="Y233" s="62">
        <f t="shared" si="92"/>
        <v>0.1246</v>
      </c>
      <c r="Z233" s="62">
        <f t="shared" si="93"/>
        <v>0.623</v>
      </c>
      <c r="AA233" s="62">
        <f t="shared" si="84"/>
        <v>0.49840000000000001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85"/>
        <v>PTCTESTNORTH-21</v>
      </c>
      <c r="AE233" s="85" t="str">
        <f t="shared" si="86"/>
        <v>aws s3 cp s3://rtdc.mdm.uploadarchive.raw/RTDC4049/ "%USERPROFILE%\AppData\Local\Temp\OnboardLogs"\RTDC4049\2017-02-21 --exclude "*" --recursive --include "*20170221*" &amp; "%USERPROFILE%\Documents\GitHub\mrs-test-scripts\Headless Mode &amp; Sideloading\WalkAndUnGZ.bat" "%USERPROFILE%\AppData\Local\Temp\OnboardLogs"\RTDC4049\2017-02-21 &amp; aws s3 cp s3://rtdc.mdm.uploadarchive.raw/RTDC4049/ "%USERPROFILE%\AppData\Local\Temp\OnboardLogs"\RTDC4049\2017-02-22 --exclude "*" --recursive --include "*20170222*" &amp; "%USERPROFILE%\Documents\GitHub\mrs-test-scripts\Headless Mode &amp; Sideloading\WalkAndUnGZ.bat" "%USERPROFILE%\AppData\Local\Temp\OnboardLogs"\RTDC4049\2017-02-22</v>
      </c>
      <c r="AF233" s="82" t="str">
        <f t="shared" si="87"/>
        <v>"C:\Program Files (x86)\AstroGrep\AstroGrep.exe" /spath="%USERPROFILE%\AppData\Local\Temp\OnboardLogs" /stypes="app*4049*20170222*" /stext=" 07:.+((SYSTEM_STATE.+slice.+state.+changed )|(ment ac)|(multiple cpu faults)|(system.+state.+changed )|(\[timeout)|(PRM\|1\|D)|(kpr)|(kdp)|(\|lc)|(penalty))" /e /r /s</v>
      </c>
      <c r="AG233" s="1" t="str">
        <f t="shared" si="88"/>
        <v>Other</v>
      </c>
      <c r="AH233" s="86" t="str">
        <f t="shared" si="89"/>
        <v>"%USERPROFILE%\Documents\GitHub\eaglep3\Utilities\RefineRTDCRunTimes.py" --tripid PTCTESTNORTH-21 --locoid 4049 --swversion DE.1.0.9.0 --startMP 204:1246 --initTime 2017-02-21T23:19:32 --startdatetime 2017-02-21T23:55:22 --delay 1 --endMP 300:6230 --enddatetime 2017-02-22T00:02:23 --enforcementcount 0 &gt;&gt;C:\Users\stu\Documents\GitHub\eaglep3-reporting\EC\2017-02-21-refined-times.txt</v>
      </c>
      <c r="AI233" s="108" t="str">
        <f t="shared" si="90"/>
        <v>echo {"issue":{"subject":"","project_id":79,"tracker_id":40,"status_id":1,"priority_id":2,"assigned_to_id":23,"start_date":"2017-02-22","description":"","custom_fields":[{"id":1,"name":"Subdivision","value":"Other"},{"id":4,"name":"Milepost","value":"0.623"},{"id":17,"name":"Train ID","value":"PTCTESTNORTH-21"},{"id":16,"name":"Locomotive ID","value":"4049"},{"id":130,"name":"Impact","value":""},{"id":150,"name":"Time of Event (Mountain Time)","value":"00:02:23"},{"id":151,"name":"Denver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48"/>
      <c r="AK233" s="48"/>
      <c r="AL233" s="48"/>
      <c r="AM233" s="154" t="str">
        <f t="shared" si="91"/>
        <v>start /low /b %USERPROFILE%\Documents\GitHub\eaglep3\Utilities\DownloadLogsFromS3.py --loco 4049 --day 2017-02-21</v>
      </c>
      <c r="AN233" s="163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"%USERPROFILE%\AppData\Local\Temp\OnboardLogs"\RTDC4049\*4049*20170222* | grep -SE "(Enforcement Action)|(\[TIMEOUT)|(CHR.+\|PRM\|1\|D.+(SWITCH|SIGNAL).+UNKNOWN)" - &gt;&gt; 2017-02-21-UncaughtWiMAX.txt</v>
      </c>
    </row>
    <row r="234" spans="1:40" x14ac:dyDescent="0.25">
      <c r="A234" s="33" t="s">
        <v>492</v>
      </c>
      <c r="B234" s="7">
        <v>4049</v>
      </c>
      <c r="C234" s="21" t="s">
        <v>359</v>
      </c>
      <c r="D234" s="21" t="s">
        <v>845</v>
      </c>
      <c r="E234" s="13">
        <v>42787.995358796295</v>
      </c>
      <c r="F234" s="13">
        <v>42788.012291666666</v>
      </c>
      <c r="G234" s="7">
        <v>1</v>
      </c>
      <c r="H234" s="21" t="s">
        <v>846</v>
      </c>
      <c r="I234" s="13">
        <v>42788.016481481478</v>
      </c>
      <c r="J234" s="7">
        <v>0</v>
      </c>
      <c r="K234" s="98" t="str">
        <f t="shared" si="79"/>
        <v>4049/4050</v>
      </c>
      <c r="L234" s="21" t="str">
        <f>VLOOKUP(A234,'Trips&amp;Operators'!$C$1:$G$99999,5,FALSE)</f>
        <v>YANG JAN</v>
      </c>
      <c r="M234" s="6">
        <f t="shared" si="80"/>
        <v>4.1898148119798861E-3</v>
      </c>
      <c r="N234" s="7">
        <f t="shared" si="95"/>
        <v>6.033333329251036</v>
      </c>
      <c r="O234" s="7"/>
      <c r="P234" s="7"/>
      <c r="Q234" s="22"/>
      <c r="R234" s="22"/>
      <c r="S234" s="31">
        <f t="shared" si="94"/>
        <v>0</v>
      </c>
      <c r="T234" s="46" t="e">
        <f t="shared" si="81"/>
        <v>#VALUE!</v>
      </c>
      <c r="U234" s="193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4" t="str">
        <f t="shared" si="82"/>
        <v>https://d0f6bd738d7f1b3e5a7ca70fe4ff75f0.us-east-1.aws.found.io/app/kibana#/discover/Steve-Slow-Train-Analysis-(2080s-and-2083s)?_g=(refreshInterval:(display:Off,pause:!f,section:0,value:0),time:(from:'2017-02-21T22:53:19-0700',mode:absolute,to:'2017-02-22T01:23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4" s="195" t="str">
        <f t="shared" si="83"/>
        <v>Y</v>
      </c>
      <c r="X234" s="195" t="e">
        <f t="shared" ref="X234:X252" si="96">VALUE(LEFT(AD234,4))-VALUE(LEFT(AD233,4))</f>
        <v>#VALUE!</v>
      </c>
      <c r="Y234" s="62">
        <f t="shared" si="92"/>
        <v>0.12479999999999999</v>
      </c>
      <c r="Z234" s="62">
        <f t="shared" si="93"/>
        <v>2.4870000000000001</v>
      </c>
      <c r="AA234" s="62">
        <f t="shared" si="84"/>
        <v>2.3622000000000001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85"/>
        <v>PTCTESTNORTH-21</v>
      </c>
      <c r="AE234" s="85" t="str">
        <f t="shared" si="86"/>
        <v>aws s3 cp s3://rtdc.mdm.uploadarchive.raw/RTDC4049/ "%USERPROFILE%\AppData\Local\Temp\OnboardLogs"\RTDC4049\2017-02-22 --exclude "*" --recursive --include "*20170222*" &amp; "%USERPROFILE%\Documents\GitHub\mrs-test-scripts\Headless Mode &amp; Sideloading\WalkAndUnGZ.bat" "%USERPROFILE%\AppData\Local\Temp\OnboardLogs"\RTDC4049\2017-02-22 &amp; aws s3 cp s3://rtdc.mdm.uploadarchive.raw/RTDC4049/ "%USERPROFILE%\AppData\Local\Temp\OnboardLogs"\RTDC4049\2017-02-23 --exclude "*" --recursive --include "*20170223*" &amp; "%USERPROFILE%\Documents\GitHub\mrs-test-scripts\Headless Mode &amp; Sideloading\WalkAndUnGZ.bat" "%USERPROFILE%\AppData\Local\Temp\OnboardLogs"\RTDC4049\2017-02-23</v>
      </c>
      <c r="AF234" s="82" t="str">
        <f t="shared" si="87"/>
        <v>"C:\Program Files (x86)\AstroGrep\AstroGrep.exe" /spath="%USERPROFILE%\AppData\Local\Temp\OnboardLogs" /stypes="app*4049*20170222*" /stext=" 07:.+((SYSTEM_STATE.+slice.+state.+changed )|(ment ac)|(multiple cpu faults)|(system.+state.+changed )|(\[timeout)|(PRM\|1\|D)|(kpr)|(kdp)|(\|lc)|(penalty))" /e /r /s</v>
      </c>
      <c r="AG234" s="1" t="str">
        <f t="shared" si="88"/>
        <v>Other</v>
      </c>
      <c r="AH234" s="86" t="str">
        <f t="shared" si="89"/>
        <v>"%USERPROFILE%\Documents\GitHub\eaglep3\Utilities\RefineRTDCRunTimes.py" --tripid PTCTESTNORTH-21 --locoid 4049 --swversion DE.1.0.9.0 --startMP 204:1248 --initTime 2017-02-21T23:53:19 --startdatetime 2017-02-22T00:17:42 --delay 1 --endMP 300:24870 --enddatetime 2017-02-22T00:23:44 --enforcementcount 0 &gt;&gt;C:\Users\stu\Documents\GitHub\eaglep3-reporting\EC\2017-02-21-refined-times.txt</v>
      </c>
      <c r="AI234" s="108" t="str">
        <f t="shared" si="90"/>
        <v>echo {"issue":{"subject":"","project_id":79,"tracker_id":40,"status_id":1,"priority_id":2,"assigned_to_id":23,"start_date":"2017-02-22","description":"","custom_fields":[{"id":1,"name":"Subdivision","value":"Other"},{"id":4,"name":"Milepost","value":"2.487"},{"id":17,"name":"Train ID","value":"PTCTESTNORTH-21"},{"id":16,"name":"Locomotive ID","value":"4049"},{"id":130,"name":"Impact","value":""},{"id":150,"name":"Time of Event (Mountain Time)","value":"00:23:44"},{"id":151,"name":"Denver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48"/>
      <c r="AK234" s="48"/>
      <c r="AL234" s="48"/>
      <c r="AM234" s="154" t="str">
        <f t="shared" si="91"/>
        <v>start /low /b %USERPROFILE%\Documents\GitHub\eaglep3\Utilities\DownloadLogsFromS3.py --loco 4049 --day 2017-02-22</v>
      </c>
      <c r="AN234" s="163" t="str">
        <f>"grep -SE -B400 ""CHR.+\|PRM\|1\|D.+(SWITCH|SIGNAL).+UNKNOWN"" "&amp;search_path&amp;"\RTDC"&amp;B234&amp;"\*"&amp;B234&amp;"*"&amp;TEXT(AVERAGE(F234,I234)-utc_offset/24,"YYYYMMDD")&amp;"*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"%USERPROFILE%\AppData\Local\Temp\OnboardLogs"\RTDC4049\*4049*20170222* | grep -SE "(Enforcement Action)|(\[TIMEOUT)|(CHR.+\|PRM\|1\|D.+(SWITCH|SIGNAL).+UNKNOWN)" - &gt;&gt; 2017-02-21-UncaughtWiMAX.txt</v>
      </c>
    </row>
    <row r="235" spans="1:40" x14ac:dyDescent="0.25">
      <c r="A235" s="33" t="s">
        <v>492</v>
      </c>
      <c r="B235" s="7">
        <v>4049</v>
      </c>
      <c r="C235" s="21" t="s">
        <v>359</v>
      </c>
      <c r="D235" s="21" t="s">
        <v>847</v>
      </c>
      <c r="E235" s="13">
        <v>42788.02443287037</v>
      </c>
      <c r="F235" s="13">
        <v>42788.049363425926</v>
      </c>
      <c r="G235" s="7">
        <v>1</v>
      </c>
      <c r="H235" s="21" t="s">
        <v>848</v>
      </c>
      <c r="I235" s="13">
        <v>42788.053668981483</v>
      </c>
      <c r="J235" s="7">
        <v>0</v>
      </c>
      <c r="K235" s="98" t="str">
        <f t="shared" si="79"/>
        <v>4049/4050</v>
      </c>
      <c r="L235" s="21" t="str">
        <f>VLOOKUP(A235,'Trips&amp;Operators'!$C$1:$G$99999,5,FALSE)</f>
        <v>YANG JAN</v>
      </c>
      <c r="M235" s="6">
        <f t="shared" si="80"/>
        <v>4.3055555579485372E-3</v>
      </c>
      <c r="N235" s="7">
        <f t="shared" si="95"/>
        <v>6.2000000034458935</v>
      </c>
      <c r="O235" s="7"/>
      <c r="P235" s="7"/>
      <c r="Q235" s="22"/>
      <c r="R235" s="22"/>
      <c r="S235" s="31">
        <f t="shared" si="94"/>
        <v>0</v>
      </c>
      <c r="T235" s="46" t="e">
        <f t="shared" si="81"/>
        <v>#VALUE!</v>
      </c>
      <c r="U235" s="193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4" t="str">
        <f t="shared" si="82"/>
        <v>https://d0f6bd738d7f1b3e5a7ca70fe4ff75f0.us-east-1.aws.found.io/app/kibana#/discover/Steve-Slow-Train-Analysis-(2080s-and-2083s)?_g=(refreshInterval:(display:Off,pause:!f,section:0,value:0),time:(from:'2017-02-21T23:35:11-0700',mode:absolute,to:'2017-02-22T02:17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5" s="195" t="str">
        <f t="shared" si="83"/>
        <v>Y</v>
      </c>
      <c r="X235" s="195" t="e">
        <f t="shared" si="96"/>
        <v>#VALUE!</v>
      </c>
      <c r="Y235" s="62">
        <f t="shared" si="92"/>
        <v>0.1249</v>
      </c>
      <c r="Z235" s="62">
        <f t="shared" si="93"/>
        <v>2.4805000000000001</v>
      </c>
      <c r="AA235" s="62">
        <f t="shared" si="84"/>
        <v>2.3556000000000004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 t="shared" si="85"/>
        <v>PTCTESTNORTH-21</v>
      </c>
      <c r="AE235" s="85" t="str">
        <f t="shared" si="86"/>
        <v>aws s3 cp s3://rtdc.mdm.uploadarchive.raw/RTDC4049/ "%USERPROFILE%\AppData\Local\Temp\OnboardLogs"\RTDC4049\2017-02-22 --exclude "*" --recursive --include "*20170222*" &amp; "%USERPROFILE%\Documents\GitHub\mrs-test-scripts\Headless Mode &amp; Sideloading\WalkAndUnGZ.bat" "%USERPROFILE%\AppData\Local\Temp\OnboardLogs"\RTDC4049\2017-02-22 &amp; aws s3 cp s3://rtdc.mdm.uploadarchive.raw/RTDC4049/ "%USERPROFILE%\AppData\Local\Temp\OnboardLogs"\RTDC4049\2017-02-23 --exclude "*" --recursive --include "*20170223*" &amp; "%USERPROFILE%\Documents\GitHub\mrs-test-scripts\Headless Mode &amp; Sideloading\WalkAndUnGZ.bat" "%USERPROFILE%\AppData\Local\Temp\OnboardLogs"\RTDC4049\2017-02-23</v>
      </c>
      <c r="AF235" s="82" t="str">
        <f t="shared" si="87"/>
        <v>"C:\Program Files (x86)\AstroGrep\AstroGrep.exe" /spath="%USERPROFILE%\AppData\Local\Temp\OnboardLogs" /stypes="app*4049*20170222*" /stext=" 08:.+((SYSTEM_STATE.+slice.+state.+changed )|(ment ac)|(multiple cpu faults)|(system.+state.+changed )|(\[timeout)|(PRM\|1\|D)|(kpr)|(kdp)|(\|lc)|(penalty))" /e /r /s</v>
      </c>
      <c r="AG235" s="1" t="str">
        <f t="shared" si="88"/>
        <v>Other</v>
      </c>
      <c r="AH235" s="86" t="str">
        <f t="shared" si="89"/>
        <v>"%USERPROFILE%\Documents\GitHub\eaglep3\Utilities\RefineRTDCRunTimes.py" --tripid PTCTESTNORTH-21 --locoid 4049 --swversion DE.1.0.9.0 --startMP 204:1249 --initTime 2017-02-22T00:35:11 --startdatetime 2017-02-22T01:11:05 --delay 1 --endMP 300:24805 --enddatetime 2017-02-22T01:17:17 --enforcementcount 0 &gt;&gt;C:\Users\stu\Documents\GitHub\eaglep3-reporting\EC\2017-02-21-refined-times.txt</v>
      </c>
      <c r="AI235" s="108" t="str">
        <f t="shared" si="90"/>
        <v>echo {"issue":{"subject":"","project_id":79,"tracker_id":40,"status_id":1,"priority_id":2,"assigned_to_id":23,"start_date":"2017-02-22","description":"","custom_fields":[{"id":1,"name":"Subdivision","value":"Other"},{"id":4,"name":"Milepost","value":"2.4805"},{"id":17,"name":"Train ID","value":"PTCTESTNORTH-21"},{"id":16,"name":"Locomotive ID","value":"4049"},{"id":130,"name":"Impact","value":""},{"id":150,"name":"Time of Event (Mountain Time)","value":"01:17:17"},{"id":151,"name":"Denver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48"/>
      <c r="AK235" s="48"/>
      <c r="AL235" s="48"/>
      <c r="AM235" s="154" t="str">
        <f t="shared" si="91"/>
        <v>start /low /b %USERPROFILE%\Documents\GitHub\eaglep3\Utilities\DownloadLogsFromS3.py --loco 4049 --day 2017-02-22</v>
      </c>
      <c r="AN235" s="163" t="str">
        <f>"grep -SE -B400 ""CHR.+\|PRM\|1\|D.+(SWITCH|SIGNAL).+UNKNOWN"" "&amp;search_path&amp;"\RTDC"&amp;B235&amp;"\*"&amp;B235&amp;"*"&amp;TEXT(AVERAGE(F235,I235)-utc_offset/24,"YYYYMMDD")&amp;"*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"%USERPROFILE%\AppData\Local\Temp\OnboardLogs"\RTDC4049\*4049*20170222* | grep -SE "(Enforcement Action)|(\[TIMEOUT)|(CHR.+\|PRM\|1\|D.+(SWITCH|SIGNAL).+UNKNOWN)" - &gt;&gt; 2017-02-21-UncaughtWiMAX.txt</v>
      </c>
    </row>
    <row r="236" spans="1:40" x14ac:dyDescent="0.25">
      <c r="A236" s="33" t="s">
        <v>492</v>
      </c>
      <c r="B236" s="7">
        <v>4049</v>
      </c>
      <c r="C236" s="21" t="s">
        <v>359</v>
      </c>
      <c r="D236" s="21" t="s">
        <v>849</v>
      </c>
      <c r="E236" s="13">
        <v>42788.010868055557</v>
      </c>
      <c r="F236" s="13">
        <v>42788.025902777779</v>
      </c>
      <c r="G236" s="7">
        <v>1</v>
      </c>
      <c r="H236" s="21" t="s">
        <v>850</v>
      </c>
      <c r="I236" s="13">
        <v>42788.030011574076</v>
      </c>
      <c r="J236" s="7">
        <v>0</v>
      </c>
      <c r="K236" s="98" t="str">
        <f t="shared" si="79"/>
        <v>4049/4050</v>
      </c>
      <c r="L236" s="21" t="str">
        <f>VLOOKUP(A236,'Trips&amp;Operators'!$C$1:$G$99999,5,FALSE)</f>
        <v>YANG JAN</v>
      </c>
      <c r="M236" s="6">
        <f t="shared" si="80"/>
        <v>4.1087962963501923E-3</v>
      </c>
      <c r="N236" s="7">
        <f t="shared" si="95"/>
        <v>5.9166666667442769</v>
      </c>
      <c r="O236" s="7"/>
      <c r="P236" s="7"/>
      <c r="Q236" s="22"/>
      <c r="R236" s="22"/>
      <c r="S236" s="31">
        <f t="shared" si="94"/>
        <v>0</v>
      </c>
      <c r="T236" s="46" t="e">
        <f t="shared" si="81"/>
        <v>#VALUE!</v>
      </c>
      <c r="U236" s="193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4" t="str">
        <f t="shared" si="82"/>
        <v>https://d0f6bd738d7f1b3e5a7ca70fe4ff75f0.us-east-1.aws.found.io/app/kibana#/discover/Steve-Slow-Train-Analysis-(2080s-and-2083s)?_g=(refreshInterval:(display:Off,pause:!f,section:0,value:0),time:(from:'2017-02-21T23:15:39-0700',mode:absolute,to:'2017-02-22T01:43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6" s="195" t="str">
        <f t="shared" si="83"/>
        <v>Y</v>
      </c>
      <c r="X236" s="195" t="e">
        <f t="shared" si="96"/>
        <v>#VALUE!</v>
      </c>
      <c r="Y236" s="62">
        <f t="shared" si="92"/>
        <v>0.12529999999999999</v>
      </c>
      <c r="Z236" s="62">
        <f t="shared" si="93"/>
        <v>2.4792000000000001</v>
      </c>
      <c r="AA236" s="62">
        <f t="shared" si="84"/>
        <v>2.3538999999999999</v>
      </c>
      <c r="AB236" s="59" t="e">
        <f>VLOOKUP(A236,Enforcements!$C$7:$K$13,8,0)</f>
        <v>#N/A</v>
      </c>
      <c r="AC236" s="55" t="e">
        <f>VLOOKUP(A236,Enforcements!$C$7:$E$13,3,0)</f>
        <v>#N/A</v>
      </c>
      <c r="AD236" s="56" t="str">
        <f t="shared" si="85"/>
        <v>PTCTESTNORTH-21</v>
      </c>
      <c r="AE236" s="85" t="str">
        <f t="shared" si="86"/>
        <v>aws s3 cp s3://rtdc.mdm.uploadarchive.raw/RTDC4049/ "%USERPROFILE%\AppData\Local\Temp\OnboardLogs"\RTDC4049\2017-02-22 --exclude "*" --recursive --include "*20170222*" &amp; "%USERPROFILE%\Documents\GitHub\mrs-test-scripts\Headless Mode &amp; Sideloading\WalkAndUnGZ.bat" "%USERPROFILE%\AppData\Local\Temp\OnboardLogs"\RTDC4049\2017-02-22 &amp; aws s3 cp s3://rtdc.mdm.uploadarchive.raw/RTDC4049/ "%USERPROFILE%\AppData\Local\Temp\OnboardLogs"\RTDC4049\2017-02-23 --exclude "*" --recursive --include "*20170223*" &amp; "%USERPROFILE%\Documents\GitHub\mrs-test-scripts\Headless Mode &amp; Sideloading\WalkAndUnGZ.bat" "%USERPROFILE%\AppData\Local\Temp\OnboardLogs"\RTDC4049\2017-02-23</v>
      </c>
      <c r="AF236" s="82" t="str">
        <f t="shared" si="87"/>
        <v>"C:\Program Files (x86)\AstroGrep\AstroGrep.exe" /spath="%USERPROFILE%\AppData\Local\Temp\OnboardLogs" /stypes="app*4049*20170222*" /stext=" 07:.+((SYSTEM_STATE.+slice.+state.+changed )|(ment ac)|(multiple cpu faults)|(system.+state.+changed )|(\[timeout)|(PRM\|1\|D)|(kpr)|(kdp)|(\|lc)|(penalty))" /e /r /s</v>
      </c>
      <c r="AG236" s="1" t="str">
        <f t="shared" si="88"/>
        <v>Other</v>
      </c>
      <c r="AH236" s="86" t="str">
        <f t="shared" si="89"/>
        <v>"%USERPROFILE%\Documents\GitHub\eaglep3\Utilities\RefineRTDCRunTimes.py" --tripid PTCTESTNORTH-21 --locoid 4049 --swversion DE.1.0.9.0 --startMP 204:1253 --initTime 2017-02-22T00:15:39 --startdatetime 2017-02-22T00:37:18 --delay 1 --endMP 300:24792 --enddatetime 2017-02-22T00:43:13 --enforcementcount 0 &gt;&gt;C:\Users\stu\Documents\GitHub\eaglep3-reporting\EC\2017-02-21-refined-times.txt</v>
      </c>
      <c r="AI236" s="108" t="str">
        <f t="shared" si="90"/>
        <v>echo {"issue":{"subject":"","project_id":79,"tracker_id":40,"status_id":1,"priority_id":2,"assigned_to_id":23,"start_date":"2017-02-22","description":"","custom_fields":[{"id":1,"name":"Subdivision","value":"Other"},{"id":4,"name":"Milepost","value":"2.4792"},{"id":17,"name":"Train ID","value":"PTCTESTNORTH-21"},{"id":16,"name":"Locomotive ID","value":"4049"},{"id":130,"name":"Impact","value":""},{"id":150,"name":"Time of Event (Mountain Time)","value":"00:43:13"},{"id":151,"name":"Denver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48"/>
      <c r="AK236" s="48"/>
      <c r="AL236" s="48"/>
      <c r="AM236" s="154" t="str">
        <f t="shared" si="91"/>
        <v>start /low /b %USERPROFILE%\Documents\GitHub\eaglep3\Utilities\DownloadLogsFromS3.py --loco 4049 --day 2017-02-22</v>
      </c>
      <c r="AN236" s="163" t="str">
        <f>"grep -SE -B400 ""CHR.+\|PRM\|1\|D.+(SWITCH|SIGNAL).+UNKNOWN"" "&amp;search_path&amp;"\RTDC"&amp;B236&amp;"\*"&amp;B236&amp;"*"&amp;TEXT(AVERAGE(F236,I236)-utc_offset/24,"YYYYMMDD")&amp;"*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"%USERPROFILE%\AppData\Local\Temp\OnboardLogs"\RTDC4049\*4049*20170222* | grep -SE "(Enforcement Action)|(\[TIMEOUT)|(CHR.+\|PRM\|1\|D.+(SWITCH|SIGNAL).+UNKNOWN)" - &gt;&gt; 2017-02-21-UncaughtWiMAX.txt</v>
      </c>
    </row>
    <row r="237" spans="1:40" x14ac:dyDescent="0.25">
      <c r="A237" s="33" t="s">
        <v>492</v>
      </c>
      <c r="B237" s="7">
        <v>4049</v>
      </c>
      <c r="C237" s="21" t="s">
        <v>359</v>
      </c>
      <c r="D237" s="21" t="s">
        <v>851</v>
      </c>
      <c r="E237" s="13">
        <v>42788.045891203707</v>
      </c>
      <c r="F237" s="13">
        <v>42788.076539351852</v>
      </c>
      <c r="G237" s="7">
        <v>1</v>
      </c>
      <c r="H237" s="21" t="s">
        <v>852</v>
      </c>
      <c r="I237" s="13">
        <v>42788.081030092595</v>
      </c>
      <c r="J237" s="7">
        <v>0</v>
      </c>
      <c r="K237" s="98" t="str">
        <f t="shared" si="79"/>
        <v>4049/4050</v>
      </c>
      <c r="L237" s="21" t="str">
        <f>VLOOKUP(A237,'Trips&amp;Operators'!$C$1:$G$99999,5,FALSE)</f>
        <v>YANG JAN</v>
      </c>
      <c r="M237" s="6">
        <f t="shared" si="80"/>
        <v>4.4907407427672297E-3</v>
      </c>
      <c r="N237" s="7">
        <f t="shared" si="95"/>
        <v>6.4666666695848107</v>
      </c>
      <c r="O237" s="7"/>
      <c r="P237" s="7"/>
      <c r="Q237" s="22"/>
      <c r="R237" s="22"/>
      <c r="S237" s="31">
        <f t="shared" si="94"/>
        <v>0</v>
      </c>
      <c r="T237" s="46" t="e">
        <f t="shared" si="81"/>
        <v>#VALUE!</v>
      </c>
      <c r="U237" s="193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4" t="str">
        <f t="shared" si="82"/>
        <v>https://d0f6bd738d7f1b3e5a7ca70fe4ff75f0.us-east-1.aws.found.io/app/kibana#/discover/Steve-Slow-Train-Analysis-(2080s-and-2083s)?_g=(refreshInterval:(display:Off,pause:!f,section:0,value:0),time:(from:'2017-02-22T00:06:05-0700',mode:absolute,to:'2017-02-22T02:56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7" s="195" t="str">
        <f t="shared" si="83"/>
        <v>Y</v>
      </c>
      <c r="X237" s="195" t="e">
        <f t="shared" si="96"/>
        <v>#VALUE!</v>
      </c>
      <c r="Y237" s="62">
        <f t="shared" si="92"/>
        <v>0.12640000000000001</v>
      </c>
      <c r="Z237" s="62">
        <f t="shared" si="93"/>
        <v>2.4841000000000002</v>
      </c>
      <c r="AA237" s="62">
        <f t="shared" si="84"/>
        <v>2.3577000000000004</v>
      </c>
      <c r="AB237" s="59" t="e">
        <f>VLOOKUP(A237,Enforcements!$C$7:$K$13,8,0)</f>
        <v>#N/A</v>
      </c>
      <c r="AC237" s="55" t="e">
        <f>VLOOKUP(A237,Enforcements!$C$7:$E$13,3,0)</f>
        <v>#N/A</v>
      </c>
      <c r="AD237" s="56" t="str">
        <f t="shared" si="85"/>
        <v>PTCTESTNORTH-21</v>
      </c>
      <c r="AE237" s="85" t="str">
        <f t="shared" si="86"/>
        <v>aws s3 cp s3://rtdc.mdm.uploadarchive.raw/RTDC4049/ "%USERPROFILE%\AppData\Local\Temp\OnboardLogs"\RTDC4049\2017-02-22 --exclude "*" --recursive --include "*20170222*" &amp; "%USERPROFILE%\Documents\GitHub\mrs-test-scripts\Headless Mode &amp; Sideloading\WalkAndUnGZ.bat" "%USERPROFILE%\AppData\Local\Temp\OnboardLogs"\RTDC4049\2017-02-22 &amp; aws s3 cp s3://rtdc.mdm.uploadarchive.raw/RTDC4049/ "%USERPROFILE%\AppData\Local\Temp\OnboardLogs"\RTDC4049\2017-02-23 --exclude "*" --recursive --include "*20170223*" &amp; "%USERPROFILE%\Documents\GitHub\mrs-test-scripts\Headless Mode &amp; Sideloading\WalkAndUnGZ.bat" "%USERPROFILE%\AppData\Local\Temp\OnboardLogs"\RTDC4049\2017-02-23</v>
      </c>
      <c r="AF237" s="82" t="str">
        <f t="shared" si="87"/>
        <v>"C:\Program Files (x86)\AstroGrep\AstroGrep.exe" /spath="%USERPROFILE%\AppData\Local\Temp\OnboardLogs" /stypes="app*4049*20170222*" /stext=" 08:.+((SYSTEM_STATE.+slice.+state.+changed )|(ment ac)|(multiple cpu faults)|(system.+state.+changed )|(\[timeout)|(PRM\|1\|D)|(kpr)|(kdp)|(\|lc)|(penalty))" /e /r /s</v>
      </c>
      <c r="AG237" s="1" t="str">
        <f t="shared" si="88"/>
        <v>Other</v>
      </c>
      <c r="AH237" s="86" t="str">
        <f t="shared" si="89"/>
        <v>"%USERPROFILE%\Documents\GitHub\eaglep3\Utilities\RefineRTDCRunTimes.py" --tripid PTCTESTNORTH-21 --locoid 4049 --swversion DE.1.0.9.0 --startMP 204:1264 --initTime 2017-02-22T01:06:05 --startdatetime 2017-02-22T01:50:13 --delay 1 --endMP 300:24841 --enddatetime 2017-02-22T01:56:41 --enforcementcount 0 &gt;&gt;C:\Users\stu\Documents\GitHub\eaglep3-reporting\EC\2017-02-21-refined-times.txt</v>
      </c>
      <c r="AI237" s="108" t="str">
        <f t="shared" si="90"/>
        <v>echo {"issue":{"subject":"","project_id":79,"tracker_id":40,"status_id":1,"priority_id":2,"assigned_to_id":23,"start_date":"2017-02-22","description":"","custom_fields":[{"id":1,"name":"Subdivision","value":"Other"},{"id":4,"name":"Milepost","value":"2.4841"},{"id":17,"name":"Train ID","value":"PTCTESTNORTH-21"},{"id":16,"name":"Locomotive ID","value":"4049"},{"id":130,"name":"Impact","value":""},{"id":150,"name":"Time of Event (Mountain Time)","value":"01:56:41"},{"id":151,"name":"Denver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48"/>
      <c r="AK237" s="48"/>
      <c r="AL237" s="48"/>
      <c r="AM237" s="154" t="str">
        <f t="shared" si="91"/>
        <v>start /low /b %USERPROFILE%\Documents\GitHub\eaglep3\Utilities\DownloadLogsFromS3.py --loco 4049 --day 2017-02-22</v>
      </c>
      <c r="AN237" s="163" t="str">
        <f>"grep -SE -B400 ""CHR.+\|PRM\|1\|D.+(SWITCH|SIGNAL).+UNKNOWN"" "&amp;search_path&amp;"\RTDC"&amp;B237&amp;"\*"&amp;B237&amp;"*"&amp;TEXT(AVERAGE(F237,I237)-utc_offset/24,"YYYYMMDD")&amp;"*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"%USERPROFILE%\AppData\Local\Temp\OnboardLogs"\RTDC4049\*4049*20170222* | grep -SE "(Enforcement Action)|(\[TIMEOUT)|(CHR.+\|PRM\|1\|D.+(SWITCH|SIGNAL).+UNKNOWN)" - &gt;&gt; 2017-02-21-UncaughtWiMAX.txt</v>
      </c>
    </row>
    <row r="238" spans="1:40" x14ac:dyDescent="0.25">
      <c r="A238" s="33" t="s">
        <v>492</v>
      </c>
      <c r="B238" s="7">
        <v>4049</v>
      </c>
      <c r="C238" s="21" t="s">
        <v>359</v>
      </c>
      <c r="D238" s="21" t="s">
        <v>853</v>
      </c>
      <c r="E238" s="13">
        <v>42788.102546296293</v>
      </c>
      <c r="F238" s="13">
        <v>42788.115231481483</v>
      </c>
      <c r="G238" s="7">
        <v>0</v>
      </c>
      <c r="H238" s="21" t="s">
        <v>854</v>
      </c>
      <c r="I238" s="13">
        <v>42788.121134259258</v>
      </c>
      <c r="J238" s="7">
        <v>0</v>
      </c>
      <c r="K238" s="98" t="str">
        <f t="shared" si="79"/>
        <v>4049/4050</v>
      </c>
      <c r="L238" s="21" t="str">
        <f>VLOOKUP(A238,'Trips&amp;Operators'!$C$1:$G$99999,5,FALSE)</f>
        <v>YANG JAN</v>
      </c>
      <c r="M238" s="6">
        <f t="shared" si="80"/>
        <v>5.9027777751907706E-3</v>
      </c>
      <c r="N238" s="7">
        <f t="shared" si="95"/>
        <v>8.4999999962747097</v>
      </c>
      <c r="O238" s="7"/>
      <c r="P238" s="7"/>
      <c r="Q238" s="22"/>
      <c r="R238" s="22"/>
      <c r="S238" s="31">
        <f t="shared" si="94"/>
        <v>0</v>
      </c>
      <c r="T238" s="46" t="e">
        <f t="shared" si="81"/>
        <v>#VALUE!</v>
      </c>
      <c r="U238" s="193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4" t="str">
        <f t="shared" si="82"/>
        <v>https://d0f6bd738d7f1b3e5a7ca70fe4ff75f0.us-east-1.aws.found.io/app/kibana#/discover/Steve-Slow-Train-Analysis-(2080s-and-2083s)?_g=(refreshInterval:(display:Off,pause:!f,section:0,value:0),time:(from:'2017-02-22T01:27:40-0700',mode:absolute,to:'2017-02-22T03:54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8" s="195" t="str">
        <f t="shared" si="83"/>
        <v>Y</v>
      </c>
      <c r="X238" s="195" t="e">
        <f t="shared" si="96"/>
        <v>#VALUE!</v>
      </c>
      <c r="Y238" s="62">
        <f t="shared" si="92"/>
        <v>0.13539999999999999</v>
      </c>
      <c r="Z238" s="62">
        <f t="shared" si="93"/>
        <v>2.4874000000000001</v>
      </c>
      <c r="AA238" s="62">
        <f t="shared" si="84"/>
        <v>2.3519999999999999</v>
      </c>
      <c r="AB238" s="59" t="e">
        <f>VLOOKUP(A238,Enforcements!$C$7:$K$13,8,0)</f>
        <v>#N/A</v>
      </c>
      <c r="AC238" s="55" t="e">
        <f>VLOOKUP(A238,Enforcements!$C$7:$E$13,3,0)</f>
        <v>#N/A</v>
      </c>
      <c r="AD238" s="56" t="str">
        <f t="shared" si="85"/>
        <v>PTCTESTNORTH-21</v>
      </c>
      <c r="AE238" s="85" t="str">
        <f t="shared" si="86"/>
        <v>aws s3 cp s3://rtdc.mdm.uploadarchive.raw/RTDC4049/ "%USERPROFILE%\AppData\Local\Temp\OnboardLogs"\RTDC4049\2017-02-22 --exclude "*" --recursive --include "*20170222*" &amp; "%USERPROFILE%\Documents\GitHub\mrs-test-scripts\Headless Mode &amp; Sideloading\WalkAndUnGZ.bat" "%USERPROFILE%\AppData\Local\Temp\OnboardLogs"\RTDC4049\2017-02-22 &amp; aws s3 cp s3://rtdc.mdm.uploadarchive.raw/RTDC4049/ "%USERPROFILE%\AppData\Local\Temp\OnboardLogs"\RTDC4049\2017-02-23 --exclude "*" --recursive --include "*20170223*" &amp; "%USERPROFILE%\Documents\GitHub\mrs-test-scripts\Headless Mode &amp; Sideloading\WalkAndUnGZ.bat" "%USERPROFILE%\AppData\Local\Temp\OnboardLogs"\RTDC4049\2017-02-23</v>
      </c>
      <c r="AF238" s="82" t="str">
        <f t="shared" si="87"/>
        <v>"C:\Program Files (x86)\AstroGrep\AstroGrep.exe" /spath="%USERPROFILE%\AppData\Local\Temp\OnboardLogs" /stypes="app*4049*20170222*" /stext=" 09:.+((SYSTEM_STATE.+slice.+state.+changed )|(ment ac)|(multiple cpu faults)|(system.+state.+changed )|(\[timeout)|(PRM\|1\|D)|(kpr)|(kdp)|(\|lc)|(penalty))" /e /r /s</v>
      </c>
      <c r="AG238" s="1" t="str">
        <f t="shared" si="88"/>
        <v>Other</v>
      </c>
      <c r="AH238" s="86" t="str">
        <f t="shared" si="89"/>
        <v>"%USERPROFILE%\Documents\GitHub\eaglep3\Utilities\RefineRTDCRunTimes.py" --tripid PTCTESTNORTH-21 --locoid 4049 --swversion DE.1.0.9.0 --startMP 204:1354 --initTime 2017-02-22T02:27:40 --startdatetime 2017-02-22T02:45:56 --delay 0 --endMP 300:24874 --enddatetime 2017-02-22T02:54:26 --enforcementcount 0 &gt;&gt;C:\Users\stu\Documents\GitHub\eaglep3-reporting\EC\2017-02-21-refined-times.txt</v>
      </c>
      <c r="AI238" s="108" t="str">
        <f t="shared" si="90"/>
        <v>echo {"issue":{"subject":"","project_id":79,"tracker_id":40,"status_id":1,"priority_id":2,"assigned_to_id":23,"start_date":"2017-02-22","description":"","custom_fields":[{"id":1,"name":"Subdivision","value":"Other"},{"id":4,"name":"Milepost","value":"2.4874"},{"id":17,"name":"Train ID","value":"PTCTESTNORTH-21"},{"id":16,"name":"Locomotive ID","value":"4049"},{"id":130,"name":"Impact","value":""},{"id":150,"name":"Time of Event (Mountain Time)","value":"02:54:26"},{"id":151,"name":"Denver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48"/>
      <c r="AK238" s="48"/>
      <c r="AL238" s="48"/>
      <c r="AM238" s="154" t="str">
        <f t="shared" si="91"/>
        <v>start /low /b %USERPROFILE%\Documents\GitHub\eaglep3\Utilities\DownloadLogsFromS3.py --loco 4049 --day 2017-02-22</v>
      </c>
      <c r="AN238" s="163" t="str">
        <f>"grep -SE -B400 ""CHR.+\|PRM\|1\|D.+(SWITCH|SIGNAL).+UNKNOWN"" "&amp;search_path&amp;"\RTDC"&amp;B238&amp;"\*"&amp;B238&amp;"*"&amp;TEXT(AVERAGE(F238,I238)-utc_offset/24,"YYYYMMDD")&amp;"*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"%USERPROFILE%\AppData\Local\Temp\OnboardLogs"\RTDC4049\*4049*20170222* | grep -SE "(Enforcement Action)|(\[TIMEOUT)|(CHR.+\|PRM\|1\|D.+(SWITCH|SIGNAL).+UNKNOWN)" - &gt;&gt; 2017-02-21-UncaughtWiMAX.txt</v>
      </c>
    </row>
    <row r="239" spans="1:40" x14ac:dyDescent="0.25">
      <c r="A239" s="33" t="s">
        <v>492</v>
      </c>
      <c r="B239" s="7">
        <v>4049</v>
      </c>
      <c r="C239" s="21" t="s">
        <v>359</v>
      </c>
      <c r="D239" s="21" t="s">
        <v>855</v>
      </c>
      <c r="E239" s="13">
        <v>42788.089224537034</v>
      </c>
      <c r="F239" s="13">
        <v>42788.115231481483</v>
      </c>
      <c r="G239" s="7">
        <v>1</v>
      </c>
      <c r="H239" s="21" t="s">
        <v>856</v>
      </c>
      <c r="I239" s="13">
        <v>42788.121134259258</v>
      </c>
      <c r="J239" s="7">
        <v>0</v>
      </c>
      <c r="K239" s="98" t="str">
        <f t="shared" si="79"/>
        <v>4049/4050</v>
      </c>
      <c r="L239" s="21" t="str">
        <f>VLOOKUP(A239,'Trips&amp;Operators'!$C$1:$G$99999,5,FALSE)</f>
        <v>YANG JAN</v>
      </c>
      <c r="M239" s="6">
        <f t="shared" si="80"/>
        <v>5.9027777751907706E-3</v>
      </c>
      <c r="N239" s="7">
        <f t="shared" si="95"/>
        <v>8.4999999962747097</v>
      </c>
      <c r="O239" s="7"/>
      <c r="P239" s="7"/>
      <c r="Q239" s="22"/>
      <c r="R239" s="22"/>
      <c r="S239" s="31">
        <f t="shared" si="94"/>
        <v>0</v>
      </c>
      <c r="T239" s="46" t="e">
        <f t="shared" si="81"/>
        <v>#VALUE!</v>
      </c>
      <c r="U239" s="193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4" t="str">
        <f t="shared" si="82"/>
        <v>https://d0f6bd738d7f1b3e5a7ca70fe4ff75f0.us-east-1.aws.found.io/app/kibana#/discover/Steve-Slow-Train-Analysis-(2080s-and-2083s)?_g=(refreshInterval:(display:Off,pause:!f,section:0,value:0),time:(from:'2017-02-22T01:08:29-0700',mode:absolute,to:'2017-02-22T03:54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9" s="195" t="str">
        <f t="shared" si="83"/>
        <v>Y</v>
      </c>
      <c r="X239" s="195" t="e">
        <f t="shared" si="96"/>
        <v>#VALUE!</v>
      </c>
      <c r="Y239" s="62">
        <f t="shared" si="92"/>
        <v>0.13550000000000001</v>
      </c>
      <c r="Z239" s="62">
        <f t="shared" si="93"/>
        <v>2.4866000000000001</v>
      </c>
      <c r="AA239" s="62">
        <f t="shared" si="84"/>
        <v>2.3511000000000002</v>
      </c>
      <c r="AB239" s="59" t="e">
        <f>VLOOKUP(A239,Enforcements!$C$7:$K$13,8,0)</f>
        <v>#N/A</v>
      </c>
      <c r="AC239" s="55" t="e">
        <f>VLOOKUP(A239,Enforcements!$C$7:$E$13,3,0)</f>
        <v>#N/A</v>
      </c>
      <c r="AD239" s="56" t="str">
        <f t="shared" si="85"/>
        <v>PTCTESTNORTH-21</v>
      </c>
      <c r="AE239" s="85" t="str">
        <f t="shared" si="86"/>
        <v>aws s3 cp s3://rtdc.mdm.uploadarchive.raw/RTDC4049/ "%USERPROFILE%\AppData\Local\Temp\OnboardLogs"\RTDC4049\2017-02-22 --exclude "*" --recursive --include "*20170222*" &amp; "%USERPROFILE%\Documents\GitHub\mrs-test-scripts\Headless Mode &amp; Sideloading\WalkAndUnGZ.bat" "%USERPROFILE%\AppData\Local\Temp\OnboardLogs"\RTDC4049\2017-02-22 &amp; aws s3 cp s3://rtdc.mdm.uploadarchive.raw/RTDC4049/ "%USERPROFILE%\AppData\Local\Temp\OnboardLogs"\RTDC4049\2017-02-23 --exclude "*" --recursive --include "*20170223*" &amp; "%USERPROFILE%\Documents\GitHub\mrs-test-scripts\Headless Mode &amp; Sideloading\WalkAndUnGZ.bat" "%USERPROFILE%\AppData\Local\Temp\OnboardLogs"\RTDC4049\2017-02-23</v>
      </c>
      <c r="AF239" s="82" t="str">
        <f t="shared" si="87"/>
        <v>"C:\Program Files (x86)\AstroGrep\AstroGrep.exe" /spath="%USERPROFILE%\AppData\Local\Temp\OnboardLogs" /stypes="app*4049*20170222*" /stext=" 09:.+((SYSTEM_STATE.+slice.+state.+changed )|(ment ac)|(multiple cpu faults)|(system.+state.+changed )|(\[timeout)|(PRM\|1\|D)|(kpr)|(kdp)|(\|lc)|(penalty))" /e /r /s</v>
      </c>
      <c r="AG239" s="1" t="str">
        <f t="shared" si="88"/>
        <v>Other</v>
      </c>
      <c r="AH239" s="86" t="str">
        <f t="shared" si="89"/>
        <v>"%USERPROFILE%\Documents\GitHub\eaglep3\Utilities\RefineRTDCRunTimes.py" --tripid PTCTESTNORTH-21 --locoid 4049 --swversion DE.1.0.9.0 --startMP 204:1355 --initTime 2017-02-22T02:08:29 --startdatetime 2017-02-22T02:45:56 --delay 1 --endMP 300:24866 --enddatetime 2017-02-22T02:54:26 --enforcementcount 0 &gt;&gt;C:\Users\stu\Documents\GitHub\eaglep3-reporting\EC\2017-02-21-refined-times.txt</v>
      </c>
      <c r="AI239" s="108" t="str">
        <f t="shared" si="90"/>
        <v>echo {"issue":{"subject":"","project_id":79,"tracker_id":40,"status_id":1,"priority_id":2,"assigned_to_id":23,"start_date":"2017-02-22","description":"","custom_fields":[{"id":1,"name":"Subdivision","value":"Other"},{"id":4,"name":"Milepost","value":"2.4866"},{"id":17,"name":"Train ID","value":"PTCTESTNORTH-21"},{"id":16,"name":"Locomotive ID","value":"4049"},{"id":130,"name":"Impact","value":""},{"id":150,"name":"Time of Event (Mountain Time)","value":"02:54:26"},{"id":151,"name":"Denver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48"/>
      <c r="AK239" s="48"/>
      <c r="AL239" s="48"/>
      <c r="AM239" s="154" t="str">
        <f t="shared" si="91"/>
        <v>start /low /b %USERPROFILE%\Documents\GitHub\eaglep3\Utilities\DownloadLogsFromS3.py --loco 4049 --day 2017-02-22</v>
      </c>
      <c r="AN239" s="163" t="str">
        <f>"grep -SE -B400 ""CHR.+\|PRM\|1\|D.+(SWITCH|SIGNAL).+UNKNOWN"" "&amp;search_path&amp;"\RTDC"&amp;B239&amp;"\*"&amp;B239&amp;"*"&amp;TEXT(AVERAGE(F239,I239)-utc_offset/24,"YYYYMMDD")&amp;"*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"%USERPROFILE%\AppData\Local\Temp\OnboardLogs"\RTDC4049\*4049*20170222* | grep -SE "(Enforcement Action)|(\[TIMEOUT)|(CHR.+\|PRM\|1\|D.+(SWITCH|SIGNAL).+UNKNOWN)" - &gt;&gt; 2017-02-21-UncaughtWiMAX.txt</v>
      </c>
    </row>
    <row r="240" spans="1:40" x14ac:dyDescent="0.25">
      <c r="A240" s="33" t="s">
        <v>492</v>
      </c>
      <c r="B240" s="7">
        <v>4049</v>
      </c>
      <c r="C240" s="21" t="s">
        <v>359</v>
      </c>
      <c r="D240" s="21" t="s">
        <v>857</v>
      </c>
      <c r="E240" s="13">
        <v>42788.074780092589</v>
      </c>
      <c r="F240" s="13">
        <v>42788.091458333336</v>
      </c>
      <c r="G240" s="7">
        <v>1</v>
      </c>
      <c r="H240" s="21" t="s">
        <v>858</v>
      </c>
      <c r="I240" s="13">
        <v>42788.095532407409</v>
      </c>
      <c r="J240" s="7">
        <v>0</v>
      </c>
      <c r="K240" s="98" t="str">
        <f t="shared" si="79"/>
        <v>4049/4050</v>
      </c>
      <c r="L240" s="21" t="str">
        <f>VLOOKUP(A240,'Trips&amp;Operators'!$C$1:$G$99999,5,FALSE)</f>
        <v>YANG JAN</v>
      </c>
      <c r="M240" s="6">
        <f t="shared" si="80"/>
        <v>4.0740740732871927E-3</v>
      </c>
      <c r="N240" s="7">
        <f t="shared" si="95"/>
        <v>5.8666666655335575</v>
      </c>
      <c r="O240" s="7"/>
      <c r="P240" s="7"/>
      <c r="Q240" s="22"/>
      <c r="R240" s="22"/>
      <c r="S240" s="31">
        <f t="shared" si="94"/>
        <v>0</v>
      </c>
      <c r="T240" s="46" t="e">
        <f t="shared" si="81"/>
        <v>#VALUE!</v>
      </c>
      <c r="U240" s="193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4" t="str">
        <f t="shared" si="82"/>
        <v>https://d0f6bd738d7f1b3e5a7ca70fe4ff75f0.us-east-1.aws.found.io/app/kibana#/discover/Steve-Slow-Train-Analysis-(2080s-and-2083s)?_g=(refreshInterval:(display:Off,pause:!f,section:0,value:0),time:(from:'2017-02-22T00:47:41-0700',mode:absolute,to:'2017-02-22T03:17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40" s="195" t="str">
        <f t="shared" si="83"/>
        <v>Y</v>
      </c>
      <c r="X240" s="195" t="e">
        <f t="shared" si="96"/>
        <v>#VALUE!</v>
      </c>
      <c r="Y240" s="62">
        <f t="shared" si="92"/>
        <v>4.3900000000000002E-2</v>
      </c>
      <c r="Z240" s="62">
        <f t="shared" si="93"/>
        <v>2.4851000000000001</v>
      </c>
      <c r="AA240" s="62">
        <f t="shared" si="84"/>
        <v>2.4412000000000003</v>
      </c>
      <c r="AB240" s="59" t="e">
        <f>VLOOKUP(A240,Enforcements!$C$7:$K$13,8,0)</f>
        <v>#N/A</v>
      </c>
      <c r="AC240" s="55" t="e">
        <f>VLOOKUP(A240,Enforcements!$C$7:$E$13,3,0)</f>
        <v>#N/A</v>
      </c>
      <c r="AD240" s="56" t="str">
        <f t="shared" si="85"/>
        <v>PTCTESTNORTH-21</v>
      </c>
      <c r="AE240" s="85" t="str">
        <f t="shared" si="86"/>
        <v>aws s3 cp s3://rtdc.mdm.uploadarchive.raw/RTDC4049/ "%USERPROFILE%\AppData\Local\Temp\OnboardLogs"\RTDC4049\2017-02-22 --exclude "*" --recursive --include "*20170222*" &amp; "%USERPROFILE%\Documents\GitHub\mrs-test-scripts\Headless Mode &amp; Sideloading\WalkAndUnGZ.bat" "%USERPROFILE%\AppData\Local\Temp\OnboardLogs"\RTDC4049\2017-02-22 &amp; aws s3 cp s3://rtdc.mdm.uploadarchive.raw/RTDC4049/ "%USERPROFILE%\AppData\Local\Temp\OnboardLogs"\RTDC4049\2017-02-23 --exclude "*" --recursive --include "*20170223*" &amp; "%USERPROFILE%\Documents\GitHub\mrs-test-scripts\Headless Mode &amp; Sideloading\WalkAndUnGZ.bat" "%USERPROFILE%\AppData\Local\Temp\OnboardLogs"\RTDC4049\2017-02-23</v>
      </c>
      <c r="AF240" s="82" t="str">
        <f t="shared" si="87"/>
        <v>"C:\Program Files (x86)\AstroGrep\AstroGrep.exe" /spath="%USERPROFILE%\AppData\Local\Temp\OnboardLogs" /stypes="app*4049*20170222*" /stext=" 09:.+((SYSTEM_STATE.+slice.+state.+changed )|(ment ac)|(multiple cpu faults)|(system.+state.+changed )|(\[timeout)|(PRM\|1\|D)|(kpr)|(kdp)|(\|lc)|(penalty))" /e /r /s</v>
      </c>
      <c r="AG240" s="1" t="str">
        <f t="shared" si="88"/>
        <v>Other</v>
      </c>
      <c r="AH240" s="86" t="str">
        <f t="shared" si="89"/>
        <v>"%USERPROFILE%\Documents\GitHub\eaglep3\Utilities\RefineRTDCRunTimes.py" --tripid PTCTESTNORTH-21 --locoid 4049 --swversion DE.1.0.9.0 --startMP 204:439 --initTime 2017-02-22T01:47:41 --startdatetime 2017-02-22T02:11:42 --delay 1 --endMP 300:24851 --enddatetime 2017-02-22T02:17:34 --enforcementcount 0 &gt;&gt;C:\Users\stu\Documents\GitHub\eaglep3-reporting\EC\2017-02-21-refined-times.txt</v>
      </c>
      <c r="AI240" s="108" t="str">
        <f t="shared" si="90"/>
        <v>echo {"issue":{"subject":"","project_id":79,"tracker_id":40,"status_id":1,"priority_id":2,"assigned_to_id":23,"start_date":"2017-02-22","description":"","custom_fields":[{"id":1,"name":"Subdivision","value":"Other"},{"id":4,"name":"Milepost","value":"2.4851"},{"id":17,"name":"Train ID","value":"PTCTESTNORTH-21"},{"id":16,"name":"Locomotive ID","value":"4049"},{"id":130,"name":"Impact","value":""},{"id":150,"name":"Time of Event (Mountain Time)","value":"02:17:34"},{"id":151,"name":"Denver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48"/>
      <c r="AK240" s="48"/>
      <c r="AL240" s="48"/>
      <c r="AM240" s="154" t="str">
        <f t="shared" si="91"/>
        <v>start /low /b %USERPROFILE%\Documents\GitHub\eaglep3\Utilities\DownloadLogsFromS3.py --loco 4049 --day 2017-02-22</v>
      </c>
      <c r="AN240" s="163" t="str">
        <f>"grep -SE -B400 ""CHR.+\|PRM\|1\|D.+(SWITCH|SIGNAL).+UNKNOWN"" "&amp;search_path&amp;"\RTDC"&amp;B240&amp;"\*"&amp;B240&amp;"*"&amp;TEXT(AVERAGE(F240,I240)-utc_offset/24,"YYYYMMDD")&amp;"*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"%USERPROFILE%\AppData\Local\Temp\OnboardLogs"\RTDC4049\*4049*20170222* | grep -SE "(Enforcement Action)|(\[TIMEOUT)|(CHR.+\|PRM\|1\|D.+(SWITCH|SIGNAL).+UNKNOWN)" - &gt;&gt; 2017-02-21-UncaughtWiMAX.txt</v>
      </c>
    </row>
    <row r="241" spans="1:40" x14ac:dyDescent="0.25">
      <c r="A241" s="33" t="s">
        <v>492</v>
      </c>
      <c r="B241" s="7">
        <v>4049</v>
      </c>
      <c r="C241" s="21" t="s">
        <v>359</v>
      </c>
      <c r="D241" s="21" t="s">
        <v>859</v>
      </c>
      <c r="E241" s="13">
        <v>42787.961018518516</v>
      </c>
      <c r="F241" s="13">
        <v>42787.982719907406</v>
      </c>
      <c r="G241" s="7">
        <v>1</v>
      </c>
      <c r="H241" s="21" t="s">
        <v>860</v>
      </c>
      <c r="I241" s="13">
        <v>42787.985891203702</v>
      </c>
      <c r="J241" s="7">
        <v>0</v>
      </c>
      <c r="K241" s="98" t="str">
        <f t="shared" si="79"/>
        <v>4049/4050</v>
      </c>
      <c r="L241" s="21" t="str">
        <f>VLOOKUP(A241,'Trips&amp;Operators'!$C$1:$G$99999,5,FALSE)</f>
        <v>YANG JAN</v>
      </c>
      <c r="M241" s="6">
        <f t="shared" si="80"/>
        <v>3.1712962954770774E-3</v>
      </c>
      <c r="N241" s="7">
        <f t="shared" si="95"/>
        <v>4.5666666654869914</v>
      </c>
      <c r="O241" s="7"/>
      <c r="P241" s="7"/>
      <c r="Q241" s="22"/>
      <c r="R241" s="22"/>
      <c r="S241" s="31">
        <f t="shared" si="94"/>
        <v>0</v>
      </c>
      <c r="T241" s="46" t="e">
        <f t="shared" si="81"/>
        <v>#VALUE!</v>
      </c>
      <c r="U241" s="193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4" t="str">
        <f t="shared" si="82"/>
        <v>https://d0f6bd738d7f1b3e5a7ca70fe4ff75f0.us-east-1.aws.found.io/app/kibana#/discover/Steve-Slow-Train-Analysis-(2080s-and-2083s)?_g=(refreshInterval:(display:Off,pause:!f,section:0,value:0),time:(from:'2017-02-21T22:03:52-0700',mode:absolute,to:'2017-02-22T00:39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41" s="195" t="str">
        <f t="shared" si="83"/>
        <v>Y</v>
      </c>
      <c r="X241" s="195" t="e">
        <f t="shared" si="96"/>
        <v>#VALUE!</v>
      </c>
      <c r="Y241" s="62">
        <f t="shared" si="92"/>
        <v>2.3652000000000002</v>
      </c>
      <c r="Z241" s="62">
        <f t="shared" si="93"/>
        <v>2.4379</v>
      </c>
      <c r="AA241" s="62">
        <f t="shared" si="84"/>
        <v>7.2699999999999765E-2</v>
      </c>
      <c r="AB241" s="59" t="e">
        <f>VLOOKUP(A241,Enforcements!$C$7:$K$13,8,0)</f>
        <v>#N/A</v>
      </c>
      <c r="AC241" s="55" t="e">
        <f>VLOOKUP(A241,Enforcements!$C$7:$E$13,3,0)</f>
        <v>#N/A</v>
      </c>
      <c r="AD241" s="56" t="str">
        <f t="shared" si="85"/>
        <v>PTCTESTNORTH-21</v>
      </c>
      <c r="AE241" s="85" t="str">
        <f t="shared" si="86"/>
        <v>aws s3 cp s3://rtdc.mdm.uploadarchive.raw/RTDC4049/ "%USERPROFILE%\AppData\Local\Temp\OnboardLogs"\RTDC4049\2017-02-21 --exclude "*" --recursive --include "*20170221*" &amp; "%USERPROFILE%\Documents\GitHub\mrs-test-scripts\Headless Mode &amp; Sideloading\WalkAndUnGZ.bat" "%USERPROFILE%\AppData\Local\Temp\OnboardLogs"\RTDC4049\2017-02-21 &amp; aws s3 cp s3://rtdc.mdm.uploadarchive.raw/RTDC4049/ "%USERPROFILE%\AppData\Local\Temp\OnboardLogs"\RTDC4049\2017-02-22 --exclude "*" --recursive --include "*20170222*" &amp; "%USERPROFILE%\Documents\GitHub\mrs-test-scripts\Headless Mode &amp; Sideloading\WalkAndUnGZ.bat" "%USERPROFILE%\AppData\Local\Temp\OnboardLogs"\RTDC4049\2017-02-22</v>
      </c>
      <c r="AF241" s="82" t="str">
        <f t="shared" si="87"/>
        <v>"C:\Program Files (x86)\AstroGrep\AstroGrep.exe" /spath="%USERPROFILE%\AppData\Local\Temp\OnboardLogs" /stypes="app*4049*20170222*" /stext=" 06:.+((SYSTEM_STATE.+slice.+state.+changed )|(ment ac)|(multiple cpu faults)|(system.+state.+changed )|(\[timeout)|(PRM\|1\|D)|(kpr)|(kdp)|(\|lc)|(penalty))" /e /r /s</v>
      </c>
      <c r="AG241" s="1" t="str">
        <f t="shared" si="88"/>
        <v>Other</v>
      </c>
      <c r="AH241" s="86" t="str">
        <f t="shared" si="89"/>
        <v>"%USERPROFILE%\Documents\GitHub\eaglep3\Utilities\RefineRTDCRunTimes.py" --tripid PTCTESTNORTH-21 --locoid 4049 --swversion DE.1.0.9.0 --startMP 300:23652 --initTime 2017-02-21T23:03:52 --startdatetime 2017-02-21T23:35:07 --delay 1 --endMP 300:24379 --enddatetime 2017-02-21T23:39:41 --enforcementcount 0 &gt;&gt;C:\Users\stu\Documents\GitHub\eaglep3-reporting\EC\2017-02-21-refined-times.txt</v>
      </c>
      <c r="AI241" s="108" t="str">
        <f t="shared" si="90"/>
        <v>echo {"issue":{"subject":"","project_id":79,"tracker_id":40,"status_id":1,"priority_id":2,"assigned_to_id":23,"start_date":"2017-02-21","description":"","custom_fields":[{"id":1,"name":"Subdivision","value":"Other"},{"id":4,"name":"Milepost","value":"2.4379"},{"id":17,"name":"Train ID","value":"PTCTESTNORTH-21"},{"id":16,"name":"Locomotive ID","value":"4049"},{"id":130,"name":"Impact","value":""},{"id":150,"name":"Time of Event (Mountain Time)","value":"23:39:41"},{"id":151,"name":"Denver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48"/>
      <c r="AK241" s="48"/>
      <c r="AL241" s="48"/>
      <c r="AM241" s="154" t="str">
        <f t="shared" si="91"/>
        <v>start /low /b %USERPROFILE%\Documents\GitHub\eaglep3\Utilities\DownloadLogsFromS3.py --loco 4049 --day 2017-02-21</v>
      </c>
      <c r="AN241" s="163" t="str">
        <f>"grep -SE -B400 ""CHR.+\|PRM\|1\|D.+(SWITCH|SIGNAL).+UNKNOWN"" "&amp;search_path&amp;"\RTDC"&amp;B241&amp;"\*"&amp;B241&amp;"*"&amp;TEXT(AVERAGE(F241,I241)-utc_offset/24,"YYYYMMDD")&amp;"*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"%USERPROFILE%\AppData\Local\Temp\OnboardLogs"\RTDC4049\*4049*20170222* | grep -SE "(Enforcement Action)|(\[TIMEOUT)|(CHR.+\|PRM\|1\|D.+(SWITCH|SIGNAL).+UNKNOWN)" - &gt;&gt; 2017-02-21-UncaughtWiMAX.txt</v>
      </c>
    </row>
    <row r="242" spans="1:40" x14ac:dyDescent="0.25">
      <c r="A242" s="33" t="s">
        <v>492</v>
      </c>
      <c r="B242" s="7">
        <v>4049</v>
      </c>
      <c r="C242" s="21" t="s">
        <v>359</v>
      </c>
      <c r="D242" s="21" t="s">
        <v>861</v>
      </c>
      <c r="E242" s="13">
        <v>42787.977569444447</v>
      </c>
      <c r="F242" s="13">
        <v>42787.996782407405</v>
      </c>
      <c r="G242" s="7">
        <v>1</v>
      </c>
      <c r="H242" s="21" t="s">
        <v>862</v>
      </c>
      <c r="I242" s="13">
        <v>42788.001655092594</v>
      </c>
      <c r="J242" s="7">
        <v>0</v>
      </c>
      <c r="K242" s="98" t="str">
        <f t="shared" si="79"/>
        <v>4049/4050</v>
      </c>
      <c r="L242" s="21" t="str">
        <f>VLOOKUP(A242,'Trips&amp;Operators'!$C$1:$G$99999,5,FALSE)</f>
        <v>YANG JAN</v>
      </c>
      <c r="M242" s="6">
        <f t="shared" si="80"/>
        <v>4.8726851891842671E-3</v>
      </c>
      <c r="N242" s="7">
        <f t="shared" si="95"/>
        <v>7.0166666724253446</v>
      </c>
      <c r="O242" s="7"/>
      <c r="P242" s="7"/>
      <c r="Q242" s="22"/>
      <c r="R242" s="22"/>
      <c r="S242" s="31">
        <f t="shared" si="94"/>
        <v>0</v>
      </c>
      <c r="T242" s="46" t="e">
        <f t="shared" si="81"/>
        <v>#VALUE!</v>
      </c>
      <c r="U242" s="193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4" t="str">
        <f t="shared" si="82"/>
        <v>https://d0f6bd738d7f1b3e5a7ca70fe4ff75f0.us-east-1.aws.found.io/app/kibana#/discover/Steve-Slow-Train-Analysis-(2080s-and-2083s)?_g=(refreshInterval:(display:Off,pause:!f,section:0,value:0),time:(from:'2017-02-21T22:27:42-0700',mode:absolute,to:'2017-02-22T01:02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42" s="195" t="str">
        <f t="shared" si="83"/>
        <v>Y</v>
      </c>
      <c r="X242" s="195" t="e">
        <f t="shared" si="96"/>
        <v>#VALUE!</v>
      </c>
      <c r="Y242" s="62">
        <f t="shared" si="92"/>
        <v>0.62139999999999995</v>
      </c>
      <c r="Z242" s="62">
        <f t="shared" si="93"/>
        <v>2.6709000000000001</v>
      </c>
      <c r="AA242" s="62">
        <f t="shared" si="84"/>
        <v>2.0495000000000001</v>
      </c>
      <c r="AB242" s="59" t="e">
        <f>VLOOKUP(A242,Enforcements!$C$7:$K$13,8,0)</f>
        <v>#N/A</v>
      </c>
      <c r="AC242" s="55" t="e">
        <f>VLOOKUP(A242,Enforcements!$C$7:$E$13,3,0)</f>
        <v>#N/A</v>
      </c>
      <c r="AD242" s="56" t="str">
        <f t="shared" si="85"/>
        <v>PTCTESTNORTH-21</v>
      </c>
      <c r="AE242" s="85" t="str">
        <f t="shared" si="86"/>
        <v>aws s3 cp s3://rtdc.mdm.uploadarchive.raw/RTDC4049/ "%USERPROFILE%\AppData\Local\Temp\OnboardLogs"\RTDC4049\2017-02-21 --exclude "*" --recursive --include "*20170221*" &amp; "%USERPROFILE%\Documents\GitHub\mrs-test-scripts\Headless Mode &amp; Sideloading\WalkAndUnGZ.bat" "%USERPROFILE%\AppData\Local\Temp\OnboardLogs"\RTDC4049\2017-02-21 &amp; aws s3 cp s3://rtdc.mdm.uploadarchive.raw/RTDC4049/ "%USERPROFILE%\AppData\Local\Temp\OnboardLogs"\RTDC4049\2017-02-22 --exclude "*" --recursive --include "*20170222*" &amp; "%USERPROFILE%\Documents\GitHub\mrs-test-scripts\Headless Mode &amp; Sideloading\WalkAndUnGZ.bat" "%USERPROFILE%\AppData\Local\Temp\OnboardLogs"\RTDC4049\2017-02-22</v>
      </c>
      <c r="AF242" s="82" t="str">
        <f t="shared" si="87"/>
        <v>"C:\Program Files (x86)\AstroGrep\AstroGrep.exe" /spath="%USERPROFILE%\AppData\Local\Temp\OnboardLogs" /stypes="app*4049*20170222*" /stext=" 07:.+((SYSTEM_STATE.+slice.+state.+changed )|(ment ac)|(multiple cpu faults)|(system.+state.+changed )|(\[timeout)|(PRM\|1\|D)|(kpr)|(kdp)|(\|lc)|(penalty))" /e /r /s</v>
      </c>
      <c r="AG242" s="1" t="str">
        <f t="shared" si="88"/>
        <v>Other</v>
      </c>
      <c r="AH242" s="86" t="str">
        <f t="shared" si="89"/>
        <v>"%USERPROFILE%\Documents\GitHub\eaglep3\Utilities\RefineRTDCRunTimes.py" --tripid PTCTESTNORTH-21 --locoid 4049 --swversion DE.1.0.9.0 --startMP 300:6214 --initTime 2017-02-21T23:27:42 --startdatetime 2017-02-21T23:55:22 --delay 1 --endMP 300:26709 --enddatetime 2017-02-22T00:02:23 --enforcementcount 0 &gt;&gt;C:\Users\stu\Documents\GitHub\eaglep3-reporting\EC\2017-02-21-refined-times.txt</v>
      </c>
      <c r="AI242" s="108" t="str">
        <f t="shared" si="90"/>
        <v>echo {"issue":{"subject":"","project_id":79,"tracker_id":40,"status_id":1,"priority_id":2,"assigned_to_id":23,"start_date":"2017-02-22","description":"","custom_fields":[{"id":1,"name":"Subdivision","value":"Other"},{"id":4,"name":"Milepost","value":"2.6709"},{"id":17,"name":"Train ID","value":"PTCTESTNORTH-21"},{"id":16,"name":"Locomotive ID","value":"4049"},{"id":130,"name":"Impact","value":""},{"id":150,"name":"Time of Event (Mountain Time)","value":"00:02:23"},{"id":151,"name":"Denver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48"/>
      <c r="AK242" s="48"/>
      <c r="AL242" s="48"/>
      <c r="AM242" s="154" t="str">
        <f t="shared" si="91"/>
        <v>start /low /b %USERPROFILE%\Documents\GitHub\eaglep3\Utilities\DownloadLogsFromS3.py --loco 4049 --day 2017-02-21</v>
      </c>
      <c r="AN242" s="163" t="str">
        <f>"grep -SE -B400 ""CHR.+\|PRM\|1\|D.+(SWITCH|SIGNAL).+UNKNOWN"" "&amp;search_path&amp;"\RTDC"&amp;B242&amp;"\*"&amp;B242&amp;"*"&amp;TEXT(AVERAGE(F242,I242)-utc_offset/24,"YYYYMMDD")&amp;"*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"%USERPROFILE%\AppData\Local\Temp\OnboardLogs"\RTDC4049\*4049*20170222* | grep -SE "(Enforcement Action)|(\[TIMEOUT)|(CHR.+\|PRM\|1\|D.+(SWITCH|SIGNAL).+UNKNOWN)" - &gt;&gt; 2017-02-21-UncaughtWiMAX.txt</v>
      </c>
    </row>
    <row r="243" spans="1:40" x14ac:dyDescent="0.25">
      <c r="A243" s="33" t="s">
        <v>494</v>
      </c>
      <c r="B243" s="7">
        <v>4050</v>
      </c>
      <c r="C243" s="21" t="s">
        <v>359</v>
      </c>
      <c r="D243" s="21" t="s">
        <v>863</v>
      </c>
      <c r="E243" s="13">
        <v>42787.941620370373</v>
      </c>
      <c r="F243" s="13">
        <v>42787.965821759259</v>
      </c>
      <c r="G243" s="7">
        <v>1</v>
      </c>
      <c r="H243" s="21" t="s">
        <v>864</v>
      </c>
      <c r="I243" s="13">
        <v>42787.971018518518</v>
      </c>
      <c r="J243" s="7">
        <v>0</v>
      </c>
      <c r="K243" s="98" t="str">
        <f t="shared" si="79"/>
        <v>4049/4050</v>
      </c>
      <c r="L243" s="21" t="str">
        <f>VLOOKUP(A243,'Trips&amp;Operators'!$C$1:$G$99999,5,FALSE)</f>
        <v>DUNCAN SHEILA</v>
      </c>
      <c r="M243" s="6">
        <f t="shared" si="80"/>
        <v>5.1967592589790002E-3</v>
      </c>
      <c r="N243" s="7">
        <f t="shared" si="95"/>
        <v>7.4833333329297602</v>
      </c>
      <c r="O243" s="7"/>
      <c r="P243" s="7"/>
      <c r="Q243" s="22"/>
      <c r="R243" s="22"/>
      <c r="S243" s="31">
        <f t="shared" si="94"/>
        <v>0</v>
      </c>
      <c r="T243" s="46" t="e">
        <f t="shared" si="81"/>
        <v>#VALUE!</v>
      </c>
      <c r="U243" s="193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94" t="str">
        <f t="shared" si="82"/>
        <v>https://d0f6bd738d7f1b3e5a7ca70fe4ff75f0.us-east-1.aws.found.io/app/kibana#/discover/Steve-Slow-Train-Analysis-(2080s-and-2083s)?_g=(refreshInterval:(display:Off,pause:!f,section:0,value:0),time:(from:'2017-02-21T21:35:56-0700',mode:absolute,to:'2017-02-22T00:18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43" s="195" t="str">
        <f t="shared" si="83"/>
        <v>Y</v>
      </c>
      <c r="X243" s="195" t="e">
        <f t="shared" si="96"/>
        <v>#VALUE!</v>
      </c>
      <c r="Y243" s="62">
        <f t="shared" si="92"/>
        <v>2.3159999999999998</v>
      </c>
      <c r="Z243" s="62">
        <f t="shared" si="93"/>
        <v>9.2600000000000002E-2</v>
      </c>
      <c r="AA243" s="62">
        <f t="shared" si="84"/>
        <v>2.2233999999999998</v>
      </c>
      <c r="AB243" s="59" t="e">
        <f>VLOOKUP(A243,Enforcements!$C$7:$K$13,8,0)</f>
        <v>#N/A</v>
      </c>
      <c r="AC243" s="55" t="e">
        <f>VLOOKUP(A243,Enforcements!$C$7:$E$13,3,0)</f>
        <v>#N/A</v>
      </c>
      <c r="AD243" s="56" t="str">
        <f t="shared" si="85"/>
        <v>PTCTESTSOUTH-21</v>
      </c>
      <c r="AE243" s="85" t="str">
        <f t="shared" si="86"/>
        <v>aws s3 cp s3://rtdc.mdm.uploadarchive.raw/RTDC4050/ "%USERPROFILE%\AppData\Local\Temp\OnboardLogs"\RTDC4050\2017-02-21 --exclude "*" --recursive --include "*20170221*" &amp; "%USERPROFILE%\Documents\GitHub\mrs-test-scripts\Headless Mode &amp; Sideloading\WalkAndUnGZ.bat" "%USERPROFILE%\AppData\Local\Temp\OnboardLogs"\RTDC4050\2017-02-21 &amp; aws s3 cp s3://rtdc.mdm.uploadarchive.raw/RTDC4050/ "%USERPROFILE%\AppData\Local\Temp\OnboardLogs"\RTDC4050\2017-02-22 --exclude "*" --recursive --include "*20170222*" &amp; "%USERPROFILE%\Documents\GitHub\mrs-test-scripts\Headless Mode &amp; Sideloading\WalkAndUnGZ.bat" "%USERPROFILE%\AppData\Local\Temp\OnboardLogs"\RTDC4050\2017-02-22</v>
      </c>
      <c r="AF243" s="82" t="str">
        <f t="shared" si="87"/>
        <v>"C:\Program Files (x86)\AstroGrep\AstroGrep.exe" /spath="%USERPROFILE%\AppData\Local\Temp\OnboardLogs" /stypes="app*4050*20170222*" /stext=" 06:.+((SYSTEM_STATE.+slice.+state.+changed )|(ment ac)|(multiple cpu faults)|(system.+state.+changed )|(\[timeout)|(PRM\|1\|D)|(kpr)|(kdp)|(\|lc)|(penalty))" /e /r /s</v>
      </c>
      <c r="AG243" s="1" t="str">
        <f t="shared" si="88"/>
        <v>Other</v>
      </c>
      <c r="AH243" s="86" t="str">
        <f t="shared" si="89"/>
        <v>"%USERPROFILE%\Documents\GitHub\eaglep3\Utilities\RefineRTDCRunTimes.py" --tripid PTCTESTSOUTH-21 --locoid 4050 --swversion DE.1.0.9.0 --startMP 300:23160 --initTime 2017-02-21T22:35:56 --startdatetime 2017-02-21T23:10:47 --delay 1 --endMP 204:926 --enddatetime 2017-02-21T23:18:16 --enforcementcount 0 &gt;&gt;C:\Users\stu\Documents\GitHub\eaglep3-reporting\EC\2017-02-21-refined-times.txt</v>
      </c>
      <c r="AI243" s="108" t="str">
        <f t="shared" si="90"/>
        <v>echo {"issue":{"subject":"","project_id":79,"tracker_id":40,"status_id":1,"priority_id":2,"assigned_to_id":23,"start_date":"2017-02-21","description":"","custom_fields":[{"id":1,"name":"Subdivision","value":"Other"},{"id":4,"name":"Milepost","value":"0.0926"},{"id":17,"name":"Train ID","value":"PTCTESTSOUTH-21"},{"id":16,"name":"Locomotive ID","value":"4050"},{"id":130,"name":"Impact","value":""},{"id":150,"name":"Time of Event (Mountain Time)","value":"23:18:16"},{"id":151,"name":"Denver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48"/>
      <c r="AK243" s="48"/>
      <c r="AL243" s="48"/>
      <c r="AM243" s="154" t="str">
        <f t="shared" si="91"/>
        <v>start /low /b %USERPROFILE%\Documents\GitHub\eaglep3\Utilities\DownloadLogsFromS3.py --loco 4050 --day 2017-02-21</v>
      </c>
      <c r="AN243" s="163" t="str">
        <f>"grep -SE -B400 ""CHR.+\|PRM\|1\|D.+(SWITCH|SIGNAL).+UNKNOWN"" "&amp;search_path&amp;"\RTDC"&amp;B243&amp;"\*"&amp;B243&amp;"*"&amp;TEXT(AVERAGE(F243,I243)-utc_offset/24,"YYYYMMDD")&amp;"*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"%USERPROFILE%\AppData\Local\Temp\OnboardLogs"\RTDC4050\*4050*20170222* | grep -SE "(Enforcement Action)|(\[TIMEOUT)|(CHR.+\|PRM\|1\|D.+(SWITCH|SIGNAL).+UNKNOWN)" - &gt;&gt; 2017-02-21-UncaughtWiMAX.txt</v>
      </c>
    </row>
    <row r="244" spans="1:40" x14ac:dyDescent="0.25">
      <c r="A244" s="33" t="s">
        <v>494</v>
      </c>
      <c r="B244" s="7">
        <v>4050</v>
      </c>
      <c r="C244" s="21" t="s">
        <v>359</v>
      </c>
      <c r="D244" s="21" t="s">
        <v>865</v>
      </c>
      <c r="E244" s="13">
        <v>42788.017083333332</v>
      </c>
      <c r="F244" s="13">
        <v>42788.03707175926</v>
      </c>
      <c r="G244" s="7">
        <v>1</v>
      </c>
      <c r="H244" s="21" t="s">
        <v>449</v>
      </c>
      <c r="I244" s="13">
        <v>42788.042395833334</v>
      </c>
      <c r="J244" s="7">
        <v>0</v>
      </c>
      <c r="K244" s="98" t="str">
        <f t="shared" si="79"/>
        <v>4049/4050</v>
      </c>
      <c r="L244" s="21" t="str">
        <f>VLOOKUP(A244,'Trips&amp;Operators'!$C$1:$G$99999,5,FALSE)</f>
        <v>DUNCAN SHEILA</v>
      </c>
      <c r="M244" s="6">
        <f t="shared" si="80"/>
        <v>5.324074074451346E-3</v>
      </c>
      <c r="N244" s="7">
        <f t="shared" si="95"/>
        <v>7.6666666672099382</v>
      </c>
      <c r="O244" s="7"/>
      <c r="P244" s="7"/>
      <c r="Q244" s="22"/>
      <c r="R244" s="22"/>
      <c r="S244" s="31">
        <f t="shared" si="94"/>
        <v>0</v>
      </c>
      <c r="T244" s="46" t="e">
        <f t="shared" si="81"/>
        <v>#VALUE!</v>
      </c>
      <c r="U244" s="193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94" t="str">
        <f t="shared" si="82"/>
        <v>https://d0f6bd738d7f1b3e5a7ca70fe4ff75f0.us-east-1.aws.found.io/app/kibana#/discover/Steve-Slow-Train-Analysis-(2080s-and-2083s)?_g=(refreshInterval:(display:Off,pause:!f,section:0,value:0),time:(from:'2017-02-21T23:24:36-0700',mode:absolute,to:'2017-02-22T02:01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44" s="195" t="str">
        <f t="shared" si="83"/>
        <v>Y</v>
      </c>
      <c r="X244" s="195" t="e">
        <f t="shared" si="96"/>
        <v>#VALUE!</v>
      </c>
      <c r="Y244" s="62">
        <f t="shared" si="92"/>
        <v>2.4474</v>
      </c>
      <c r="Z244" s="62">
        <f t="shared" si="93"/>
        <v>9.3899999999999997E-2</v>
      </c>
      <c r="AA244" s="62">
        <f t="shared" si="84"/>
        <v>2.3534999999999999</v>
      </c>
      <c r="AB244" s="59" t="e">
        <f>VLOOKUP(A244,Enforcements!$C$7:$K$13,8,0)</f>
        <v>#N/A</v>
      </c>
      <c r="AC244" s="55" t="e">
        <f>VLOOKUP(A244,Enforcements!$C$7:$E$13,3,0)</f>
        <v>#N/A</v>
      </c>
      <c r="AD244" s="56" t="str">
        <f t="shared" si="85"/>
        <v>PTCTESTSOUTH-21</v>
      </c>
      <c r="AE244" s="85" t="str">
        <f t="shared" si="86"/>
        <v>aws s3 cp s3://rtdc.mdm.uploadarchive.raw/RTDC4050/ "%USERPROFILE%\AppData\Local\Temp\OnboardLogs"\RTDC4050\2017-02-22 --exclude "*" --recursive --include "*20170222*" &amp; "%USERPROFILE%\Documents\GitHub\mrs-test-scripts\Headless Mode &amp; Sideloading\WalkAndUnGZ.bat" "%USERPROFILE%\AppData\Local\Temp\OnboardLogs"\RTDC4050\2017-02-22 &amp; aws s3 cp s3://rtdc.mdm.uploadarchive.raw/RTDC4050/ "%USERPROFILE%\AppData\Local\Temp\OnboardLogs"\RTDC4050\2017-02-23 --exclude "*" --recursive --include "*20170223*" &amp; "%USERPROFILE%\Documents\GitHub\mrs-test-scripts\Headless Mode &amp; Sideloading\WalkAndUnGZ.bat" "%USERPROFILE%\AppData\Local\Temp\OnboardLogs"\RTDC4050\2017-02-23</v>
      </c>
      <c r="AF244" s="82" t="str">
        <f t="shared" si="87"/>
        <v>"C:\Program Files (x86)\AstroGrep\AstroGrep.exe" /spath="%USERPROFILE%\AppData\Local\Temp\OnboardLogs" /stypes="app*4050*20170222*" /stext=" 08:.+((SYSTEM_STATE.+slice.+state.+changed )|(ment ac)|(multiple cpu faults)|(system.+state.+changed )|(\[timeout)|(PRM\|1\|D)|(kpr)|(kdp)|(\|lc)|(penalty))" /e /r /s</v>
      </c>
      <c r="AG244" s="1" t="str">
        <f t="shared" si="88"/>
        <v>Other</v>
      </c>
      <c r="AH244" s="86" t="str">
        <f t="shared" si="89"/>
        <v>"%USERPROFILE%\Documents\GitHub\eaglep3\Utilities\RefineRTDCRunTimes.py" --tripid PTCTESTSOUTH-21 --locoid 4050 --swversion DE.1.0.9.0 --startMP 300:24474 --initTime 2017-02-22T00:24:36 --startdatetime 2017-02-22T00:53:23 --delay 1 --endMP 204:939 --enddatetime 2017-02-22T01:01:03 --enforcementcount 0 &gt;&gt;C:\Users\stu\Documents\GitHub\eaglep3-reporting\EC\2017-02-21-refined-times.txt</v>
      </c>
      <c r="AI244" s="108" t="str">
        <f t="shared" si="90"/>
        <v>echo {"issue":{"subject":"","project_id":79,"tracker_id":40,"status_id":1,"priority_id":2,"assigned_to_id":23,"start_date":"2017-02-22","description":"","custom_fields":[{"id":1,"name":"Subdivision","value":"Other"},{"id":4,"name":"Milepost","value":"0.0939"},{"id":17,"name":"Train ID","value":"PTCTESTSOUTH-21"},{"id":16,"name":"Locomotive ID","value":"4050"},{"id":130,"name":"Impact","value":""},{"id":150,"name":"Time of Event (Mountain Time)","value":"01:01:03"},{"id":151,"name":"Denver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48"/>
      <c r="AK244" s="48"/>
      <c r="AL244" s="48"/>
      <c r="AM244" s="154" t="str">
        <f t="shared" si="91"/>
        <v>start /low /b %USERPROFILE%\Documents\GitHub\eaglep3\Utilities\DownloadLogsFromS3.py --loco 4050 --day 2017-02-22</v>
      </c>
      <c r="AN244" s="163" t="str">
        <f>"grep -SE -B400 ""CHR.+\|PRM\|1\|D.+(SWITCH|SIGNAL).+UNKNOWN"" "&amp;search_path&amp;"\RTDC"&amp;B244&amp;"\*"&amp;B244&amp;"*"&amp;TEXT(AVERAGE(F244,I244)-utc_offset/24,"YYYYMMDD")&amp;"*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"%USERPROFILE%\AppData\Local\Temp\OnboardLogs"\RTDC4050\*4050*20170222* | grep -SE "(Enforcement Action)|(\[TIMEOUT)|(CHR.+\|PRM\|1\|D.+(SWITCH|SIGNAL).+UNKNOWN)" - &gt;&gt; 2017-02-21-UncaughtWiMAX.txt</v>
      </c>
    </row>
    <row r="245" spans="1:40" x14ac:dyDescent="0.25">
      <c r="A245" s="33" t="s">
        <v>494</v>
      </c>
      <c r="B245" s="7">
        <v>4050</v>
      </c>
      <c r="C245" s="21" t="s">
        <v>359</v>
      </c>
      <c r="D245" s="21" t="s">
        <v>866</v>
      </c>
      <c r="E245" s="13">
        <v>42788.030659722222</v>
      </c>
      <c r="F245" s="13">
        <v>42788.06082175926</v>
      </c>
      <c r="G245" s="7">
        <v>1</v>
      </c>
      <c r="H245" s="21" t="s">
        <v>433</v>
      </c>
      <c r="I245" s="13">
        <v>42788.066319444442</v>
      </c>
      <c r="J245" s="7">
        <v>0</v>
      </c>
      <c r="K245" s="98" t="str">
        <f t="shared" si="79"/>
        <v>4049/4050</v>
      </c>
      <c r="L245" s="21" t="str">
        <f>VLOOKUP(A245,'Trips&amp;Operators'!$C$1:$G$99999,5,FALSE)</f>
        <v>DUNCAN SHEILA</v>
      </c>
      <c r="M245" s="6">
        <f t="shared" si="80"/>
        <v>5.4976851824903861E-3</v>
      </c>
      <c r="N245" s="7">
        <f t="shared" si="95"/>
        <v>7.9166666627861559</v>
      </c>
      <c r="O245" s="7"/>
      <c r="P245" s="7"/>
      <c r="Q245" s="22"/>
      <c r="R245" s="22"/>
      <c r="S245" s="31">
        <f t="shared" si="94"/>
        <v>0</v>
      </c>
      <c r="T245" s="46" t="e">
        <f t="shared" si="81"/>
        <v>#VALUE!</v>
      </c>
      <c r="U245" s="193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94" t="str">
        <f t="shared" si="82"/>
        <v>https://d0f6bd738d7f1b3e5a7ca70fe4ff75f0.us-east-1.aws.found.io/app/kibana#/discover/Steve-Slow-Train-Analysis-(2080s-and-2083s)?_g=(refreshInterval:(display:Off,pause:!f,section:0,value:0),time:(from:'2017-02-21T23:44:09-0700',mode:absolute,to:'2017-02-22T02:35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45" s="195" t="str">
        <f t="shared" si="83"/>
        <v>Y</v>
      </c>
      <c r="X245" s="195" t="e">
        <f t="shared" si="96"/>
        <v>#VALUE!</v>
      </c>
      <c r="Y245" s="62">
        <f t="shared" si="92"/>
        <v>2.4487000000000001</v>
      </c>
      <c r="Z245" s="62">
        <f t="shared" si="93"/>
        <v>9.4100000000000003E-2</v>
      </c>
      <c r="AA245" s="62">
        <f t="shared" si="84"/>
        <v>2.3546</v>
      </c>
      <c r="AB245" s="59" t="e">
        <f>VLOOKUP(A245,Enforcements!$C$7:$K$13,8,0)</f>
        <v>#N/A</v>
      </c>
      <c r="AC245" s="55" t="e">
        <f>VLOOKUP(A245,Enforcements!$C$7:$E$13,3,0)</f>
        <v>#N/A</v>
      </c>
      <c r="AD245" s="56" t="str">
        <f t="shared" si="85"/>
        <v>PTCTESTSOUTH-21</v>
      </c>
      <c r="AE245" s="85" t="str">
        <f t="shared" si="86"/>
        <v>aws s3 cp s3://rtdc.mdm.uploadarchive.raw/RTDC4050/ "%USERPROFILE%\AppData\Local\Temp\OnboardLogs"\RTDC4050\2017-02-22 --exclude "*" --recursive --include "*20170222*" &amp; "%USERPROFILE%\Documents\GitHub\mrs-test-scripts\Headless Mode &amp; Sideloading\WalkAndUnGZ.bat" "%USERPROFILE%\AppData\Local\Temp\OnboardLogs"\RTDC4050\2017-02-22 &amp; aws s3 cp s3://rtdc.mdm.uploadarchive.raw/RTDC4050/ "%USERPROFILE%\AppData\Local\Temp\OnboardLogs"\RTDC4050\2017-02-23 --exclude "*" --recursive --include "*20170223*" &amp; "%USERPROFILE%\Documents\GitHub\mrs-test-scripts\Headless Mode &amp; Sideloading\WalkAndUnGZ.bat" "%USERPROFILE%\AppData\Local\Temp\OnboardLogs"\RTDC4050\2017-02-23</v>
      </c>
      <c r="AF245" s="82" t="str">
        <f t="shared" si="87"/>
        <v>"C:\Program Files (x86)\AstroGrep\AstroGrep.exe" /spath="%USERPROFILE%\AppData\Local\Temp\OnboardLogs" /stypes="app*4050*20170222*" /stext=" 08:.+((SYSTEM_STATE.+slice.+state.+changed )|(ment ac)|(multiple cpu faults)|(system.+state.+changed )|(\[timeout)|(PRM\|1\|D)|(kpr)|(kdp)|(\|lc)|(penalty))" /e /r /s</v>
      </c>
      <c r="AG245" s="1" t="str">
        <f t="shared" si="88"/>
        <v>Other</v>
      </c>
      <c r="AH245" s="86" t="str">
        <f t="shared" si="89"/>
        <v>"%USERPROFILE%\Documents\GitHub\eaglep3\Utilities\RefineRTDCRunTimes.py" --tripid PTCTESTSOUTH-21 --locoid 4050 --swversion DE.1.0.9.0 --startMP 300:24487 --initTime 2017-02-22T00:44:09 --startdatetime 2017-02-22T01:27:35 --delay 1 --endMP 204:941 --enddatetime 2017-02-22T01:35:30 --enforcementcount 0 &gt;&gt;C:\Users\stu\Documents\GitHub\eaglep3-reporting\EC\2017-02-21-refined-times.txt</v>
      </c>
      <c r="AI245" s="108" t="str">
        <f t="shared" si="90"/>
        <v>echo {"issue":{"subject":"","project_id":79,"tracker_id":40,"status_id":1,"priority_id":2,"assigned_to_id":23,"start_date":"2017-02-22","description":"","custom_fields":[{"id":1,"name":"Subdivision","value":"Other"},{"id":4,"name":"Milepost","value":"0.0941"},{"id":17,"name":"Train ID","value":"PTCTESTSOUTH-21"},{"id":16,"name":"Locomotive ID","value":"4050"},{"id":130,"name":"Impact","value":""},{"id":150,"name":"Time of Event (Mountain Time)","value":"01:35:30"},{"id":151,"name":"Denver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48"/>
      <c r="AK245" s="48"/>
      <c r="AL245" s="48"/>
      <c r="AM245" s="154" t="str">
        <f t="shared" si="91"/>
        <v>start /low /b %USERPROFILE%\Documents\GitHub\eaglep3\Utilities\DownloadLogsFromS3.py --loco 4050 --day 2017-02-22</v>
      </c>
      <c r="AN245" s="163" t="str">
        <f>"grep -SE -B400 ""CHR.+\|PRM\|1\|D.+(SWITCH|SIGNAL).+UNKNOWN"" "&amp;search_path&amp;"\RTDC"&amp;B245&amp;"\*"&amp;B245&amp;"*"&amp;TEXT(AVERAGE(F245,I245)-utc_offset/24,"YYYYMMDD")&amp;"*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"%USERPROFILE%\AppData\Local\Temp\OnboardLogs"\RTDC4050\*4050*20170222* | grep -SE "(Enforcement Action)|(\[TIMEOUT)|(CHR.+\|PRM\|1\|D.+(SWITCH|SIGNAL).+UNKNOWN)" - &gt;&gt; 2017-02-21-UncaughtWiMAX.txt</v>
      </c>
    </row>
    <row r="246" spans="1:40" x14ac:dyDescent="0.25">
      <c r="A246" s="33" t="s">
        <v>494</v>
      </c>
      <c r="B246" s="7">
        <v>4050</v>
      </c>
      <c r="C246" s="21" t="s">
        <v>359</v>
      </c>
      <c r="D246" s="21" t="s">
        <v>867</v>
      </c>
      <c r="E246" s="13">
        <v>42788.054525462961</v>
      </c>
      <c r="F246" s="13">
        <v>42788.08384259259</v>
      </c>
      <c r="G246" s="7">
        <v>1</v>
      </c>
      <c r="H246" s="21" t="s">
        <v>868</v>
      </c>
      <c r="I246" s="13">
        <v>42788.088101851848</v>
      </c>
      <c r="J246" s="7">
        <v>0</v>
      </c>
      <c r="K246" s="98" t="str">
        <f t="shared" si="79"/>
        <v>4049/4050</v>
      </c>
      <c r="L246" s="21" t="str">
        <f>VLOOKUP(A246,'Trips&amp;Operators'!$C$1:$G$99999,5,FALSE)</f>
        <v>DUNCAN SHEILA</v>
      </c>
      <c r="M246" s="6">
        <f t="shared" si="80"/>
        <v>4.2592592581058852E-3</v>
      </c>
      <c r="N246" s="7">
        <f t="shared" si="95"/>
        <v>6.1333333316724747</v>
      </c>
      <c r="O246" s="7"/>
      <c r="P246" s="7"/>
      <c r="Q246" s="22"/>
      <c r="R246" s="22"/>
      <c r="S246" s="31">
        <f t="shared" si="94"/>
        <v>0</v>
      </c>
      <c r="T246" s="46" t="e">
        <f t="shared" si="81"/>
        <v>#VALUE!</v>
      </c>
      <c r="U246" s="193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94" t="str">
        <f t="shared" si="82"/>
        <v>https://d0f6bd738d7f1b3e5a7ca70fe4ff75f0.us-east-1.aws.found.io/app/kibana#/discover/Steve-Slow-Train-Analysis-(2080s-and-2083s)?_g=(refreshInterval:(display:Off,pause:!f,section:0,value:0),time:(from:'2017-02-22T00:18:31-0700',mode:absolute,to:'2017-02-22T03:06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46" s="195" t="str">
        <f t="shared" si="83"/>
        <v>Y</v>
      </c>
      <c r="X246" s="195" t="e">
        <f t="shared" si="96"/>
        <v>#VALUE!</v>
      </c>
      <c r="Y246" s="62">
        <f t="shared" si="92"/>
        <v>2.4533</v>
      </c>
      <c r="Z246" s="62">
        <f t="shared" si="93"/>
        <v>1.37E-2</v>
      </c>
      <c r="AA246" s="62">
        <f t="shared" si="84"/>
        <v>2.4396</v>
      </c>
      <c r="AB246" s="59" t="e">
        <f>VLOOKUP(A246,Enforcements!$C$7:$K$13,8,0)</f>
        <v>#N/A</v>
      </c>
      <c r="AC246" s="55" t="e">
        <f>VLOOKUP(A246,Enforcements!$C$7:$E$13,3,0)</f>
        <v>#N/A</v>
      </c>
      <c r="AD246" s="56" t="str">
        <f t="shared" si="85"/>
        <v>PTCTESTSOUTH-21</v>
      </c>
      <c r="AE246" s="85" t="str">
        <f t="shared" si="86"/>
        <v>aws s3 cp s3://rtdc.mdm.uploadarchive.raw/RTDC4050/ "%USERPROFILE%\AppData\Local\Temp\OnboardLogs"\RTDC4050\2017-02-22 --exclude "*" --recursive --include "*20170222*" &amp; "%USERPROFILE%\Documents\GitHub\mrs-test-scripts\Headless Mode &amp; Sideloading\WalkAndUnGZ.bat" "%USERPROFILE%\AppData\Local\Temp\OnboardLogs"\RTDC4050\2017-02-22 &amp; aws s3 cp s3://rtdc.mdm.uploadarchive.raw/RTDC4050/ "%USERPROFILE%\AppData\Local\Temp\OnboardLogs"\RTDC4050\2017-02-23 --exclude "*" --recursive --include "*20170223*" &amp; "%USERPROFILE%\Documents\GitHub\mrs-test-scripts\Headless Mode &amp; Sideloading\WalkAndUnGZ.bat" "%USERPROFILE%\AppData\Local\Temp\OnboardLogs"\RTDC4050\2017-02-23</v>
      </c>
      <c r="AF246" s="82" t="str">
        <f t="shared" si="87"/>
        <v>"C:\Program Files (x86)\AstroGrep\AstroGrep.exe" /spath="%USERPROFILE%\AppData\Local\Temp\OnboardLogs" /stypes="app*4050*20170222*" /stext=" 09:.+((SYSTEM_STATE.+slice.+state.+changed )|(ment ac)|(multiple cpu faults)|(system.+state.+changed )|(\[timeout)|(PRM\|1\|D)|(kpr)|(kdp)|(\|lc)|(penalty))" /e /r /s</v>
      </c>
      <c r="AG246" s="1" t="str">
        <f t="shared" si="88"/>
        <v>Other</v>
      </c>
      <c r="AH246" s="86" t="str">
        <f t="shared" si="89"/>
        <v>"%USERPROFILE%\Documents\GitHub\eaglep3\Utilities\RefineRTDCRunTimes.py" --tripid PTCTESTSOUTH-21 --locoid 4050 --swversion DE.1.0.9.0 --startMP 300:24533 --initTime 2017-02-22T01:18:31 --startdatetime 2017-02-22T02:00:44 --delay 1 --endMP 204:137 --enddatetime 2017-02-22T02:06:52 --enforcementcount 0 &gt;&gt;C:\Users\stu\Documents\GitHub\eaglep3-reporting\EC\2017-02-21-refined-times.txt</v>
      </c>
      <c r="AI246" s="108" t="str">
        <f t="shared" si="90"/>
        <v>echo {"issue":{"subject":"","project_id":79,"tracker_id":40,"status_id":1,"priority_id":2,"assigned_to_id":23,"start_date":"2017-02-22","description":"","custom_fields":[{"id":1,"name":"Subdivision","value":"Other"},{"id":4,"name":"Milepost","value":"0.0137"},{"id":17,"name":"Train ID","value":"PTCTESTSOUTH-21"},{"id":16,"name":"Locomotive ID","value":"4050"},{"id":130,"name":"Impact","value":""},{"id":150,"name":"Time of Event (Mountain Time)","value":"02:06:52"},{"id":151,"name":"Denver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48"/>
      <c r="AK246" s="48"/>
      <c r="AL246" s="48"/>
      <c r="AM246" s="154" t="str">
        <f t="shared" si="91"/>
        <v>start /low /b %USERPROFILE%\Documents\GitHub\eaglep3\Utilities\DownloadLogsFromS3.py --loco 4050 --day 2017-02-22</v>
      </c>
      <c r="AN246" s="163" t="str">
        <f>"grep -SE -B400 ""CHR.+\|PRM\|1\|D.+(SWITCH|SIGNAL).+UNKNOWN"" "&amp;search_path&amp;"\RTDC"&amp;B246&amp;"\*"&amp;B246&amp;"*"&amp;TEXT(AVERAGE(F246,I246)-utc_offset/24,"YYYYMMDD")&amp;"*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"%USERPROFILE%\AppData\Local\Temp\OnboardLogs"\RTDC4050\*4050*20170222* | grep -SE "(Enforcement Action)|(\[TIMEOUT)|(CHR.+\|PRM\|1\|D.+(SWITCH|SIGNAL).+UNKNOWN)" - &gt;&gt; 2017-02-21-UncaughtWiMAX.txt</v>
      </c>
    </row>
    <row r="247" spans="1:40" x14ac:dyDescent="0.25">
      <c r="A247" s="33" t="s">
        <v>494</v>
      </c>
      <c r="B247" s="7">
        <v>4050</v>
      </c>
      <c r="C247" s="21" t="s">
        <v>359</v>
      </c>
      <c r="D247" s="21" t="s">
        <v>869</v>
      </c>
      <c r="E247" s="13">
        <v>42788.081261574072</v>
      </c>
      <c r="F247" s="13">
        <v>42788.109027777777</v>
      </c>
      <c r="G247" s="7">
        <v>3</v>
      </c>
      <c r="H247" s="21" t="s">
        <v>870</v>
      </c>
      <c r="I247" s="13">
        <v>42788.11383101852</v>
      </c>
      <c r="J247" s="7">
        <v>0</v>
      </c>
      <c r="K247" s="98" t="str">
        <f t="shared" si="79"/>
        <v>4049/4050</v>
      </c>
      <c r="L247" s="21" t="str">
        <f>VLOOKUP(A247,'Trips&amp;Operators'!$C$1:$G$99999,5,FALSE)</f>
        <v>DUNCAN SHEILA</v>
      </c>
      <c r="M247" s="6">
        <f t="shared" si="80"/>
        <v>4.803240743058268E-3</v>
      </c>
      <c r="N247" s="7">
        <f t="shared" si="95"/>
        <v>6.9166666700039059</v>
      </c>
      <c r="O247" s="7"/>
      <c r="P247" s="7"/>
      <c r="Q247" s="22"/>
      <c r="R247" s="22"/>
      <c r="S247" s="31">
        <f t="shared" si="94"/>
        <v>0</v>
      </c>
      <c r="T247" s="46" t="e">
        <f t="shared" si="81"/>
        <v>#VALUE!</v>
      </c>
      <c r="U247" s="193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94" t="str">
        <f t="shared" si="82"/>
        <v>https://d0f6bd738d7f1b3e5a7ca70fe4ff75f0.us-east-1.aws.found.io/app/kibana#/discover/Steve-Slow-Train-Analysis-(2080s-and-2083s)?_g=(refreshInterval:(display:Off,pause:!f,section:0,value:0),time:(from:'2017-02-22T00:57:01-0700',mode:absolute,to:'2017-02-22T03:43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47" s="195" t="str">
        <f t="shared" si="83"/>
        <v>Y</v>
      </c>
      <c r="X247" s="195" t="e">
        <f t="shared" si="96"/>
        <v>#VALUE!</v>
      </c>
      <c r="Y247" s="62">
        <f t="shared" si="92"/>
        <v>2.4546000000000001</v>
      </c>
      <c r="Z247" s="62">
        <f t="shared" si="93"/>
        <v>0.10340000000000001</v>
      </c>
      <c r="AA247" s="62">
        <f t="shared" si="84"/>
        <v>2.3512</v>
      </c>
      <c r="AB247" s="59" t="e">
        <f>VLOOKUP(A247,Enforcements!$C$7:$K$13,8,0)</f>
        <v>#N/A</v>
      </c>
      <c r="AC247" s="55" t="e">
        <f>VLOOKUP(A247,Enforcements!$C$7:$E$13,3,0)</f>
        <v>#N/A</v>
      </c>
      <c r="AD247" s="56" t="str">
        <f t="shared" si="85"/>
        <v>PTCTESTSOUTH-21</v>
      </c>
      <c r="AE247" s="85" t="str">
        <f t="shared" si="86"/>
        <v>aws s3 cp s3://rtdc.mdm.uploadarchive.raw/RTDC4050/ "%USERPROFILE%\AppData\Local\Temp\OnboardLogs"\RTDC4050\2017-02-22 --exclude "*" --recursive --include "*20170222*" &amp; "%USERPROFILE%\Documents\GitHub\mrs-test-scripts\Headless Mode &amp; Sideloading\WalkAndUnGZ.bat" "%USERPROFILE%\AppData\Local\Temp\OnboardLogs"\RTDC4050\2017-02-22 &amp; aws s3 cp s3://rtdc.mdm.uploadarchive.raw/RTDC4050/ "%USERPROFILE%\AppData\Local\Temp\OnboardLogs"\RTDC4050\2017-02-23 --exclude "*" --recursive --include "*20170223*" &amp; "%USERPROFILE%\Documents\GitHub\mrs-test-scripts\Headless Mode &amp; Sideloading\WalkAndUnGZ.bat" "%USERPROFILE%\AppData\Local\Temp\OnboardLogs"\RTDC4050\2017-02-23</v>
      </c>
      <c r="AF247" s="82" t="str">
        <f t="shared" si="87"/>
        <v>"C:\Program Files (x86)\AstroGrep\AstroGrep.exe" /spath="%USERPROFILE%\AppData\Local\Temp\OnboardLogs" /stypes="app*4050*20170222*" /stext=" 09:.+((SYSTEM_STATE.+slice.+state.+changed )|(ment ac)|(multiple cpu faults)|(system.+state.+changed )|(\[timeout)|(PRM\|1\|D)|(kpr)|(kdp)|(\|lc)|(penalty))" /e /r /s</v>
      </c>
      <c r="AG247" s="1" t="str">
        <f t="shared" si="88"/>
        <v>Other</v>
      </c>
      <c r="AH247" s="86" t="str">
        <f t="shared" si="89"/>
        <v>"%USERPROFILE%\Documents\GitHub\eaglep3\Utilities\RefineRTDCRunTimes.py" --tripid PTCTESTSOUTH-21 --locoid 4050 --swversion DE.1.0.9.0 --startMP 300:24546 --initTime 2017-02-22T01:57:01 --startdatetime 2017-02-22T02:37:00 --delay 3 --endMP 204:1034 --enddatetime 2017-02-22T02:43:55 --enforcementcount 0 &gt;&gt;C:\Users\stu\Documents\GitHub\eaglep3-reporting\EC\2017-02-21-refined-times.txt</v>
      </c>
      <c r="AI247" s="108" t="str">
        <f t="shared" si="90"/>
        <v>echo {"issue":{"subject":"","project_id":79,"tracker_id":40,"status_id":1,"priority_id":2,"assigned_to_id":23,"start_date":"2017-02-22","description":"","custom_fields":[{"id":1,"name":"Subdivision","value":"Other"},{"id":4,"name":"Milepost","value":"0.1034"},{"id":17,"name":"Train ID","value":"PTCTESTSOUTH-21"},{"id":16,"name":"Locomotive ID","value":"4050"},{"id":130,"name":"Impact","value":""},{"id":150,"name":"Time of Event (Mountain Time)","value":"02:43:55"},{"id":151,"name":"Denver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48"/>
      <c r="AK247" s="48"/>
      <c r="AL247" s="48"/>
      <c r="AM247" s="154" t="str">
        <f t="shared" si="91"/>
        <v>start /low /b %USERPROFILE%\Documents\GitHub\eaglep3\Utilities\DownloadLogsFromS3.py --loco 4050 --day 2017-02-22</v>
      </c>
      <c r="AN247" s="163" t="str">
        <f>"grep -SE -B400 ""CHR.+\|PRM\|1\|D.+(SWITCH|SIGNAL).+UNKNOWN"" "&amp;search_path&amp;"\RTDC"&amp;B247&amp;"\*"&amp;B247&amp;"*"&amp;TEXT(AVERAGE(F247,I247)-utc_offset/24,"YYYYMMDD")&amp;"*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"%USERPROFILE%\AppData\Local\Temp\OnboardLogs"\RTDC4050\*4050*20170222* | grep -SE "(Enforcement Action)|(\[TIMEOUT)|(CHR.+\|PRM\|1\|D.+(SWITCH|SIGNAL).+UNKNOWN)" - &gt;&gt; 2017-02-21-UncaughtWiMAX.txt</v>
      </c>
    </row>
    <row r="248" spans="1:40" x14ac:dyDescent="0.25">
      <c r="A248" s="33" t="s">
        <v>494</v>
      </c>
      <c r="B248" s="7">
        <v>4050</v>
      </c>
      <c r="C248" s="21" t="s">
        <v>359</v>
      </c>
      <c r="D248" s="21" t="s">
        <v>871</v>
      </c>
      <c r="E248" s="13">
        <v>42788.096076388887</v>
      </c>
      <c r="F248" s="13">
        <v>42788.122453703705</v>
      </c>
      <c r="G248" s="7">
        <v>1</v>
      </c>
      <c r="H248" s="21" t="s">
        <v>872</v>
      </c>
      <c r="I248" s="13">
        <v>42788.128009259257</v>
      </c>
      <c r="J248" s="7">
        <v>0</v>
      </c>
      <c r="K248" s="98" t="str">
        <f t="shared" si="79"/>
        <v>4049/4050</v>
      </c>
      <c r="L248" s="21" t="str">
        <f>VLOOKUP(A248,'Trips&amp;Operators'!$C$1:$G$99999,5,FALSE)</f>
        <v>DUNCAN SHEILA</v>
      </c>
      <c r="M248" s="6">
        <f t="shared" si="80"/>
        <v>5.5555555518367328E-3</v>
      </c>
      <c r="N248" s="7">
        <f t="shared" si="95"/>
        <v>7.9999999946448952</v>
      </c>
      <c r="O248" s="7"/>
      <c r="P248" s="7"/>
      <c r="Q248" s="22"/>
      <c r="R248" s="22"/>
      <c r="S248" s="31">
        <f t="shared" si="94"/>
        <v>0</v>
      </c>
      <c r="T248" s="46" t="e">
        <f t="shared" si="81"/>
        <v>#VALUE!</v>
      </c>
      <c r="U248" s="193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194" t="str">
        <f t="shared" si="82"/>
        <v>https://d0f6bd738d7f1b3e5a7ca70fe4ff75f0.us-east-1.aws.found.io/app/kibana#/discover/Steve-Slow-Train-Analysis-(2080s-and-2083s)?_g=(refreshInterval:(display:Off,pause:!f,section:0,value:0),time:(from:'2017-02-22T01:18:21-0700',mode:absolute,to:'2017-02-22T04:04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48" s="195" t="str">
        <f t="shared" si="83"/>
        <v>Y</v>
      </c>
      <c r="X248" s="195" t="e">
        <f t="shared" si="96"/>
        <v>#VALUE!</v>
      </c>
      <c r="Y248" s="62">
        <f t="shared" si="92"/>
        <v>2.4554999999999998</v>
      </c>
      <c r="Z248" s="62">
        <f t="shared" si="93"/>
        <v>0.10489999999999999</v>
      </c>
      <c r="AA248" s="62">
        <f t="shared" si="84"/>
        <v>2.3506</v>
      </c>
      <c r="AB248" s="59" t="e">
        <f>VLOOKUP(A248,Enforcements!$C$7:$K$13,8,0)</f>
        <v>#N/A</v>
      </c>
      <c r="AC248" s="55" t="e">
        <f>VLOOKUP(A248,Enforcements!$C$7:$E$13,3,0)</f>
        <v>#N/A</v>
      </c>
      <c r="AD248" s="56" t="str">
        <f t="shared" si="85"/>
        <v>PTCTESTSOUTH-21</v>
      </c>
      <c r="AE248" s="85" t="str">
        <f t="shared" si="86"/>
        <v>aws s3 cp s3://rtdc.mdm.uploadarchive.raw/RTDC4050/ "%USERPROFILE%\AppData\Local\Temp\OnboardLogs"\RTDC4050\2017-02-22 --exclude "*" --recursive --include "*20170222*" &amp; "%USERPROFILE%\Documents\GitHub\mrs-test-scripts\Headless Mode &amp; Sideloading\WalkAndUnGZ.bat" "%USERPROFILE%\AppData\Local\Temp\OnboardLogs"\RTDC4050\2017-02-22 &amp; aws s3 cp s3://rtdc.mdm.uploadarchive.raw/RTDC4050/ "%USERPROFILE%\AppData\Local\Temp\OnboardLogs"\RTDC4050\2017-02-23 --exclude "*" --recursive --include "*20170223*" &amp; "%USERPROFILE%\Documents\GitHub\mrs-test-scripts\Headless Mode &amp; Sideloading\WalkAndUnGZ.bat" "%USERPROFILE%\AppData\Local\Temp\OnboardLogs"\RTDC4050\2017-02-23</v>
      </c>
      <c r="AF248" s="82" t="str">
        <f t="shared" si="87"/>
        <v>"C:\Program Files (x86)\AstroGrep\AstroGrep.exe" /spath="%USERPROFILE%\AppData\Local\Temp\OnboardLogs" /stypes="app*4050*20170222*" /stext=" 10:.+((SYSTEM_STATE.+slice.+state.+changed )|(ment ac)|(multiple cpu faults)|(system.+state.+changed )|(\[timeout)|(PRM\|1\|D)|(kpr)|(kdp)|(\|lc)|(penalty))" /e /r /s</v>
      </c>
      <c r="AG248" s="1" t="str">
        <f t="shared" si="88"/>
        <v>Other</v>
      </c>
      <c r="AH248" s="86" t="str">
        <f t="shared" si="89"/>
        <v>"%USERPROFILE%\Documents\GitHub\eaglep3\Utilities\RefineRTDCRunTimes.py" --tripid PTCTESTSOUTH-21 --locoid 4050 --swversion DE.1.0.9.0 --startMP 300:24555 --initTime 2017-02-22T02:18:21 --startdatetime 2017-02-22T02:56:20 --delay 1 --endMP 204:1049 --enddatetime 2017-02-22T03:04:20 --enforcementcount 0 &gt;&gt;C:\Users\stu\Documents\GitHub\eaglep3-reporting\EC\2017-02-21-refined-times.txt</v>
      </c>
      <c r="AI248" s="108" t="str">
        <f t="shared" si="90"/>
        <v>echo {"issue":{"subject":"","project_id":79,"tracker_id":40,"status_id":1,"priority_id":2,"assigned_to_id":23,"start_date":"2017-02-22","description":"","custom_fields":[{"id":1,"name":"Subdivision","value":"Other"},{"id":4,"name":"Milepost","value":"0.1049"},{"id":17,"name":"Train ID","value":"PTCTESTSOUTH-21"},{"id":16,"name":"Locomotive ID","value":"4050"},{"id":130,"name":"Impact","value":""},{"id":150,"name":"Time of Event (Mountain Time)","value":"03:04:20"},{"id":151,"name":"Denver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48"/>
      <c r="AK248" s="48"/>
      <c r="AL248" s="48"/>
      <c r="AM248" s="154" t="str">
        <f t="shared" si="91"/>
        <v>start /low /b %USERPROFILE%\Documents\GitHub\eaglep3\Utilities\DownloadLogsFromS3.py --loco 4050 --day 2017-02-22</v>
      </c>
      <c r="AN248" s="163" t="str">
        <f>"grep -SE -B400 ""CHR.+\|PRM\|1\|D.+(SWITCH|SIGNAL).+UNKNOWN"" "&amp;search_path&amp;"\RTDC"&amp;B248&amp;"\*"&amp;B248&amp;"*"&amp;TEXT(AVERAGE(F248,I248)-utc_offset/24,"YYYYMMDD")&amp;"*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"%USERPROFILE%\AppData\Local\Temp\OnboardLogs"\RTDC4050\*4050*20170222* | grep -SE "(Enforcement Action)|(\[TIMEOUT)|(CHR.+\|PRM\|1\|D.+(SWITCH|SIGNAL).+UNKNOWN)" - &gt;&gt; 2017-02-21-UncaughtWiMAX.txt</v>
      </c>
    </row>
    <row r="249" spans="1:40" x14ac:dyDescent="0.25">
      <c r="A249" s="33" t="s">
        <v>494</v>
      </c>
      <c r="B249" s="7">
        <v>4050</v>
      </c>
      <c r="C249" s="21" t="s">
        <v>359</v>
      </c>
      <c r="D249" s="21" t="s">
        <v>873</v>
      </c>
      <c r="E249" s="13">
        <v>42788.002268518518</v>
      </c>
      <c r="F249" s="13">
        <v>42788.03707175926</v>
      </c>
      <c r="G249" s="7">
        <v>1</v>
      </c>
      <c r="H249" s="21" t="s">
        <v>449</v>
      </c>
      <c r="I249" s="13">
        <v>42788.042395833334</v>
      </c>
      <c r="J249" s="7">
        <v>0</v>
      </c>
      <c r="K249" s="98" t="str">
        <f t="shared" si="79"/>
        <v>4049/4050</v>
      </c>
      <c r="L249" s="21" t="str">
        <f>VLOOKUP(A249,'Trips&amp;Operators'!$C$1:$G$99999,5,FALSE)</f>
        <v>DUNCAN SHEILA</v>
      </c>
      <c r="M249" s="6">
        <f t="shared" si="80"/>
        <v>5.324074074451346E-3</v>
      </c>
      <c r="N249" s="7">
        <f t="shared" si="95"/>
        <v>7.6666666672099382</v>
      </c>
      <c r="O249" s="7"/>
      <c r="P249" s="7"/>
      <c r="Q249" s="22"/>
      <c r="R249" s="22"/>
      <c r="S249" s="31">
        <f t="shared" si="94"/>
        <v>0</v>
      </c>
      <c r="T249" s="46" t="e">
        <f t="shared" si="81"/>
        <v>#VALUE!</v>
      </c>
      <c r="U249" s="193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194" t="str">
        <f t="shared" si="82"/>
        <v>https://d0f6bd738d7f1b3e5a7ca70fe4ff75f0.us-east-1.aws.found.io/app/kibana#/discover/Steve-Slow-Train-Analysis-(2080s-and-2083s)?_g=(refreshInterval:(display:Off,pause:!f,section:0,value:0),time:(from:'2017-02-21T23:03:16-0700',mode:absolute,to:'2017-02-22T02:01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49" s="195" t="str">
        <f t="shared" si="83"/>
        <v>Y</v>
      </c>
      <c r="X249" s="195" t="e">
        <f t="shared" si="96"/>
        <v>#VALUE!</v>
      </c>
      <c r="Y249" s="62">
        <f t="shared" si="92"/>
        <v>2.4557000000000002</v>
      </c>
      <c r="Z249" s="62">
        <f t="shared" si="93"/>
        <v>9.3899999999999997E-2</v>
      </c>
      <c r="AA249" s="62">
        <f t="shared" si="84"/>
        <v>2.3618000000000001</v>
      </c>
      <c r="AB249" s="59" t="e">
        <f>VLOOKUP(A249,Enforcements!$C$7:$K$13,8,0)</f>
        <v>#N/A</v>
      </c>
      <c r="AC249" s="55" t="e">
        <f>VLOOKUP(A249,Enforcements!$C$7:$E$13,3,0)</f>
        <v>#N/A</v>
      </c>
      <c r="AD249" s="56" t="str">
        <f t="shared" si="85"/>
        <v>PTCTESTSOUTH-21</v>
      </c>
      <c r="AE249" s="85" t="str">
        <f t="shared" si="86"/>
        <v>aws s3 cp s3://rtdc.mdm.uploadarchive.raw/RTDC4050/ "%USERPROFILE%\AppData\Local\Temp\OnboardLogs"\RTDC4050\2017-02-22 --exclude "*" --recursive --include "*20170222*" &amp; "%USERPROFILE%\Documents\GitHub\mrs-test-scripts\Headless Mode &amp; Sideloading\WalkAndUnGZ.bat" "%USERPROFILE%\AppData\Local\Temp\OnboardLogs"\RTDC4050\2017-02-22 &amp; aws s3 cp s3://rtdc.mdm.uploadarchive.raw/RTDC4050/ "%USERPROFILE%\AppData\Local\Temp\OnboardLogs"\RTDC4050\2017-02-23 --exclude "*" --recursive --include "*20170223*" &amp; "%USERPROFILE%\Documents\GitHub\mrs-test-scripts\Headless Mode &amp; Sideloading\WalkAndUnGZ.bat" "%USERPROFILE%\AppData\Local\Temp\OnboardLogs"\RTDC4050\2017-02-23</v>
      </c>
      <c r="AF249" s="82" t="str">
        <f t="shared" si="87"/>
        <v>"C:\Program Files (x86)\AstroGrep\AstroGrep.exe" /spath="%USERPROFILE%\AppData\Local\Temp\OnboardLogs" /stypes="app*4050*20170222*" /stext=" 08:.+((SYSTEM_STATE.+slice.+state.+changed )|(ment ac)|(multiple cpu faults)|(system.+state.+changed )|(\[timeout)|(PRM\|1\|D)|(kpr)|(kdp)|(\|lc)|(penalty))" /e /r /s</v>
      </c>
      <c r="AG249" s="1" t="str">
        <f t="shared" si="88"/>
        <v>Other</v>
      </c>
      <c r="AH249" s="86" t="str">
        <f t="shared" si="89"/>
        <v>"%USERPROFILE%\Documents\GitHub\eaglep3\Utilities\RefineRTDCRunTimes.py" --tripid PTCTESTSOUTH-21 --locoid 4050 --swversion DE.1.0.9.0 --startMP 300:24557 --initTime 2017-02-22T00:03:16 --startdatetime 2017-02-22T00:53:23 --delay 1 --endMP 204:939 --enddatetime 2017-02-22T01:01:03 --enforcementcount 0 &gt;&gt;C:\Users\stu\Documents\GitHub\eaglep3-reporting\EC\2017-02-21-refined-times.txt</v>
      </c>
      <c r="AI249" s="108" t="str">
        <f t="shared" si="90"/>
        <v>echo {"issue":{"subject":"","project_id":79,"tracker_id":40,"status_id":1,"priority_id":2,"assigned_to_id":23,"start_date":"2017-02-22","description":"","custom_fields":[{"id":1,"name":"Subdivision","value":"Other"},{"id":4,"name":"Milepost","value":"0.0939"},{"id":17,"name":"Train ID","value":"PTCTESTSOUTH-21"},{"id":16,"name":"Locomotive ID","value":"4050"},{"id":130,"name":"Impact","value":""},{"id":150,"name":"Time of Event (Mountain Time)","value":"01:01:03"},{"id":151,"name":"Denver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48"/>
      <c r="AK249" s="48"/>
      <c r="AL249" s="48"/>
      <c r="AM249" s="154" t="str">
        <f t="shared" si="91"/>
        <v>start /low /b %USERPROFILE%\Documents\GitHub\eaglep3\Utilities\DownloadLogsFromS3.py --loco 4050 --day 2017-02-22</v>
      </c>
      <c r="AN249" s="163" t="str">
        <f>"grep -SE -B400 ""CHR.+\|PRM\|1\|D.+(SWITCH|SIGNAL).+UNKNOWN"" "&amp;search_path&amp;"\RTDC"&amp;B249&amp;"\*"&amp;B249&amp;"*"&amp;TEXT(AVERAGE(F249,I249)-utc_offset/24,"YYYYMMDD")&amp;"*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"%USERPROFILE%\AppData\Local\Temp\OnboardLogs"\RTDC4050\*4050*20170222* | grep -SE "(Enforcement Action)|(\[TIMEOUT)|(CHR.+\|PRM\|1\|D.+(SWITCH|SIGNAL).+UNKNOWN)" - &gt;&gt; 2017-02-21-UncaughtWiMAX.txt</v>
      </c>
    </row>
    <row r="250" spans="1:40" x14ac:dyDescent="0.25">
      <c r="A250" s="33" t="s">
        <v>494</v>
      </c>
      <c r="B250" s="7">
        <v>4050</v>
      </c>
      <c r="C250" s="21" t="s">
        <v>359</v>
      </c>
      <c r="D250" s="21" t="s">
        <v>874</v>
      </c>
      <c r="E250" s="13">
        <v>42788.107812499999</v>
      </c>
      <c r="F250" s="13">
        <v>42788.122453703705</v>
      </c>
      <c r="G250" s="7">
        <v>1</v>
      </c>
      <c r="H250" s="21" t="s">
        <v>875</v>
      </c>
      <c r="I250" s="13">
        <v>42788.128009259257</v>
      </c>
      <c r="J250" s="7">
        <v>0</v>
      </c>
      <c r="K250" s="98" t="str">
        <f t="shared" si="79"/>
        <v>4049/4050</v>
      </c>
      <c r="L250" s="21" t="str">
        <f>VLOOKUP(A250,'Trips&amp;Operators'!$C$1:$G$99999,5,FALSE)</f>
        <v>DUNCAN SHEILA</v>
      </c>
      <c r="M250" s="6">
        <f t="shared" si="80"/>
        <v>5.5555555518367328E-3</v>
      </c>
      <c r="N250" s="7">
        <f t="shared" si="95"/>
        <v>7.9999999946448952</v>
      </c>
      <c r="O250" s="7"/>
      <c r="P250" s="7"/>
      <c r="Q250" s="22"/>
      <c r="R250" s="22"/>
      <c r="S250" s="31">
        <f t="shared" si="94"/>
        <v>0</v>
      </c>
      <c r="T250" s="46" t="e">
        <f t="shared" si="81"/>
        <v>#VALUE!</v>
      </c>
      <c r="U250" s="193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194" t="str">
        <f t="shared" si="82"/>
        <v>https://d0f6bd738d7f1b3e5a7ca70fe4ff75f0.us-east-1.aws.found.io/app/kibana#/discover/Steve-Slow-Train-Analysis-(2080s-and-2083s)?_g=(refreshInterval:(display:Off,pause:!f,section:0,value:0),time:(from:'2017-02-22T01:35:15-0700',mode:absolute,to:'2017-02-22T04:04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50" s="195" t="str">
        <f t="shared" si="83"/>
        <v>Y</v>
      </c>
      <c r="X250" s="195" t="e">
        <f t="shared" si="96"/>
        <v>#VALUE!</v>
      </c>
      <c r="Y250" s="62">
        <f t="shared" si="92"/>
        <v>2.4567000000000001</v>
      </c>
      <c r="Z250" s="62">
        <f t="shared" si="93"/>
        <v>0.1071</v>
      </c>
      <c r="AA250" s="62">
        <f t="shared" si="84"/>
        <v>2.3496000000000001</v>
      </c>
      <c r="AB250" s="59" t="e">
        <f>VLOOKUP(A250,Enforcements!$C$7:$K$13,8,0)</f>
        <v>#N/A</v>
      </c>
      <c r="AC250" s="55" t="e">
        <f>VLOOKUP(A250,Enforcements!$C$7:$E$13,3,0)</f>
        <v>#N/A</v>
      </c>
      <c r="AD250" s="56" t="str">
        <f t="shared" si="85"/>
        <v>PTCTESTSOUTH-21</v>
      </c>
      <c r="AE250" s="85" t="str">
        <f t="shared" si="86"/>
        <v>aws s3 cp s3://rtdc.mdm.uploadarchive.raw/RTDC4050/ "%USERPROFILE%\AppData\Local\Temp\OnboardLogs"\RTDC4050\2017-02-22 --exclude "*" --recursive --include "*20170222*" &amp; "%USERPROFILE%\Documents\GitHub\mrs-test-scripts\Headless Mode &amp; Sideloading\WalkAndUnGZ.bat" "%USERPROFILE%\AppData\Local\Temp\OnboardLogs"\RTDC4050\2017-02-22 &amp; aws s3 cp s3://rtdc.mdm.uploadarchive.raw/RTDC4050/ "%USERPROFILE%\AppData\Local\Temp\OnboardLogs"\RTDC4050\2017-02-23 --exclude "*" --recursive --include "*20170223*" &amp; "%USERPROFILE%\Documents\GitHub\mrs-test-scripts\Headless Mode &amp; Sideloading\WalkAndUnGZ.bat" "%USERPROFILE%\AppData\Local\Temp\OnboardLogs"\RTDC4050\2017-02-23</v>
      </c>
      <c r="AF250" s="82" t="str">
        <f t="shared" si="87"/>
        <v>"C:\Program Files (x86)\AstroGrep\AstroGrep.exe" /spath="%USERPROFILE%\AppData\Local\Temp\OnboardLogs" /stypes="app*4050*20170222*" /stext=" 10:.+((SYSTEM_STATE.+slice.+state.+changed )|(ment ac)|(multiple cpu faults)|(system.+state.+changed )|(\[timeout)|(PRM\|1\|D)|(kpr)|(kdp)|(\|lc)|(penalty))" /e /r /s</v>
      </c>
      <c r="AG250" s="1" t="str">
        <f t="shared" si="88"/>
        <v>Other</v>
      </c>
      <c r="AH250" s="86" t="str">
        <f t="shared" si="89"/>
        <v>"%USERPROFILE%\Documents\GitHub\eaglep3\Utilities\RefineRTDCRunTimes.py" --tripid PTCTESTSOUTH-21 --locoid 4050 --swversion DE.1.0.9.0 --startMP 300:24567 --initTime 2017-02-22T02:35:15 --startdatetime 2017-02-22T02:56:20 --delay 1 --endMP 204:1071 --enddatetime 2017-02-22T03:04:20 --enforcementcount 0 &gt;&gt;C:\Users\stu\Documents\GitHub\eaglep3-reporting\EC\2017-02-21-refined-times.txt</v>
      </c>
      <c r="AI250" s="108" t="str">
        <f t="shared" si="90"/>
        <v>echo {"issue":{"subject":"","project_id":79,"tracker_id":40,"status_id":1,"priority_id":2,"assigned_to_id":23,"start_date":"2017-02-22","description":"","custom_fields":[{"id":1,"name":"Subdivision","value":"Other"},{"id":4,"name":"Milepost","value":"0.1071"},{"id":17,"name":"Train ID","value":"PTCTESTSOUTH-21"},{"id":16,"name":"Locomotive ID","value":"4050"},{"id":130,"name":"Impact","value":""},{"id":150,"name":"Time of Event (Mountain Time)","value":"03:04:20"},{"id":151,"name":"Denver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48"/>
      <c r="AK250" s="48"/>
      <c r="AL250" s="48"/>
      <c r="AM250" s="154" t="str">
        <f t="shared" si="91"/>
        <v>start /low /b %USERPROFILE%\Documents\GitHub\eaglep3\Utilities\DownloadLogsFromS3.py --loco 4050 --day 2017-02-22</v>
      </c>
      <c r="AN250" s="163" t="str">
        <f>"grep -SE -B400 ""CHR.+\|PRM\|1\|D.+(SWITCH|SIGNAL).+UNKNOWN"" "&amp;search_path&amp;"\RTDC"&amp;B250&amp;"\*"&amp;B250&amp;"*"&amp;TEXT(AVERAGE(F250,I250)-utc_offset/24,"YYYYMMDD")&amp;"*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"%USERPROFILE%\AppData\Local\Temp\OnboardLogs"\RTDC4050\*4050*20170222* | grep -SE "(Enforcement Action)|(\[TIMEOUT)|(CHR.+\|PRM\|1\|D.+(SWITCH|SIGNAL).+UNKNOWN)" - &gt;&gt; 2017-02-21-UncaughtWiMAX.txt</v>
      </c>
    </row>
    <row r="251" spans="1:40" x14ac:dyDescent="0.25">
      <c r="A251" s="33" t="s">
        <v>494</v>
      </c>
      <c r="B251" s="7">
        <v>4050</v>
      </c>
      <c r="C251" s="21" t="s">
        <v>359</v>
      </c>
      <c r="D251" s="21" t="s">
        <v>876</v>
      </c>
      <c r="E251" s="13">
        <v>42787.964375000003</v>
      </c>
      <c r="F251" s="13">
        <v>42787.988495370373</v>
      </c>
      <c r="G251" s="7">
        <v>0</v>
      </c>
      <c r="H251" s="21" t="s">
        <v>814</v>
      </c>
      <c r="I251" s="13">
        <v>42787.994421296295</v>
      </c>
      <c r="J251" s="7">
        <v>0</v>
      </c>
      <c r="K251" s="98" t="str">
        <f t="shared" si="79"/>
        <v>4049/4050</v>
      </c>
      <c r="L251" s="21" t="str">
        <f>VLOOKUP(A251,'Trips&amp;Operators'!$C$1:$G$99999,5,FALSE)</f>
        <v>DUNCAN SHEILA</v>
      </c>
      <c r="M251" s="6">
        <f t="shared" si="80"/>
        <v>5.9259259214741178E-3</v>
      </c>
      <c r="N251" s="7">
        <f t="shared" si="95"/>
        <v>8.5333333269227296</v>
      </c>
      <c r="O251" s="7"/>
      <c r="P251" s="7"/>
      <c r="Q251" s="22"/>
      <c r="R251" s="22"/>
      <c r="S251" s="31">
        <f t="shared" si="94"/>
        <v>0</v>
      </c>
      <c r="T251" s="46" t="e">
        <f t="shared" si="81"/>
        <v>#VALUE!</v>
      </c>
      <c r="U251" s="193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194" t="str">
        <f t="shared" si="82"/>
        <v>https://d0f6bd738d7f1b3e5a7ca70fe4ff75f0.us-east-1.aws.found.io/app/kibana#/discover/Steve-Slow-Train-Analysis-(2080s-and-2083s)?_g=(refreshInterval:(display:Off,pause:!f,section:0,value:0),time:(from:'2017-02-21T22:08:42-0700',mode:absolute,to:'2017-02-22T00:51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51" s="195" t="str">
        <f t="shared" si="83"/>
        <v>Y</v>
      </c>
      <c r="X251" s="195" t="e">
        <f t="shared" si="96"/>
        <v>#VALUE!</v>
      </c>
      <c r="Y251" s="62">
        <f t="shared" si="92"/>
        <v>2.4727999999999999</v>
      </c>
      <c r="Z251" s="62">
        <f t="shared" si="93"/>
        <v>9.3200000000000005E-2</v>
      </c>
      <c r="AA251" s="62">
        <f t="shared" si="84"/>
        <v>2.3795999999999999</v>
      </c>
      <c r="AB251" s="59" t="e">
        <f>VLOOKUP(A251,Enforcements!$C$7:$K$13,8,0)</f>
        <v>#N/A</v>
      </c>
      <c r="AC251" s="55" t="e">
        <f>VLOOKUP(A251,Enforcements!$C$7:$E$13,3,0)</f>
        <v>#N/A</v>
      </c>
      <c r="AD251" s="56" t="str">
        <f t="shared" si="85"/>
        <v>PTCTESTSOUTH-21</v>
      </c>
      <c r="AE251" s="85" t="str">
        <f t="shared" si="86"/>
        <v>aws s3 cp s3://rtdc.mdm.uploadarchive.raw/RTDC4050/ "%USERPROFILE%\AppData\Local\Temp\OnboardLogs"\RTDC4050\2017-02-21 --exclude "*" --recursive --include "*20170221*" &amp; "%USERPROFILE%\Documents\GitHub\mrs-test-scripts\Headless Mode &amp; Sideloading\WalkAndUnGZ.bat" "%USERPROFILE%\AppData\Local\Temp\OnboardLogs"\RTDC4050\2017-02-21 &amp; aws s3 cp s3://rtdc.mdm.uploadarchive.raw/RTDC4050/ "%USERPROFILE%\AppData\Local\Temp\OnboardLogs"\RTDC4050\2017-02-22 --exclude "*" --recursive --include "*20170222*" &amp; "%USERPROFILE%\Documents\GitHub\mrs-test-scripts\Headless Mode &amp; Sideloading\WalkAndUnGZ.bat" "%USERPROFILE%\AppData\Local\Temp\OnboardLogs"\RTDC4050\2017-02-22</v>
      </c>
      <c r="AF251" s="82" t="str">
        <f t="shared" si="87"/>
        <v>"C:\Program Files (x86)\AstroGrep\AstroGrep.exe" /spath="%USERPROFILE%\AppData\Local\Temp\OnboardLogs" /stypes="app*4050*20170222*" /stext=" 06:.+((SYSTEM_STATE.+slice.+state.+changed )|(ment ac)|(multiple cpu faults)|(system.+state.+changed )|(\[timeout)|(PRM\|1\|D)|(kpr)|(kdp)|(\|lc)|(penalty))" /e /r /s</v>
      </c>
      <c r="AG251" s="1" t="str">
        <f t="shared" si="88"/>
        <v>Other</v>
      </c>
      <c r="AH251" s="86" t="str">
        <f t="shared" si="89"/>
        <v>"%USERPROFILE%\Documents\GitHub\eaglep3\Utilities\RefineRTDCRunTimes.py" --tripid PTCTESTSOUTH-21 --locoid 4050 --swversion DE.1.0.9.0 --startMP 300:24728 --initTime 2017-02-21T23:08:42 --startdatetime 2017-02-21T23:43:26 --delay 0 --endMP 204:932 --enddatetime 2017-02-21T23:51:58 --enforcementcount 0 &gt;&gt;C:\Users\stu\Documents\GitHub\eaglep3-reporting\EC\2017-02-21-refined-times.txt</v>
      </c>
      <c r="AI251" s="108" t="str">
        <f t="shared" si="90"/>
        <v>echo {"issue":{"subject":"","project_id":79,"tracker_id":40,"status_id":1,"priority_id":2,"assigned_to_id":23,"start_date":"2017-02-21","description":"","custom_fields":[{"id":1,"name":"Subdivision","value":"Other"},{"id":4,"name":"Milepost","value":"0.0932"},{"id":17,"name":"Train ID","value":"PTCTESTSOUTH-21"},{"id":16,"name":"Locomotive ID","value":"4050"},{"id":130,"name":"Impact","value":""},{"id":150,"name":"Time of Event (Mountain Time)","value":"23:51:58"},{"id":151,"name":"Denver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48"/>
      <c r="AK251" s="48"/>
      <c r="AL251" s="48"/>
      <c r="AM251" s="154" t="str">
        <f t="shared" si="91"/>
        <v>start /low /b %USERPROFILE%\Documents\GitHub\eaglep3\Utilities\DownloadLogsFromS3.py --loco 4050 --day 2017-02-21</v>
      </c>
      <c r="AN251" s="163" t="str">
        <f>"grep -SE -B400 ""CHR.+\|PRM\|1\|D.+(SWITCH|SIGNAL).+UNKNOWN"" "&amp;search_path&amp;"\RTDC"&amp;B251&amp;"\*"&amp;B251&amp;"*"&amp;TEXT(AVERAGE(F251,I251)-utc_offset/24,"YYYYMMDD")&amp;"*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"%USERPROFILE%\AppData\Local\Temp\OnboardLogs"\RTDC4050\*4050*20170222* | grep -SE "(Enforcement Action)|(\[TIMEOUT)|(CHR.+\|PRM\|1\|D.+(SWITCH|SIGNAL).+UNKNOWN)" - &gt;&gt; 2017-02-21-UncaughtWiMAX.txt</v>
      </c>
    </row>
    <row r="252" spans="1:40" x14ac:dyDescent="0.25">
      <c r="A252" s="33" t="s">
        <v>494</v>
      </c>
      <c r="B252" s="7">
        <v>4050</v>
      </c>
      <c r="C252" s="21" t="s">
        <v>359</v>
      </c>
      <c r="D252" s="21" t="s">
        <v>877</v>
      </c>
      <c r="E252" s="13">
        <v>42787.986817129633</v>
      </c>
      <c r="F252" s="13">
        <v>42788.003634259258</v>
      </c>
      <c r="G252" s="7">
        <v>2</v>
      </c>
      <c r="H252" s="21" t="s">
        <v>878</v>
      </c>
      <c r="I252" s="13">
        <v>42788.010289351849</v>
      </c>
      <c r="J252" s="7">
        <v>0</v>
      </c>
      <c r="K252" s="98" t="str">
        <f t="shared" si="79"/>
        <v>4049/4050</v>
      </c>
      <c r="L252" s="21" t="str">
        <f>VLOOKUP(A252,'Trips&amp;Operators'!$C$1:$G$99999,5,FALSE)</f>
        <v>DUNCAN SHEILA</v>
      </c>
      <c r="M252" s="6">
        <f t="shared" si="80"/>
        <v>6.655092591245193E-3</v>
      </c>
      <c r="N252" s="7">
        <f t="shared" si="95"/>
        <v>9.583333331393078</v>
      </c>
      <c r="O252" s="7"/>
      <c r="P252" s="7"/>
      <c r="Q252" s="22"/>
      <c r="R252" s="22"/>
      <c r="S252" s="31">
        <f t="shared" si="94"/>
        <v>0</v>
      </c>
      <c r="T252" s="46" t="e">
        <f t="shared" si="81"/>
        <v>#VALUE!</v>
      </c>
      <c r="U252" s="193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0</v>
      </c>
      <c r="V252" s="194" t="str">
        <f t="shared" si="82"/>
        <v>https://d0f6bd738d7f1b3e5a7ca70fe4ff75f0.us-east-1.aws.found.io/app/kibana#/discover/Steve-Slow-Train-Analysis-(2080s-and-2083s)?_g=(refreshInterval:(display:Off,pause:!f,section:0,value:0),time:(from:'2017-02-21T22:41:01-0700',mode:absolute,to:'2017-02-22T01:14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52" s="195" t="str">
        <f t="shared" si="83"/>
        <v>Y</v>
      </c>
      <c r="X252" s="195" t="e">
        <f t="shared" si="96"/>
        <v>#VALUE!</v>
      </c>
      <c r="Y252" s="62">
        <f t="shared" si="92"/>
        <v>2.6393</v>
      </c>
      <c r="Z252" s="62">
        <f t="shared" si="93"/>
        <v>9.2799999999999994E-2</v>
      </c>
      <c r="AA252" s="62">
        <f t="shared" si="84"/>
        <v>2.5465</v>
      </c>
      <c r="AB252" s="59" t="e">
        <f>VLOOKUP(A252,Enforcements!$C$7:$K$13,8,0)</f>
        <v>#N/A</v>
      </c>
      <c r="AC252" s="55" t="e">
        <f>VLOOKUP(A252,Enforcements!$C$7:$E$13,3,0)</f>
        <v>#N/A</v>
      </c>
      <c r="AD252" s="56" t="str">
        <f t="shared" si="85"/>
        <v>PTCTESTSOUTH-21</v>
      </c>
      <c r="AE252" s="85" t="str">
        <f t="shared" si="86"/>
        <v>aws s3 cp s3://rtdc.mdm.uploadarchive.raw/RTDC4050/ "%USERPROFILE%\AppData\Local\Temp\OnboardLogs"\RTDC4050\2017-02-22 --exclude "*" --recursive --include "*20170222*" &amp; "%USERPROFILE%\Documents\GitHub\mrs-test-scripts\Headless Mode &amp; Sideloading\WalkAndUnGZ.bat" "%USERPROFILE%\AppData\Local\Temp\OnboardLogs"\RTDC4050\2017-02-22 &amp; aws s3 cp s3://rtdc.mdm.uploadarchive.raw/RTDC4050/ "%USERPROFILE%\AppData\Local\Temp\OnboardLogs"\RTDC4050\2017-02-23 --exclude "*" --recursive --include "*20170223*" &amp; "%USERPROFILE%\Documents\GitHub\mrs-test-scripts\Headless Mode &amp; Sideloading\WalkAndUnGZ.bat" "%USERPROFILE%\AppData\Local\Temp\OnboardLogs"\RTDC4050\2017-02-23</v>
      </c>
      <c r="AF252" s="82" t="str">
        <f t="shared" si="87"/>
        <v>"C:\Program Files (x86)\AstroGrep\AstroGrep.exe" /spath="%USERPROFILE%\AppData\Local\Temp\OnboardLogs" /stypes="app*4050*20170222*" /stext=" 07:.+((SYSTEM_STATE.+slice.+state.+changed )|(ment ac)|(multiple cpu faults)|(system.+state.+changed )|(\[timeout)|(PRM\|1\|D)|(kpr)|(kdp)|(\|lc)|(penalty))" /e /r /s</v>
      </c>
      <c r="AG252" s="1" t="str">
        <f t="shared" si="88"/>
        <v>Other</v>
      </c>
      <c r="AH252" s="86" t="str">
        <f t="shared" si="89"/>
        <v>"%USERPROFILE%\Documents\GitHub\eaglep3\Utilities\RefineRTDCRunTimes.py" --tripid PTCTESTSOUTH-21 --locoid 4050 --swversion DE.1.0.9.0 --startMP 300:26393 --initTime 2017-02-21T23:41:01 --startdatetime 2017-02-22T00:05:14 --delay 2 --endMP 204:928 --enddatetime 2017-02-22T00:14:49 --enforcementcount 0 &gt;&gt;C:\Users\stu\Documents\GitHub\eaglep3-reporting\EC\2017-02-21-refined-times.txt</v>
      </c>
      <c r="AI252" s="108" t="str">
        <f t="shared" si="90"/>
        <v>echo {"issue":{"subject":"","project_id":79,"tracker_id":40,"status_id":1,"priority_id":2,"assigned_to_id":23,"start_date":"2017-02-22","description":"","custom_fields":[{"id":1,"name":"Subdivision","value":"Other"},{"id":4,"name":"Milepost","value":"0.0928"},{"id":17,"name":"Train ID","value":"PTCTESTSOUTH-21"},{"id":16,"name":"Locomotive ID","value":"4050"},{"id":130,"name":"Impact","value":""},{"id":150,"name":"Time of Event (Mountain Time)","value":"00:14:49"},{"id":151,"name":"Denver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2" s="48"/>
      <c r="AK252" s="48"/>
      <c r="AL252" s="48"/>
      <c r="AM252" s="154" t="str">
        <f t="shared" si="91"/>
        <v>start /low /b %USERPROFILE%\Documents\GitHub\eaglep3\Utilities\DownloadLogsFromS3.py --loco 4050 --day 2017-02-22</v>
      </c>
      <c r="AN252" s="163" t="str">
        <f>"grep -SE -B400 ""CHR.+\|PRM\|1\|D.+(SWITCH|SIGNAL).+UNKNOWN"" "&amp;search_path&amp;"\RTDC"&amp;B252&amp;"\*"&amp;B252&amp;"*"&amp;TEXT(AVERAGE(F252,I252)-utc_offset/24,"YYYYMMDD")&amp;"*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"%USERPROFILE%\AppData\Local\Temp\OnboardLogs"\RTDC4050\*4050*20170222* | grep -SE "(Enforcement Action)|(\[TIMEOUT)|(CHR.+\|PRM\|1\|D.+(SWITCH|SIGNAL).+UNKNOWN)" - &gt;&gt; 2017-02-21-UncaughtWiMAX.txt</v>
      </c>
    </row>
  </sheetData>
  <autoFilter ref="A12:AG252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10" priority="356" operator="equal">
      <formula>"Y"</formula>
    </cfRule>
  </conditionalFormatting>
  <conditionalFormatting sqref="X13:X1048576">
    <cfRule type="cellIs" dxfId="9" priority="339" operator="greaterThan">
      <formula>1</formula>
    </cfRule>
  </conditionalFormatting>
  <conditionalFormatting sqref="X12:X1048576">
    <cfRule type="cellIs" dxfId="8" priority="336" operator="equal">
      <formula>0</formula>
    </cfRule>
  </conditionalFormatting>
  <conditionalFormatting sqref="A13:S252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A13:S252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A13:S252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AK13:AK252</xm:sqref>
        </x14:dataValidation>
        <x14:dataValidation type="list" allowBlank="1" showInputMessage="1" showErrorMessage="1">
          <x14:formula1>
            <xm:f>'Redmine List Values'!$C$2:$C$15</xm:f>
          </x14:formula1>
          <xm:sqref>AL13:AL252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6"/>
  <sheetViews>
    <sheetView tabSelected="1" topLeftCell="A11" zoomScaleNormal="100" workbookViewId="0">
      <selection activeCell="P22" sqref="P2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7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7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68">
        <f>COUNTIF($O$7:$O$315,"=Y")</f>
        <v>8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69">
        <f>COUNTA($O$7:$O$315)-O2</f>
        <v>41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7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172" t="str">
        <f>"Eagle P3 Braking Events - "&amp;TEXT(Variables!$A$2,"YYYY-mm-dd")</f>
        <v>Eagle P3 Braking Events - 2017-02-21</v>
      </c>
      <c r="B5" s="172"/>
      <c r="C5" s="172"/>
      <c r="D5" s="172"/>
      <c r="E5" s="172"/>
      <c r="F5" s="172"/>
      <c r="G5" s="172"/>
      <c r="H5" s="172"/>
      <c r="I5" s="172"/>
      <c r="J5" s="172"/>
      <c r="K5" s="172"/>
      <c r="L5" s="172"/>
      <c r="M5" s="172"/>
      <c r="N5" s="172"/>
      <c r="O5" s="172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70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195</v>
      </c>
      <c r="AE6" s="155" t="s">
        <v>209</v>
      </c>
    </row>
    <row r="7" spans="1:32" s="1" customFormat="1" x14ac:dyDescent="0.25">
      <c r="A7" s="32">
        <v>42787.285844907405</v>
      </c>
      <c r="B7" s="30" t="s">
        <v>233</v>
      </c>
      <c r="C7" s="30" t="s">
        <v>461</v>
      </c>
      <c r="D7" s="30" t="s">
        <v>49</v>
      </c>
      <c r="E7" s="30" t="s">
        <v>197</v>
      </c>
      <c r="F7" s="43">
        <v>0</v>
      </c>
      <c r="G7" s="43">
        <v>233</v>
      </c>
      <c r="H7" s="43">
        <v>26912</v>
      </c>
      <c r="I7" s="43">
        <v>27212</v>
      </c>
      <c r="J7" s="30" t="s">
        <v>198</v>
      </c>
      <c r="K7" s="43">
        <v>27053</v>
      </c>
      <c r="L7" s="143" t="s">
        <v>50</v>
      </c>
      <c r="M7" s="144">
        <f t="shared" ref="M7:M38" si="0">CONVERT((I7-K7)/10000,"mi","ft")*IF(L7="Increasing Mileposts (1)",-1,1)</f>
        <v>-83.951999999999998</v>
      </c>
      <c r="N7" s="145" t="str">
        <f>VLOOKUP(C7,'Trips&amp;Operators'!$C$1:$G$99999,5,FALSE)</f>
        <v>COOLAHAN JOHN</v>
      </c>
      <c r="O7" s="171" t="s">
        <v>185</v>
      </c>
      <c r="P7" s="146" t="s">
        <v>378</v>
      </c>
      <c r="Q7" s="30"/>
      <c r="R7" s="89" t="str">
        <f>VLOOKUP(C7,'Train Runs'!$A$13:$AE$9940,31,0)</f>
        <v>aws s3 cp s3://rtdc.mdm.uploadarchive.raw/RTDC4025/ "%USERPROFILE%\AppData\Local\Temp\OnboardLogs"\RTDC4025\2017-02-21 --exclude "*" --recursive --include "*20170221*" &amp; "%USERPROFILE%\Documents\GitHub\mrs-test-scripts\Headless Mode &amp; Sideloading\WalkAndUnGZ.bat" "%USERPROFILE%\AppData\Local\Temp\OnboardLogs"\RTDC4025\2017-02-21 &amp; aws s3 cp s3://rtdc.mdm.uploadarchive.raw/RTDC4025/ "%USERPROFILE%\AppData\Local\Temp\OnboardLogs"\RTDC4025\2017-02-22 --exclude "*" --recursive --include "*20170222*" &amp; "%USERPROFILE%\Documents\GitHub\mrs-test-scripts\Headless Mode &amp; Sideloading\WalkAndUnGZ.bat" "%USERPROFILE%\AppData\Local\Temp\OnboardLogs"\RTDC4025\2017-02-22</v>
      </c>
      <c r="S7" s="92" t="str">
        <f>VLOOKUP(C7,'Train Runs'!$A$13:$AE$9940,22,0)</f>
        <v>https://d0f6bd738d7f1b3e5a7ca70fe4ff75f0.us-east-1.aws.found.io/app/kibana#/discover/Steve-Slow-Train-Analysis-(2080s-and-2083s)?_g=(refreshInterval:(display:Off,pause:!f,section:0,value:0),time:(from:'2017-02-21T05:40:10-0700',mode:absolute,to:'2017-02-21T08:21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7" s="94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/stypes="*4025*201702211*" /stext=" 13:.+((SYSTEM_STATE.+slice.+state.+changed )|(ment ac)|(multiple cpu faults)|(system.+state.+changed )|(\[timeout)|(PRM\|1\|D)|(kpr)|(kdp)|(\|lc)|(penalty))" /e /r /s</v>
      </c>
      <c r="U7" s="9" t="str">
        <f t="shared" ref="U7:U38" si="2">MID(B7,13,4)</f>
        <v>4025</v>
      </c>
      <c r="V7" s="32">
        <f t="shared" ref="V7:V38" si="3">A7-utc_offset/24</f>
        <v>42787.577511574069</v>
      </c>
      <c r="W7" s="46" t="str">
        <f t="shared" ref="W7:W38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8" si="5">IF(AND(E7="TRACK WARRANT AUTHORITY",G7&lt;10),"OMIT","KEEP")</f>
        <v>KEEP</v>
      </c>
      <c r="Y7" s="108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arrival","project_id":79,"tracker_id":40,"status_id":1,"priority_id":2,"assigned_to_id":23,"start_date":"2017-02-21","description":"","custom_fields":[{"id":1,"name":"Subdivision","value":"EC"},{"id":4,"name":"Milepost","value":"2.7053"},{"id":17,"name":"Train ID","value":"125-21"},{"id":16,"name":"Locomotive ID","value":"4025"},{"id":130,"name":"Impact","value":""},{"id":150,"name":"Time of Event (Mountain Time)","value":"06:51:37"},{"id":151,"name":"Denver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38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"%USERPROFILE%\AppData\Local\Temp\OnboardLogs"\RTDC4025\*4025*201702211*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"%USERPROFILE%\AppData\Local\Temp\OnboardLogs"\RTDC4025\*4025*201702211* &gt;&gt; 2017-02-21-SliceDisagreementCheck.txt</v>
      </c>
      <c r="AE7" s="157" t="str">
        <f t="shared" ref="AE7:AE38" si="8">"start /low /b "&amp;dls3logs&amp;" --loco "&amp;U7&amp;" --day "&amp;TEXT(V7,"YYYY-MM-DD")</f>
        <v>start /low /b %USERPROFILE%\Documents\GitHub\eaglep3\Utilities\DownloadLogsFromS3.py --loco 4025 --day 2017-02-21</v>
      </c>
    </row>
    <row r="8" spans="1:32" s="1" customFormat="1" x14ac:dyDescent="0.25">
      <c r="A8" s="32">
        <v>42787.289143518516</v>
      </c>
      <c r="B8" s="30" t="s">
        <v>277</v>
      </c>
      <c r="C8" s="30" t="s">
        <v>462</v>
      </c>
      <c r="D8" s="30" t="s">
        <v>49</v>
      </c>
      <c r="E8" s="30" t="s">
        <v>197</v>
      </c>
      <c r="F8" s="43">
        <v>0</v>
      </c>
      <c r="G8" s="43">
        <v>120</v>
      </c>
      <c r="H8" s="43">
        <v>27354</v>
      </c>
      <c r="I8" s="43">
        <v>27180</v>
      </c>
      <c r="J8" s="30" t="s">
        <v>198</v>
      </c>
      <c r="K8" s="43">
        <v>27350</v>
      </c>
      <c r="L8" s="143" t="s">
        <v>51</v>
      </c>
      <c r="M8" s="144">
        <f t="shared" si="0"/>
        <v>-89.76</v>
      </c>
      <c r="N8" s="145" t="str">
        <f>VLOOKUP(C8,'Trips&amp;Operators'!$C$1:$G$99999,5,FALSE)</f>
        <v>ROCHA YAOTL</v>
      </c>
      <c r="O8" s="171" t="s">
        <v>185</v>
      </c>
      <c r="P8" s="146" t="s">
        <v>378</v>
      </c>
      <c r="Q8" s="30"/>
      <c r="R8" s="89" t="str">
        <f>VLOOKUP(C8,'Train Runs'!$A$13:$AE$9940,31,0)</f>
        <v>aws s3 cp s3://rtdc.mdm.uploadarchive.raw/RTDC4008/ "%USERPROFILE%\AppData\Local\Temp\OnboardLogs"\RTDC4008\2017-02-21 --exclude "*" --recursive --include "*20170221*" &amp; "%USERPROFILE%\Documents\GitHub\mrs-test-scripts\Headless Mode &amp; Sideloading\WalkAndUnGZ.bat" "%USERPROFILE%\AppData\Local\Temp\OnboardLogs"\RTDC4008\2017-02-21 &amp; aws s3 cp s3://rtdc.mdm.uploadarchive.raw/RTDC4008/ "%USERPROFILE%\AppData\Local\Temp\OnboardLogs"\RTDC4008\2017-02-22 --exclude "*" --recursive --include "*20170222*" &amp; "%USERPROFILE%\Documents\GitHub\mrs-test-scripts\Headless Mode &amp; Sideloading\WalkAndUnGZ.bat" "%USERPROFILE%\AppData\Local\Temp\OnboardLogs"\RTDC4008\2017-02-22</v>
      </c>
      <c r="S8" s="92" t="str">
        <f>VLOOKUP(C8,'Train Runs'!$A$13:$AE$9940,22,0)</f>
        <v>https://d0f6bd738d7f1b3e5a7ca70fe4ff75f0.us-east-1.aws.found.io/app/kibana#/discover/Steve-Slow-Train-Analysis-(2080s-and-2083s)?_g=(refreshInterval:(display:Off,pause:!f,section:0,value:0),time:(from:'2017-02-21T05:24:46-0700',mode:absolute,to:'2017-02-21T08:03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8" s="94" t="str">
        <f t="shared" si="1"/>
        <v>"C:\Program Files (x86)\AstroGrep\AstroGrep.exe" /spath="%USERPROFILE%\AppData\Local\Temp\OnboardLogs" /stypes="*4008*201702211*" /stext=" 13:.+((SYSTEM_STATE.+slice.+state.+changed )|(ment ac)|(multiple cpu faults)|(system.+state.+changed )|(\[timeout)|(PRM\|1\|D)|(kpr)|(kdp)|(\|lc)|(penalty))" /e /r /s</v>
      </c>
      <c r="U8" s="9" t="str">
        <f t="shared" si="2"/>
        <v>4008</v>
      </c>
      <c r="V8" s="32">
        <f t="shared" si="3"/>
        <v>42787.58081018518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arrival","project_id":79,"tracker_id":40,"status_id":1,"priority_id":2,"assigned_to_id":23,"start_date":"2017-02-21","description":"","custom_fields":[{"id":1,"name":"Subdivision","value":"EC"},{"id":4,"name":"Milepost","value":"2.735"},{"id":17,"name":"Train ID","value":"116-21"},{"id":16,"name":"Locomotive ID","value":"4008"},{"id":130,"name":"Impact","value":""},{"id":150,"name":"Time of Event (Mountain Time)","value":"06:56:22"},{"id":151,"name":"Denver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"%USERPROFILE%\AppData\Local\Temp\OnboardLogs"\RTDC4008\*4008*201702211*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"%USERPROFILE%\AppData\Local\Temp\OnboardLogs"\RTDC4008\*4008*201702211* &gt;&gt; 2017-02-21-SliceDisagreementCheck.txt</v>
      </c>
      <c r="AE8" s="157" t="str">
        <f t="shared" si="8"/>
        <v>start /low /b %USERPROFILE%\Documents\GitHub\eaglep3\Utilities\DownloadLogsFromS3.py --loco 4008 --day 2017-02-21</v>
      </c>
    </row>
    <row r="9" spans="1:32" s="1" customFormat="1" x14ac:dyDescent="0.25">
      <c r="A9" s="32">
        <v>42788.026412037034</v>
      </c>
      <c r="B9" s="30" t="s">
        <v>251</v>
      </c>
      <c r="C9" s="30" t="s">
        <v>497</v>
      </c>
      <c r="D9" s="30" t="s">
        <v>98</v>
      </c>
      <c r="E9" s="30" t="s">
        <v>197</v>
      </c>
      <c r="F9" s="43">
        <v>160</v>
      </c>
      <c r="G9" s="43">
        <v>214</v>
      </c>
      <c r="H9" s="43">
        <v>30943</v>
      </c>
      <c r="I9" s="43">
        <v>31465</v>
      </c>
      <c r="J9" s="30" t="s">
        <v>198</v>
      </c>
      <c r="K9" s="43">
        <v>30830</v>
      </c>
      <c r="L9" s="143" t="s">
        <v>50</v>
      </c>
      <c r="M9" s="144">
        <f t="shared" si="0"/>
        <v>-335.28</v>
      </c>
      <c r="N9" s="145" t="str">
        <f>VLOOKUP(C9,'Trips&amp;Operators'!$C$1:$G$99999,5,FALSE)</f>
        <v>STAMBAUGH JAMES</v>
      </c>
      <c r="O9" s="171" t="s">
        <v>185</v>
      </c>
      <c r="P9" s="146" t="s">
        <v>378</v>
      </c>
      <c r="Q9" s="30"/>
      <c r="R9" s="89" t="str">
        <f>VLOOKUP(C9,'Train Runs'!$A$13:$AE$9940,31,0)</f>
        <v>aws s3 cp s3://rtdc.mdm.uploadarchive.raw/RTDC4003/ "%USERPROFILE%\AppData\Local\Temp\OnboardLogs"\RTDC4003\2017-02-22 --exclude "*" --recursive --include "*20170222*" &amp; "%USERPROFILE%\Documents\GitHub\mrs-test-scripts\Headless Mode &amp; Sideloading\WalkAndUnGZ.bat" "%USERPROFILE%\AppData\Local\Temp\OnboardLogs"\RTDC4003\2017-02-22 &amp; aws s3 cp s3://rtdc.mdm.uploadarchive.raw/RTDC4003/ "%USERPROFILE%\AppData\Local\Temp\OnboardLogs"\RTDC4003\2017-02-23 --exclude "*" --recursive --include "*20170223*" &amp; "%USERPROFILE%\Documents\GitHub\mrs-test-scripts\Headless Mode &amp; Sideloading\WalkAndUnGZ.bat" "%USERPROFILE%\AppData\Local\Temp\OnboardLogs"\RTDC4003\2017-02-23</v>
      </c>
      <c r="S9" s="92" t="str">
        <f>VLOOKUP(C9,'Train Runs'!$A$13:$AE$9940,22,0)</f>
        <v>https://d0f6bd738d7f1b3e5a7ca70fe4ff75f0.us-east-1.aws.found.io/app/kibana#/discover/Steve-Slow-Train-Analysis-(2080s-and-2083s)?_g=(refreshInterval:(display:Off,pause:!f,section:0,value:0),time:(from:'2017-02-21T23:08:03-0700',mode:absolute,to:'2017-02-22T02:06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9" s="94" t="str">
        <f t="shared" si="1"/>
        <v>"C:\Program Files (x86)\AstroGrep\AstroGrep.exe" /spath="%USERPROFILE%\AppData\Local\Temp\OnboardLogs" /stypes="*4003*201702220*" /stext=" 07:.+((SYSTEM_STATE.+slice.+state.+changed )|(ment ac)|(multiple cpu faults)|(system.+state.+changed )|(\[timeout)|(PRM\|1\|D)|(kpr)|(kdp)|(\|lc)|(penalty))" /e /r /s</v>
      </c>
      <c r="U9" s="9" t="str">
        <f t="shared" si="2"/>
        <v>4003</v>
      </c>
      <c r="V9" s="32">
        <f t="shared" si="3"/>
        <v>42788.318078703698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arrival","project_id":79,"tracker_id":40,"status_id":1,"priority_id":2,"assigned_to_id":23,"start_date":"2017-02-22","description":"","custom_fields":[{"id":1,"name":"Subdivision","value":"EC"},{"id":4,"name":"Milepost","value":"3.083"},{"id":17,"name":"Train ID","value":"243-21"},{"id":16,"name":"Locomotive ID","value":"4003"},{"id":130,"name":"Impact","value":""},{"id":150,"name":"Time of Event (Mountain Time)","value":"00:38:02"},{"id":151,"name":"Denver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"%USERPROFILE%\AppData\Local\Temp\OnboardLogs"\RTDC4003\*4003*201702220*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"%USERPROFILE%\AppData\Local\Temp\OnboardLogs"\RTDC4003\*4003*201702220* &gt;&gt; 2017-02-21-SliceDisagreementCheck.txt</v>
      </c>
      <c r="AE9" s="157" t="str">
        <f t="shared" si="8"/>
        <v>start /low /b %USERPROFILE%\Documents\GitHub\eaglep3\Utilities\DownloadLogsFromS3.py --loco 4003 --day 2017-02-22</v>
      </c>
    </row>
    <row r="10" spans="1:32" s="1" customFormat="1" x14ac:dyDescent="0.25">
      <c r="A10" s="32">
        <v>42787.964837962965</v>
      </c>
      <c r="B10" s="30" t="s">
        <v>233</v>
      </c>
      <c r="C10" s="30" t="s">
        <v>493</v>
      </c>
      <c r="D10" s="30" t="s">
        <v>98</v>
      </c>
      <c r="E10" s="30" t="s">
        <v>197</v>
      </c>
      <c r="F10" s="43">
        <v>190</v>
      </c>
      <c r="G10" s="43">
        <v>246</v>
      </c>
      <c r="H10" s="43">
        <v>33321</v>
      </c>
      <c r="I10" s="43">
        <v>33909</v>
      </c>
      <c r="J10" s="30" t="s">
        <v>198</v>
      </c>
      <c r="K10" s="43">
        <v>33137</v>
      </c>
      <c r="L10" s="143" t="s">
        <v>50</v>
      </c>
      <c r="M10" s="144">
        <f t="shared" si="0"/>
        <v>-407.61599999999999</v>
      </c>
      <c r="N10" s="145" t="str">
        <f>VLOOKUP(C10,'Trips&amp;Operators'!$C$1:$G$99999,5,FALSE)</f>
        <v>CHANDLER KELVIN</v>
      </c>
      <c r="O10" s="171" t="s">
        <v>185</v>
      </c>
      <c r="P10" s="146" t="s">
        <v>378</v>
      </c>
      <c r="Q10" s="30"/>
      <c r="R10" s="89" t="str">
        <f>VLOOKUP(C10,'Train Runs'!$A$13:$AE$9940,31,0)</f>
        <v>aws s3 cp s3://rtdc.mdm.uploadarchive.raw/RTDC4025/ "%USERPROFILE%\AppData\Local\Temp\OnboardLogs"\RTDC4025\2017-02-21 --exclude "*" --recursive --include "*20170221*" &amp; "%USERPROFILE%\Documents\GitHub\mrs-test-scripts\Headless Mode &amp; Sideloading\WalkAndUnGZ.bat" "%USERPROFILE%\AppData\Local\Temp\OnboardLogs"\RTDC4025\2017-02-21 &amp; aws s3 cp s3://rtdc.mdm.uploadarchive.raw/RTDC4025/ "%USERPROFILE%\AppData\Local\Temp\OnboardLogs"\RTDC4025\2017-02-22 --exclude "*" --recursive --include "*20170222*" &amp; "%USERPROFILE%\Documents\GitHub\mrs-test-scripts\Headless Mode &amp; Sideloading\WalkAndUnGZ.bat" "%USERPROFILE%\AppData\Local\Temp\OnboardLogs"\RTDC4025\2017-02-22</v>
      </c>
      <c r="S10" s="92" t="str">
        <f>VLOOKUP(C10,'Train Runs'!$A$13:$AE$9940,22,0)</f>
        <v>https://d0f6bd738d7f1b3e5a7ca70fe4ff75f0.us-east-1.aws.found.io/app/kibana#/discover/Steve-Slow-Train-Analysis-(2080s-and-2083s)?_g=(refreshInterval:(display:Off,pause:!f,section:0,value:0),time:(from:'2017-02-21T21:59:15-0700',mode:absolute,to:'2017-02-22T00:37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0" s="94" t="str">
        <f t="shared" si="1"/>
        <v>"C:\Program Files (x86)\AstroGrep\AstroGrep.exe" /spath="%USERPROFILE%\AppData\Local\Temp\OnboardLogs" /stypes="*4025*201702220*" /stext=" 06:.+((SYSTEM_STATE.+slice.+state.+changed )|(ment ac)|(multiple cpu faults)|(system.+state.+changed )|(\[timeout)|(PRM\|1\|D)|(kpr)|(kdp)|(\|lc)|(penalty))" /e /r /s</v>
      </c>
      <c r="U10" s="9" t="str">
        <f t="shared" si="2"/>
        <v>4025</v>
      </c>
      <c r="V10" s="32">
        <f t="shared" si="3"/>
        <v>42788.256504629629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{"issue":{"subject":"Early arrival","project_id":79,"tracker_id":40,"status_id":1,"priority_id":2,"assigned_to_id":23,"start_date":"2017-02-21","description":"","custom_fields":[{"id":1,"name":"Subdivision","value":"EC"},{"id":4,"name":"Milepost","value":"3.3137"},{"id":17,"name":"Train ID","value":"237-21"},{"id":16,"name":"Locomotive ID","value":"4025"},{"id":130,"name":"Impact","value":""},{"id":150,"name":"Time of Event (Mountain Time)","value":"23:09:22"},{"id":151,"name":"Denver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"%USERPROFILE%\AppData\Local\Temp\OnboardLogs"\RTDC4025\*4025*201702220*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"%USERPROFILE%\AppData\Local\Temp\OnboardLogs"\RTDC4025\*4025*201702220* &gt;&gt; 2017-02-21-SliceDisagreementCheck.txt</v>
      </c>
      <c r="AE10" s="157" t="str">
        <f t="shared" si="8"/>
        <v>start /low /b %USERPROFILE%\Documents\GitHub\eaglep3\Utilities\DownloadLogsFromS3.py --loco 4025 --day 2017-02-22</v>
      </c>
    </row>
    <row r="11" spans="1:32" s="1" customFormat="1" x14ac:dyDescent="0.25">
      <c r="A11" s="32">
        <v>42788.027696759258</v>
      </c>
      <c r="B11" s="30" t="s">
        <v>251</v>
      </c>
      <c r="C11" s="30" t="s">
        <v>497</v>
      </c>
      <c r="D11" s="30" t="s">
        <v>98</v>
      </c>
      <c r="E11" s="30" t="s">
        <v>197</v>
      </c>
      <c r="F11" s="43">
        <v>360</v>
      </c>
      <c r="G11" s="43">
        <v>416</v>
      </c>
      <c r="H11" s="43">
        <v>33194</v>
      </c>
      <c r="I11" s="43">
        <v>34491</v>
      </c>
      <c r="J11" s="30" t="s">
        <v>198</v>
      </c>
      <c r="K11" s="43">
        <v>33137</v>
      </c>
      <c r="L11" s="143" t="s">
        <v>50</v>
      </c>
      <c r="M11" s="144">
        <f t="shared" si="0"/>
        <v>-714.91200000000003</v>
      </c>
      <c r="N11" s="145" t="str">
        <f>VLOOKUP(C11,'Trips&amp;Operators'!$C$1:$G$99999,5,FALSE)</f>
        <v>STAMBAUGH JAMES</v>
      </c>
      <c r="O11" s="171" t="s">
        <v>185</v>
      </c>
      <c r="P11" s="146" t="s">
        <v>378</v>
      </c>
      <c r="Q11" s="30"/>
      <c r="R11" s="89" t="str">
        <f>VLOOKUP(C11,'Train Runs'!$A$13:$AE$9940,31,0)</f>
        <v>aws s3 cp s3://rtdc.mdm.uploadarchive.raw/RTDC4003/ "%USERPROFILE%\AppData\Local\Temp\OnboardLogs"\RTDC4003\2017-02-22 --exclude "*" --recursive --include "*20170222*" &amp; "%USERPROFILE%\Documents\GitHub\mrs-test-scripts\Headless Mode &amp; Sideloading\WalkAndUnGZ.bat" "%USERPROFILE%\AppData\Local\Temp\OnboardLogs"\RTDC4003\2017-02-22 &amp; aws s3 cp s3://rtdc.mdm.uploadarchive.raw/RTDC4003/ "%USERPROFILE%\AppData\Local\Temp\OnboardLogs"\RTDC4003\2017-02-23 --exclude "*" --recursive --include "*20170223*" &amp; "%USERPROFILE%\Documents\GitHub\mrs-test-scripts\Headless Mode &amp; Sideloading\WalkAndUnGZ.bat" "%USERPROFILE%\AppData\Local\Temp\OnboardLogs"\RTDC4003\2017-02-23</v>
      </c>
      <c r="S11" s="92" t="str">
        <f>VLOOKUP(C11,'Train Runs'!$A$13:$AE$9940,22,0)</f>
        <v>https://d0f6bd738d7f1b3e5a7ca70fe4ff75f0.us-east-1.aws.found.io/app/kibana#/discover/Steve-Slow-Train-Analysis-(2080s-and-2083s)?_g=(refreshInterval:(display:Off,pause:!f,section:0,value:0),time:(from:'2017-02-21T23:08:03-0700',mode:absolute,to:'2017-02-22T02:06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1" s="94" t="str">
        <f t="shared" si="1"/>
        <v>"C:\Program Files (x86)\AstroGrep\AstroGrep.exe" /spath="%USERPROFILE%\AppData\Local\Temp\OnboardLogs" /stypes="*4003*201702220*" /stext=" 07:.+((SYSTEM_STATE.+slice.+state.+changed )|(ment ac)|(multiple cpu faults)|(system.+state.+changed )|(\[timeout)|(PRM\|1\|D)|(kpr)|(kdp)|(\|lc)|(penalty))" /e /r /s</v>
      </c>
      <c r="U11" s="9" t="str">
        <f t="shared" si="2"/>
        <v>4003</v>
      </c>
      <c r="V11" s="32">
        <f t="shared" si="3"/>
        <v>42788.319363425922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{"issue":{"subject":"Early arrival","project_id":79,"tracker_id":40,"status_id":1,"priority_id":2,"assigned_to_id":23,"start_date":"2017-02-22","description":"","custom_fields":[{"id":1,"name":"Subdivision","value":"EC"},{"id":4,"name":"Milepost","value":"3.3137"},{"id":17,"name":"Train ID","value":"243-21"},{"id":16,"name":"Locomotive ID","value":"4003"},{"id":130,"name":"Impact","value":""},{"id":150,"name":"Time of Event (Mountain Time)","value":"00:39:53"},{"id":151,"name":"Denver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"%USERPROFILE%\AppData\Local\Temp\OnboardLogs"\RTDC4003\*4003*201702220*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"%USERPROFILE%\AppData\Local\Temp\OnboardLogs"\RTDC4003\*4003*201702220* &gt;&gt; 2017-02-21-SliceDisagreementCheck.txt</v>
      </c>
      <c r="AE11" s="157" t="str">
        <f t="shared" si="8"/>
        <v>start /low /b %USERPROFILE%\Documents\GitHub\eaglep3\Utilities\DownloadLogsFromS3.py --loco 4003 --day 2017-02-22</v>
      </c>
    </row>
    <row r="12" spans="1:32" s="1" customFormat="1" x14ac:dyDescent="0.25">
      <c r="A12" s="32">
        <v>42787.194953703707</v>
      </c>
      <c r="B12" s="30" t="s">
        <v>455</v>
      </c>
      <c r="C12" s="30" t="s">
        <v>456</v>
      </c>
      <c r="D12" s="30" t="s">
        <v>49</v>
      </c>
      <c r="E12" s="30" t="s">
        <v>197</v>
      </c>
      <c r="F12" s="43">
        <v>0</v>
      </c>
      <c r="G12" s="43">
        <v>175</v>
      </c>
      <c r="H12" s="43">
        <v>33277</v>
      </c>
      <c r="I12" s="43">
        <v>33171</v>
      </c>
      <c r="J12" s="30" t="s">
        <v>198</v>
      </c>
      <c r="K12" s="43">
        <v>33257</v>
      </c>
      <c r="L12" s="143" t="s">
        <v>51</v>
      </c>
      <c r="M12" s="144">
        <f t="shared" si="0"/>
        <v>-45.408000000000001</v>
      </c>
      <c r="N12" s="145" t="str">
        <f>VLOOKUP(C12,'Trips&amp;Operators'!$C$1:$G$99999,5,FALSE)</f>
        <v>SANTIZO D. EDY</v>
      </c>
      <c r="O12" s="171" t="s">
        <v>185</v>
      </c>
      <c r="P12" s="146" t="s">
        <v>378</v>
      </c>
      <c r="Q12" s="30"/>
      <c r="R12" s="89" t="str">
        <f>VLOOKUP(C12,'Train Runs'!$A$13:$AE$9940,31,0)</f>
        <v>aws s3 cp s3://rtdc.mdm.uploadarchive.raw/RTDC4005/ "%USERPROFILE%\AppData\Local\Temp\OnboardLogs"\RTDC4005\2017-02-21 --exclude "*" --recursive --include "*20170221*" &amp; "%USERPROFILE%\Documents\GitHub\mrs-test-scripts\Headless Mode &amp; Sideloading\WalkAndUnGZ.bat" "%USERPROFILE%\AppData\Local\Temp\OnboardLogs"\RTDC4005\2017-02-21 &amp; aws s3 cp s3://rtdc.mdm.uploadarchive.raw/RTDC4005/ "%USERPROFILE%\AppData\Local\Temp\OnboardLogs"\RTDC4005\2017-02-22 --exclude "*" --recursive --include "*20170222*" &amp; "%USERPROFILE%\Documents\GitHub\mrs-test-scripts\Headless Mode &amp; Sideloading\WalkAndUnGZ.bat" "%USERPROFILE%\AppData\Local\Temp\OnboardLogs"\RTDC4005\2017-02-22</v>
      </c>
      <c r="S12" s="92" t="str">
        <f>VLOOKUP(C12,'Train Runs'!$A$13:$AE$9940,22,0)</f>
        <v>https://d0f6bd738d7f1b3e5a7ca70fe4ff75f0.us-east-1.aws.found.io/app/kibana#/discover/Steve-Slow-Train-Analysis-(2080s-and-2083s)?_g=(refreshInterval:(display:Off,pause:!f,section:0,value:0),time:(from:'2017-02-21T03:09:56-0700',mode:absolute,to:'2017-02-21T05:50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2" s="94" t="str">
        <f t="shared" si="1"/>
        <v>"C:\Program Files (x86)\AstroGrep\AstroGrep.exe" /spath="%USERPROFILE%\AppData\Local\Temp\OnboardLogs" /stypes="*4005*201702211*" /stext=" 11:.+((SYSTEM_STATE.+slice.+state.+changed )|(ment ac)|(multiple cpu faults)|(system.+state.+changed )|(\[timeout)|(PRM\|1\|D)|(kpr)|(kdp)|(\|lc)|(penalty))" /e /r /s</v>
      </c>
      <c r="U12" s="9" t="str">
        <f t="shared" si="2"/>
        <v>4005</v>
      </c>
      <c r="V12" s="32">
        <f t="shared" si="3"/>
        <v>42787.486620370371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arrival","project_id":79,"tracker_id":40,"status_id":1,"priority_id":2,"assigned_to_id":23,"start_date":"2017-02-21","description":"","custom_fields":[{"id":1,"name":"Subdivision","value":"EC"},{"id":4,"name":"Milepost","value":"3.3257"},{"id":17,"name":"Train ID","value":"113-21"},{"id":16,"name":"Locomotive ID","value":"4005"},{"id":130,"name":"Impact","value":""},{"id":150,"name":"Time of Event (Mountain Time)","value":"04:40:44"},{"id":151,"name":"Denver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"%USERPROFILE%\AppData\Local\Temp\OnboardLogs"\RTDC4005\*4005*201702211*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"%USERPROFILE%\AppData\Local\Temp\OnboardLogs"\RTDC4005\*4005*201702211* &gt;&gt; 2017-02-21-SliceDisagreementCheck.txt</v>
      </c>
      <c r="AE12" s="157" t="str">
        <f t="shared" si="8"/>
        <v>start /low /b %USERPROFILE%\Documents\GitHub\eaglep3\Utilities\DownloadLogsFromS3.py --loco 4005 --day 2017-02-21</v>
      </c>
    </row>
    <row r="13" spans="1:32" s="1" customFormat="1" x14ac:dyDescent="0.25">
      <c r="A13" s="32">
        <v>42787.808958333335</v>
      </c>
      <c r="B13" s="30" t="s">
        <v>326</v>
      </c>
      <c r="C13" s="30" t="s">
        <v>487</v>
      </c>
      <c r="D13" s="30" t="s">
        <v>98</v>
      </c>
      <c r="E13" s="30" t="s">
        <v>197</v>
      </c>
      <c r="F13" s="43">
        <v>0</v>
      </c>
      <c r="G13" s="43">
        <v>223</v>
      </c>
      <c r="H13" s="43">
        <v>33255</v>
      </c>
      <c r="I13" s="43">
        <v>33007</v>
      </c>
      <c r="J13" s="30" t="s">
        <v>198</v>
      </c>
      <c r="K13" s="43">
        <v>33257</v>
      </c>
      <c r="L13" s="143" t="s">
        <v>51</v>
      </c>
      <c r="M13" s="144">
        <f t="shared" si="0"/>
        <v>-132</v>
      </c>
      <c r="N13" s="145" t="str">
        <f>VLOOKUP(C13,'Trips&amp;Operators'!$C$1:$G$99999,5,FALSE)</f>
        <v>LALONDE GREGORY</v>
      </c>
      <c r="O13" s="171" t="s">
        <v>185</v>
      </c>
      <c r="P13" s="146" t="s">
        <v>378</v>
      </c>
      <c r="Q13" s="30"/>
      <c r="R13" s="89" t="str">
        <f>VLOOKUP(C13,'Train Runs'!$A$13:$AE$9940,31,0)</f>
        <v>aws s3 cp s3://rtdc.mdm.uploadarchive.raw/RTDC4013/ "%USERPROFILE%\AppData\Local\Temp\OnboardLogs"\RTDC4013\2017-02-21 --exclude "*" --recursive --include "*20170221*" &amp; "%USERPROFILE%\Documents\GitHub\mrs-test-scripts\Headless Mode &amp; Sideloading\WalkAndUnGZ.bat" "%USERPROFILE%\AppData\Local\Temp\OnboardLogs"\RTDC4013\2017-02-21 &amp; aws s3 cp s3://rtdc.mdm.uploadarchive.raw/RTDC4013/ "%USERPROFILE%\AppData\Local\Temp\OnboardLogs"\RTDC4013\2017-02-22 --exclude "*" --recursive --include "*20170222*" &amp; "%USERPROFILE%\Documents\GitHub\mrs-test-scripts\Headless Mode &amp; Sideloading\WalkAndUnGZ.bat" "%USERPROFILE%\AppData\Local\Temp\OnboardLogs"\RTDC4013\2017-02-22</v>
      </c>
      <c r="S13" s="92" t="str">
        <f>VLOOKUP(C13,'Train Runs'!$A$13:$AE$9940,22,0)</f>
        <v>https://d0f6bd738d7f1b3e5a7ca70fe4ff75f0.us-east-1.aws.found.io/app/kibana#/discover/Steve-Slow-Train-Analysis-(2080s-and-2083s)?_g=(refreshInterval:(display:Off,pause:!f,section:0,value:0),time:(from:'2017-02-21T17:46:26-0700',mode:absolute,to:'2017-02-21T20:33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3" s="94" t="str">
        <f t="shared" si="1"/>
        <v>"C:\Program Files (x86)\AstroGrep\AstroGrep.exe" /spath="%USERPROFILE%\AppData\Local\Temp\OnboardLogs" /stypes="*4013*201702220*" /stext=" 02:.+((SYSTEM_STATE.+slice.+state.+changed )|(ment ac)|(multiple cpu faults)|(system.+state.+changed )|(\[timeout)|(PRM\|1\|D)|(kpr)|(kdp)|(\|lc)|(penalty))" /e /r /s</v>
      </c>
      <c r="U13" s="9" t="str">
        <f t="shared" si="2"/>
        <v>4013</v>
      </c>
      <c r="V13" s="32">
        <f t="shared" si="3"/>
        <v>42788.100624999999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{"issue":{"subject":"Early arrival","project_id":79,"tracker_id":40,"status_id":1,"priority_id":2,"assigned_to_id":23,"start_date":"2017-02-21","description":"","custom_fields":[{"id":1,"name":"Subdivision","value":"EC"},{"id":4,"name":"Milepost","value":"3.3257"},{"id":17,"name":"Train ID","value":"216-21"},{"id":16,"name":"Locomotive ID","value":"4013"},{"id":130,"name":"Impact","value":""},{"id":150,"name":"Time of Event (Mountain Time)","value":"19:24:54"},{"id":151,"name":"Denver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"%USERPROFILE%\AppData\Local\Temp\OnboardLogs"\RTDC4013\*4013*201702220*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"%USERPROFILE%\AppData\Local\Temp\OnboardLogs"\RTDC4013\*4013*201702220* &gt;&gt; 2017-02-21-SliceDisagreementCheck.txt</v>
      </c>
      <c r="AE13" s="157" t="str">
        <f t="shared" si="8"/>
        <v>start /low /b %USERPROFILE%\Documents\GitHub\eaglep3\Utilities\DownloadLogsFromS3.py --loco 4013 --day 2017-02-22</v>
      </c>
    </row>
    <row r="14" spans="1:32" x14ac:dyDescent="0.25">
      <c r="A14" s="32">
        <v>42787.974548611113</v>
      </c>
      <c r="B14" s="30" t="s">
        <v>324</v>
      </c>
      <c r="C14" s="30" t="s">
        <v>495</v>
      </c>
      <c r="D14" s="30" t="s">
        <v>49</v>
      </c>
      <c r="E14" s="30" t="s">
        <v>197</v>
      </c>
      <c r="F14" s="43">
        <v>550</v>
      </c>
      <c r="G14" s="43">
        <v>626</v>
      </c>
      <c r="H14" s="43">
        <v>49355</v>
      </c>
      <c r="I14" s="43">
        <v>46948</v>
      </c>
      <c r="J14" s="30" t="s">
        <v>198</v>
      </c>
      <c r="K14" s="43">
        <v>48048</v>
      </c>
      <c r="L14" s="143" t="s">
        <v>51</v>
      </c>
      <c r="M14" s="144">
        <f t="shared" si="0"/>
        <v>-580.79999999999995</v>
      </c>
      <c r="N14" s="145" t="str">
        <f>VLOOKUP(C14,'Trips&amp;Operators'!$C$1:$G$99999,5,FALSE)</f>
        <v>STORY SAMANTHA</v>
      </c>
      <c r="O14" s="171" t="s">
        <v>185</v>
      </c>
      <c r="P14" s="146" t="s">
        <v>378</v>
      </c>
      <c r="Q14" s="30"/>
      <c r="R14" s="89" t="str">
        <f>VLOOKUP(C14,'Train Runs'!$A$13:$AE$9940,31,0)</f>
        <v>aws s3 cp s3://rtdc.mdm.uploadarchive.raw/RTDC4052/ "%USERPROFILE%\AppData\Local\Temp\OnboardLogs"\RTDC4052\2017-02-21 --exclude "*" --recursive --include "*20170221*" &amp; "%USERPROFILE%\Documents\GitHub\mrs-test-scripts\Headless Mode &amp; Sideloading\WalkAndUnGZ.bat" "%USERPROFILE%\AppData\Local\Temp\OnboardLogs"\RTDC4052\2017-02-21 &amp; aws s3 cp s3://rtdc.mdm.uploadarchive.raw/RTDC4052/ "%USERPROFILE%\AppData\Local\Temp\OnboardLogs"\RTDC4052\2017-02-22 --exclude "*" --recursive --include "*20170222*" &amp; "%USERPROFILE%\Documents\GitHub\mrs-test-scripts\Headless Mode &amp; Sideloading\WalkAndUnGZ.bat" "%USERPROFILE%\AppData\Local\Temp\OnboardLogs"\RTDC4052\2017-02-22</v>
      </c>
      <c r="S14" s="92" t="str">
        <f>VLOOKUP(C14,'Train Runs'!$A$13:$AE$9940,22,0)</f>
        <v>https://d0f6bd738d7f1b3e5a7ca70fe4ff75f0.us-east-1.aws.found.io/app/kibana#/discover/Steve-Slow-Train-Analysis-(2080s-and-2083s)?_g=(refreshInterval:(display:Off,pause:!f,section:0,value:0),time:(from:'2017-02-21T21:42:35-0700',mode:absolute,to:'2017-02-22T00:36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4" s="94" t="str">
        <f t="shared" si="1"/>
        <v>"C:\Program Files (x86)\AstroGrep\AstroGrep.exe" /spath="%USERPROFILE%\AppData\Local\Temp\OnboardLogs" /stypes="*4052*201702220*" /stext=" 06:.+((SYSTEM_STATE.+slice.+state.+changed )|(ment ac)|(multiple cpu faults)|(system.+state.+changed )|(\[timeout)|(PRM\|1\|D)|(kpr)|(kdp)|(\|lc)|(penalty))" /e /r /s</v>
      </c>
      <c r="U14" s="9" t="str">
        <f t="shared" si="2"/>
        <v>4052</v>
      </c>
      <c r="V14" s="32">
        <f t="shared" si="3"/>
        <v>42788.266215277778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{"issue":{"subject":"Early arrival","project_id":79,"tracker_id":40,"status_id":1,"priority_id":2,"assigned_to_id":23,"start_date":"2017-02-21","description":"","custom_fields":[{"id":1,"name":"Subdivision","value":"EC"},{"id":4,"name":"Milepost","value":"4.8048"},{"id":17,"name":"Train ID","value":"234-21"},{"id":16,"name":"Locomotive ID","value":"4052"},{"id":130,"name":"Impact","value":""},{"id":150,"name":"Time of Event (Mountain Time)","value":"23:23:21"},{"id":151,"name":"Denver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"%USERPROFILE%\AppData\Local\Temp\OnboardLogs"\RTDC4052\*4052*201702220*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"%USERPROFILE%\AppData\Local\Temp\OnboardLogs"\RTDC4052\*4052*201702220* &gt;&gt; 2017-02-21-SliceDisagreementCheck.txt</v>
      </c>
      <c r="AE14" s="157" t="str">
        <f t="shared" si="8"/>
        <v>start /low /b %USERPROFILE%\Documents\GitHub\eaglep3\Utilities\DownloadLogsFromS3.py --loco 4052 --day 2017-02-22</v>
      </c>
      <c r="AF14" s="1"/>
    </row>
    <row r="15" spans="1:32" x14ac:dyDescent="0.25">
      <c r="A15" s="32">
        <v>42788.057662037034</v>
      </c>
      <c r="B15" s="30" t="s">
        <v>324</v>
      </c>
      <c r="C15" s="30" t="s">
        <v>498</v>
      </c>
      <c r="D15" s="30" t="s">
        <v>49</v>
      </c>
      <c r="E15" s="30" t="s">
        <v>197</v>
      </c>
      <c r="F15" s="43">
        <v>580</v>
      </c>
      <c r="G15" s="43">
        <v>647</v>
      </c>
      <c r="H15" s="43">
        <v>49757</v>
      </c>
      <c r="I15" s="43">
        <v>46851</v>
      </c>
      <c r="J15" s="30" t="s">
        <v>198</v>
      </c>
      <c r="K15" s="43">
        <v>48048</v>
      </c>
      <c r="L15" s="143" t="s">
        <v>51</v>
      </c>
      <c r="M15" s="144">
        <f t="shared" si="0"/>
        <v>-632.01599999999996</v>
      </c>
      <c r="N15" s="145" t="str">
        <f>VLOOKUP(C15,'Trips&amp;Operators'!$C$1:$G$99999,5,FALSE)</f>
        <v>STORY SAMANTHA</v>
      </c>
      <c r="O15" s="171" t="s">
        <v>185</v>
      </c>
      <c r="P15" s="146" t="s">
        <v>378</v>
      </c>
      <c r="Q15" s="30"/>
      <c r="R15" s="89" t="str">
        <f>VLOOKUP(C15,'Train Runs'!$A$13:$AE$9940,31,0)</f>
        <v>aws s3 cp s3://rtdc.mdm.uploadarchive.raw/RTDC4052/ "%USERPROFILE%\AppData\Local\Temp\OnboardLogs"\RTDC4052\2017-02-22 --exclude "*" --recursive --include "*20170222*" &amp; "%USERPROFILE%\Documents\GitHub\mrs-test-scripts\Headless Mode &amp; Sideloading\WalkAndUnGZ.bat" "%USERPROFILE%\AppData\Local\Temp\OnboardLogs"\RTDC4052\2017-02-22 &amp; aws s3 cp s3://rtdc.mdm.uploadarchive.raw/RTDC4052/ "%USERPROFILE%\AppData\Local\Temp\OnboardLogs"\RTDC4052\2017-02-23 --exclude "*" --recursive --include "*20170223*" &amp; "%USERPROFILE%\Documents\GitHub\mrs-test-scripts\Headless Mode &amp; Sideloading\WalkAndUnGZ.bat" "%USERPROFILE%\AppData\Local\Temp\OnboardLogs"\RTDC4052\2017-02-23</v>
      </c>
      <c r="S15" s="92" t="str">
        <f>VLOOKUP(C15,'Train Runs'!$A$13:$AE$9940,22,0)</f>
        <v>https://d0f6bd738d7f1b3e5a7ca70fe4ff75f0.us-east-1.aws.found.io/app/kibana#/discover/Steve-Slow-Train-Analysis-(2080s-and-2083s)?_g=(refreshInterval:(display:Off,pause:!f,section:0,value:0),time:(from:'2017-02-21T23:49:24-0700',mode:absolute,to:'2017-02-22T02:36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5" s="94" t="str">
        <f t="shared" si="1"/>
        <v>"C:\Program Files (x86)\AstroGrep\AstroGrep.exe" /spath="%USERPROFILE%\AppData\Local\Temp\OnboardLogs" /stypes="*4052*201702220*" /stext=" 08:.+((SYSTEM_STATE.+slice.+state.+changed )|(ment ac)|(multiple cpu faults)|(system.+state.+changed )|(\[timeout)|(PRM\|1\|D)|(kpr)|(kdp)|(\|lc)|(penalty))" /e /r /s</v>
      </c>
      <c r="U15" s="9" t="str">
        <f t="shared" si="2"/>
        <v>4052</v>
      </c>
      <c r="V15" s="32">
        <f t="shared" si="3"/>
        <v>42788.349328703698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{"issue":{"subject":"Early arrival","project_id":79,"tracker_id":40,"status_id":1,"priority_id":2,"assigned_to_id":23,"start_date":"2017-02-22","description":"","custom_fields":[{"id":1,"name":"Subdivision","value":"EC"},{"id":4,"name":"Milepost","value":"4.8048"},{"id":17,"name":"Train ID","value":"242-21"},{"id":16,"name":"Locomotive ID","value":"4052"},{"id":130,"name":"Impact","value":""},{"id":150,"name":"Time of Event (Mountain Time)","value":"01:23:02"},{"id":151,"name":"Denver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"%USERPROFILE%\AppData\Local\Temp\OnboardLogs"\RTDC4052\*4052*201702220*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"%USERPROFILE%\AppData\Local\Temp\OnboardLogs"\RTDC4052\*4052*201702220* &gt;&gt; 2017-02-21-SliceDisagreementCheck.txt</v>
      </c>
      <c r="AE15" s="157" t="str">
        <f t="shared" si="8"/>
        <v>start /low /b %USERPROFILE%\Documents\GitHub\eaglep3\Utilities\DownloadLogsFromS3.py --loco 4052 --day 2017-02-22</v>
      </c>
      <c r="AF15" s="1"/>
    </row>
    <row r="16" spans="1:32" x14ac:dyDescent="0.25">
      <c r="A16" s="32">
        <v>42787.207037037035</v>
      </c>
      <c r="B16" s="30" t="s">
        <v>220</v>
      </c>
      <c r="C16" s="30" t="s">
        <v>457</v>
      </c>
      <c r="D16" s="30" t="s">
        <v>49</v>
      </c>
      <c r="E16" s="30" t="s">
        <v>197</v>
      </c>
      <c r="F16" s="43">
        <v>450</v>
      </c>
      <c r="G16" s="43">
        <v>511</v>
      </c>
      <c r="H16" s="43">
        <v>57604</v>
      </c>
      <c r="I16" s="43">
        <v>59321</v>
      </c>
      <c r="J16" s="30" t="s">
        <v>198</v>
      </c>
      <c r="K16" s="43">
        <v>58783</v>
      </c>
      <c r="L16" s="143" t="s">
        <v>50</v>
      </c>
      <c r="M16" s="144">
        <f t="shared" si="0"/>
        <v>-284.06400000000002</v>
      </c>
      <c r="N16" s="145" t="str">
        <f>VLOOKUP(C16,'Trips&amp;Operators'!$C$1:$G$99999,5,FALSE)</f>
        <v>ACKERMAN JARED</v>
      </c>
      <c r="O16" s="171" t="s">
        <v>185</v>
      </c>
      <c r="P16" s="146" t="s">
        <v>378</v>
      </c>
      <c r="Q16" s="30"/>
      <c r="R16" s="89" t="str">
        <f>VLOOKUP(C16,'Train Runs'!$A$13:$AE$9940,31,0)</f>
        <v>aws s3 cp s3://rtdc.mdm.uploadarchive.raw/RTDC4027/ "%USERPROFILE%\AppData\Local\Temp\OnboardLogs"\RTDC4027\2017-02-21 --exclude "*" --recursive --include "*20170221*" &amp; "%USERPROFILE%\Documents\GitHub\mrs-test-scripts\Headless Mode &amp; Sideloading\WalkAndUnGZ.bat" "%USERPROFILE%\AppData\Local\Temp\OnboardLogs"\RTDC4027\2017-02-21 &amp; aws s3 cp s3://rtdc.mdm.uploadarchive.raw/RTDC4027/ "%USERPROFILE%\AppData\Local\Temp\OnboardLogs"\RTDC4027\2017-02-22 --exclude "*" --recursive --include "*20170222*" &amp; "%USERPROFILE%\Documents\GitHub\mrs-test-scripts\Headless Mode &amp; Sideloading\WalkAndUnGZ.bat" "%USERPROFILE%\AppData\Local\Temp\OnboardLogs"\RTDC4027\2017-02-22</v>
      </c>
      <c r="S16" s="92" t="str">
        <f>VLOOKUP(C16,'Train Runs'!$A$13:$AE$9940,22,0)</f>
        <v>https://d0f6bd738d7f1b3e5a7ca70fe4ff75f0.us-east-1.aws.found.io/app/kibana#/discover/Steve-Slow-Train-Analysis-(2080s-and-2083s)?_g=(refreshInterval:(display:Off,pause:!f,section:0,value:0),time:(from:'2017-02-21T03:34:36-0700',mode:absolute,to:'2017-02-21T06:22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6" s="94" t="str">
        <f t="shared" si="1"/>
        <v>"C:\Program Files (x86)\AstroGrep\AstroGrep.exe" /spath="%USERPROFILE%\AppData\Local\Temp\OnboardLogs" /stypes="*4027*201702211*" /stext=" 11:.+((SYSTEM_STATE.+slice.+state.+changed )|(ment ac)|(multiple cpu faults)|(system.+state.+changed )|(\[timeout)|(PRM\|1\|D)|(kpr)|(kdp)|(\|lc)|(penalty))" /e /r /s</v>
      </c>
      <c r="U16" s="9" t="str">
        <f t="shared" si="2"/>
        <v>4027</v>
      </c>
      <c r="V16" s="32">
        <f t="shared" si="3"/>
        <v>42787.498703703699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{"issue":{"subject":"Early arrival","project_id":79,"tracker_id":40,"status_id":1,"priority_id":2,"assigned_to_id":23,"start_date":"2017-02-21","description":"","custom_fields":[{"id":1,"name":"Subdivision","value":"EC"},{"id":4,"name":"Milepost","value":"5.8783"},{"id":17,"name":"Train ID","value":"109-21"},{"id":16,"name":"Locomotive ID","value":"4027"},{"id":130,"name":"Impact","value":""},{"id":150,"name":"Time of Event (Mountain Time)","value":"04:58:08"},{"id":151,"name":"Denver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"%USERPROFILE%\AppData\Local\Temp\OnboardLogs"\RTDC4027\*4027*201702211*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"%USERPROFILE%\AppData\Local\Temp\OnboardLogs"\RTDC4027\*4027*201702211* &gt;&gt; 2017-02-21-SliceDisagreementCheck.txt</v>
      </c>
      <c r="AE16" s="157" t="str">
        <f t="shared" si="8"/>
        <v>start /low /b %USERPROFILE%\Documents\GitHub\eaglep3\Utilities\DownloadLogsFromS3.py --loco 4027 --day 2017-02-21</v>
      </c>
      <c r="AF16" s="1"/>
    </row>
    <row r="17" spans="1:32" x14ac:dyDescent="0.25">
      <c r="A17" s="32">
        <v>42787.28020833333</v>
      </c>
      <c r="B17" s="30" t="s">
        <v>220</v>
      </c>
      <c r="C17" s="30" t="s">
        <v>460</v>
      </c>
      <c r="D17" s="30" t="s">
        <v>49</v>
      </c>
      <c r="E17" s="30" t="s">
        <v>197</v>
      </c>
      <c r="F17" s="43">
        <v>450</v>
      </c>
      <c r="G17" s="43">
        <v>507</v>
      </c>
      <c r="H17" s="43">
        <v>57648</v>
      </c>
      <c r="I17" s="43">
        <v>59269</v>
      </c>
      <c r="J17" s="30" t="s">
        <v>198</v>
      </c>
      <c r="K17" s="43">
        <v>58783</v>
      </c>
      <c r="L17" s="143" t="s">
        <v>50</v>
      </c>
      <c r="M17" s="144">
        <f t="shared" si="0"/>
        <v>-256.608</v>
      </c>
      <c r="N17" s="145" t="str">
        <f>VLOOKUP(C17,'Trips&amp;Operators'!$C$1:$G$99999,5,FALSE)</f>
        <v>ACKERMAN JARED</v>
      </c>
      <c r="O17" s="171" t="s">
        <v>185</v>
      </c>
      <c r="P17" s="146" t="s">
        <v>378</v>
      </c>
      <c r="Q17" s="30"/>
      <c r="R17" s="89" t="str">
        <f>VLOOKUP(C17,'Train Runs'!$A$13:$AE$9940,31,0)</f>
        <v>aws s3 cp s3://rtdc.mdm.uploadarchive.raw/RTDC4027/ "%USERPROFILE%\AppData\Local\Temp\OnboardLogs"\RTDC4027\2017-02-21 --exclude "*" --recursive --include "*20170221*" &amp; "%USERPROFILE%\Documents\GitHub\mrs-test-scripts\Headless Mode &amp; Sideloading\WalkAndUnGZ.bat" "%USERPROFILE%\AppData\Local\Temp\OnboardLogs"\RTDC4027\2017-02-21 &amp; aws s3 cp s3://rtdc.mdm.uploadarchive.raw/RTDC4027/ "%USERPROFILE%\AppData\Local\Temp\OnboardLogs"\RTDC4027\2017-02-22 --exclude "*" --recursive --include "*20170222*" &amp; "%USERPROFILE%\Documents\GitHub\mrs-test-scripts\Headless Mode &amp; Sideloading\WalkAndUnGZ.bat" "%USERPROFILE%\AppData\Local\Temp\OnboardLogs"\RTDC4027\2017-02-22</v>
      </c>
      <c r="S17" s="92" t="str">
        <f>VLOOKUP(C17,'Train Runs'!$A$13:$AE$9940,22,0)</f>
        <v>https://d0f6bd738d7f1b3e5a7ca70fe4ff75f0.us-east-1.aws.found.io/app/kibana#/discover/Steve-Slow-Train-Analysis-(2080s-and-2083s)?_g=(refreshInterval:(display:Off,pause:!f,section:0,value:0),time:(from:'2017-02-21T05:24:15-0700',mode:absolute,to:'2017-02-21T08:07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7" s="94" t="str">
        <f t="shared" si="1"/>
        <v>"C:\Program Files (x86)\AstroGrep\AstroGrep.exe" /spath="%USERPROFILE%\AppData\Local\Temp\OnboardLogs" /stypes="*4027*201702211*" /stext=" 13:.+((SYSTEM_STATE.+slice.+state.+changed )|(ment ac)|(multiple cpu faults)|(system.+state.+changed )|(\[timeout)|(PRM\|1\|D)|(kpr)|(kdp)|(\|lc)|(penalty))" /e /r /s</v>
      </c>
      <c r="U17" s="9" t="str">
        <f t="shared" si="2"/>
        <v>4027</v>
      </c>
      <c r="V17" s="32">
        <f t="shared" si="3"/>
        <v>42787.571874999994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{"issue":{"subject":"Early arrival","project_id":79,"tracker_id":40,"status_id":1,"priority_id":2,"assigned_to_id":23,"start_date":"2017-02-21","description":"","custom_fields":[{"id":1,"name":"Subdivision","value":"EC"},{"id":4,"name":"Milepost","value":"5.8783"},{"id":17,"name":"Train ID","value":"123-21"},{"id":16,"name":"Locomotive ID","value":"4027"},{"id":130,"name":"Impact","value":""},{"id":150,"name":"Time of Event (Mountain Time)","value":"06:43:30"},{"id":151,"name":"Denver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"%USERPROFILE%\AppData\Local\Temp\OnboardLogs"\RTDC4027\*4027*201702211*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"%USERPROFILE%\AppData\Local\Temp\OnboardLogs"\RTDC4027\*4027*201702211* &gt;&gt; 2017-02-21-SliceDisagreementCheck.txt</v>
      </c>
      <c r="AE17" s="157" t="str">
        <f t="shared" si="8"/>
        <v>start /low /b %USERPROFILE%\Documents\GitHub\eaglep3\Utilities\DownloadLogsFromS3.py --loco 4027 --day 2017-02-21</v>
      </c>
      <c r="AF17" s="1"/>
    </row>
    <row r="18" spans="1:32" ht="15" customHeight="1" x14ac:dyDescent="0.25">
      <c r="A18" s="32">
        <v>42787.707291666666</v>
      </c>
      <c r="B18" s="30" t="s">
        <v>455</v>
      </c>
      <c r="C18" s="30" t="s">
        <v>481</v>
      </c>
      <c r="D18" s="30" t="s">
        <v>49</v>
      </c>
      <c r="E18" s="30" t="s">
        <v>338</v>
      </c>
      <c r="F18" s="43">
        <v>400</v>
      </c>
      <c r="G18" s="43">
        <v>509</v>
      </c>
      <c r="H18" s="43">
        <v>121302</v>
      </c>
      <c r="I18" s="43">
        <v>119614</v>
      </c>
      <c r="J18" s="30" t="s">
        <v>339</v>
      </c>
      <c r="K18" s="43">
        <v>119716</v>
      </c>
      <c r="L18" s="143" t="s">
        <v>51</v>
      </c>
      <c r="M18" s="144">
        <f t="shared" si="0"/>
        <v>-53.856000000000002</v>
      </c>
      <c r="N18" s="145" t="str">
        <f>VLOOKUP(C18,'Trips&amp;Operators'!$C$1:$G$99999,5,FALSE)</f>
        <v>ROMERO CHAD</v>
      </c>
      <c r="O18" s="171" t="s">
        <v>340</v>
      </c>
      <c r="P18" s="146" t="s">
        <v>454</v>
      </c>
      <c r="Q18" s="30"/>
      <c r="R18" s="89" t="str">
        <f>VLOOKUP(C18,'Train Runs'!$A$13:$AE$9940,31,0)</f>
        <v>aws s3 cp s3://rtdc.mdm.uploadarchive.raw/RTDC4005/ "%USERPROFILE%\AppData\Local\Temp\OnboardLogs"\RTDC4005\2017-02-21 --exclude "*" --recursive --include "*20170221*" &amp; "%USERPROFILE%\Documents\GitHub\mrs-test-scripts\Headless Mode &amp; Sideloading\WalkAndUnGZ.bat" "%USERPROFILE%\AppData\Local\Temp\OnboardLogs"\RTDC4005\2017-02-21 &amp; aws s3 cp s3://rtdc.mdm.uploadarchive.raw/RTDC4005/ "%USERPROFILE%\AppData\Local\Temp\OnboardLogs"\RTDC4005\2017-02-22 --exclude "*" --recursive --include "*20170222*" &amp; "%USERPROFILE%\Documents\GitHub\mrs-test-scripts\Headless Mode &amp; Sideloading\WalkAndUnGZ.bat" "%USERPROFILE%\AppData\Local\Temp\OnboardLogs"\RTDC4005\2017-02-22</v>
      </c>
      <c r="S18" s="92" t="str">
        <f>VLOOKUP(C18,'Train Runs'!$A$13:$AE$9940,22,0)</f>
        <v>https://d0f6bd738d7f1b3e5a7ca70fe4ff75f0.us-east-1.aws.found.io/app/kibana#/discover/Steve-Slow-Train-Analysis-(2080s-and-2083s)?_g=(refreshInterval:(display:Off,pause:!f,section:0,value:0),time:(from:'2017-02-21T15:24:15-0700',mode:absolute,to:'2017-02-21T18:20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8" s="94" t="str">
        <f t="shared" si="1"/>
        <v>"C:\Program Files (x86)\AstroGrep\AstroGrep.exe" /spath="%USERPROFILE%\AppData\Local\Temp\OnboardLogs" /stypes="*4005*201702212*" /stext=" 23:.+((SYSTEM_STATE.+slice.+state.+changed )|(ment ac)|(multiple cpu faults)|(system.+state.+changed )|(\[timeout)|(PRM\|1\|D)|(kpr)|(kdp)|(\|lc)|(penalty))" /e /r /s</v>
      </c>
      <c r="U18" s="9" t="str">
        <f t="shared" si="2"/>
        <v>4005</v>
      </c>
      <c r="V18" s="32">
        <f t="shared" si="3"/>
        <v>42787.99895833333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{"issue":{"subject":"Banner w/o braking","project_id":79,"tracker_id":40,"status_id":1,"priority_id":2,"assigned_to_id":23,"start_date":"2017-02-21","description":"","custom_fields":[{"id":1,"name":"Subdivision","value":"EC"},{"id":4,"name":"Milepost","value":"11.9716"},{"id":17,"name":"Train ID","value":"198-21"},{"id":16,"name":"Locomotive ID","value":"4005"},{"id":130,"name":"Impact","value":""},{"id":150,"name":"Time of Event (Mountain Time)","value":"16:58:30"},{"id":151,"name":"Denver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"%USERPROFILE%\AppData\Local\Temp\OnboardLogs"\RTDC4005\*4005*201702212*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"%USERPROFILE%\AppData\Local\Temp\OnboardLogs"\RTDC4005\*4005*201702212* &gt;&gt; 2017-02-21-SliceDisagreementCheck.txt</v>
      </c>
      <c r="AE18" s="157" t="str">
        <f t="shared" si="8"/>
        <v>start /low /b %USERPROFILE%\Documents\GitHub\eaglep3\Utilities\DownloadLogsFromS3.py --loco 4005 --day 2017-02-21</v>
      </c>
      <c r="AF18" s="1"/>
    </row>
    <row r="19" spans="1:32" x14ac:dyDescent="0.25">
      <c r="A19" s="32">
        <v>42787.321377314816</v>
      </c>
      <c r="B19" s="30" t="s">
        <v>230</v>
      </c>
      <c r="C19" s="30" t="s">
        <v>463</v>
      </c>
      <c r="D19" s="30" t="s">
        <v>98</v>
      </c>
      <c r="E19" s="30" t="s">
        <v>338</v>
      </c>
      <c r="F19" s="43">
        <v>700</v>
      </c>
      <c r="G19" s="43">
        <v>757</v>
      </c>
      <c r="H19" s="43">
        <v>164079</v>
      </c>
      <c r="I19" s="43">
        <v>167502</v>
      </c>
      <c r="J19" s="30" t="s">
        <v>339</v>
      </c>
      <c r="K19" s="43">
        <v>161962</v>
      </c>
      <c r="L19" s="143" t="s">
        <v>50</v>
      </c>
      <c r="M19" s="144">
        <f t="shared" si="0"/>
        <v>-2925.12</v>
      </c>
      <c r="N19" s="145" t="str">
        <f>VLOOKUP(C19,'Trips&amp;Operators'!$C$1:$G$99999,5,FALSE)</f>
        <v>ROCHA YAOTL</v>
      </c>
      <c r="O19" s="171" t="s">
        <v>185</v>
      </c>
      <c r="P19" s="146"/>
      <c r="Q19" s="30"/>
      <c r="R19" s="89" t="str">
        <f>VLOOKUP(C19,'Train Runs'!$A$13:$AE$9940,31,0)</f>
        <v>aws s3 cp s3://rtdc.mdm.uploadarchive.raw/RTDC4007/ "%USERPROFILE%\AppData\Local\Temp\OnboardLogs"\RTDC4007\2017-02-21 --exclude "*" --recursive --include "*20170221*" &amp; "%USERPROFILE%\Documents\GitHub\mrs-test-scripts\Headless Mode &amp; Sideloading\WalkAndUnGZ.bat" "%USERPROFILE%\AppData\Local\Temp\OnboardLogs"\RTDC4007\2017-02-21 &amp; aws s3 cp s3://rtdc.mdm.uploadarchive.raw/RTDC4007/ "%USERPROFILE%\AppData\Local\Temp\OnboardLogs"\RTDC4007\2017-02-22 --exclude "*" --recursive --include "*20170222*" &amp; "%USERPROFILE%\Documents\GitHub\mrs-test-scripts\Headless Mode &amp; Sideloading\WalkAndUnGZ.bat" "%USERPROFILE%\AppData\Local\Temp\OnboardLogs"\RTDC4007\2017-02-22</v>
      </c>
      <c r="S19" s="92" t="str">
        <f>VLOOKUP(C19,'Train Runs'!$A$13:$AE$9940,22,0)</f>
        <v>https://d0f6bd738d7f1b3e5a7ca70fe4ff75f0.us-east-1.aws.found.io/app/kibana#/discover/Steve-Slow-Train-Analysis-(2080s-and-2083s)?_g=(refreshInterval:(display:Off,pause:!f,section:0,value:0),time:(from:'2017-02-21T06:08:29-0700',mode:absolute,to:'2017-02-21T08:51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9" s="94" t="str">
        <f t="shared" si="1"/>
        <v>"C:\Program Files (x86)\AstroGrep\AstroGrep.exe" /spath="%USERPROFILE%\AppData\Local\Temp\OnboardLogs" /stypes="*4007*201702211*" /stext=" 14:.+((SYSTEM_STATE.+slice.+state.+changed )|(ment ac)|(multiple cpu faults)|(system.+state.+changed )|(\[timeout)|(PRM\|1\|D)|(kpr)|(kdp)|(\|lc)|(penalty))" /e /r /s</v>
      </c>
      <c r="U19" s="9" t="str">
        <f t="shared" si="2"/>
        <v>4007</v>
      </c>
      <c r="V19" s="32">
        <f t="shared" si="3"/>
        <v>42787.613043981481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{"issue":{"subject":"","project_id":79,"tracker_id":40,"status_id":1,"priority_id":2,"assigned_to_id":23,"start_date":"2017-02-21","description":"","custom_fields":[{"id":1,"name":"Subdivision","value":"EC"},{"id":4,"name":"Milepost","value":"16.1962"},{"id":17,"name":"Train ID","value":"129-21"},{"id":16,"name":"Locomotive ID","value":"4007"},{"id":130,"name":"Impact","value":""},{"id":150,"name":"Time of Event (Mountain Time)","value":"07:42:47"},{"id":151,"name":"Denver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"%USERPROFILE%\AppData\Local\Temp\OnboardLogs"\RTDC4007\*4007*201702211*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"%USERPROFILE%\AppData\Local\Temp\OnboardLogs"\RTDC4007\*4007*201702211* &gt;&gt; 2017-02-21-SliceDisagreementCheck.txt</v>
      </c>
      <c r="AE19" s="157" t="str">
        <f t="shared" si="8"/>
        <v>start /low /b %USERPROFILE%\Documents\GitHub\eaglep3\Utilities\DownloadLogsFromS3.py --loco 4007 --day 2017-02-21</v>
      </c>
      <c r="AF19" s="1"/>
    </row>
    <row r="20" spans="1:32" x14ac:dyDescent="0.25">
      <c r="A20" s="32">
        <v>42787.461469907408</v>
      </c>
      <c r="B20" s="30" t="s">
        <v>328</v>
      </c>
      <c r="C20" s="30" t="s">
        <v>472</v>
      </c>
      <c r="D20" s="30" t="s">
        <v>98</v>
      </c>
      <c r="E20" s="30" t="s">
        <v>338</v>
      </c>
      <c r="F20" s="43">
        <v>700</v>
      </c>
      <c r="G20" s="43">
        <v>754</v>
      </c>
      <c r="H20" s="43">
        <v>178408</v>
      </c>
      <c r="I20" s="43">
        <v>181679</v>
      </c>
      <c r="J20" s="30" t="s">
        <v>339</v>
      </c>
      <c r="K20" s="43">
        <v>161962</v>
      </c>
      <c r="L20" s="143" t="s">
        <v>50</v>
      </c>
      <c r="M20" s="144">
        <f t="shared" si="0"/>
        <v>-10410.575999999999</v>
      </c>
      <c r="N20" s="145" t="str">
        <f>VLOOKUP(C20,'Trips&amp;Operators'!$C$1:$G$99999,5,FALSE)</f>
        <v>YORK EDGAR</v>
      </c>
      <c r="O20" s="171" t="s">
        <v>185</v>
      </c>
      <c r="P20" s="146"/>
      <c r="Q20" s="30"/>
      <c r="R20" s="89" t="str">
        <f>VLOOKUP(C20,'Train Runs'!$A$13:$AE$9940,31,0)</f>
        <v>aws s3 cp s3://rtdc.mdm.uploadarchive.raw/RTDC4006/ "%USERPROFILE%\AppData\Local\Temp\OnboardLogs"\RTDC4006\2017-02-21 --exclude "*" --recursive --include "*20170221*" &amp; "%USERPROFILE%\Documents\GitHub\mrs-test-scripts\Headless Mode &amp; Sideloading\WalkAndUnGZ.bat" "%USERPROFILE%\AppData\Local\Temp\OnboardLogs"\RTDC4006\2017-02-21 &amp; aws s3 cp s3://rtdc.mdm.uploadarchive.raw/RTDC4006/ "%USERPROFILE%\AppData\Local\Temp\OnboardLogs"\RTDC4006\2017-02-22 --exclude "*" --recursive --include "*20170222*" &amp; "%USERPROFILE%\Documents\GitHub\mrs-test-scripts\Headless Mode &amp; Sideloading\WalkAndUnGZ.bat" "%USERPROFILE%\AppData\Local\Temp\OnboardLogs"\RTDC4006\2017-02-22</v>
      </c>
      <c r="S20" s="92" t="str">
        <f>VLOOKUP(C20,'Train Runs'!$A$13:$AE$9940,22,0)</f>
        <v>https://d0f6bd738d7f1b3e5a7ca70fe4ff75f0.us-east-1.aws.found.io/app/kibana#/discover/Steve-Slow-Train-Analysis-(2080s-and-2083s)?_g=(refreshInterval:(display:Off,pause:!f,section:0,value:0),time:(from:'2017-02-21T09:21:57-0700',mode:absolute,to:'2017-02-21T12:12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0" s="94" t="str">
        <f t="shared" si="1"/>
        <v>"C:\Program Files (x86)\AstroGrep\AstroGrep.exe" /spath="%USERPROFILE%\AppData\Local\Temp\OnboardLogs" /stypes="*4006*201702211*" /stext=" 18:.+((SYSTEM_STATE.+slice.+state.+changed )|(ment ac)|(multiple cpu faults)|(system.+state.+changed )|(\[timeout)|(PRM\|1\|D)|(kpr)|(kdp)|(\|lc)|(penalty))" /e /r /s</v>
      </c>
      <c r="U20" s="9" t="str">
        <f t="shared" si="2"/>
        <v>4006</v>
      </c>
      <c r="V20" s="32">
        <f t="shared" si="3"/>
        <v>42787.753136574072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{"issue":{"subject":"","project_id":79,"tracker_id":40,"status_id":1,"priority_id":2,"assigned_to_id":23,"start_date":"2017-02-21","description":"","custom_fields":[{"id":1,"name":"Subdivision","value":"EC"},{"id":4,"name":"Milepost","value":"16.1962"},{"id":17,"name":"Train ID","value":"155-21"},{"id":16,"name":"Locomotive ID","value":"4006"},{"id":130,"name":"Impact","value":""},{"id":150,"name":"Time of Event (Mountain Time)","value":"11:04:31"},{"id":151,"name":"Denver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"%USERPROFILE%\AppData\Local\Temp\OnboardLogs"\RTDC4006\*4006*201702211*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"%USERPROFILE%\AppData\Local\Temp\OnboardLogs"\RTDC4006\*4006*201702211* &gt;&gt; 2017-02-21-SliceDisagreementCheck.txt</v>
      </c>
      <c r="AE20" s="157" t="str">
        <f t="shared" si="8"/>
        <v>start /low /b %USERPROFILE%\Documents\GitHub\eaglep3\Utilities\DownloadLogsFromS3.py --loco 4006 --day 2017-02-21</v>
      </c>
      <c r="AF20" s="1"/>
    </row>
    <row r="21" spans="1:32" x14ac:dyDescent="0.25">
      <c r="A21" s="32">
        <v>42787.367638888885</v>
      </c>
      <c r="B21" s="30" t="s">
        <v>324</v>
      </c>
      <c r="C21" s="30" t="s">
        <v>467</v>
      </c>
      <c r="D21" s="30" t="s">
        <v>49</v>
      </c>
      <c r="E21" s="30" t="s">
        <v>186</v>
      </c>
      <c r="F21" s="43">
        <v>0</v>
      </c>
      <c r="G21" s="43">
        <v>290</v>
      </c>
      <c r="H21" s="43">
        <v>64988</v>
      </c>
      <c r="I21" s="43">
        <v>64385</v>
      </c>
      <c r="J21" s="30" t="s">
        <v>187</v>
      </c>
      <c r="K21" s="43">
        <v>64008</v>
      </c>
      <c r="L21" s="143" t="s">
        <v>51</v>
      </c>
      <c r="M21" s="144">
        <f t="shared" si="0"/>
        <v>199.05600000000001</v>
      </c>
      <c r="N21" s="145" t="str">
        <f>VLOOKUP(C21,'Trips&amp;Operators'!$C$1:$G$99999,5,FALSE)</f>
        <v>MAELZER KURT</v>
      </c>
      <c r="O21" s="171" t="s">
        <v>340</v>
      </c>
      <c r="P21" s="146" t="s">
        <v>379</v>
      </c>
      <c r="Q21" s="30"/>
      <c r="R21" s="89" t="str">
        <f>VLOOKUP(C21,'Train Runs'!$A$13:$AE$9940,31,0)</f>
        <v>aws s3 cp s3://rtdc.mdm.uploadarchive.raw/RTDC4052/ "%USERPROFILE%\AppData\Local\Temp\OnboardLogs"\RTDC4052\2017-02-21 --exclude "*" --recursive --include "*20170221*" &amp; "%USERPROFILE%\Documents\GitHub\mrs-test-scripts\Headless Mode &amp; Sideloading\WalkAndUnGZ.bat" "%USERPROFILE%\AppData\Local\Temp\OnboardLogs"\RTDC4052\2017-02-21 &amp; aws s3 cp s3://rtdc.mdm.uploadarchive.raw/RTDC4052/ "%USERPROFILE%\AppData\Local\Temp\OnboardLogs"\RTDC4052\2017-02-22 --exclude "*" --recursive --include "*20170222*" &amp; "%USERPROFILE%\Documents\GitHub\mrs-test-scripts\Headless Mode &amp; Sideloading\WalkAndUnGZ.bat" "%USERPROFILE%\AppData\Local\Temp\OnboardLogs"\RTDC4052\2017-02-22</v>
      </c>
      <c r="S21" s="92" t="str">
        <f>VLOOKUP(C21,'Train Runs'!$A$13:$AE$9940,22,0)</f>
        <v>https://d0f6bd738d7f1b3e5a7ca70fe4ff75f0.us-east-1.aws.found.io/app/kibana#/discover/Steve-Slow-Train-Analysis-(2080s-and-2083s)?_g=(refreshInterval:(display:Off,pause:!f,section:0,value:0),time:(from:'2017-02-21T07:14:28-0700',mode:absolute,to:'2017-02-21T10:05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1" s="94" t="str">
        <f t="shared" si="1"/>
        <v>"C:\Program Files (x86)\AstroGrep\AstroGrep.exe" /spath="%USERPROFILE%\AppData\Local\Temp\OnboardLogs" /stypes="*4052*201702211*" /stext=" 15:.+((SYSTEM_STATE.+slice.+state.+changed )|(ment ac)|(multiple cpu faults)|(system.+state.+changed )|(\[timeout)|(PRM\|1\|D)|(kpr)|(kdp)|(\|lc)|(penalty))" /e /r /s</v>
      </c>
      <c r="U21" s="9" t="str">
        <f t="shared" si="2"/>
        <v>4052</v>
      </c>
      <c r="V21" s="32">
        <f t="shared" si="3"/>
        <v>42787.65930555555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{"issue":{"subject":"Wi-MAX data drop","project_id":79,"tracker_id":40,"status_id":1,"priority_id":2,"assigned_to_id":23,"start_date":"2017-02-21","description":"http://stevetu21.github.io/eaglep3/load_kml.html?kml=http://rtdc.gmaps-snips.s3.amazonaws.com/2d3cb392-4ea8-4f75-a4bc-a20ac1194bb0.kml","custom_fields":[{"id":1,"name":"Subdivision","value":"EC"},{"id":4,"name":"Milepost","value":"6.4008"},{"id":17,"name":"Train ID","value":"132-21"},{"id":16,"name":"Locomotive ID","value":"4052"},{"id":130,"name":"Impact","value":"Enforcement"},{"id":150,"name":"Time of Event (Mountain Time)","value":"08:49:24"},{"id":151,"name":"Denver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1" s="20" t="s">
        <v>906</v>
      </c>
      <c r="AA21" s="48" t="s">
        <v>124</v>
      </c>
      <c r="AB21" s="48" t="s">
        <v>137</v>
      </c>
      <c r="AC21" s="127" t="str">
        <f t="shared" si="7"/>
        <v>grep -hSE -A400 "Enforcement Action" "%USERPROFILE%\AppData\Local\Temp\OnboardLogs"\RTDC4052\*4052*201702211*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"%USERPROFILE%\AppData\Local\Temp\OnboardLogs"\RTDC4052\*4052*201702211* &gt;&gt; 2017-02-21-SliceDisagreementCheck.txt</v>
      </c>
      <c r="AE21" s="157" t="str">
        <f t="shared" si="8"/>
        <v>start /low /b %USERPROFILE%\Documents\GitHub\eaglep3\Utilities\DownloadLogsFromS3.py --loco 4052 --day 2017-02-21</v>
      </c>
      <c r="AF21" s="1"/>
    </row>
    <row r="22" spans="1:32" x14ac:dyDescent="0.25">
      <c r="A22" s="32">
        <v>42787.437754629631</v>
      </c>
      <c r="B22" s="30" t="s">
        <v>220</v>
      </c>
      <c r="C22" s="30" t="s">
        <v>471</v>
      </c>
      <c r="D22" s="30" t="s">
        <v>49</v>
      </c>
      <c r="E22" s="30" t="s">
        <v>186</v>
      </c>
      <c r="F22" s="43">
        <v>0</v>
      </c>
      <c r="G22" s="43">
        <v>99</v>
      </c>
      <c r="H22" s="43">
        <v>107664</v>
      </c>
      <c r="I22" s="43">
        <v>107800</v>
      </c>
      <c r="J22" s="30" t="s">
        <v>187</v>
      </c>
      <c r="K22" s="43">
        <v>107939</v>
      </c>
      <c r="L22" s="143" t="s">
        <v>50</v>
      </c>
      <c r="M22" s="144">
        <f t="shared" si="0"/>
        <v>73.391999999999996</v>
      </c>
      <c r="N22" s="145" t="str">
        <f>VLOOKUP(C22,'Trips&amp;Operators'!$C$1:$G$99999,5,FALSE)</f>
        <v>ACKERMAN JARED</v>
      </c>
      <c r="O22" s="171" t="s">
        <v>340</v>
      </c>
      <c r="P22" s="146" t="s">
        <v>1027</v>
      </c>
      <c r="Q22" s="30"/>
      <c r="R22" s="89" t="str">
        <f>VLOOKUP(C22,'Train Runs'!$A$13:$AE$9940,31,0)</f>
        <v>aws s3 cp s3://rtdc.mdm.uploadarchive.raw/RTDC4027/ "%USERPROFILE%\AppData\Local\Temp\OnboardLogs"\RTDC4027\2017-02-21 --exclude "*" --recursive --include "*20170221*" &amp; "%USERPROFILE%\Documents\GitHub\mrs-test-scripts\Headless Mode &amp; Sideloading\WalkAndUnGZ.bat" "%USERPROFILE%\AppData\Local\Temp\OnboardLogs"\RTDC4027\2017-02-21 &amp; aws s3 cp s3://rtdc.mdm.uploadarchive.raw/RTDC4027/ "%USERPROFILE%\AppData\Local\Temp\OnboardLogs"\RTDC4027\2017-02-22 --exclude "*" --recursive --include "*20170222*" &amp; "%USERPROFILE%\Documents\GitHub\mrs-test-scripts\Headless Mode &amp; Sideloading\WalkAndUnGZ.bat" "%USERPROFILE%\AppData\Local\Temp\OnboardLogs"\RTDC4027\2017-02-22</v>
      </c>
      <c r="S22" s="92" t="str">
        <f>VLOOKUP(C22,'Train Runs'!$A$13:$AE$9940,22,0)</f>
        <v>https://d0f6bd738d7f1b3e5a7ca70fe4ff75f0.us-east-1.aws.found.io/app/kibana#/discover/Steve-Slow-Train-Analysis-(2080s-and-2083s)?_g=(refreshInterval:(display:Off,pause:!f,section:0,value:0),time:(from:'2017-02-21T09:27:45-0700',mode:absolute,to:'2017-02-21T11:53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2" s="94" t="str">
        <f t="shared" si="1"/>
        <v>"C:\Program Files (x86)\AstroGrep\AstroGrep.exe" /spath="%USERPROFILE%\AppData\Local\Temp\OnboardLogs" /stypes="*4027*201702211*" /stext=" 17:.+((SYSTEM_STATE.+slice.+state.+changed )|(ment ac)|(multiple cpu faults)|(system.+state.+changed )|(\[timeout)|(PRM\|1\|D)|(kpr)|(kdp)|(\|lc)|(penalty))" /e /r /s</v>
      </c>
      <c r="U22" s="9" t="str">
        <f t="shared" si="2"/>
        <v>4027</v>
      </c>
      <c r="V22" s="32">
        <f t="shared" si="3"/>
        <v>42787.729421296295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{"issue":{"subject":"Chambers ELXS failure (cab correspondence error)","project_id":79,"tracker_id":40,"status_id":1,"priority_id":2,"assigned_to_id":23,"start_date":"2017-02-21","description":"","custom_fields":[{"id":1,"name":"Subdivision","value":"EC"},{"id":4,"name":"Milepost","value":"10.7939"},{"id":17,"name":"Train ID","value":"151-21"},{"id":16,"name":"Locomotive ID","value":"4027"},{"id":130,"name":"Impact","value":""},{"id":150,"name":"Time of Event (Mountain Time)","value":"10:30:22"},{"id":151,"name":"Denver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"%USERPROFILE%\AppData\Local\Temp\OnboardLogs"\RTDC4027\*4027*201702211*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"%USERPROFILE%\AppData\Local\Temp\OnboardLogs"\RTDC4027\*4027*201702211* &gt;&gt; 2017-02-21-SliceDisagreementCheck.txt</v>
      </c>
      <c r="AE22" s="157" t="str">
        <f t="shared" si="8"/>
        <v>start /low /b %USERPROFILE%\Documents\GitHub\eaglep3\Utilities\DownloadLogsFromS3.py --loco 4027 --day 2017-02-21</v>
      </c>
      <c r="AF22" s="1"/>
    </row>
    <row r="23" spans="1:32" x14ac:dyDescent="0.25">
      <c r="A23" s="32">
        <v>42787.222546296296</v>
      </c>
      <c r="B23" s="30" t="s">
        <v>324</v>
      </c>
      <c r="C23" s="30" t="s">
        <v>458</v>
      </c>
      <c r="D23" s="30" t="s">
        <v>49</v>
      </c>
      <c r="E23" s="30" t="s">
        <v>188</v>
      </c>
      <c r="F23" s="43">
        <v>0</v>
      </c>
      <c r="G23" s="43">
        <v>33</v>
      </c>
      <c r="H23" s="43">
        <v>123</v>
      </c>
      <c r="I23" s="43">
        <v>109</v>
      </c>
      <c r="J23" s="30" t="s">
        <v>189</v>
      </c>
      <c r="K23" s="43">
        <v>1</v>
      </c>
      <c r="L23" s="143" t="s">
        <v>51</v>
      </c>
      <c r="M23" s="144">
        <f t="shared" si="0"/>
        <v>57.024000000000001</v>
      </c>
      <c r="N23" s="145" t="str">
        <f>VLOOKUP(C23,'Trips&amp;Operators'!$C$1:$G$99999,5,FALSE)</f>
        <v>MAELZER KURT</v>
      </c>
      <c r="O23" s="171" t="s">
        <v>340</v>
      </c>
      <c r="P23" s="146" t="s">
        <v>454</v>
      </c>
      <c r="Q23" s="30"/>
      <c r="R23" s="89" t="str">
        <f>VLOOKUP(C23,'Train Runs'!$A$13:$AE$9940,31,0)</f>
        <v>aws s3 cp s3://rtdc.mdm.uploadarchive.raw/RTDC4052/ "%USERPROFILE%\AppData\Local\Temp\OnboardLogs"\RTDC4052\2017-02-21 --exclude "*" --recursive --include "*20170221*" &amp; "%USERPROFILE%\Documents\GitHub\mrs-test-scripts\Headless Mode &amp; Sideloading\WalkAndUnGZ.bat" "%USERPROFILE%\AppData\Local\Temp\OnboardLogs"\RTDC4052\2017-02-21 &amp; aws s3 cp s3://rtdc.mdm.uploadarchive.raw/RTDC4052/ "%USERPROFILE%\AppData\Local\Temp\OnboardLogs"\RTDC4052\2017-02-22 --exclude "*" --recursive --include "*20170222*" &amp; "%USERPROFILE%\Documents\GitHub\mrs-test-scripts\Headless Mode &amp; Sideloading\WalkAndUnGZ.bat" "%USERPROFILE%\AppData\Local\Temp\OnboardLogs"\RTDC4052\2017-02-22</v>
      </c>
      <c r="S23" s="92" t="str">
        <f>VLOOKUP(C23,'Train Runs'!$A$13:$AE$9940,22,0)</f>
        <v>https://d0f6bd738d7f1b3e5a7ca70fe4ff75f0.us-east-1.aws.found.io/app/kibana#/discover/Steve-Slow-Train-Analysis-(2080s-and-2083s)?_g=(refreshInterval:(display:Off,pause:!f,section:0,value:0),time:(from:'2017-02-21T03:30:03-0700',mode:absolute,to:'2017-02-21T06:20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3" s="94" t="str">
        <f t="shared" si="1"/>
        <v>"C:\Program Files (x86)\AstroGrep\AstroGrep.exe" /spath="%USERPROFILE%\AppData\Local\Temp\OnboardLogs" /stypes="*4052*201702211*" /stext=" 12:.+((SYSTEM_STATE.+slice.+state.+changed )|(ment ac)|(multiple cpu faults)|(system.+state.+changed )|(\[timeout)|(PRM\|1\|D)|(kpr)|(kdp)|(\|lc)|(penalty))" /e /r /s</v>
      </c>
      <c r="U23" s="9" t="str">
        <f t="shared" si="2"/>
        <v>4052</v>
      </c>
      <c r="V23" s="32">
        <f t="shared" si="3"/>
        <v>42787.51421296296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{"issue":{"subject":"Banner w/o braking","project_id":79,"tracker_id":40,"status_id":1,"priority_id":2,"assigned_to_id":23,"start_date":"2017-02-21","description":"","custom_fields":[{"id":1,"name":"Subdivision","value":"EC"},{"id":4,"name":"Milepost","value":"0.0001"},{"id":17,"name":"Train ID","value":"104-21"},{"id":16,"name":"Locomotive ID","value":"4052"},{"id":130,"name":"Impact","value":""},{"id":150,"name":"Time of Event (Mountain Time)","value":"05:20:28"},{"id":151,"name":"Denver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"%USERPROFILE%\AppData\Local\Temp\OnboardLogs"\RTDC4052\*4052*201702211*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"%USERPROFILE%\AppData\Local\Temp\OnboardLogs"\RTDC4052\*4052*201702211* &gt;&gt; 2017-02-21-SliceDisagreementCheck.txt</v>
      </c>
      <c r="AE23" s="157" t="str">
        <f t="shared" si="8"/>
        <v>start /low /b %USERPROFILE%\Documents\GitHub\eaglep3\Utilities\DownloadLogsFromS3.py --loco 4052 --day 2017-02-21</v>
      </c>
      <c r="AF23" s="1"/>
    </row>
    <row r="24" spans="1:32" x14ac:dyDescent="0.25">
      <c r="A24" s="32">
        <v>42787.264953703707</v>
      </c>
      <c r="B24" s="30" t="s">
        <v>219</v>
      </c>
      <c r="C24" s="30" t="s">
        <v>459</v>
      </c>
      <c r="D24" s="30" t="s">
        <v>49</v>
      </c>
      <c r="E24" s="30" t="s">
        <v>188</v>
      </c>
      <c r="F24" s="43">
        <v>0</v>
      </c>
      <c r="G24" s="43">
        <v>51</v>
      </c>
      <c r="H24" s="43">
        <v>181</v>
      </c>
      <c r="I24" s="43">
        <v>134</v>
      </c>
      <c r="J24" s="30" t="s">
        <v>189</v>
      </c>
      <c r="K24" s="43">
        <v>1</v>
      </c>
      <c r="L24" s="143" t="s">
        <v>51</v>
      </c>
      <c r="M24" s="144">
        <f t="shared" si="0"/>
        <v>70.224000000000004</v>
      </c>
      <c r="N24" s="145" t="str">
        <f>VLOOKUP(C24,'Trips&amp;Operators'!$C$1:$G$99999,5,FALSE)</f>
        <v>ACKERMAN JARED</v>
      </c>
      <c r="O24" s="171" t="s">
        <v>340</v>
      </c>
      <c r="P24" s="146" t="s">
        <v>454</v>
      </c>
      <c r="Q24" s="30"/>
      <c r="R24" s="89" t="str">
        <f>VLOOKUP(C24,'Train Runs'!$A$13:$AE$9940,31,0)</f>
        <v>aws s3 cp s3://rtdc.mdm.uploadarchive.raw/RTDC4028/ "%USERPROFILE%\AppData\Local\Temp\OnboardLogs"\RTDC4028\2017-02-21 --exclude "*" --recursive --include "*20170221*" &amp; "%USERPROFILE%\Documents\GitHub\mrs-test-scripts\Headless Mode &amp; Sideloading\WalkAndUnGZ.bat" "%USERPROFILE%\AppData\Local\Temp\OnboardLogs"\RTDC4028\2017-02-21 &amp; aws s3 cp s3://rtdc.mdm.uploadarchive.raw/RTDC4028/ "%USERPROFILE%\AppData\Local\Temp\OnboardLogs"\RTDC4028\2017-02-22 --exclude "*" --recursive --include "*20170222*" &amp; "%USERPROFILE%\Documents\GitHub\mrs-test-scripts\Headless Mode &amp; Sideloading\WalkAndUnGZ.bat" "%USERPROFILE%\AppData\Local\Temp\OnboardLogs"\RTDC4028\2017-02-22</v>
      </c>
      <c r="S24" s="92" t="str">
        <f>VLOOKUP(C24,'Train Runs'!$A$13:$AE$9940,22,0)</f>
        <v>https://d0f6bd738d7f1b3e5a7ca70fe4ff75f0.us-east-1.aws.found.io/app/kibana#/discover/Steve-Slow-Train-Analysis-(2080s-and-2083s)?_g=(refreshInterval:(display:Off,pause:!f,section:0,value:0),time:(from:'2017-02-21T04:32:22-0700',mode:absolute,to:'2017-02-21T07:21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4" s="94" t="str">
        <f t="shared" si="1"/>
        <v>"C:\Program Files (x86)\AstroGrep\AstroGrep.exe" /spath="%USERPROFILE%\AppData\Local\Temp\OnboardLogs" /stypes="*4028*201702211*" /stext=" 13:.+((SYSTEM_STATE.+slice.+state.+changed )|(ment ac)|(multiple cpu faults)|(system.+state.+changed )|(\[timeout)|(PRM\|1\|D)|(kpr)|(kdp)|(\|lc)|(penalty))" /e /r /s</v>
      </c>
      <c r="U24" s="9" t="str">
        <f t="shared" si="2"/>
        <v>4028</v>
      </c>
      <c r="V24" s="32">
        <f t="shared" si="3"/>
        <v>42787.556620370371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{"issue":{"subject":"Banner w/o braking","project_id":79,"tracker_id":40,"status_id":1,"priority_id":2,"assigned_to_id":23,"start_date":"2017-02-21","description":"","custom_fields":[{"id":1,"name":"Subdivision","value":"EC"},{"id":4,"name":"Milepost","value":"0.0001"},{"id":17,"name":"Train ID","value":"110-21"},{"id":16,"name":"Locomotive ID","value":"4028"},{"id":130,"name":"Impact","value":""},{"id":150,"name":"Time of Event (Mountain Time)","value":"06:21:32"},{"id":151,"name":"Denver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7"/>
        <v>grep -hSE -A400 "Enforcement Action" "%USERPROFILE%\AppData\Local\Temp\OnboardLogs"\RTDC4028\*4028*201702211*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"%USERPROFILE%\AppData\Local\Temp\OnboardLogs"\RTDC4028\*4028*201702211* &gt;&gt; 2017-02-21-SliceDisagreementCheck.txt</v>
      </c>
      <c r="AE24" s="157" t="str">
        <f t="shared" si="8"/>
        <v>start /low /b %USERPROFILE%\Documents\GitHub\eaglep3\Utilities\DownloadLogsFromS3.py --loco 4028 --day 2017-02-21</v>
      </c>
      <c r="AF24" s="1"/>
    </row>
    <row r="25" spans="1:32" x14ac:dyDescent="0.25">
      <c r="A25" s="32">
        <v>42787.346979166665</v>
      </c>
      <c r="B25" s="30" t="s">
        <v>212</v>
      </c>
      <c r="C25" s="30" t="s">
        <v>464</v>
      </c>
      <c r="D25" s="30" t="s">
        <v>49</v>
      </c>
      <c r="E25" s="30" t="s">
        <v>188</v>
      </c>
      <c r="F25" s="43">
        <v>0</v>
      </c>
      <c r="G25" s="43">
        <v>70</v>
      </c>
      <c r="H25" s="43">
        <v>245</v>
      </c>
      <c r="I25" s="43">
        <v>192</v>
      </c>
      <c r="J25" s="30" t="s">
        <v>189</v>
      </c>
      <c r="K25" s="43">
        <v>1</v>
      </c>
      <c r="L25" s="143" t="s">
        <v>51</v>
      </c>
      <c r="M25" s="144">
        <f t="shared" si="0"/>
        <v>100.848</v>
      </c>
      <c r="N25" s="145" t="str">
        <f>VLOOKUP(C25,'Trips&amp;Operators'!$C$1:$G$99999,5,FALSE)</f>
        <v>COOLAHAN JOHN</v>
      </c>
      <c r="O25" s="171" t="s">
        <v>185</v>
      </c>
      <c r="P25" s="146"/>
      <c r="Q25" s="30"/>
      <c r="R25" s="89" t="str">
        <f>VLOOKUP(C25,'Train Runs'!$A$13:$AE$9940,31,0)</f>
        <v>aws s3 cp s3://rtdc.mdm.uploadarchive.raw/RTDC4026/ "%USERPROFILE%\AppData\Local\Temp\OnboardLogs"\RTDC4026\2017-02-21 --exclude "*" --recursive --include "*20170221*" &amp; "%USERPROFILE%\Documents\GitHub\mrs-test-scripts\Headless Mode &amp; Sideloading\WalkAndUnGZ.bat" "%USERPROFILE%\AppData\Local\Temp\OnboardLogs"\RTDC4026\2017-02-21 &amp; aws s3 cp s3://rtdc.mdm.uploadarchive.raw/RTDC4026/ "%USERPROFILE%\AppData\Local\Temp\OnboardLogs"\RTDC4026\2017-02-22 --exclude "*" --recursive --include "*20170222*" &amp; "%USERPROFILE%\Documents\GitHub\mrs-test-scripts\Headless Mode &amp; Sideloading\WalkAndUnGZ.bat" "%USERPROFILE%\AppData\Local\Temp\OnboardLogs"\RTDC4026\2017-02-22</v>
      </c>
      <c r="S25" s="92" t="str">
        <f>VLOOKUP(C25,'Train Runs'!$A$13:$AE$9940,22,0)</f>
        <v>https://d0f6bd738d7f1b3e5a7ca70fe4ff75f0.us-east-1.aws.found.io/app/kibana#/discover/Steve-Slow-Train-Analysis-(2080s-and-2083s)?_g=(refreshInterval:(display:Off,pause:!f,section:0,value:0),time:(from:'2017-02-21T06:35:12-0700',mode:absolute,to:'2017-02-21T09:19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5" s="94" t="str">
        <f t="shared" si="1"/>
        <v>"C:\Program Files (x86)\AstroGrep\AstroGrep.exe" /spath="%USERPROFILE%\AppData\Local\Temp\OnboardLogs" /stypes="*4026*201702211*" /stext=" 15:.+((SYSTEM_STATE.+slice.+state.+changed )|(ment ac)|(multiple cpu faults)|(system.+state.+changed )|(\[timeout)|(PRM\|1\|D)|(kpr)|(kdp)|(\|lc)|(penalty))" /e /r /s</v>
      </c>
      <c r="U25" s="9" t="str">
        <f t="shared" si="2"/>
        <v>4026</v>
      </c>
      <c r="V25" s="32">
        <f t="shared" si="3"/>
        <v>42787.638645833329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{"issue":{"subject":"","project_id":79,"tracker_id":40,"status_id":1,"priority_id":2,"assigned_to_id":23,"start_date":"2017-02-21","description":"","custom_fields":[{"id":1,"name":"Subdivision","value":"EC"},{"id":4,"name":"Milepost","value":"0.0001"},{"id":17,"name":"Train ID","value":"126-21"},{"id":16,"name":"Locomotive ID","value":"4026"},{"id":130,"name":"Impact","value":""},{"id":150,"name":"Time of Event (Mountain Time)","value":"08:19:39"},{"id":151,"name":"Denver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 t="shared" si="7"/>
        <v>grep -hSE -A400 "Enforcement Action" "%USERPROFILE%\AppData\Local\Temp\OnboardLogs"\RTDC4026\*4026*201702211*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"%USERPROFILE%\AppData\Local\Temp\OnboardLogs"\RTDC4026\*4026*201702211* &gt;&gt; 2017-02-21-SliceDisagreementCheck.txt</v>
      </c>
      <c r="AE25" s="157" t="str">
        <f t="shared" si="8"/>
        <v>start /low /b %USERPROFILE%\Documents\GitHub\eaglep3\Utilities\DownloadLogsFromS3.py --loco 4026 --day 2017-02-21</v>
      </c>
      <c r="AF25" s="1"/>
    </row>
    <row r="26" spans="1:32" x14ac:dyDescent="0.25">
      <c r="A26" s="32">
        <v>42787.503495370373</v>
      </c>
      <c r="B26" s="30" t="s">
        <v>455</v>
      </c>
      <c r="C26" s="30" t="s">
        <v>475</v>
      </c>
      <c r="D26" s="30" t="s">
        <v>49</v>
      </c>
      <c r="E26" s="30" t="s">
        <v>188</v>
      </c>
      <c r="F26" s="43">
        <v>0</v>
      </c>
      <c r="G26" s="43">
        <v>47</v>
      </c>
      <c r="H26" s="43">
        <v>165</v>
      </c>
      <c r="I26" s="43">
        <v>141</v>
      </c>
      <c r="J26" s="30" t="s">
        <v>189</v>
      </c>
      <c r="K26" s="43">
        <v>1</v>
      </c>
      <c r="L26" s="143" t="s">
        <v>51</v>
      </c>
      <c r="M26" s="144">
        <f t="shared" si="0"/>
        <v>73.92</v>
      </c>
      <c r="N26" s="145" t="str">
        <f>VLOOKUP(C26,'Trips&amp;Operators'!$C$1:$G$99999,5,FALSE)</f>
        <v>YORK EDGAR</v>
      </c>
      <c r="O26" s="171" t="s">
        <v>340</v>
      </c>
      <c r="P26" s="146" t="s">
        <v>454</v>
      </c>
      <c r="Q26" s="30"/>
      <c r="R26" s="89" t="str">
        <f>VLOOKUP(C26,'Train Runs'!$A$13:$AE$9940,31,0)</f>
        <v>aws s3 cp s3://rtdc.mdm.uploadarchive.raw/RTDC4005/ "%USERPROFILE%\AppData\Local\Temp\OnboardLogs"\RTDC4005\2017-02-21 --exclude "*" --recursive --include "*20170221*" &amp; "%USERPROFILE%\Documents\GitHub\mrs-test-scripts\Headless Mode &amp; Sideloading\WalkAndUnGZ.bat" "%USERPROFILE%\AppData\Local\Temp\OnboardLogs"\RTDC4005\2017-02-21 &amp; aws s3 cp s3://rtdc.mdm.uploadarchive.raw/RTDC4005/ "%USERPROFILE%\AppData\Local\Temp\OnboardLogs"\RTDC4005\2017-02-22 --exclude "*" --recursive --include "*20170222*" &amp; "%USERPROFILE%\Documents\GitHub\mrs-test-scripts\Headless Mode &amp; Sideloading\WalkAndUnGZ.bat" "%USERPROFILE%\AppData\Local\Temp\OnboardLogs"\RTDC4005\2017-02-22</v>
      </c>
      <c r="S26" s="92" t="str">
        <f>VLOOKUP(C26,'Train Runs'!$A$13:$AE$9940,22,0)</f>
        <v>https://d0f6bd738d7f1b3e5a7ca70fe4ff75f0.us-east-1.aws.found.io/app/kibana#/discover/Steve-Slow-Train-Analysis-(2080s-and-2083s)?_g=(refreshInterval:(display:Off,pause:!f,section:0,value:0),time:(from:'2017-02-21T10:13:52-0700',mode:absolute,to:'2017-02-21T13:05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6" s="94" t="str">
        <f t="shared" si="1"/>
        <v>"C:\Program Files (x86)\AstroGrep\AstroGrep.exe" /spath="%USERPROFILE%\AppData\Local\Temp\OnboardLogs" /stypes="*4005*201702211*" /stext=" 19:.+((SYSTEM_STATE.+slice.+state.+changed )|(ment ac)|(multiple cpu faults)|(system.+state.+changed )|(\[timeout)|(PRM\|1\|D)|(kpr)|(kdp)|(\|lc)|(penalty))" /e /r /s</v>
      </c>
      <c r="U26" s="9" t="str">
        <f t="shared" si="2"/>
        <v>4005</v>
      </c>
      <c r="V26" s="32">
        <f t="shared" si="3"/>
        <v>42787.795162037037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{"issue":{"subject":"Banner w/o braking","project_id":79,"tracker_id":40,"status_id":1,"priority_id":2,"assigned_to_id":23,"start_date":"2017-02-21","description":"","custom_fields":[{"id":1,"name":"Subdivision","value":"EC"},{"id":4,"name":"Milepost","value":"0.0001"},{"id":17,"name":"Train ID","value":"156-21"},{"id":16,"name":"Locomotive ID","value":"4005"},{"id":130,"name":"Impact","value":""},{"id":150,"name":"Time of Event (Mountain Time)","value":"12:05:02"},{"id":151,"name":"Denver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"%USERPROFILE%\AppData\Local\Temp\OnboardLogs"\RTDC4005\*4005*201702211*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"%USERPROFILE%\AppData\Local\Temp\OnboardLogs"\RTDC4005\*4005*201702211* &gt;&gt; 2017-02-21-SliceDisagreementCheck.txt</v>
      </c>
      <c r="AE26" s="157" t="str">
        <f t="shared" si="8"/>
        <v>start /low /b %USERPROFILE%\Documents\GitHub\eaglep3\Utilities\DownloadLogsFromS3.py --loco 4005 --day 2017-02-21</v>
      </c>
      <c r="AF26" s="1"/>
    </row>
    <row r="27" spans="1:32" x14ac:dyDescent="0.25">
      <c r="A27" s="32">
        <v>42788.025567129633</v>
      </c>
      <c r="B27" s="30" t="s">
        <v>212</v>
      </c>
      <c r="C27" s="30" t="s">
        <v>496</v>
      </c>
      <c r="D27" s="30" t="s">
        <v>49</v>
      </c>
      <c r="E27" s="30" t="s">
        <v>188</v>
      </c>
      <c r="F27" s="43">
        <v>0</v>
      </c>
      <c r="G27" s="43">
        <v>60</v>
      </c>
      <c r="H27" s="43">
        <v>192</v>
      </c>
      <c r="I27" s="43">
        <v>149</v>
      </c>
      <c r="J27" s="30" t="s">
        <v>189</v>
      </c>
      <c r="K27" s="43">
        <v>1</v>
      </c>
      <c r="L27" s="143" t="s">
        <v>51</v>
      </c>
      <c r="M27" s="144">
        <f t="shared" si="0"/>
        <v>78.144000000000005</v>
      </c>
      <c r="N27" s="145" t="str">
        <f>VLOOKUP(C27,'Trips&amp;Operators'!$C$1:$G$99999,5,FALSE)</f>
        <v>CHANDLER KELVIN</v>
      </c>
      <c r="O27" s="171" t="s">
        <v>185</v>
      </c>
      <c r="P27" s="146"/>
      <c r="Q27" s="30"/>
      <c r="R27" s="89" t="str">
        <f>VLOOKUP(C27,'Train Runs'!$A$13:$AE$9940,31,0)</f>
        <v>aws s3 cp s3://rtdc.mdm.uploadarchive.raw/RTDC4026/ "%USERPROFILE%\AppData\Local\Temp\OnboardLogs"\RTDC4026\2017-02-21 --exclude "*" --recursive --include "*20170221*" &amp; "%USERPROFILE%\Documents\GitHub\mrs-test-scripts\Headless Mode &amp; Sideloading\WalkAndUnGZ.bat" "%USERPROFILE%\AppData\Local\Temp\OnboardLogs"\RTDC4026\2017-02-21 &amp; aws s3 cp s3://rtdc.mdm.uploadarchive.raw/RTDC4026/ "%USERPROFILE%\AppData\Local\Temp\OnboardLogs"\RTDC4026\2017-02-22 --exclude "*" --recursive --include "*20170222*" &amp; "%USERPROFILE%\Documents\GitHub\mrs-test-scripts\Headless Mode &amp; Sideloading\WalkAndUnGZ.bat" "%USERPROFILE%\AppData\Local\Temp\OnboardLogs"\RTDC4026\2017-02-22</v>
      </c>
      <c r="S27" s="92" t="str">
        <f>VLOOKUP(C27,'Train Runs'!$A$13:$AE$9940,22,0)</f>
        <v>https://d0f6bd738d7f1b3e5a7ca70fe4ff75f0.us-east-1.aws.found.io/app/kibana#/discover/Steve-Slow-Train-Analysis-(2080s-and-2083s)?_g=(refreshInterval:(display:Off,pause:!f,section:0,value:0),time:(from:'2017-02-21T22:53:44-0700',mode:absolute,to:'2017-02-22T01:36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7" s="94" t="str">
        <f t="shared" si="1"/>
        <v>"C:\Program Files (x86)\AstroGrep\AstroGrep.exe" /spath="%USERPROFILE%\AppData\Local\Temp\OnboardLogs" /stypes="*4026*201702220*" /stext=" 07:.+((SYSTEM_STATE.+slice.+state.+changed )|(ment ac)|(multiple cpu faults)|(system.+state.+changed )|(\[timeout)|(PRM\|1\|D)|(kpr)|(kdp)|(\|lc)|(penalty))" /e /r /s</v>
      </c>
      <c r="U27" s="9" t="str">
        <f t="shared" si="2"/>
        <v>4026</v>
      </c>
      <c r="V27" s="32">
        <f t="shared" si="3"/>
        <v>42788.317233796297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{"issue":{"subject":"","project_id":79,"tracker_id":40,"status_id":1,"priority_id":2,"assigned_to_id":23,"start_date":"2017-02-22","description":"","custom_fields":[{"id":1,"name":"Subdivision","value":"EC"},{"id":4,"name":"Milepost","value":"0.0001"},{"id":17,"name":"Train ID","value":"238-21"},{"id":16,"name":"Locomotive ID","value":"4026"},{"id":130,"name":"Impact","value":""},{"id":150,"name":"Time of Event (Mountain Time)","value":"00:36:49"},{"id":151,"name":"Denver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"%USERPROFILE%\AppData\Local\Temp\OnboardLogs"\RTDC4026\*4026*201702220*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"%USERPROFILE%\AppData\Local\Temp\OnboardLogs"\RTDC4026\*4026*201702220* &gt;&gt; 2017-02-21-SliceDisagreementCheck.txt</v>
      </c>
      <c r="AE27" s="157" t="str">
        <f t="shared" si="8"/>
        <v>start /low /b %USERPROFILE%\Documents\GitHub\eaglep3\Utilities\DownloadLogsFromS3.py --loco 4026 --day 2017-02-22</v>
      </c>
      <c r="AF27" s="1"/>
    </row>
    <row r="28" spans="1:32" x14ac:dyDescent="0.25">
      <c r="A28" s="32">
        <v>42787.494166666664</v>
      </c>
      <c r="B28" s="30" t="s">
        <v>473</v>
      </c>
      <c r="C28" s="30" t="s">
        <v>474</v>
      </c>
      <c r="D28" s="30" t="s">
        <v>49</v>
      </c>
      <c r="E28" s="30" t="s">
        <v>188</v>
      </c>
      <c r="F28" s="43">
        <v>0</v>
      </c>
      <c r="G28" s="43">
        <v>58</v>
      </c>
      <c r="H28" s="43">
        <v>233263</v>
      </c>
      <c r="I28" s="43">
        <v>233324</v>
      </c>
      <c r="J28" s="30" t="s">
        <v>189</v>
      </c>
      <c r="K28" s="43">
        <v>233491</v>
      </c>
      <c r="L28" s="143" t="s">
        <v>50</v>
      </c>
      <c r="M28" s="144">
        <f t="shared" si="0"/>
        <v>88.176000000000002</v>
      </c>
      <c r="N28" s="145" t="str">
        <f>VLOOKUP(C28,'Trips&amp;Operators'!$C$1:$G$99999,5,FALSE)</f>
        <v>MOSES BRADLEY</v>
      </c>
      <c r="O28" s="171" t="s">
        <v>185</v>
      </c>
      <c r="P28" s="146"/>
      <c r="Q28" s="30"/>
      <c r="R28" s="89" t="str">
        <f>VLOOKUP(C28,'Train Runs'!$A$13:$AE$9940,31,0)</f>
        <v>aws s3 cp s3://rtdc.mdm.uploadarchive.raw/RTDC4051/ "%USERPROFILE%\AppData\Local\Temp\OnboardLogs"\RTDC4051\2017-02-21 --exclude "*" --recursive --include "*20170221*" &amp; "%USERPROFILE%\Documents\GitHub\mrs-test-scripts\Headless Mode &amp; Sideloading\WalkAndUnGZ.bat" "%USERPROFILE%\AppData\Local\Temp\OnboardLogs"\RTDC4051\2017-02-21 &amp; aws s3 cp s3://rtdc.mdm.uploadarchive.raw/RTDC4051/ "%USERPROFILE%\AppData\Local\Temp\OnboardLogs"\RTDC4051\2017-02-22 --exclude "*" --recursive --include "*20170222*" &amp; "%USERPROFILE%\Documents\GitHub\mrs-test-scripts\Headless Mode &amp; Sideloading\WalkAndUnGZ.bat" "%USERPROFILE%\AppData\Local\Temp\OnboardLogs"\RTDC4051\2017-02-22</v>
      </c>
      <c r="S28" s="92" t="str">
        <f>VLOOKUP(C28,'Train Runs'!$A$13:$AE$9940,22,0)</f>
        <v>https://d0f6bd738d7f1b3e5a7ca70fe4ff75f0.us-east-1.aws.found.io/app/kibana#/discover/Steve-Slow-Train-Analysis-(2080s-and-2083s)?_g=(refreshInterval:(display:Off,pause:!f,section:0,value:0),time:(from:'2017-02-21T10:09:12-0700',mode:absolute,to:'2017-02-21T12:51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8" s="94" t="str">
        <f t="shared" si="1"/>
        <v>"C:\Program Files (x86)\AstroGrep\AstroGrep.exe" /spath="%USERPROFILE%\AppData\Local\Temp\OnboardLogs" /stypes="*4051*201702211*" /stext=" 18:.+((SYSTEM_STATE.+slice.+state.+changed )|(ment ac)|(multiple cpu faults)|(system.+state.+changed )|(\[timeout)|(PRM\|1\|D)|(kpr)|(kdp)|(\|lc)|(penalty))" /e /r /s</v>
      </c>
      <c r="U28" s="9" t="str">
        <f t="shared" si="2"/>
        <v>4051</v>
      </c>
      <c r="V28" s="32">
        <f t="shared" si="3"/>
        <v>42787.785833333328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{"issue":{"subject":"","project_id":79,"tracker_id":40,"status_id":1,"priority_id":2,"assigned_to_id":23,"start_date":"2017-02-21","description":"","custom_fields":[{"id":1,"name":"Subdivision","value":"EC"},{"id":4,"name":"Milepost","value":"23.3491"},{"id":17,"name":"Train ID","value":"161-21"},{"id":16,"name":"Locomotive ID","value":"4051"},{"id":130,"name":"Impact","value":""},{"id":150,"name":"Time of Event (Mountain Time)","value":"11:51:36"},{"id":151,"name":"Denver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"%USERPROFILE%\AppData\Local\Temp\OnboardLogs"\RTDC4051\*4051*201702211*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"%USERPROFILE%\AppData\Local\Temp\OnboardLogs"\RTDC4051\*4051*201702211* &gt;&gt; 2017-02-21-SliceDisagreementCheck.txt</v>
      </c>
      <c r="AE28" s="157" t="str">
        <f t="shared" si="8"/>
        <v>start /low /b %USERPROFILE%\Documents\GitHub\eaglep3\Utilities\DownloadLogsFromS3.py --loco 4051 --day 2017-02-21</v>
      </c>
      <c r="AF28" s="1"/>
    </row>
    <row r="29" spans="1:32" x14ac:dyDescent="0.25">
      <c r="A29" s="32">
        <v>42787.517129629632</v>
      </c>
      <c r="B29" s="30" t="s">
        <v>465</v>
      </c>
      <c r="C29" s="30" t="s">
        <v>476</v>
      </c>
      <c r="D29" s="30" t="s">
        <v>49</v>
      </c>
      <c r="E29" s="30" t="s">
        <v>197</v>
      </c>
      <c r="F29" s="43">
        <v>320</v>
      </c>
      <c r="G29" s="43">
        <v>370</v>
      </c>
      <c r="H29" s="43">
        <v>8816</v>
      </c>
      <c r="I29" s="43">
        <v>10088</v>
      </c>
      <c r="J29" s="30" t="s">
        <v>198</v>
      </c>
      <c r="K29" s="43">
        <v>10714</v>
      </c>
      <c r="L29" s="143" t="s">
        <v>50</v>
      </c>
      <c r="M29" s="144">
        <f t="shared" si="0"/>
        <v>330.52800000000002</v>
      </c>
      <c r="N29" s="145" t="str">
        <f>VLOOKUP(C29,'Trips&amp;Operators'!$C$1:$G$99999,5,FALSE)</f>
        <v>BROWN JACOB</v>
      </c>
      <c r="O29" s="171" t="s">
        <v>185</v>
      </c>
      <c r="P29" s="146" t="s">
        <v>378</v>
      </c>
      <c r="Q29" s="30"/>
      <c r="R29" s="89" t="str">
        <f>VLOOKUP(C29,'Train Runs'!$A$13:$AE$9940,31,0)</f>
        <v>aws s3 cp s3://rtdc.mdm.uploadarchive.raw/RTDC4009/ "%USERPROFILE%\AppData\Local\Temp\OnboardLogs"\RTDC4009\2017-02-21 --exclude "*" --recursive --include "*20170221*" &amp; "%USERPROFILE%\Documents\GitHub\mrs-test-scripts\Headless Mode &amp; Sideloading\WalkAndUnGZ.bat" "%USERPROFILE%\AppData\Local\Temp\OnboardLogs"\RTDC4009\2017-02-21 &amp; aws s3 cp s3://rtdc.mdm.uploadarchive.raw/RTDC4009/ "%USERPROFILE%\AppData\Local\Temp\OnboardLogs"\RTDC4009\2017-02-22 --exclude "*" --recursive --include "*20170222*" &amp; "%USERPROFILE%\Documents\GitHub\mrs-test-scripts\Headless Mode &amp; Sideloading\WalkAndUnGZ.bat" "%USERPROFILE%\AppData\Local\Temp\OnboardLogs"\RTDC4009\2017-02-22</v>
      </c>
      <c r="S29" s="92" t="str">
        <f>VLOOKUP(C29,'Train Runs'!$A$13:$AE$9940,22,0)</f>
        <v>https://d0f6bd738d7f1b3e5a7ca70fe4ff75f0.us-east-1.aws.found.io/app/kibana#/discover/Steve-Slow-Train-Analysis-(2080s-and-2083s)?_g=(refreshInterval:(display:Off,pause:!f,section:0,value:0),time:(from:'2017-02-21T11:06:24-0700',mode:absolute,to:'2017-02-21T13:38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9" s="94" t="str">
        <f t="shared" si="1"/>
        <v>"C:\Program Files (x86)\AstroGrep\AstroGrep.exe" /spath="%USERPROFILE%\AppData\Local\Temp\OnboardLogs" /stypes="*4009*201702211*" /stext=" 19:.+((SYSTEM_STATE.+slice.+state.+changed )|(ment ac)|(multiple cpu faults)|(system.+state.+changed )|(\[timeout)|(PRM\|1\|D)|(kpr)|(kdp)|(\|lc)|(penalty))" /e /r /s</v>
      </c>
      <c r="U29" s="9" t="str">
        <f t="shared" si="2"/>
        <v>4009</v>
      </c>
      <c r="V29" s="32">
        <f t="shared" si="3"/>
        <v>42787.808796296296</v>
      </c>
      <c r="W29" s="46" t="str">
        <f t="shared" si="4"/>
        <v>NW</v>
      </c>
      <c r="X29" s="46" t="str">
        <f t="shared" si="5"/>
        <v>KEEP</v>
      </c>
      <c r="Y29" s="108" t="str">
        <f t="shared" si="6"/>
        <v>echo {"issue":{"subject":"Early arrival","project_id":79,"tracker_id":40,"status_id":1,"priority_id":2,"assigned_to_id":23,"start_date":"2017-02-21","description":"","custom_fields":[{"id":1,"name":"Subdivision","value":"NW"},{"id":4,"name":"Milepost","value":"1.0714"},{"id":17,"name":"Train ID","value":"819-21"},{"id":16,"name":"Locomotive ID","value":"4009"},{"id":130,"name":"Impact","value":""},{"id":150,"name":"Time of Event (Mountain Time)","value":"12:24:40"},{"id":151,"name":"Denver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7"/>
        <v>grep -hSE -A400 "Enforcement Action" "%USERPROFILE%\AppData\Local\Temp\OnboardLogs"\RTDC4009\*4009*201702211*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"%USERPROFILE%\AppData\Local\Temp\OnboardLogs"\RTDC4009\*4009*201702211* &gt;&gt; 2017-02-21-SliceDisagreementCheck.txt</v>
      </c>
      <c r="AE29" s="157" t="str">
        <f t="shared" si="8"/>
        <v>start /low /b %USERPROFILE%\Documents\GitHub\eaglep3\Utilities\DownloadLogsFromS3.py --loco 4009 --day 2017-02-21</v>
      </c>
      <c r="AF29" s="1"/>
    </row>
    <row r="30" spans="1:32" x14ac:dyDescent="0.25">
      <c r="A30" s="32">
        <v>42787.787974537037</v>
      </c>
      <c r="B30" s="30" t="s">
        <v>465</v>
      </c>
      <c r="C30" s="30" t="s">
        <v>486</v>
      </c>
      <c r="D30" s="30" t="s">
        <v>49</v>
      </c>
      <c r="E30" s="30" t="s">
        <v>197</v>
      </c>
      <c r="F30" s="43">
        <v>0</v>
      </c>
      <c r="G30" s="43">
        <v>283</v>
      </c>
      <c r="H30" s="43">
        <v>10479</v>
      </c>
      <c r="I30" s="43">
        <v>11151</v>
      </c>
      <c r="J30" s="30" t="s">
        <v>198</v>
      </c>
      <c r="K30" s="43">
        <v>10714</v>
      </c>
      <c r="L30" s="143" t="s">
        <v>50</v>
      </c>
      <c r="M30" s="144">
        <f t="shared" si="0"/>
        <v>-230.73599999999999</v>
      </c>
      <c r="N30" s="145" t="str">
        <f>VLOOKUP(C30,'Trips&amp;Operators'!$C$1:$G$99999,5,FALSE)</f>
        <v>HILLS DUSTIN</v>
      </c>
      <c r="O30" s="171" t="s">
        <v>185</v>
      </c>
      <c r="P30" s="146" t="s">
        <v>378</v>
      </c>
      <c r="Q30" s="30"/>
      <c r="R30" s="89" t="str">
        <f>VLOOKUP(C30,'Train Runs'!$A$13:$AE$9940,31,0)</f>
        <v>aws s3 cp s3://rtdc.mdm.uploadarchive.raw/RTDC4009/ "%USERPROFILE%\AppData\Local\Temp\OnboardLogs"\RTDC4009\2017-02-21 --exclude "*" --recursive --include "*20170221*" &amp; "%USERPROFILE%\Documents\GitHub\mrs-test-scripts\Headless Mode &amp; Sideloading\WalkAndUnGZ.bat" "%USERPROFILE%\AppData\Local\Temp\OnboardLogs"\RTDC4009\2017-02-21 &amp; aws s3 cp s3://rtdc.mdm.uploadarchive.raw/RTDC4009/ "%USERPROFILE%\AppData\Local\Temp\OnboardLogs"\RTDC4009\2017-02-22 --exclude "*" --recursive --include "*20170222*" &amp; "%USERPROFILE%\Documents\GitHub\mrs-test-scripts\Headless Mode &amp; Sideloading\WalkAndUnGZ.bat" "%USERPROFILE%\AppData\Local\Temp\OnboardLogs"\RTDC4009\2017-02-22</v>
      </c>
      <c r="S30" s="92" t="str">
        <f>VLOOKUP(C30,'Train Runs'!$A$13:$AE$9940,22,0)</f>
        <v>https://d0f6bd738d7f1b3e5a7ca70fe4ff75f0.us-east-1.aws.found.io/app/kibana#/discover/Steve-Slow-Train-Analysis-(2080s-and-2083s)?_g=(refreshInterval:(display:Off,pause:!f,section:0,value:0),time:(from:'2017-02-21T17:27:56-0700',mode:absolute,to:'2017-02-21T20:05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30" s="94" t="str">
        <f t="shared" si="1"/>
        <v>"C:\Program Files (x86)\AstroGrep\AstroGrep.exe" /spath="%USERPROFILE%\AppData\Local\Temp\OnboardLogs" /stypes="*4009*201702220*" /stext=" 01:.+((SYSTEM_STATE.+slice.+state.+changed )|(ment ac)|(multiple cpu faults)|(system.+state.+changed )|(\[timeout)|(PRM\|1\|D)|(kpr)|(kdp)|(\|lc)|(penalty))" /e /r /s</v>
      </c>
      <c r="U30" s="9" t="str">
        <f t="shared" si="2"/>
        <v>4009</v>
      </c>
      <c r="V30" s="32">
        <f t="shared" si="3"/>
        <v>42788.079641203702</v>
      </c>
      <c r="W30" s="46" t="str">
        <f t="shared" si="4"/>
        <v>NW</v>
      </c>
      <c r="X30" s="46" t="str">
        <f t="shared" si="5"/>
        <v>KEEP</v>
      </c>
      <c r="Y30" s="108" t="str">
        <f t="shared" si="6"/>
        <v>echo {"issue":{"subject":"Early arrival","project_id":79,"tracker_id":40,"status_id":1,"priority_id":2,"assigned_to_id":23,"start_date":"2017-02-21","description":"","custom_fields":[{"id":1,"name":"Subdivision","value":"NW"},{"id":4,"name":"Milepost","value":"1.0714"},{"id":17,"name":"Train ID","value":"839-21"},{"id":16,"name":"Locomotive ID","value":"4009"},{"id":130,"name":"Impact","value":""},{"id":150,"name":"Time of Event (Mountain Time)","value":"18:54:41"},{"id":151,"name":"Denver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7"/>
        <v>grep -hSE -A400 "Enforcement Action" "%USERPROFILE%\AppData\Local\Temp\OnboardLogs"\RTDC4009\*4009*201702220*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"%USERPROFILE%\AppData\Local\Temp\OnboardLogs"\RTDC4009\*4009*201702220* &gt;&gt; 2017-02-21-SliceDisagreementCheck.txt</v>
      </c>
      <c r="AE30" s="157" t="str">
        <f t="shared" si="8"/>
        <v>start /low /b %USERPROFILE%\Documents\GitHub\eaglep3\Utilities\DownloadLogsFromS3.py --loco 4009 --day 2017-02-22</v>
      </c>
      <c r="AF30" s="1"/>
    </row>
    <row r="31" spans="1:32" x14ac:dyDescent="0.25">
      <c r="A31" s="32">
        <v>42787.683055555557</v>
      </c>
      <c r="B31" s="30" t="s">
        <v>479</v>
      </c>
      <c r="C31" s="30" t="s">
        <v>480</v>
      </c>
      <c r="D31" s="30" t="s">
        <v>98</v>
      </c>
      <c r="E31" s="30" t="s">
        <v>338</v>
      </c>
      <c r="F31" s="43">
        <v>150</v>
      </c>
      <c r="G31" s="43">
        <v>204</v>
      </c>
      <c r="H31" s="43">
        <v>5383</v>
      </c>
      <c r="I31" s="43">
        <v>5650</v>
      </c>
      <c r="J31" s="30" t="s">
        <v>339</v>
      </c>
      <c r="K31" s="43">
        <v>574</v>
      </c>
      <c r="L31" s="143" t="s">
        <v>50</v>
      </c>
      <c r="M31" s="144">
        <f t="shared" si="0"/>
        <v>-2680.1280000000002</v>
      </c>
      <c r="N31" s="145" t="str">
        <f>VLOOKUP(C31,'Trips&amp;Operators'!$C$1:$G$99999,5,FALSE)</f>
        <v>BERLING GARY</v>
      </c>
      <c r="O31" s="171" t="s">
        <v>185</v>
      </c>
      <c r="P31" s="146"/>
      <c r="Q31" s="30"/>
      <c r="R31" s="89" t="str">
        <f>VLOOKUP(C31,'Train Runs'!$A$13:$AE$9940,31,0)</f>
        <v>aws s3 cp s3://rtdc.mdm.uploadarchive.raw/RTDC4031/ "%USERPROFILE%\AppData\Local\Temp\OnboardLogs"\RTDC4031\2017-02-21 --exclude "*" --recursive --include "*20170221*" &amp; "%USERPROFILE%\Documents\GitHub\mrs-test-scripts\Headless Mode &amp; Sideloading\WalkAndUnGZ.bat" "%USERPROFILE%\AppData\Local\Temp\OnboardLogs"\RTDC4031\2017-02-21 &amp; aws s3 cp s3://rtdc.mdm.uploadarchive.raw/RTDC4031/ "%USERPROFILE%\AppData\Local\Temp\OnboardLogs"\RTDC4031\2017-02-22 --exclude "*" --recursive --include "*20170222*" &amp; "%USERPROFILE%\Documents\GitHub\mrs-test-scripts\Headless Mode &amp; Sideloading\WalkAndUnGZ.bat" "%USERPROFILE%\AppData\Local\Temp\OnboardLogs"\RTDC4031\2017-02-22</v>
      </c>
      <c r="S31" s="92" t="str">
        <f>VLOOKUP(C31,'Train Runs'!$A$13:$AE$9940,22,0)</f>
        <v>https://d0f6bd738d7f1b3e5a7ca70fe4ff75f0.us-east-1.aws.found.io/app/kibana#/discover/Steve-Slow-Train-Analysis-(2080s-and-2083s)?_g=(refreshInterval:(display:Off,pause:!f,section:0,value:0),time:(from:'2017-02-21T15:09:11-0700',mode:absolute,to:'2017-02-21T17:38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1" s="94" t="str">
        <f t="shared" si="1"/>
        <v>"C:\Program Files (x86)\AstroGrep\AstroGrep.exe" /spath="%USERPROFILE%\AppData\Local\Temp\OnboardLogs" /stypes="*4031*201702212*" /stext=" 23:.+((SYSTEM_STATE.+slice.+state.+changed )|(ment ac)|(multiple cpu faults)|(system.+state.+changed )|(\[timeout)|(PRM\|1\|D)|(kpr)|(kdp)|(\|lc)|(penalty))" /e /r /s</v>
      </c>
      <c r="U31" s="9" t="str">
        <f t="shared" si="2"/>
        <v>4031</v>
      </c>
      <c r="V31" s="32">
        <f t="shared" si="3"/>
        <v>42787.974722222221</v>
      </c>
      <c r="W31" s="46" t="str">
        <f t="shared" si="4"/>
        <v>NW</v>
      </c>
      <c r="X31" s="46" t="str">
        <f t="shared" si="5"/>
        <v>KEEP</v>
      </c>
      <c r="Y31" s="108" t="str">
        <f t="shared" si="6"/>
        <v>echo {"issue":{"subject":"","project_id":79,"tracker_id":40,"status_id":1,"priority_id":2,"assigned_to_id":23,"start_date":"2017-02-21","description":"","custom_fields":[{"id":1,"name":"Subdivision","value":"NW"},{"id":4,"name":"Milepost","value":"0.0574"},{"id":17,"name":"Train ID","value":"829-21"},{"id":16,"name":"Locomotive ID","value":"4031"},{"id":130,"name":"Impact","value":""},{"id":150,"name":"Time of Event (Mountain Time)","value":"16:23:36"},{"id":151,"name":"Denver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 t="shared" si="7"/>
        <v>grep -hSE -A400 "Enforcement Action" "%USERPROFILE%\AppData\Local\Temp\OnboardLogs"\RTDC4031\*4031*201702212*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"%USERPROFILE%\AppData\Local\Temp\OnboardLogs"\RTDC4031\*4031*201702212* &gt;&gt; 2017-02-21-SliceDisagreementCheck.txt</v>
      </c>
      <c r="AE31" s="157" t="str">
        <f t="shared" si="8"/>
        <v>start /low /b %USERPROFILE%\Documents\GitHub\eaglep3\Utilities\DownloadLogsFromS3.py --loco 4031 --day 2017-02-21</v>
      </c>
      <c r="AF31" s="1"/>
    </row>
    <row r="32" spans="1:32" x14ac:dyDescent="0.25">
      <c r="A32" s="32">
        <v>42787.662476851852</v>
      </c>
      <c r="B32" s="30" t="s">
        <v>465</v>
      </c>
      <c r="C32" s="30" t="s">
        <v>478</v>
      </c>
      <c r="D32" s="30" t="s">
        <v>98</v>
      </c>
      <c r="E32" s="30" t="s">
        <v>338</v>
      </c>
      <c r="F32" s="43">
        <v>200</v>
      </c>
      <c r="G32" s="43">
        <v>250</v>
      </c>
      <c r="H32" s="43">
        <v>6350</v>
      </c>
      <c r="I32" s="43">
        <v>6707</v>
      </c>
      <c r="J32" s="30" t="s">
        <v>339</v>
      </c>
      <c r="K32" s="43">
        <v>5315</v>
      </c>
      <c r="L32" s="143" t="s">
        <v>50</v>
      </c>
      <c r="M32" s="144">
        <f t="shared" si="0"/>
        <v>-734.976</v>
      </c>
      <c r="N32" s="145" t="str">
        <f>VLOOKUP(C32,'Trips&amp;Operators'!$C$1:$G$99999,5,FALSE)</f>
        <v>HILLS DUSTIN</v>
      </c>
      <c r="O32" s="171" t="s">
        <v>185</v>
      </c>
      <c r="P32" s="146"/>
      <c r="Q32" s="30"/>
      <c r="R32" s="89" t="str">
        <f>VLOOKUP(C32,'Train Runs'!$A$13:$AE$9940,31,0)</f>
        <v>aws s3 cp s3://rtdc.mdm.uploadarchive.raw/RTDC4009/ "%USERPROFILE%\AppData\Local\Temp\OnboardLogs"\RTDC4009\2017-02-21 --exclude "*" --recursive --include "*20170221*" &amp; "%USERPROFILE%\Documents\GitHub\mrs-test-scripts\Headless Mode &amp; Sideloading\WalkAndUnGZ.bat" "%USERPROFILE%\AppData\Local\Temp\OnboardLogs"\RTDC4009\2017-02-21 &amp; aws s3 cp s3://rtdc.mdm.uploadarchive.raw/RTDC4009/ "%USERPROFILE%\AppData\Local\Temp\OnboardLogs"\RTDC4009\2017-02-22 --exclude "*" --recursive --include "*20170222*" &amp; "%USERPROFILE%\Documents\GitHub\mrs-test-scripts\Headless Mode &amp; Sideloading\WalkAndUnGZ.bat" "%USERPROFILE%\AppData\Local\Temp\OnboardLogs"\RTDC4009\2017-02-22</v>
      </c>
      <c r="S32" s="92" t="str">
        <f>VLOOKUP(C32,'Train Runs'!$A$13:$AE$9940,22,0)</f>
        <v>https://d0f6bd738d7f1b3e5a7ca70fe4ff75f0.us-east-1.aws.found.io/app/kibana#/discover/Steve-Slow-Train-Analysis-(2080s-and-2083s)?_g=(refreshInterval:(display:Off,pause:!f,section:0,value:0),time:(from:'2017-02-21T14:34:53-0700',mode:absolute,to:'2017-02-21T17:06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32" s="94" t="str">
        <f t="shared" si="1"/>
        <v>"C:\Program Files (x86)\AstroGrep\AstroGrep.exe" /spath="%USERPROFILE%\AppData\Local\Temp\OnboardLogs" /stypes="*4009*201702212*" /stext=" 22:.+((SYSTEM_STATE.+slice.+state.+changed )|(ment ac)|(multiple cpu faults)|(system.+state.+changed )|(\[timeout)|(PRM\|1\|D)|(kpr)|(kdp)|(\|lc)|(penalty))" /e /r /s</v>
      </c>
      <c r="U32" s="9" t="str">
        <f t="shared" si="2"/>
        <v>4009</v>
      </c>
      <c r="V32" s="32">
        <f t="shared" si="3"/>
        <v>42787.954143518517</v>
      </c>
      <c r="W32" s="46" t="str">
        <f t="shared" si="4"/>
        <v>NW</v>
      </c>
      <c r="X32" s="46" t="str">
        <f t="shared" si="5"/>
        <v>KEEP</v>
      </c>
      <c r="Y32" s="108" t="str">
        <f t="shared" si="6"/>
        <v>echo {"issue":{"subject":"","project_id":79,"tracker_id":40,"status_id":1,"priority_id":2,"assigned_to_id":23,"start_date":"2017-02-21","description":"","custom_fields":[{"id":1,"name":"Subdivision","value":"NW"},{"id":4,"name":"Milepost","value":"0.5315"},{"id":17,"name":"Train ID","value":"827-21"},{"id":16,"name":"Locomotive ID","value":"4009"},{"id":130,"name":"Impact","value":""},{"id":150,"name":"Time of Event (Mountain Time)","value":"15:53:58"},{"id":151,"name":"Denver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7"/>
        <v>grep -hSE -A400 "Enforcement Action" "%USERPROFILE%\AppData\Local\Temp\OnboardLogs"\RTDC4009\*4009*201702212*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"%USERPROFILE%\AppData\Local\Temp\OnboardLogs"\RTDC4009\*4009*201702212* &gt;&gt; 2017-02-21-SliceDisagreementCheck.txt</v>
      </c>
      <c r="AE32" s="157" t="str">
        <f t="shared" si="8"/>
        <v>start /low /b %USERPROFILE%\Documents\GitHub\eaglep3\Utilities\DownloadLogsFromS3.py --loco 4009 --day 2017-02-21</v>
      </c>
      <c r="AF32" s="1"/>
    </row>
    <row r="33" spans="1:32" x14ac:dyDescent="0.25">
      <c r="A33" s="32">
        <v>42787.518935185188</v>
      </c>
      <c r="B33" s="30" t="s">
        <v>465</v>
      </c>
      <c r="C33" s="30" t="s">
        <v>476</v>
      </c>
      <c r="D33" s="30" t="s">
        <v>49</v>
      </c>
      <c r="E33" s="30" t="s">
        <v>338</v>
      </c>
      <c r="F33" s="43">
        <v>300</v>
      </c>
      <c r="G33" s="43">
        <v>351</v>
      </c>
      <c r="H33" s="43">
        <v>20312</v>
      </c>
      <c r="I33" s="43">
        <v>21339</v>
      </c>
      <c r="J33" s="30" t="s">
        <v>339</v>
      </c>
      <c r="K33" s="43">
        <v>21299</v>
      </c>
      <c r="L33" s="143" t="s">
        <v>50</v>
      </c>
      <c r="M33" s="144">
        <f t="shared" si="0"/>
        <v>-21.12</v>
      </c>
      <c r="N33" s="145" t="str">
        <f>VLOOKUP(C33,'Trips&amp;Operators'!$C$1:$G$99999,5,FALSE)</f>
        <v>BROWN JACOB</v>
      </c>
      <c r="O33" s="171" t="s">
        <v>185</v>
      </c>
      <c r="P33" s="146"/>
      <c r="Q33" s="30"/>
      <c r="R33" s="89" t="str">
        <f>VLOOKUP(C33,'Train Runs'!$A$13:$AE$9940,31,0)</f>
        <v>aws s3 cp s3://rtdc.mdm.uploadarchive.raw/RTDC4009/ "%USERPROFILE%\AppData\Local\Temp\OnboardLogs"\RTDC4009\2017-02-21 --exclude "*" --recursive --include "*20170221*" &amp; "%USERPROFILE%\Documents\GitHub\mrs-test-scripts\Headless Mode &amp; Sideloading\WalkAndUnGZ.bat" "%USERPROFILE%\AppData\Local\Temp\OnboardLogs"\RTDC4009\2017-02-21 &amp; aws s3 cp s3://rtdc.mdm.uploadarchive.raw/RTDC4009/ "%USERPROFILE%\AppData\Local\Temp\OnboardLogs"\RTDC4009\2017-02-22 --exclude "*" --recursive --include "*20170222*" &amp; "%USERPROFILE%\Documents\GitHub\mrs-test-scripts\Headless Mode &amp; Sideloading\WalkAndUnGZ.bat" "%USERPROFILE%\AppData\Local\Temp\OnboardLogs"\RTDC4009\2017-02-22</v>
      </c>
      <c r="S33" s="92" t="str">
        <f>VLOOKUP(C33,'Train Runs'!$A$13:$AE$9940,22,0)</f>
        <v>https://d0f6bd738d7f1b3e5a7ca70fe4ff75f0.us-east-1.aws.found.io/app/kibana#/discover/Steve-Slow-Train-Analysis-(2080s-and-2083s)?_g=(refreshInterval:(display:Off,pause:!f,section:0,value:0),time:(from:'2017-02-21T11:06:24-0700',mode:absolute,to:'2017-02-21T13:38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33" s="94" t="str">
        <f t="shared" si="1"/>
        <v>"C:\Program Files (x86)\AstroGrep\AstroGrep.exe" /spath="%USERPROFILE%\AppData\Local\Temp\OnboardLogs" /stypes="*4009*201702211*" /stext=" 19:.+((SYSTEM_STATE.+slice.+state.+changed )|(ment ac)|(multiple cpu faults)|(system.+state.+changed )|(\[timeout)|(PRM\|1\|D)|(kpr)|(kdp)|(\|lc)|(penalty))" /e /r /s</v>
      </c>
      <c r="U33" s="9" t="str">
        <f t="shared" si="2"/>
        <v>4009</v>
      </c>
      <c r="V33" s="32">
        <f t="shared" si="3"/>
        <v>42787.810601851852</v>
      </c>
      <c r="W33" s="46" t="str">
        <f t="shared" si="4"/>
        <v>NW</v>
      </c>
      <c r="X33" s="46" t="str">
        <f t="shared" si="5"/>
        <v>KEEP</v>
      </c>
      <c r="Y33" s="108" t="str">
        <f t="shared" si="6"/>
        <v>echo {"issue":{"subject":"","project_id":79,"tracker_id":40,"status_id":1,"priority_id":2,"assigned_to_id":23,"start_date":"2017-02-21","description":"","custom_fields":[{"id":1,"name":"Subdivision","value":"NW"},{"id":4,"name":"Milepost","value":"2.1299"},{"id":17,"name":"Train ID","value":"819-21"},{"id":16,"name":"Locomotive ID","value":"4009"},{"id":130,"name":"Impact","value":""},{"id":150,"name":"Time of Event (Mountain Time)","value":"12:27:16"},{"id":151,"name":"Denver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7"/>
        <v>grep -hSE -A400 "Enforcement Action" "%USERPROFILE%\AppData\Local\Temp\OnboardLogs"\RTDC4009\*4009*201702211*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"%USERPROFILE%\AppData\Local\Temp\OnboardLogs"\RTDC4009\*4009*201702211* &gt;&gt; 2017-02-21-SliceDisagreementCheck.txt</v>
      </c>
      <c r="AE33" s="157" t="str">
        <f t="shared" si="8"/>
        <v>start /low /b %USERPROFILE%\Documents\GitHub\eaglep3\Utilities\DownloadLogsFromS3.py --loco 4009 --day 2017-02-21</v>
      </c>
      <c r="AF33" s="1"/>
    </row>
    <row r="34" spans="1:32" x14ac:dyDescent="0.25">
      <c r="A34" s="32">
        <v>42787.601261574076</v>
      </c>
      <c r="B34" s="30" t="s">
        <v>230</v>
      </c>
      <c r="C34" s="30" t="s">
        <v>477</v>
      </c>
      <c r="D34" s="30" t="s">
        <v>49</v>
      </c>
      <c r="E34" s="30" t="s">
        <v>338</v>
      </c>
      <c r="F34" s="43">
        <v>300</v>
      </c>
      <c r="G34" s="43">
        <v>352</v>
      </c>
      <c r="H34" s="43">
        <v>20746</v>
      </c>
      <c r="I34" s="43">
        <v>21716</v>
      </c>
      <c r="J34" s="30" t="s">
        <v>339</v>
      </c>
      <c r="K34" s="43">
        <v>21299</v>
      </c>
      <c r="L34" s="143" t="s">
        <v>50</v>
      </c>
      <c r="M34" s="144">
        <f t="shared" si="0"/>
        <v>-220.17599999999999</v>
      </c>
      <c r="N34" s="145" t="str">
        <f>VLOOKUP(C34,'Trips&amp;Operators'!$C$1:$G$99999,5,FALSE)</f>
        <v>LEVIN SCOTT</v>
      </c>
      <c r="O34" s="171" t="s">
        <v>185</v>
      </c>
      <c r="P34" s="146"/>
      <c r="Q34" s="30"/>
      <c r="R34" s="89" t="str">
        <f>VLOOKUP(C34,'Train Runs'!$A$13:$AE$9940,31,0)</f>
        <v>aws s3 cp s3://rtdc.mdm.uploadarchive.raw/RTDC4007/ "%USERPROFILE%\AppData\Local\Temp\OnboardLogs"\RTDC4007\2017-02-21 --exclude "*" --recursive --include "*20170221*" &amp; "%USERPROFILE%\Documents\GitHub\mrs-test-scripts\Headless Mode &amp; Sideloading\WalkAndUnGZ.bat" "%USERPROFILE%\AppData\Local\Temp\OnboardLogs"\RTDC4007\2017-02-21 &amp; aws s3 cp s3://rtdc.mdm.uploadarchive.raw/RTDC4007/ "%USERPROFILE%\AppData\Local\Temp\OnboardLogs"\RTDC4007\2017-02-22 --exclude "*" --recursive --include "*20170222*" &amp; "%USERPROFILE%\Documents\GitHub\mrs-test-scripts\Headless Mode &amp; Sideloading\WalkAndUnGZ.bat" "%USERPROFILE%\AppData\Local\Temp\OnboardLogs"\RTDC4007\2017-02-22</v>
      </c>
      <c r="S34" s="92" t="str">
        <f>VLOOKUP(C34,'Train Runs'!$A$13:$AE$9940,22,0)</f>
        <v>https://d0f6bd738d7f1b3e5a7ca70fe4ff75f0.us-east-1.aws.found.io/app/kibana#/discover/Steve-Slow-Train-Analysis-(2080s-and-2083s)?_g=(refreshInterval:(display:Off,pause:!f,section:0,value:0),time:(from:'2017-02-21T13:18:14-0700',mode:absolute,to:'2017-02-21T15:34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4" s="94" t="str">
        <f t="shared" si="1"/>
        <v>"C:\Program Files (x86)\AstroGrep\AstroGrep.exe" /spath="%USERPROFILE%\AppData\Local\Temp\OnboardLogs" /stypes="*4007*201702212*" /stext=" 21:.+((SYSTEM_STATE.+slice.+state.+changed )|(ment ac)|(multiple cpu faults)|(system.+state.+changed )|(\[timeout)|(PRM\|1\|D)|(kpr)|(kdp)|(\|lc)|(penalty))" /e /r /s</v>
      </c>
      <c r="U34" s="9" t="str">
        <f t="shared" si="2"/>
        <v>4007</v>
      </c>
      <c r="V34" s="32">
        <f t="shared" si="3"/>
        <v>42787.892928240741</v>
      </c>
      <c r="W34" s="46" t="str">
        <f t="shared" si="4"/>
        <v>NW</v>
      </c>
      <c r="X34" s="46" t="str">
        <f t="shared" si="5"/>
        <v>KEEP</v>
      </c>
      <c r="Y34" s="108" t="str">
        <f t="shared" si="6"/>
        <v>echo {"issue":{"subject":"","project_id":79,"tracker_id":40,"status_id":1,"priority_id":2,"assigned_to_id":23,"start_date":"2017-02-21","description":"","custom_fields":[{"id":1,"name":"Subdivision","value":"NW"},{"id":4,"name":"Milepost","value":"2.1299"},{"id":17,"name":"Train ID","value":"823-21"},{"id":16,"name":"Locomotive ID","value":"4007"},{"id":130,"name":"Impact","value":""},{"id":150,"name":"Time of Event (Mountain Time)","value":"14:25:49"},{"id":151,"name":"Denver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7"/>
        <v>grep -hSE -A400 "Enforcement Action" "%USERPROFILE%\AppData\Local\Temp\OnboardLogs"\RTDC4007\*4007*201702212*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"%USERPROFILE%\AppData\Local\Temp\OnboardLogs"\RTDC4007\*4007*201702212* &gt;&gt; 2017-02-21-SliceDisagreementCheck.txt</v>
      </c>
      <c r="AE34" s="157" t="str">
        <f t="shared" si="8"/>
        <v>start /low /b %USERPROFILE%\Documents\GitHub\eaglep3\Utilities\DownloadLogsFromS3.py --loco 4007 --day 2017-02-21</v>
      </c>
      <c r="AF34" s="1"/>
    </row>
    <row r="35" spans="1:32" x14ac:dyDescent="0.25">
      <c r="A35" s="32">
        <v>42787.729479166665</v>
      </c>
      <c r="B35" s="30" t="s">
        <v>479</v>
      </c>
      <c r="C35" s="30" t="s">
        <v>484</v>
      </c>
      <c r="D35" s="30" t="s">
        <v>49</v>
      </c>
      <c r="E35" s="30" t="s">
        <v>338</v>
      </c>
      <c r="F35" s="43">
        <v>400</v>
      </c>
      <c r="G35" s="43">
        <v>467</v>
      </c>
      <c r="H35" s="43">
        <v>46797</v>
      </c>
      <c r="I35" s="43">
        <v>48126</v>
      </c>
      <c r="J35" s="30" t="s">
        <v>339</v>
      </c>
      <c r="K35" s="43">
        <v>47810</v>
      </c>
      <c r="L35" s="143" t="s">
        <v>50</v>
      </c>
      <c r="M35" s="144">
        <f t="shared" si="0"/>
        <v>-166.84800000000001</v>
      </c>
      <c r="N35" s="145" t="str">
        <f>VLOOKUP(C35,'Trips&amp;Operators'!$C$1:$G$99999,5,FALSE)</f>
        <v>LEVIN SCOTT</v>
      </c>
      <c r="O35" s="171" t="s">
        <v>185</v>
      </c>
      <c r="P35" s="146"/>
      <c r="Q35" s="30"/>
      <c r="R35" s="89" t="str">
        <f>VLOOKUP(C35,'Train Runs'!$A$13:$AE$9940,31,0)</f>
        <v>aws s3 cp s3://rtdc.mdm.uploadarchive.raw/RTDC4031/ "%USERPROFILE%\AppData\Local\Temp\OnboardLogs"\RTDC4031\2017-02-21 --exclude "*" --recursive --include "*20170221*" &amp; "%USERPROFILE%\Documents\GitHub\mrs-test-scripts\Headless Mode &amp; Sideloading\WalkAndUnGZ.bat" "%USERPROFILE%\AppData\Local\Temp\OnboardLogs"\RTDC4031\2017-02-21 &amp; aws s3 cp s3://rtdc.mdm.uploadarchive.raw/RTDC4031/ "%USERPROFILE%\AppData\Local\Temp\OnboardLogs"\RTDC4031\2017-02-22 --exclude "*" --recursive --include "*20170222*" &amp; "%USERPROFILE%\Documents\GitHub\mrs-test-scripts\Headless Mode &amp; Sideloading\WalkAndUnGZ.bat" "%USERPROFILE%\AppData\Local\Temp\OnboardLogs"\RTDC4031\2017-02-22</v>
      </c>
      <c r="S35" s="92" t="str">
        <f>VLOOKUP(C35,'Train Runs'!$A$13:$AE$9940,22,0)</f>
        <v>https://d0f6bd738d7f1b3e5a7ca70fe4ff75f0.us-east-1.aws.found.io/app/kibana#/discover/Steve-Slow-Train-Analysis-(2080s-and-2083s)?_g=(refreshInterval:(display:Off,pause:!f,section:0,value:0),time:(from:'2017-02-21T16:16:04-0700',mode:absolute,to:'2017-02-21T18:35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5" s="94" t="str">
        <f t="shared" si="1"/>
        <v>"C:\Program Files (x86)\AstroGrep\AstroGrep.exe" /spath="%USERPROFILE%\AppData\Local\Temp\OnboardLogs" /stypes="*4031*201702220*" /stext=" 00:.+((SYSTEM_STATE.+slice.+state.+changed )|(ment ac)|(multiple cpu faults)|(system.+state.+changed )|(\[timeout)|(PRM\|1\|D)|(kpr)|(kdp)|(\|lc)|(penalty))" /e /r /s</v>
      </c>
      <c r="U35" s="9" t="str">
        <f t="shared" si="2"/>
        <v>4031</v>
      </c>
      <c r="V35" s="32">
        <f t="shared" si="3"/>
        <v>42788.021145833329</v>
      </c>
      <c r="W35" s="46" t="str">
        <f t="shared" si="4"/>
        <v>NW</v>
      </c>
      <c r="X35" s="46" t="str">
        <f t="shared" si="5"/>
        <v>KEEP</v>
      </c>
      <c r="Y35" s="108" t="str">
        <f t="shared" si="6"/>
        <v>echo {"issue":{"subject":"","project_id":79,"tracker_id":40,"status_id":1,"priority_id":2,"assigned_to_id":23,"start_date":"2017-02-21","description":"","custom_fields":[{"id":1,"name":"Subdivision","value":"NW"},{"id":4,"name":"Milepost","value":"4.781"},{"id":17,"name":"Train ID","value":"833-21"},{"id":16,"name":"Locomotive ID","value":"4031"},{"id":130,"name":"Impact","value":""},{"id":150,"name":"Time of Event (Mountain Time)","value":"17:30:27"},{"id":151,"name":"Denver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7"/>
        <v>grep -hSE -A400 "Enforcement Action" "%USERPROFILE%\AppData\Local\Temp\OnboardLogs"\RTDC4031\*4031*201702220*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"%USERPROFILE%\AppData\Local\Temp\OnboardLogs"\RTDC4031\*4031*201702220* &gt;&gt; 2017-02-21-SliceDisagreementCheck.txt</v>
      </c>
      <c r="AE35" s="157" t="str">
        <f t="shared" si="8"/>
        <v>start /low /b %USERPROFILE%\Documents\GitHub\eaglep3\Utilities\DownloadLogsFromS3.py --loco 4031 --day 2017-02-22</v>
      </c>
      <c r="AF35" s="1"/>
    </row>
    <row r="36" spans="1:32" x14ac:dyDescent="0.25">
      <c r="A36" s="32">
        <v>42787.724409722221</v>
      </c>
      <c r="B36" s="30" t="s">
        <v>468</v>
      </c>
      <c r="C36" s="30" t="s">
        <v>483</v>
      </c>
      <c r="D36" s="30" t="s">
        <v>49</v>
      </c>
      <c r="E36" s="30" t="s">
        <v>186</v>
      </c>
      <c r="F36" s="43">
        <v>0</v>
      </c>
      <c r="G36" s="43">
        <v>141</v>
      </c>
      <c r="H36" s="43">
        <v>5210</v>
      </c>
      <c r="I36" s="43">
        <v>5076</v>
      </c>
      <c r="J36" s="30" t="s">
        <v>187</v>
      </c>
      <c r="K36" s="43">
        <v>4790</v>
      </c>
      <c r="L36" s="143" t="s">
        <v>51</v>
      </c>
      <c r="M36" s="144">
        <f t="shared" si="0"/>
        <v>151.00800000000001</v>
      </c>
      <c r="N36" s="145" t="str">
        <f>VLOOKUP(C36,'Trips&amp;Operators'!$C$1:$G$99999,5,FALSE)</f>
        <v>HILLS DUSTIN</v>
      </c>
      <c r="O36" s="171" t="s">
        <v>185</v>
      </c>
      <c r="P36" s="146" t="s">
        <v>905</v>
      </c>
      <c r="Q36" s="30"/>
      <c r="R36" s="89" t="str">
        <f>VLOOKUP(C36,'Train Runs'!$A$13:$AE$9940,31,0)</f>
        <v>aws s3 cp s3://rtdc.mdm.uploadarchive.raw/RTDC4010/ "%USERPROFILE%\AppData\Local\Temp\OnboardLogs"\RTDC4010\2017-02-21 --exclude "*" --recursive --include "*20170221*" &amp; "%USERPROFILE%\Documents\GitHub\mrs-test-scripts\Headless Mode &amp; Sideloading\WalkAndUnGZ.bat" "%USERPROFILE%\AppData\Local\Temp\OnboardLogs"\RTDC4010\2017-02-21 &amp; aws s3 cp s3://rtdc.mdm.uploadarchive.raw/RTDC4010/ "%USERPROFILE%\AppData\Local\Temp\OnboardLogs"\RTDC4010\2017-02-22 --exclude "*" --recursive --include "*20170222*" &amp; "%USERPROFILE%\Documents\GitHub\mrs-test-scripts\Headless Mode &amp; Sideloading\WalkAndUnGZ.bat" "%USERPROFILE%\AppData\Local\Temp\OnboardLogs"\RTDC4010\2017-02-22</v>
      </c>
      <c r="S36" s="92" t="str">
        <f>VLOOKUP(C36,'Train Runs'!$A$13:$AE$9940,22,0)</f>
        <v>https://d0f6bd738d7f1b3e5a7ca70fe4ff75f0.us-east-1.aws.found.io/app/kibana#/discover/Steve-Slow-Train-Analysis-(2080s-and-2083s)?_g=(refreshInterval:(display:Off,pause:!f,section:0,value:0),time:(from:'2017-02-21T16:07:52-0700',mode:absolute,to:'2017-02-21T18:25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6" s="94" t="str">
        <f t="shared" si="1"/>
        <v>"C:\Program Files (x86)\AstroGrep\AstroGrep.exe" /spath="%USERPROFILE%\AppData\Local\Temp\OnboardLogs" /stypes="*4010*201702220*" /stext=" 00:.+((SYSTEM_STATE.+slice.+state.+changed )|(ment ac)|(multiple cpu faults)|(system.+state.+changed )|(\[timeout)|(PRM\|1\|D)|(kpr)|(kdp)|(\|lc)|(penalty))" /e /r /s</v>
      </c>
      <c r="U36" s="9" t="str">
        <f t="shared" si="2"/>
        <v>4010</v>
      </c>
      <c r="V36" s="32">
        <f t="shared" si="3"/>
        <v>42788.016076388885</v>
      </c>
      <c r="W36" s="46" t="str">
        <f t="shared" si="4"/>
        <v>NW</v>
      </c>
      <c r="X36" s="46" t="str">
        <f t="shared" si="5"/>
        <v>KEEP</v>
      </c>
      <c r="Y36" s="108" t="str">
        <f t="shared" si="6"/>
        <v>echo {"issue":{"subject":"DUS 28S STOP","project_id":79,"tracker_id":40,"status_id":1,"priority_id":2,"assigned_to_id":23,"start_date":"2017-02-21","description":"","custom_fields":[{"id":1,"name":"Subdivision","value":"NW"},{"id":4,"name":"Milepost","value":"0.479"},{"id":17,"name":"Train ID","value":"832-21"},{"id":16,"name":"Locomotive ID","value":"4010"},{"id":130,"name":"Impact","value":""},{"id":150,"name":"Time of Event (Mountain Time)","value":"17:23:09"},{"id":151,"name":"Denver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 t="shared" si="7"/>
        <v>grep -hSE -A400 "Enforcement Action" "%USERPROFILE%\AppData\Local\Temp\OnboardLogs"\RTDC4010\*4010*201702220*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"%USERPROFILE%\AppData\Local\Temp\OnboardLogs"\RTDC4010\*4010*201702220* &gt;&gt; 2017-02-21-SliceDisagreementCheck.txt</v>
      </c>
      <c r="AE36" s="157" t="str">
        <f t="shared" si="8"/>
        <v>start /low /b %USERPROFILE%\Documents\GitHub\eaglep3\Utilities\DownloadLogsFromS3.py --loco 4010 --day 2017-02-22</v>
      </c>
      <c r="AF36" s="1"/>
    </row>
    <row r="37" spans="1:32" x14ac:dyDescent="0.25">
      <c r="A37" s="32">
        <v>42787.371168981481</v>
      </c>
      <c r="B37" s="30" t="s">
        <v>468</v>
      </c>
      <c r="C37" s="30" t="s">
        <v>469</v>
      </c>
      <c r="D37" s="30" t="s">
        <v>49</v>
      </c>
      <c r="E37" s="30" t="s">
        <v>188</v>
      </c>
      <c r="F37" s="43">
        <v>0</v>
      </c>
      <c r="G37" s="43">
        <v>174</v>
      </c>
      <c r="H37" s="43">
        <v>1475</v>
      </c>
      <c r="I37" s="43">
        <v>1277</v>
      </c>
      <c r="J37" s="30" t="s">
        <v>189</v>
      </c>
      <c r="K37" s="43">
        <v>575</v>
      </c>
      <c r="L37" s="143" t="s">
        <v>51</v>
      </c>
      <c r="M37" s="144">
        <f t="shared" si="0"/>
        <v>370.65600000000001</v>
      </c>
      <c r="N37" s="145" t="str">
        <f>VLOOKUP(C37,'Trips&amp;Operators'!$C$1:$G$99999,5,FALSE)</f>
        <v>BROWN JACOB</v>
      </c>
      <c r="O37" s="171" t="s">
        <v>185</v>
      </c>
      <c r="P37" s="146"/>
      <c r="Q37" s="30"/>
      <c r="R37" s="89" t="str">
        <f>VLOOKUP(C37,'Train Runs'!$A$13:$AE$9940,31,0)</f>
        <v>aws s3 cp s3://rtdc.mdm.uploadarchive.raw/RTDC4010/ "%USERPROFILE%\AppData\Local\Temp\OnboardLogs"\RTDC4010\2017-02-21 --exclude "*" --recursive --include "*20170221*" &amp; "%USERPROFILE%\Documents\GitHub\mrs-test-scripts\Headless Mode &amp; Sideloading\WalkAndUnGZ.bat" "%USERPROFILE%\AppData\Local\Temp\OnboardLogs"\RTDC4010\2017-02-21 &amp; aws s3 cp s3://rtdc.mdm.uploadarchive.raw/RTDC4010/ "%USERPROFILE%\AppData\Local\Temp\OnboardLogs"\RTDC4010\2017-02-22 --exclude "*" --recursive --include "*20170222*" &amp; "%USERPROFILE%\Documents\GitHub\mrs-test-scripts\Headless Mode &amp; Sideloading\WalkAndUnGZ.bat" "%USERPROFILE%\AppData\Local\Temp\OnboardLogs"\RTDC4010\2017-02-22</v>
      </c>
      <c r="S37" s="92" t="str">
        <f>VLOOKUP(C37,'Train Runs'!$A$13:$AE$9940,22,0)</f>
        <v>https://d0f6bd738d7f1b3e5a7ca70fe4ff75f0.us-east-1.aws.found.io/app/kibana#/discover/Steve-Slow-Train-Analysis-(2080s-and-2083s)?_g=(refreshInterval:(display:Off,pause:!f,section:0,value:0),time:(from:'2017-02-21T07:35:43-0700',mode:absolute,to:'2017-02-21T09:54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7" s="94" t="str">
        <f t="shared" si="1"/>
        <v>"C:\Program Files (x86)\AstroGrep\AstroGrep.exe" /spath="%USERPROFILE%\AppData\Local\Temp\OnboardLogs" /stypes="*4010*201702211*" /stext=" 15:.+((SYSTEM_STATE.+slice.+state.+changed )|(ment ac)|(multiple cpu faults)|(system.+state.+changed )|(\[timeout)|(PRM\|1\|D)|(kpr)|(kdp)|(\|lc)|(penalty))" /e /r /s</v>
      </c>
      <c r="U37" s="9" t="str">
        <f t="shared" si="2"/>
        <v>4010</v>
      </c>
      <c r="V37" s="32">
        <f t="shared" si="3"/>
        <v>42787.662835648145</v>
      </c>
      <c r="W37" s="46" t="str">
        <f t="shared" si="4"/>
        <v>NW</v>
      </c>
      <c r="X37" s="46" t="str">
        <f t="shared" si="5"/>
        <v>KEEP</v>
      </c>
      <c r="Y37" s="108" t="str">
        <f t="shared" si="6"/>
        <v>echo {"issue":{"subject":"","project_id":79,"tracker_id":40,"status_id":1,"priority_id":2,"assigned_to_id":23,"start_date":"2017-02-21","description":"","custom_fields":[{"id":1,"name":"Subdivision","value":"NW"},{"id":4,"name":"Milepost","value":"0.0575"},{"id":17,"name":"Train ID","value":"812-21"},{"id":16,"name":"Locomotive ID","value":"4010"},{"id":130,"name":"Impact","value":""},{"id":150,"name":"Time of Event (Mountain Time)","value":"08:54:29"},{"id":151,"name":"Denver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 t="shared" si="7"/>
        <v>grep -hSE -A400 "Enforcement Action" "%USERPROFILE%\AppData\Local\Temp\OnboardLogs"\RTDC4010\*4010*201702211*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"%USERPROFILE%\AppData\Local\Temp\OnboardLogs"\RTDC4010\*4010*201702211* &gt;&gt; 2017-02-21-SliceDisagreementCheck.txt</v>
      </c>
      <c r="AE37" s="157" t="str">
        <f t="shared" si="8"/>
        <v>start /low /b %USERPROFILE%\Documents\GitHub\eaglep3\Utilities\DownloadLogsFromS3.py --loco 4010 --day 2017-02-21</v>
      </c>
      <c r="AF37" s="1"/>
    </row>
    <row r="38" spans="1:32" x14ac:dyDescent="0.25">
      <c r="A38" s="32">
        <v>42787.413356481484</v>
      </c>
      <c r="B38" s="30" t="s">
        <v>468</v>
      </c>
      <c r="C38" s="30" t="s">
        <v>470</v>
      </c>
      <c r="D38" s="30" t="s">
        <v>49</v>
      </c>
      <c r="E38" s="30" t="s">
        <v>188</v>
      </c>
      <c r="F38" s="43">
        <v>0</v>
      </c>
      <c r="G38" s="43">
        <v>72</v>
      </c>
      <c r="H38" s="43">
        <v>955</v>
      </c>
      <c r="I38" s="43">
        <v>894</v>
      </c>
      <c r="J38" s="30" t="s">
        <v>189</v>
      </c>
      <c r="K38" s="43">
        <v>575</v>
      </c>
      <c r="L38" s="143" t="s">
        <v>51</v>
      </c>
      <c r="M38" s="144">
        <f t="shared" si="0"/>
        <v>168.43199999999999</v>
      </c>
      <c r="N38" s="145" t="str">
        <f>VLOOKUP(C38,'Trips&amp;Operators'!$C$1:$G$99999,5,FALSE)</f>
        <v>BROWN JACOB</v>
      </c>
      <c r="O38" s="171" t="s">
        <v>185</v>
      </c>
      <c r="P38" s="146"/>
      <c r="Q38" s="30"/>
      <c r="R38" s="89" t="str">
        <f>VLOOKUP(C38,'Train Runs'!$A$13:$AE$9940,31,0)</f>
        <v>aws s3 cp s3://rtdc.mdm.uploadarchive.raw/RTDC4010/ "%USERPROFILE%\AppData\Local\Temp\OnboardLogs"\RTDC4010\2017-02-21 --exclude "*" --recursive --include "*20170221*" &amp; "%USERPROFILE%\Documents\GitHub\mrs-test-scripts\Headless Mode &amp; Sideloading\WalkAndUnGZ.bat" "%USERPROFILE%\AppData\Local\Temp\OnboardLogs"\RTDC4010\2017-02-21 &amp; aws s3 cp s3://rtdc.mdm.uploadarchive.raw/RTDC4010/ "%USERPROFILE%\AppData\Local\Temp\OnboardLogs"\RTDC4010\2017-02-22 --exclude "*" --recursive --include "*20170222*" &amp; "%USERPROFILE%\Documents\GitHub\mrs-test-scripts\Headless Mode &amp; Sideloading\WalkAndUnGZ.bat" "%USERPROFILE%\AppData\Local\Temp\OnboardLogs"\RTDC4010\2017-02-22</v>
      </c>
      <c r="S38" s="92" t="str">
        <f>VLOOKUP(C38,'Train Runs'!$A$13:$AE$9940,22,0)</f>
        <v>https://d0f6bd738d7f1b3e5a7ca70fe4ff75f0.us-east-1.aws.found.io/app/kibana#/discover/Steve-Slow-Train-Analysis-(2080s-and-2083s)?_g=(refreshInterval:(display:Off,pause:!f,section:0,value:0),time:(from:'2017-02-21T08:35:38-0700',mode:absolute,to:'2017-02-21T10:54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8" s="94" t="str">
        <f t="shared" si="1"/>
        <v>"C:\Program Files (x86)\AstroGrep\AstroGrep.exe" /spath="%USERPROFILE%\AppData\Local\Temp\OnboardLogs" /stypes="*4010*201702211*" /stext=" 16:.+((SYSTEM_STATE.+slice.+state.+changed )|(ment ac)|(multiple cpu faults)|(system.+state.+changed )|(\[timeout)|(PRM\|1\|D)|(kpr)|(kdp)|(\|lc)|(penalty))" /e /r /s</v>
      </c>
      <c r="U38" s="9" t="str">
        <f t="shared" si="2"/>
        <v>4010</v>
      </c>
      <c r="V38" s="32">
        <f t="shared" si="3"/>
        <v>42787.705023148148</v>
      </c>
      <c r="W38" s="46" t="str">
        <f t="shared" si="4"/>
        <v>NW</v>
      </c>
      <c r="X38" s="46" t="str">
        <f t="shared" si="5"/>
        <v>KEEP</v>
      </c>
      <c r="Y38" s="108" t="str">
        <f t="shared" si="6"/>
        <v>echo {"issue":{"subject":"","project_id":79,"tracker_id":40,"status_id":1,"priority_id":2,"assigned_to_id":23,"start_date":"2017-02-21","description":"","custom_fields":[{"id":1,"name":"Subdivision","value":"NW"},{"id":4,"name":"Milepost","value":"0.0575"},{"id":17,"name":"Train ID","value":"814-21"},{"id":16,"name":"Locomotive ID","value":"4010"},{"id":130,"name":"Impact","value":""},{"id":150,"name":"Time of Event (Mountain Time)","value":"09:55:14"},{"id":151,"name":"Denver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48"/>
      <c r="AA38" s="48"/>
      <c r="AB38" s="48"/>
      <c r="AC38" s="127" t="str">
        <f t="shared" si="7"/>
        <v>grep -hSE -A400 "Enforcement Action" "%USERPROFILE%\AppData\Local\Temp\OnboardLogs"\RTDC4010\*4010*201702211*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"%USERPROFILE%\AppData\Local\Temp\OnboardLogs"\RTDC4010\*4010*201702211* &gt;&gt; 2017-02-21-SliceDisagreementCheck.txt</v>
      </c>
      <c r="AE38" s="157" t="str">
        <f t="shared" si="8"/>
        <v>start /low /b %USERPROFILE%\Documents\GitHub\eaglep3\Utilities\DownloadLogsFromS3.py --loco 4010 --day 2017-02-21</v>
      </c>
      <c r="AF38" s="1"/>
    </row>
    <row r="39" spans="1:32" x14ac:dyDescent="0.25">
      <c r="A39" s="32">
        <v>42787.41375</v>
      </c>
      <c r="B39" s="30" t="s">
        <v>468</v>
      </c>
      <c r="C39" s="30" t="s">
        <v>470</v>
      </c>
      <c r="D39" s="30" t="s">
        <v>49</v>
      </c>
      <c r="E39" s="30" t="s">
        <v>188</v>
      </c>
      <c r="F39" s="43">
        <v>0</v>
      </c>
      <c r="G39" s="43">
        <v>27</v>
      </c>
      <c r="H39" s="43">
        <v>885</v>
      </c>
      <c r="I39" s="43">
        <v>817</v>
      </c>
      <c r="J39" s="30" t="s">
        <v>189</v>
      </c>
      <c r="K39" s="43">
        <v>575</v>
      </c>
      <c r="L39" s="143" t="s">
        <v>51</v>
      </c>
      <c r="M39" s="144">
        <f t="shared" ref="M39:M70" si="9">CONVERT((I39-K39)/10000,"mi","ft")*IF(L39="Increasing Mileposts (1)",-1,1)</f>
        <v>127.776</v>
      </c>
      <c r="N39" s="145" t="str">
        <f>VLOOKUP(C39,'Trips&amp;Operators'!$C$1:$G$99999,5,FALSE)</f>
        <v>BROWN JACOB</v>
      </c>
      <c r="O39" s="171" t="s">
        <v>185</v>
      </c>
      <c r="P39" s="146"/>
      <c r="Q39" s="30"/>
      <c r="R39" s="89" t="str">
        <f>VLOOKUP(C39,'Train Runs'!$A$13:$AE$9940,31,0)</f>
        <v>aws s3 cp s3://rtdc.mdm.uploadarchive.raw/RTDC4010/ "%USERPROFILE%\AppData\Local\Temp\OnboardLogs"\RTDC4010\2017-02-21 --exclude "*" --recursive --include "*20170221*" &amp; "%USERPROFILE%\Documents\GitHub\mrs-test-scripts\Headless Mode &amp; Sideloading\WalkAndUnGZ.bat" "%USERPROFILE%\AppData\Local\Temp\OnboardLogs"\RTDC4010\2017-02-21 &amp; aws s3 cp s3://rtdc.mdm.uploadarchive.raw/RTDC4010/ "%USERPROFILE%\AppData\Local\Temp\OnboardLogs"\RTDC4010\2017-02-22 --exclude "*" --recursive --include "*20170222*" &amp; "%USERPROFILE%\Documents\GitHub\mrs-test-scripts\Headless Mode &amp; Sideloading\WalkAndUnGZ.bat" "%USERPROFILE%\AppData\Local\Temp\OnboardLogs"\RTDC4010\2017-02-22</v>
      </c>
      <c r="S39" s="92" t="str">
        <f>VLOOKUP(C39,'Train Runs'!$A$13:$AE$9940,22,0)</f>
        <v>https://d0f6bd738d7f1b3e5a7ca70fe4ff75f0.us-east-1.aws.found.io/app/kibana#/discover/Steve-Slow-Train-Analysis-(2080s-and-2083s)?_g=(refreshInterval:(display:Off,pause:!f,section:0,value:0),time:(from:'2017-02-21T08:35:38-0700',mode:absolute,to:'2017-02-21T10:54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9" s="94" t="str">
        <f t="shared" ref="T39:T70" si="10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/stypes="*4010*201702211*" /stext=" 16:.+((SYSTEM_STATE.+slice.+state.+changed )|(ment ac)|(multiple cpu faults)|(system.+state.+changed )|(\[timeout)|(PRM\|1\|D)|(kpr)|(kdp)|(\|lc)|(penalty))" /e /r /s</v>
      </c>
      <c r="U39" s="9" t="str">
        <f t="shared" ref="U39:U55" si="11">MID(B39,13,4)</f>
        <v>4010</v>
      </c>
      <c r="V39" s="32">
        <f t="shared" ref="V39:V55" si="12">A39-utc_offset/24</f>
        <v>42787.705416666664</v>
      </c>
      <c r="W39" s="46" t="str">
        <f t="shared" ref="W39:W55" si="13">IFERROR(IF(VALUE(LEFT(IF(LEN(C39)=6,"0"&amp;C39,C39),2))&lt;=2,"EC",IF(OR(VALUE(LEFT(IF(LEN(C39)=6,"0"&amp;C39,C39),2))=8,VALUE(LEFT(IF(LEN(C39)=6,"0"&amp;C39,C39),2))=18),"NW","Other")),"Other")</f>
        <v>NW</v>
      </c>
      <c r="X39" s="46" t="str">
        <f t="shared" ref="X39:X55" si="14">IF(AND(E39="TRACK WARRANT AUTHORITY",G39&lt;10),"OMIT","KEEP")</f>
        <v>KEEP</v>
      </c>
      <c r="Y39" s="108" t="str">
        <f t="shared" ref="Y39:Y70" si="15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{"issue":{"subject":"","project_id":79,"tracker_id":40,"status_id":1,"priority_id":2,"assigned_to_id":23,"start_date":"2017-02-21","description":"","custom_fields":[{"id":1,"name":"Subdivision","value":"NW"},{"id":4,"name":"Milepost","value":"0.0575"},{"id":17,"name":"Train ID","value":"814-21"},{"id":16,"name":"Locomotive ID","value":"4010"},{"id":130,"name":"Impact","value":""},{"id":150,"name":"Time of Event (Mountain Time)","value":"09:55:48"},{"id":151,"name":"Denver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48"/>
      <c r="AA39" s="48"/>
      <c r="AB39" s="48"/>
      <c r="AC39" s="127" t="str">
        <f t="shared" ref="AC39:AC55" si="16">"grep -hSE -A400 ""Enforcement Action"" "&amp;search_path&amp;"\RTDC"&amp;U39&amp;"\*"&amp;U39&amp;"*"&amp;TEXT(A39-utc_offset/24,"YYYYMMDD")&amp;LEFT(TEXT(A39-utc_offset/24,"HH"),1)&amp;"* | grep -SE ""((Enforcement Ac)|(PRM))"" -"</f>
        <v>grep -hSE -A400 "Enforcement Action" "%USERPROFILE%\AppData\Local\Temp\OnboardLogs"\RTDC4010\*4010*201702211*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"%USERPROFILE%\AppData\Local\Temp\OnboardLogs"\RTDC4010\*4010*201702211* &gt;&gt; 2017-02-21-SliceDisagreementCheck.txt</v>
      </c>
      <c r="AE39" s="157" t="str">
        <f t="shared" ref="AE39:AE55" si="17">"start /low /b "&amp;dls3logs&amp;" --loco "&amp;U39&amp;" --day "&amp;TEXT(V39,"YYYY-MM-DD")</f>
        <v>start /low /b %USERPROFILE%\Documents\GitHub\eaglep3\Utilities\DownloadLogsFromS3.py --loco 4010 --day 2017-02-21</v>
      </c>
      <c r="AF39" s="1"/>
    </row>
    <row r="40" spans="1:32" x14ac:dyDescent="0.25">
      <c r="A40" s="32">
        <v>42787.726122685184</v>
      </c>
      <c r="B40" s="30" t="s">
        <v>468</v>
      </c>
      <c r="C40" s="30" t="s">
        <v>483</v>
      </c>
      <c r="D40" s="30" t="s">
        <v>49</v>
      </c>
      <c r="E40" s="30" t="s">
        <v>188</v>
      </c>
      <c r="F40" s="43">
        <v>0</v>
      </c>
      <c r="G40" s="43">
        <v>45</v>
      </c>
      <c r="H40" s="43">
        <v>692</v>
      </c>
      <c r="I40" s="43">
        <v>628</v>
      </c>
      <c r="J40" s="30" t="s">
        <v>189</v>
      </c>
      <c r="K40" s="43">
        <v>575</v>
      </c>
      <c r="L40" s="143" t="s">
        <v>51</v>
      </c>
      <c r="M40" s="144">
        <f t="shared" si="9"/>
        <v>27.984000000000002</v>
      </c>
      <c r="N40" s="145" t="str">
        <f>VLOOKUP(C40,'Trips&amp;Operators'!$C$1:$G$99999,5,FALSE)</f>
        <v>HILLS DUSTIN</v>
      </c>
      <c r="O40" s="171" t="s">
        <v>185</v>
      </c>
      <c r="P40" s="146"/>
      <c r="Q40" s="30"/>
      <c r="R40" s="89" t="str">
        <f>VLOOKUP(C40,'Train Runs'!$A$13:$AE$9940,31,0)</f>
        <v>aws s3 cp s3://rtdc.mdm.uploadarchive.raw/RTDC4010/ "%USERPROFILE%\AppData\Local\Temp\OnboardLogs"\RTDC4010\2017-02-21 --exclude "*" --recursive --include "*20170221*" &amp; "%USERPROFILE%\Documents\GitHub\mrs-test-scripts\Headless Mode &amp; Sideloading\WalkAndUnGZ.bat" "%USERPROFILE%\AppData\Local\Temp\OnboardLogs"\RTDC4010\2017-02-21 &amp; aws s3 cp s3://rtdc.mdm.uploadarchive.raw/RTDC4010/ "%USERPROFILE%\AppData\Local\Temp\OnboardLogs"\RTDC4010\2017-02-22 --exclude "*" --recursive --include "*20170222*" &amp; "%USERPROFILE%\Documents\GitHub\mrs-test-scripts\Headless Mode &amp; Sideloading\WalkAndUnGZ.bat" "%USERPROFILE%\AppData\Local\Temp\OnboardLogs"\RTDC4010\2017-02-22</v>
      </c>
      <c r="S40" s="92" t="str">
        <f>VLOOKUP(C40,'Train Runs'!$A$13:$AE$9940,22,0)</f>
        <v>https://d0f6bd738d7f1b3e5a7ca70fe4ff75f0.us-east-1.aws.found.io/app/kibana#/discover/Steve-Slow-Train-Analysis-(2080s-and-2083s)?_g=(refreshInterval:(display:Off,pause:!f,section:0,value:0),time:(from:'2017-02-21T16:07:52-0700',mode:absolute,to:'2017-02-21T18:25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40" s="94" t="str">
        <f t="shared" si="10"/>
        <v>"C:\Program Files (x86)\AstroGrep\AstroGrep.exe" /spath="%USERPROFILE%\AppData\Local\Temp\OnboardLogs" /stypes="*4010*201702220*" /stext=" 00:.+((SYSTEM_STATE.+slice.+state.+changed )|(ment ac)|(multiple cpu faults)|(system.+state.+changed )|(\[timeout)|(PRM\|1\|D)|(kpr)|(kdp)|(\|lc)|(penalty))" /e /r /s</v>
      </c>
      <c r="U40" s="9" t="str">
        <f t="shared" si="11"/>
        <v>4010</v>
      </c>
      <c r="V40" s="32">
        <f t="shared" si="12"/>
        <v>42788.017789351848</v>
      </c>
      <c r="W40" s="46" t="str">
        <f t="shared" si="13"/>
        <v>NW</v>
      </c>
      <c r="X40" s="46" t="str">
        <f t="shared" si="14"/>
        <v>KEEP</v>
      </c>
      <c r="Y40" s="108" t="str">
        <f t="shared" si="15"/>
        <v>echo {"issue":{"subject":"","project_id":79,"tracker_id":40,"status_id":1,"priority_id":2,"assigned_to_id":23,"start_date":"2017-02-21","description":"","custom_fields":[{"id":1,"name":"Subdivision","value":"NW"},{"id":4,"name":"Milepost","value":"0.0575"},{"id":17,"name":"Train ID","value":"832-21"},{"id":16,"name":"Locomotive ID","value":"4010"},{"id":130,"name":"Impact","value":""},{"id":150,"name":"Time of Event (Mountain Time)","value":"17:25:37"},{"id":151,"name":"Denver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48"/>
      <c r="AA40" s="48"/>
      <c r="AB40" s="48"/>
      <c r="AC40" s="127" t="str">
        <f t="shared" si="16"/>
        <v>grep -hSE -A400 "Enforcement Action" "%USERPROFILE%\AppData\Local\Temp\OnboardLogs"\RTDC4010\*4010*201702220*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"%USERPROFILE%\AppData\Local\Temp\OnboardLogs"\RTDC4010\*4010*201702220* &gt;&gt; 2017-02-21-SliceDisagreementCheck.txt</v>
      </c>
      <c r="AE40" s="157" t="str">
        <f t="shared" si="17"/>
        <v>start /low /b %USERPROFILE%\Documents\GitHub\eaglep3\Utilities\DownloadLogsFromS3.py --loco 4010 --day 2017-02-22</v>
      </c>
      <c r="AF40" s="1"/>
    </row>
    <row r="41" spans="1:32" x14ac:dyDescent="0.25">
      <c r="A41" s="32">
        <v>42787.767604166664</v>
      </c>
      <c r="B41" s="30" t="s">
        <v>468</v>
      </c>
      <c r="C41" s="30" t="s">
        <v>485</v>
      </c>
      <c r="D41" s="30" t="s">
        <v>49</v>
      </c>
      <c r="E41" s="30" t="s">
        <v>188</v>
      </c>
      <c r="F41" s="43">
        <v>0</v>
      </c>
      <c r="G41" s="43">
        <v>161</v>
      </c>
      <c r="H41" s="43">
        <v>1275</v>
      </c>
      <c r="I41" s="43">
        <v>1042</v>
      </c>
      <c r="J41" s="30" t="s">
        <v>189</v>
      </c>
      <c r="K41" s="43">
        <v>575</v>
      </c>
      <c r="L41" s="143" t="s">
        <v>51</v>
      </c>
      <c r="M41" s="144">
        <f t="shared" si="9"/>
        <v>246.57599999999999</v>
      </c>
      <c r="N41" s="145" t="str">
        <f>VLOOKUP(C41,'Trips&amp;Operators'!$C$1:$G$99999,5,FALSE)</f>
        <v>HILLS DUSTIN</v>
      </c>
      <c r="O41" s="171" t="s">
        <v>185</v>
      </c>
      <c r="P41" s="146"/>
      <c r="Q41" s="30"/>
      <c r="R41" s="89" t="str">
        <f>VLOOKUP(C41,'Train Runs'!$A$13:$AE$9940,31,0)</f>
        <v>aws s3 cp s3://rtdc.mdm.uploadarchive.raw/RTDC4010/ "%USERPROFILE%\AppData\Local\Temp\OnboardLogs"\RTDC4010\2017-02-21 --exclude "*" --recursive --include "*20170221*" &amp; "%USERPROFILE%\Documents\GitHub\mrs-test-scripts\Headless Mode &amp; Sideloading\WalkAndUnGZ.bat" "%USERPROFILE%\AppData\Local\Temp\OnboardLogs"\RTDC4010\2017-02-21 &amp; aws s3 cp s3://rtdc.mdm.uploadarchive.raw/RTDC4010/ "%USERPROFILE%\AppData\Local\Temp\OnboardLogs"\RTDC4010\2017-02-22 --exclude "*" --recursive --include "*20170222*" &amp; "%USERPROFILE%\Documents\GitHub\mrs-test-scripts\Headless Mode &amp; Sideloading\WalkAndUnGZ.bat" "%USERPROFILE%\AppData\Local\Temp\OnboardLogs"\RTDC4010\2017-02-22</v>
      </c>
      <c r="S41" s="92" t="str">
        <f>VLOOKUP(C41,'Train Runs'!$A$13:$AE$9940,22,0)</f>
        <v>https://d0f6bd738d7f1b3e5a7ca70fe4ff75f0.us-east-1.aws.found.io/app/kibana#/discover/Steve-Slow-Train-Analysis-(2080s-and-2083s)?_g=(refreshInterval:(display:Off,pause:!f,section:0,value:0),time:(from:'2017-02-21T17:07:31-0700',mode:absolute,to:'2017-02-21T19:26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41" s="94" t="str">
        <f t="shared" si="10"/>
        <v>"C:\Program Files (x86)\AstroGrep\AstroGrep.exe" /spath="%USERPROFILE%\AppData\Local\Temp\OnboardLogs" /stypes="*4010*201702220*" /stext=" 01:.+((SYSTEM_STATE.+slice.+state.+changed )|(ment ac)|(multiple cpu faults)|(system.+state.+changed )|(\[timeout)|(PRM\|1\|D)|(kpr)|(kdp)|(\|lc)|(penalty))" /e /r /s</v>
      </c>
      <c r="U41" s="9" t="str">
        <f t="shared" si="11"/>
        <v>4010</v>
      </c>
      <c r="V41" s="32">
        <f t="shared" si="12"/>
        <v>42788.059270833328</v>
      </c>
      <c r="W41" s="46" t="str">
        <f t="shared" si="13"/>
        <v>NW</v>
      </c>
      <c r="X41" s="46" t="str">
        <f t="shared" si="14"/>
        <v>KEEP</v>
      </c>
      <c r="Y41" s="108" t="str">
        <f t="shared" si="15"/>
        <v>echo {"issue":{"subject":"","project_id":79,"tracker_id":40,"status_id":1,"priority_id":2,"assigned_to_id":23,"start_date":"2017-02-21","description":"","custom_fields":[{"id":1,"name":"Subdivision","value":"NW"},{"id":4,"name":"Milepost","value":"0.0575"},{"id":17,"name":"Train ID","value":"836-21"},{"id":16,"name":"Locomotive ID","value":"4010"},{"id":130,"name":"Impact","value":""},{"id":150,"name":"Time of Event (Mountain Time)","value":"18:25:21"},{"id":151,"name":"Denver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48"/>
      <c r="AA41" s="48"/>
      <c r="AB41" s="48"/>
      <c r="AC41" s="127" t="str">
        <f t="shared" si="16"/>
        <v>grep -hSE -A400 "Enforcement Action" "%USERPROFILE%\AppData\Local\Temp\OnboardLogs"\RTDC4010\*4010*201702220*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"%USERPROFILE%\AppData\Local\Temp\OnboardLogs"\RTDC4010\*4010*201702220* &gt;&gt; 2017-02-21-SliceDisagreementCheck.txt</v>
      </c>
      <c r="AE41" s="157" t="str">
        <f t="shared" si="17"/>
        <v>start /low /b %USERPROFILE%\Documents\GitHub\eaglep3\Utilities\DownloadLogsFromS3.py --loco 4010 --day 2017-02-22</v>
      </c>
      <c r="AF41" s="1"/>
    </row>
    <row r="42" spans="1:32" x14ac:dyDescent="0.25">
      <c r="A42" s="32">
        <v>42787.768229166664</v>
      </c>
      <c r="B42" s="30" t="s">
        <v>468</v>
      </c>
      <c r="C42" s="30" t="s">
        <v>485</v>
      </c>
      <c r="D42" s="30" t="s">
        <v>49</v>
      </c>
      <c r="E42" s="30" t="s">
        <v>188</v>
      </c>
      <c r="F42" s="43">
        <v>0</v>
      </c>
      <c r="G42" s="43">
        <v>51</v>
      </c>
      <c r="H42" s="43">
        <v>764</v>
      </c>
      <c r="I42" s="43">
        <v>727</v>
      </c>
      <c r="J42" s="30" t="s">
        <v>189</v>
      </c>
      <c r="K42" s="43">
        <v>575</v>
      </c>
      <c r="L42" s="143" t="s">
        <v>51</v>
      </c>
      <c r="M42" s="144">
        <f t="shared" si="9"/>
        <v>80.256</v>
      </c>
      <c r="N42" s="145" t="str">
        <f>VLOOKUP(C42,'Trips&amp;Operators'!$C$1:$G$99999,5,FALSE)</f>
        <v>HILLS DUSTIN</v>
      </c>
      <c r="O42" s="171" t="s">
        <v>185</v>
      </c>
      <c r="P42" s="146"/>
      <c r="Q42" s="30"/>
      <c r="R42" s="89" t="str">
        <f>VLOOKUP(C42,'Train Runs'!$A$13:$AE$9940,31,0)</f>
        <v>aws s3 cp s3://rtdc.mdm.uploadarchive.raw/RTDC4010/ "%USERPROFILE%\AppData\Local\Temp\OnboardLogs"\RTDC4010\2017-02-21 --exclude "*" --recursive --include "*20170221*" &amp; "%USERPROFILE%\Documents\GitHub\mrs-test-scripts\Headless Mode &amp; Sideloading\WalkAndUnGZ.bat" "%USERPROFILE%\AppData\Local\Temp\OnboardLogs"\RTDC4010\2017-02-21 &amp; aws s3 cp s3://rtdc.mdm.uploadarchive.raw/RTDC4010/ "%USERPROFILE%\AppData\Local\Temp\OnboardLogs"\RTDC4010\2017-02-22 --exclude "*" --recursive --include "*20170222*" &amp; "%USERPROFILE%\Documents\GitHub\mrs-test-scripts\Headless Mode &amp; Sideloading\WalkAndUnGZ.bat" "%USERPROFILE%\AppData\Local\Temp\OnboardLogs"\RTDC4010\2017-02-22</v>
      </c>
      <c r="S42" s="92" t="str">
        <f>VLOOKUP(C42,'Train Runs'!$A$13:$AE$9940,22,0)</f>
        <v>https://d0f6bd738d7f1b3e5a7ca70fe4ff75f0.us-east-1.aws.found.io/app/kibana#/discover/Steve-Slow-Train-Analysis-(2080s-and-2083s)?_g=(refreshInterval:(display:Off,pause:!f,section:0,value:0),time:(from:'2017-02-21T17:07:31-0700',mode:absolute,to:'2017-02-21T19:26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42" s="94" t="str">
        <f t="shared" si="10"/>
        <v>"C:\Program Files (x86)\AstroGrep\AstroGrep.exe" /spath="%USERPROFILE%\AppData\Local\Temp\OnboardLogs" /stypes="*4010*201702220*" /stext=" 01:.+((SYSTEM_STATE.+slice.+state.+changed )|(ment ac)|(multiple cpu faults)|(system.+state.+changed )|(\[timeout)|(PRM\|1\|D)|(kpr)|(kdp)|(\|lc)|(penalty))" /e /r /s</v>
      </c>
      <c r="U42" s="9" t="str">
        <f t="shared" si="11"/>
        <v>4010</v>
      </c>
      <c r="V42" s="32">
        <f t="shared" si="12"/>
        <v>42788.059895833328</v>
      </c>
      <c r="W42" s="46" t="str">
        <f t="shared" si="13"/>
        <v>NW</v>
      </c>
      <c r="X42" s="46" t="str">
        <f t="shared" si="14"/>
        <v>KEEP</v>
      </c>
      <c r="Y42" s="108" t="str">
        <f t="shared" si="15"/>
        <v>echo {"issue":{"subject":"","project_id":79,"tracker_id":40,"status_id":1,"priority_id":2,"assigned_to_id":23,"start_date":"2017-02-21","description":"","custom_fields":[{"id":1,"name":"Subdivision","value":"NW"},{"id":4,"name":"Milepost","value":"0.0575"},{"id":17,"name":"Train ID","value":"836-21"},{"id":16,"name":"Locomotive ID","value":"4010"},{"id":130,"name":"Impact","value":""},{"id":150,"name":"Time of Event (Mountain Time)","value":"18:26:15"},{"id":151,"name":"Denver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48"/>
      <c r="AA42" s="48"/>
      <c r="AB42" s="48"/>
      <c r="AC42" s="127" t="str">
        <f t="shared" si="16"/>
        <v>grep -hSE -A400 "Enforcement Action" "%USERPROFILE%\AppData\Local\Temp\OnboardLogs"\RTDC4010\*4010*201702220*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"%USERPROFILE%\AppData\Local\Temp\OnboardLogs"\RTDC4010\*4010*201702220* &gt;&gt; 2017-02-21-SliceDisagreementCheck.txt</v>
      </c>
      <c r="AE42" s="157" t="str">
        <f t="shared" si="17"/>
        <v>start /low /b %USERPROFILE%\Documents\GitHub\eaglep3\Utilities\DownloadLogsFromS3.py --loco 4010 --day 2017-02-22</v>
      </c>
      <c r="AF42" s="1"/>
    </row>
    <row r="43" spans="1:32" x14ac:dyDescent="0.25">
      <c r="A43" s="32">
        <v>42787.913171296299</v>
      </c>
      <c r="B43" s="30" t="s">
        <v>489</v>
      </c>
      <c r="C43" s="30" t="s">
        <v>490</v>
      </c>
      <c r="D43" s="30" t="s">
        <v>49</v>
      </c>
      <c r="E43" s="30" t="s">
        <v>188</v>
      </c>
      <c r="F43" s="43">
        <v>0</v>
      </c>
      <c r="G43" s="43">
        <v>51</v>
      </c>
      <c r="H43" s="43">
        <v>719</v>
      </c>
      <c r="I43" s="43">
        <v>668</v>
      </c>
      <c r="J43" s="30" t="s">
        <v>189</v>
      </c>
      <c r="K43" s="43">
        <v>575</v>
      </c>
      <c r="L43" s="143" t="s">
        <v>51</v>
      </c>
      <c r="M43" s="144">
        <f t="shared" si="9"/>
        <v>49.103999999999999</v>
      </c>
      <c r="N43" s="145" t="str">
        <f>VLOOKUP(C43,'Trips&amp;Operators'!$C$1:$G$99999,5,FALSE)</f>
        <v>HILLS DUSTIN</v>
      </c>
      <c r="O43" s="171" t="s">
        <v>185</v>
      </c>
      <c r="P43" s="146"/>
      <c r="Q43" s="30"/>
      <c r="R43" s="89" t="str">
        <f>VLOOKUP(C43,'Train Runs'!$A$13:$AE$9940,31,0)</f>
        <v>aws s3 cp s3://rtdc.mdm.uploadarchive.raw/RTDC4032/ "%USERPROFILE%\AppData\Local\Temp\OnboardLogs"\RTDC4032\2017-02-21 --exclude "*" --recursive --include "*20170221*" &amp; "%USERPROFILE%\Documents\GitHub\mrs-test-scripts\Headless Mode &amp; Sideloading\WalkAndUnGZ.bat" "%USERPROFILE%\AppData\Local\Temp\OnboardLogs"\RTDC4032\2017-02-21 &amp; aws s3 cp s3://rtdc.mdm.uploadarchive.raw/RTDC4032/ "%USERPROFILE%\AppData\Local\Temp\OnboardLogs"\RTDC4032\2017-02-22 --exclude "*" --recursive --include "*20170222*" &amp; "%USERPROFILE%\Documents\GitHub\mrs-test-scripts\Headless Mode &amp; Sideloading\WalkAndUnGZ.bat" "%USERPROFILE%\AppData\Local\Temp\OnboardLogs"\RTDC4032\2017-02-22</v>
      </c>
      <c r="S43" s="92" t="str">
        <f>VLOOKUP(C43,'Train Runs'!$A$13:$AE$9940,22,0)</f>
        <v>https://d0f6bd738d7f1b3e5a7ca70fe4ff75f0.us-east-1.aws.found.io/app/kibana#/discover/Steve-Slow-Train-Analysis-(2080s-and-2083s)?_g=(refreshInterval:(display:Off,pause:!f,section:0,value:0),time:(from:'2017-02-21T20:37:08-0700',mode:absolute,to:'2017-02-21T22:54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3" s="94" t="str">
        <f t="shared" si="10"/>
        <v>"C:\Program Files (x86)\AstroGrep\AstroGrep.exe" /spath="%USERPROFILE%\AppData\Local\Temp\OnboardLogs" /stypes="*4032*201702220*" /stext=" 04:.+((SYSTEM_STATE.+slice.+state.+changed )|(ment ac)|(multiple cpu faults)|(system.+state.+changed )|(\[timeout)|(PRM\|1\|D)|(kpr)|(kdp)|(\|lc)|(penalty))" /e /r /s</v>
      </c>
      <c r="U43" s="9" t="str">
        <f t="shared" si="11"/>
        <v>4032</v>
      </c>
      <c r="V43" s="32">
        <f t="shared" si="12"/>
        <v>42788.204837962963</v>
      </c>
      <c r="W43" s="46" t="str">
        <f t="shared" si="13"/>
        <v>NW</v>
      </c>
      <c r="X43" s="46" t="str">
        <f t="shared" si="14"/>
        <v>KEEP</v>
      </c>
      <c r="Y43" s="108" t="str">
        <f t="shared" si="15"/>
        <v>echo {"issue":{"subject":"","project_id":79,"tracker_id":40,"status_id":1,"priority_id":2,"assigned_to_id":23,"start_date":"2017-02-21","description":"","custom_fields":[{"id":1,"name":"Subdivision","value":"NW"},{"id":4,"name":"Milepost","value":"0.0575"},{"id":17,"name":"Train ID","value":"844-21"},{"id":16,"name":"Locomotive ID","value":"4032"},{"id":130,"name":"Impact","value":""},{"id":150,"name":"Time of Event (Mountain Time)","value":"21:54:58"},{"id":151,"name":"Denver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48"/>
      <c r="AA43" s="48"/>
      <c r="AB43" s="48"/>
      <c r="AC43" s="127" t="str">
        <f t="shared" si="16"/>
        <v>grep -hSE -A400 "Enforcement Action" "%USERPROFILE%\AppData\Local\Temp\OnboardLogs"\RTDC4032\*4032*201702220*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"%USERPROFILE%\AppData\Local\Temp\OnboardLogs"\RTDC4032\*4032*201702220* &gt;&gt; 2017-02-21-SliceDisagreementCheck.txt</v>
      </c>
      <c r="AE43" s="157" t="str">
        <f t="shared" si="17"/>
        <v>start /low /b %USERPROFILE%\Documents\GitHub\eaglep3\Utilities\DownloadLogsFromS3.py --loco 4032 --day 2017-02-22</v>
      </c>
      <c r="AF43" s="1"/>
    </row>
    <row r="44" spans="1:32" x14ac:dyDescent="0.25">
      <c r="A44" s="32">
        <v>42787.35701388889</v>
      </c>
      <c r="B44" s="30" t="s">
        <v>465</v>
      </c>
      <c r="C44" s="30" t="s">
        <v>466</v>
      </c>
      <c r="D44" s="30" t="s">
        <v>49</v>
      </c>
      <c r="E44" s="30" t="s">
        <v>188</v>
      </c>
      <c r="F44" s="43">
        <v>0</v>
      </c>
      <c r="G44" s="43">
        <v>43</v>
      </c>
      <c r="H44" s="43">
        <v>58935</v>
      </c>
      <c r="I44" s="43">
        <v>58952</v>
      </c>
      <c r="J44" s="30" t="s">
        <v>189</v>
      </c>
      <c r="K44" s="43">
        <v>59048</v>
      </c>
      <c r="L44" s="143" t="s">
        <v>50</v>
      </c>
      <c r="M44" s="144">
        <f t="shared" si="9"/>
        <v>50.688000000000002</v>
      </c>
      <c r="N44" s="145" t="str">
        <f>VLOOKUP(C44,'Trips&amp;Operators'!$C$1:$G$99999,5,FALSE)</f>
        <v>BROWN JACOB</v>
      </c>
      <c r="O44" s="171" t="s">
        <v>185</v>
      </c>
      <c r="P44" s="146"/>
      <c r="Q44" s="30"/>
      <c r="R44" s="89" t="str">
        <f>VLOOKUP(C44,'Train Runs'!$A$13:$AE$9940,31,0)</f>
        <v>aws s3 cp s3://rtdc.mdm.uploadarchive.raw/RTDC4009/ "%USERPROFILE%\AppData\Local\Temp\OnboardLogs"\RTDC4009\2017-02-21 --exclude "*" --recursive --include "*20170221*" &amp; "%USERPROFILE%\Documents\GitHub\mrs-test-scripts\Headless Mode &amp; Sideloading\WalkAndUnGZ.bat" "%USERPROFILE%\AppData\Local\Temp\OnboardLogs"\RTDC4009\2017-02-21 &amp; aws s3 cp s3://rtdc.mdm.uploadarchive.raw/RTDC4009/ "%USERPROFILE%\AppData\Local\Temp\OnboardLogs"\RTDC4009\2017-02-22 --exclude "*" --recursive --include "*20170222*" &amp; "%USERPROFILE%\Documents\GitHub\mrs-test-scripts\Headless Mode &amp; Sideloading\WalkAndUnGZ.bat" "%USERPROFILE%\AppData\Local\Temp\OnboardLogs"\RTDC4009\2017-02-22</v>
      </c>
      <c r="S44" s="92" t="str">
        <f>VLOOKUP(C44,'Train Runs'!$A$13:$AE$9940,22,0)</f>
        <v>https://d0f6bd738d7f1b3e5a7ca70fe4ff75f0.us-east-1.aws.found.io/app/kibana#/discover/Steve-Slow-Train-Analysis-(2080s-and-2083s)?_g=(refreshInterval:(display:Off,pause:!f,section:0,value:0),time:(from:'2017-02-21T07:14:54-0700',mode:absolute,to:'2017-02-21T09:34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44" s="94" t="str">
        <f t="shared" si="10"/>
        <v>"C:\Program Files (x86)\AstroGrep\AstroGrep.exe" /spath="%USERPROFILE%\AppData\Local\Temp\OnboardLogs" /stypes="*4009*201702211*" /stext=" 15:.+((SYSTEM_STATE.+slice.+state.+changed )|(ment ac)|(multiple cpu faults)|(system.+state.+changed )|(\[timeout)|(PRM\|1\|D)|(kpr)|(kdp)|(\|lc)|(penalty))" /e /r /s</v>
      </c>
      <c r="U44" s="9" t="str">
        <f t="shared" si="11"/>
        <v>4009</v>
      </c>
      <c r="V44" s="32">
        <f t="shared" si="12"/>
        <v>42787.648680555554</v>
      </c>
      <c r="W44" s="46" t="str">
        <f t="shared" si="13"/>
        <v>NW</v>
      </c>
      <c r="X44" s="46" t="str">
        <f t="shared" si="14"/>
        <v>KEEP</v>
      </c>
      <c r="Y44" s="108" t="str">
        <f t="shared" si="15"/>
        <v>echo {"issue":{"subject":"","project_id":79,"tracker_id":40,"status_id":1,"priority_id":2,"assigned_to_id":23,"start_date":"2017-02-21","description":"","custom_fields":[{"id":1,"name":"Subdivision","value":"NW"},{"id":4,"name":"Milepost","value":"5.9048"},{"id":17,"name":"Train ID","value":"811-21"},{"id":16,"name":"Locomotive ID","value":"4009"},{"id":130,"name":"Impact","value":""},{"id":150,"name":"Time of Event (Mountain Time)","value":"08:34:06"},{"id":151,"name":"Denver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48"/>
      <c r="AA44" s="48"/>
      <c r="AB44" s="48"/>
      <c r="AC44" s="127" t="str">
        <f t="shared" si="16"/>
        <v>grep -hSE -A400 "Enforcement Action" "%USERPROFILE%\AppData\Local\Temp\OnboardLogs"\RTDC4009\*4009*201702211*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"%USERPROFILE%\AppData\Local\Temp\OnboardLogs"\RTDC4009\*4009*201702211* &gt;&gt; 2017-02-21-SliceDisagreementCheck.txt</v>
      </c>
      <c r="AE44" s="157" t="str">
        <f t="shared" si="17"/>
        <v>start /low /b %USERPROFILE%\Documents\GitHub\eaglep3\Utilities\DownloadLogsFromS3.py --loco 4009 --day 2017-02-21</v>
      </c>
      <c r="AF44" s="1"/>
    </row>
    <row r="45" spans="1:32" x14ac:dyDescent="0.25">
      <c r="A45" s="32">
        <v>42787.670902777776</v>
      </c>
      <c r="B45" s="30" t="s">
        <v>465</v>
      </c>
      <c r="C45" s="30" t="s">
        <v>478</v>
      </c>
      <c r="D45" s="30" t="s">
        <v>49</v>
      </c>
      <c r="E45" s="30" t="s">
        <v>188</v>
      </c>
      <c r="F45" s="43">
        <v>0</v>
      </c>
      <c r="G45" s="43">
        <v>11</v>
      </c>
      <c r="H45" s="43">
        <v>59040</v>
      </c>
      <c r="I45" s="43">
        <v>59046</v>
      </c>
      <c r="J45" s="30" t="s">
        <v>189</v>
      </c>
      <c r="K45" s="43">
        <v>59048</v>
      </c>
      <c r="L45" s="143" t="s">
        <v>50</v>
      </c>
      <c r="M45" s="144">
        <f t="shared" si="9"/>
        <v>1.056</v>
      </c>
      <c r="N45" s="145" t="str">
        <f>VLOOKUP(C45,'Trips&amp;Operators'!$C$1:$G$99999,5,FALSE)</f>
        <v>HILLS DUSTIN</v>
      </c>
      <c r="O45" s="171" t="s">
        <v>185</v>
      </c>
      <c r="P45" s="146"/>
      <c r="Q45" s="30"/>
      <c r="R45" s="89" t="str">
        <f>VLOOKUP(C45,'Train Runs'!$A$13:$AE$9940,31,0)</f>
        <v>aws s3 cp s3://rtdc.mdm.uploadarchive.raw/RTDC4009/ "%USERPROFILE%\AppData\Local\Temp\OnboardLogs"\RTDC4009\2017-02-21 --exclude "*" --recursive --include "*20170221*" &amp; "%USERPROFILE%\Documents\GitHub\mrs-test-scripts\Headless Mode &amp; Sideloading\WalkAndUnGZ.bat" "%USERPROFILE%\AppData\Local\Temp\OnboardLogs"\RTDC4009\2017-02-21 &amp; aws s3 cp s3://rtdc.mdm.uploadarchive.raw/RTDC4009/ "%USERPROFILE%\AppData\Local\Temp\OnboardLogs"\RTDC4009\2017-02-22 --exclude "*" --recursive --include "*20170222*" &amp; "%USERPROFILE%\Documents\GitHub\mrs-test-scripts\Headless Mode &amp; Sideloading\WalkAndUnGZ.bat" "%USERPROFILE%\AppData\Local\Temp\OnboardLogs"\RTDC4009\2017-02-22</v>
      </c>
      <c r="S45" s="92" t="str">
        <f>VLOOKUP(C45,'Train Runs'!$A$13:$AE$9940,22,0)</f>
        <v>https://d0f6bd738d7f1b3e5a7ca70fe4ff75f0.us-east-1.aws.found.io/app/kibana#/discover/Steve-Slow-Train-Analysis-(2080s-and-2083s)?_g=(refreshInterval:(display:Off,pause:!f,section:0,value:0),time:(from:'2017-02-21T14:34:53-0700',mode:absolute,to:'2017-02-21T17:06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45" s="94" t="str">
        <f t="shared" si="10"/>
        <v>"C:\Program Files (x86)\AstroGrep\AstroGrep.exe" /spath="%USERPROFILE%\AppData\Local\Temp\OnboardLogs" /stypes="*4009*201702212*" /stext=" 23:.+((SYSTEM_STATE.+slice.+state.+changed )|(ment ac)|(multiple cpu faults)|(system.+state.+changed )|(\[timeout)|(PRM\|1\|D)|(kpr)|(kdp)|(\|lc)|(penalty))" /e /r /s</v>
      </c>
      <c r="U45" s="9" t="str">
        <f t="shared" si="11"/>
        <v>4009</v>
      </c>
      <c r="V45" s="32">
        <f t="shared" si="12"/>
        <v>42787.96256944444</v>
      </c>
      <c r="W45" s="46" t="str">
        <f t="shared" si="13"/>
        <v>NW</v>
      </c>
      <c r="X45" s="46" t="str">
        <f t="shared" si="14"/>
        <v>KEEP</v>
      </c>
      <c r="Y45" s="108" t="str">
        <f t="shared" si="15"/>
        <v>echo {"issue":{"subject":"","project_id":79,"tracker_id":40,"status_id":1,"priority_id":2,"assigned_to_id":23,"start_date":"2017-02-21","description":"","custom_fields":[{"id":1,"name":"Subdivision","value":"NW"},{"id":4,"name":"Milepost","value":"5.9048"},{"id":17,"name":"Train ID","value":"827-21"},{"id":16,"name":"Locomotive ID","value":"4009"},{"id":130,"name":"Impact","value":""},{"id":150,"name":"Time of Event (Mountain Time)","value":"16:06:06"},{"id":151,"name":"Denver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48"/>
      <c r="AA45" s="48"/>
      <c r="AB45" s="48"/>
      <c r="AC45" s="127" t="str">
        <f t="shared" si="16"/>
        <v>grep -hSE -A400 "Enforcement Action" "%USERPROFILE%\AppData\Local\Temp\OnboardLogs"\RTDC4009\*4009*201702212*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"%USERPROFILE%\AppData\Local\Temp\OnboardLogs"\RTDC4009\*4009*201702212* &gt;&gt; 2017-02-21-SliceDisagreementCheck.txt</v>
      </c>
      <c r="AE45" s="157" t="str">
        <f t="shared" si="17"/>
        <v>start /low /b %USERPROFILE%\Documents\GitHub\eaglep3\Utilities\DownloadLogsFromS3.py --loco 4009 --day 2017-02-21</v>
      </c>
      <c r="AF45" s="1"/>
    </row>
    <row r="46" spans="1:32" x14ac:dyDescent="0.25">
      <c r="A46" s="32">
        <v>42787.711574074077</v>
      </c>
      <c r="B46" s="30" t="s">
        <v>465</v>
      </c>
      <c r="C46" s="30" t="s">
        <v>482</v>
      </c>
      <c r="D46" s="30" t="s">
        <v>49</v>
      </c>
      <c r="E46" s="30" t="s">
        <v>188</v>
      </c>
      <c r="F46" s="43">
        <v>0</v>
      </c>
      <c r="G46" s="43">
        <v>82</v>
      </c>
      <c r="H46" s="43">
        <v>58805</v>
      </c>
      <c r="I46" s="43">
        <v>58892</v>
      </c>
      <c r="J46" s="30" t="s">
        <v>189</v>
      </c>
      <c r="K46" s="43">
        <v>59048</v>
      </c>
      <c r="L46" s="143" t="s">
        <v>50</v>
      </c>
      <c r="M46" s="144">
        <f t="shared" si="9"/>
        <v>82.367999999999995</v>
      </c>
      <c r="N46" s="145" t="str">
        <f>VLOOKUP(C46,'Trips&amp;Operators'!$C$1:$G$99999,5,FALSE)</f>
        <v>HILLS DUSTIN</v>
      </c>
      <c r="O46" s="171" t="s">
        <v>185</v>
      </c>
      <c r="P46" s="146"/>
      <c r="Q46" s="30"/>
      <c r="R46" s="89" t="str">
        <f>VLOOKUP(C46,'Train Runs'!$A$13:$AE$9940,31,0)</f>
        <v>aws s3 cp s3://rtdc.mdm.uploadarchive.raw/RTDC4009/ "%USERPROFILE%\AppData\Local\Temp\OnboardLogs"\RTDC4009\2017-02-21 --exclude "*" --recursive --include "*20170221*" &amp; "%USERPROFILE%\Documents\GitHub\mrs-test-scripts\Headless Mode &amp; Sideloading\WalkAndUnGZ.bat" "%USERPROFILE%\AppData\Local\Temp\OnboardLogs"\RTDC4009\2017-02-21 &amp; aws s3 cp s3://rtdc.mdm.uploadarchive.raw/RTDC4009/ "%USERPROFILE%\AppData\Local\Temp\OnboardLogs"\RTDC4009\2017-02-22 --exclude "*" --recursive --include "*20170222*" &amp; "%USERPROFILE%\Documents\GitHub\mrs-test-scripts\Headless Mode &amp; Sideloading\WalkAndUnGZ.bat" "%USERPROFILE%\AppData\Local\Temp\OnboardLogs"\RTDC4009\2017-02-22</v>
      </c>
      <c r="S46" s="92" t="str">
        <f>VLOOKUP(C46,'Train Runs'!$A$13:$AE$9940,22,0)</f>
        <v>https://d0f6bd738d7f1b3e5a7ca70fe4ff75f0.us-east-1.aws.found.io/app/kibana#/discover/Steve-Slow-Train-Analysis-(2080s-and-2083s)?_g=(refreshInterval:(display:Off,pause:!f,section:0,value:0),time:(from:'2017-02-21T15:27:07-0700',mode:absolute,to:'2017-02-21T18:04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46" s="94" t="str">
        <f t="shared" si="10"/>
        <v>"C:\Program Files (x86)\AstroGrep\AstroGrep.exe" /spath="%USERPROFILE%\AppData\Local\Temp\OnboardLogs" /stypes="*4009*201702220*" /stext=" 00:.+((SYSTEM_STATE.+slice.+state.+changed )|(ment ac)|(multiple cpu faults)|(system.+state.+changed )|(\[timeout)|(PRM\|1\|D)|(kpr)|(kdp)|(\|lc)|(penalty))" /e /r /s</v>
      </c>
      <c r="U46" s="9" t="str">
        <f t="shared" si="11"/>
        <v>4009</v>
      </c>
      <c r="V46" s="32">
        <f t="shared" si="12"/>
        <v>42788.003240740742</v>
      </c>
      <c r="W46" s="46" t="str">
        <f t="shared" si="13"/>
        <v>NW</v>
      </c>
      <c r="X46" s="46" t="str">
        <f t="shared" si="14"/>
        <v>KEEP</v>
      </c>
      <c r="Y46" s="108" t="str">
        <f t="shared" si="15"/>
        <v>echo {"issue":{"subject":"","project_id":79,"tracker_id":40,"status_id":1,"priority_id":2,"assigned_to_id":23,"start_date":"2017-02-21","description":"","custom_fields":[{"id":1,"name":"Subdivision","value":"NW"},{"id":4,"name":"Milepost","value":"5.9048"},{"id":17,"name":"Train ID","value":"831-21"},{"id":16,"name":"Locomotive ID","value":"4009"},{"id":130,"name":"Impact","value":""},{"id":150,"name":"Time of Event (Mountain Time)","value":"17:04:40"},{"id":151,"name":"Denver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48"/>
      <c r="AA46" s="48"/>
      <c r="AB46" s="48"/>
      <c r="AC46" s="127" t="str">
        <f t="shared" si="16"/>
        <v>grep -hSE -A400 "Enforcement Action" "%USERPROFILE%\AppData\Local\Temp\OnboardLogs"\RTDC4009\*4009*201702220*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"%USERPROFILE%\AppData\Local\Temp\OnboardLogs"\RTDC4009\*4009*201702220* &gt;&gt; 2017-02-21-SliceDisagreementCheck.txt</v>
      </c>
      <c r="AE46" s="157" t="str">
        <f t="shared" si="17"/>
        <v>start /low /b %USERPROFILE%\Documents\GitHub\eaglep3\Utilities\DownloadLogsFromS3.py --loco 4009 --day 2017-02-22</v>
      </c>
      <c r="AF46" s="1"/>
    </row>
    <row r="47" spans="1:32" x14ac:dyDescent="0.25">
      <c r="A47" s="32">
        <v>42787.712025462963</v>
      </c>
      <c r="B47" s="30" t="s">
        <v>465</v>
      </c>
      <c r="C47" s="30" t="s">
        <v>482</v>
      </c>
      <c r="D47" s="30" t="s">
        <v>49</v>
      </c>
      <c r="E47" s="30" t="s">
        <v>188</v>
      </c>
      <c r="F47" s="43">
        <v>0</v>
      </c>
      <c r="G47" s="43">
        <v>29</v>
      </c>
      <c r="H47" s="43">
        <v>58909</v>
      </c>
      <c r="I47" s="43">
        <v>58943</v>
      </c>
      <c r="J47" s="30" t="s">
        <v>189</v>
      </c>
      <c r="K47" s="43">
        <v>59048</v>
      </c>
      <c r="L47" s="143" t="s">
        <v>50</v>
      </c>
      <c r="M47" s="144">
        <f t="shared" si="9"/>
        <v>55.44</v>
      </c>
      <c r="N47" s="145" t="str">
        <f>VLOOKUP(C47,'Trips&amp;Operators'!$C$1:$G$99999,5,FALSE)</f>
        <v>HILLS DUSTIN</v>
      </c>
      <c r="O47" s="171" t="s">
        <v>185</v>
      </c>
      <c r="P47" s="146"/>
      <c r="Q47" s="30"/>
      <c r="R47" s="89" t="str">
        <f>VLOOKUP(C47,'Train Runs'!$A$13:$AE$9940,31,0)</f>
        <v>aws s3 cp s3://rtdc.mdm.uploadarchive.raw/RTDC4009/ "%USERPROFILE%\AppData\Local\Temp\OnboardLogs"\RTDC4009\2017-02-21 --exclude "*" --recursive --include "*20170221*" &amp; "%USERPROFILE%\Documents\GitHub\mrs-test-scripts\Headless Mode &amp; Sideloading\WalkAndUnGZ.bat" "%USERPROFILE%\AppData\Local\Temp\OnboardLogs"\RTDC4009\2017-02-21 &amp; aws s3 cp s3://rtdc.mdm.uploadarchive.raw/RTDC4009/ "%USERPROFILE%\AppData\Local\Temp\OnboardLogs"\RTDC4009\2017-02-22 --exclude "*" --recursive --include "*20170222*" &amp; "%USERPROFILE%\Documents\GitHub\mrs-test-scripts\Headless Mode &amp; Sideloading\WalkAndUnGZ.bat" "%USERPROFILE%\AppData\Local\Temp\OnboardLogs"\RTDC4009\2017-02-22</v>
      </c>
      <c r="S47" s="92" t="str">
        <f>VLOOKUP(C47,'Train Runs'!$A$13:$AE$9940,22,0)</f>
        <v>https://d0f6bd738d7f1b3e5a7ca70fe4ff75f0.us-east-1.aws.found.io/app/kibana#/discover/Steve-Slow-Train-Analysis-(2080s-and-2083s)?_g=(refreshInterval:(display:Off,pause:!f,section:0,value:0),time:(from:'2017-02-21T15:27:07-0700',mode:absolute,to:'2017-02-21T18:04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47" s="94" t="str">
        <f t="shared" si="10"/>
        <v>"C:\Program Files (x86)\AstroGrep\AstroGrep.exe" /spath="%USERPROFILE%\AppData\Local\Temp\OnboardLogs" /stypes="*4009*201702220*" /stext=" 00:.+((SYSTEM_STATE.+slice.+state.+changed )|(ment ac)|(multiple cpu faults)|(system.+state.+changed )|(\[timeout)|(PRM\|1\|D)|(kpr)|(kdp)|(\|lc)|(penalty))" /e /r /s</v>
      </c>
      <c r="U47" s="9" t="str">
        <f t="shared" si="11"/>
        <v>4009</v>
      </c>
      <c r="V47" s="32">
        <f t="shared" si="12"/>
        <v>42788.003692129627</v>
      </c>
      <c r="W47" s="46" t="str">
        <f t="shared" si="13"/>
        <v>NW</v>
      </c>
      <c r="X47" s="46" t="str">
        <f t="shared" si="14"/>
        <v>KEEP</v>
      </c>
      <c r="Y47" s="108" t="str">
        <f t="shared" si="15"/>
        <v>echo {"issue":{"subject":"","project_id":79,"tracker_id":40,"status_id":1,"priority_id":2,"assigned_to_id":23,"start_date":"2017-02-21","description":"","custom_fields":[{"id":1,"name":"Subdivision","value":"NW"},{"id":4,"name":"Milepost","value":"5.9048"},{"id":17,"name":"Train ID","value":"831-21"},{"id":16,"name":"Locomotive ID","value":"4009"},{"id":130,"name":"Impact","value":""},{"id":150,"name":"Time of Event (Mountain Time)","value":"17:05:19"},{"id":151,"name":"Denver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48"/>
      <c r="AA47" s="48"/>
      <c r="AB47" s="48"/>
      <c r="AC47" s="127" t="str">
        <f t="shared" si="16"/>
        <v>grep -hSE -A400 "Enforcement Action" "%USERPROFILE%\AppData\Local\Temp\OnboardLogs"\RTDC4009\*4009*201702220*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"%USERPROFILE%\AppData\Local\Temp\OnboardLogs"\RTDC4009\*4009*201702220* &gt;&gt; 2017-02-21-SliceDisagreementCheck.txt</v>
      </c>
      <c r="AE47" s="157" t="str">
        <f t="shared" si="17"/>
        <v>start /low /b %USERPROFILE%\Documents\GitHub\eaglep3\Utilities\DownloadLogsFromS3.py --loco 4009 --day 2017-02-22</v>
      </c>
      <c r="AF47" s="1"/>
    </row>
    <row r="48" spans="1:32" x14ac:dyDescent="0.25">
      <c r="A48" s="32">
        <v>42787.712627314817</v>
      </c>
      <c r="B48" s="30" t="s">
        <v>465</v>
      </c>
      <c r="C48" s="30" t="s">
        <v>482</v>
      </c>
      <c r="D48" s="30" t="s">
        <v>49</v>
      </c>
      <c r="E48" s="30" t="s">
        <v>188</v>
      </c>
      <c r="F48" s="43">
        <v>0</v>
      </c>
      <c r="G48" s="43">
        <v>7</v>
      </c>
      <c r="H48" s="43">
        <v>59031</v>
      </c>
      <c r="I48" s="43">
        <v>59033</v>
      </c>
      <c r="J48" s="30" t="s">
        <v>189</v>
      </c>
      <c r="K48" s="43">
        <v>59048</v>
      </c>
      <c r="L48" s="143" t="s">
        <v>50</v>
      </c>
      <c r="M48" s="144">
        <f t="shared" si="9"/>
        <v>7.92</v>
      </c>
      <c r="N48" s="145" t="str">
        <f>VLOOKUP(C48,'Trips&amp;Operators'!$C$1:$G$99999,5,FALSE)</f>
        <v>HILLS DUSTIN</v>
      </c>
      <c r="O48" s="171" t="s">
        <v>185</v>
      </c>
      <c r="P48" s="146"/>
      <c r="Q48" s="30"/>
      <c r="R48" s="89" t="str">
        <f>VLOOKUP(C48,'Train Runs'!$A$13:$AE$9940,31,0)</f>
        <v>aws s3 cp s3://rtdc.mdm.uploadarchive.raw/RTDC4009/ "%USERPROFILE%\AppData\Local\Temp\OnboardLogs"\RTDC4009\2017-02-21 --exclude "*" --recursive --include "*20170221*" &amp; "%USERPROFILE%\Documents\GitHub\mrs-test-scripts\Headless Mode &amp; Sideloading\WalkAndUnGZ.bat" "%USERPROFILE%\AppData\Local\Temp\OnboardLogs"\RTDC4009\2017-02-21 &amp; aws s3 cp s3://rtdc.mdm.uploadarchive.raw/RTDC4009/ "%USERPROFILE%\AppData\Local\Temp\OnboardLogs"\RTDC4009\2017-02-22 --exclude "*" --recursive --include "*20170222*" &amp; "%USERPROFILE%\Documents\GitHub\mrs-test-scripts\Headless Mode &amp; Sideloading\WalkAndUnGZ.bat" "%USERPROFILE%\AppData\Local\Temp\OnboardLogs"\RTDC4009\2017-02-22</v>
      </c>
      <c r="S48" s="92" t="str">
        <f>VLOOKUP(C48,'Train Runs'!$A$13:$AE$9940,22,0)</f>
        <v>https://d0f6bd738d7f1b3e5a7ca70fe4ff75f0.us-east-1.aws.found.io/app/kibana#/discover/Steve-Slow-Train-Analysis-(2080s-and-2083s)?_g=(refreshInterval:(display:Off,pause:!f,section:0,value:0),time:(from:'2017-02-21T15:27:07-0700',mode:absolute,to:'2017-02-21T18:04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48" s="94" t="str">
        <f t="shared" si="10"/>
        <v>"C:\Program Files (x86)\AstroGrep\AstroGrep.exe" /spath="%USERPROFILE%\AppData\Local\Temp\OnboardLogs" /stypes="*4009*201702220*" /stext=" 00:.+((SYSTEM_STATE.+slice.+state.+changed )|(ment ac)|(multiple cpu faults)|(system.+state.+changed )|(\[timeout)|(PRM\|1\|D)|(kpr)|(kdp)|(\|lc)|(penalty))" /e /r /s</v>
      </c>
      <c r="U48" s="9" t="str">
        <f t="shared" si="11"/>
        <v>4009</v>
      </c>
      <c r="V48" s="32">
        <f t="shared" si="12"/>
        <v>42788.004293981481</v>
      </c>
      <c r="W48" s="46" t="str">
        <f t="shared" si="13"/>
        <v>NW</v>
      </c>
      <c r="X48" s="46" t="str">
        <f t="shared" si="14"/>
        <v>OMIT</v>
      </c>
      <c r="Y48" s="108" t="str">
        <f t="shared" si="15"/>
        <v>echo {"issue":{"subject":"","project_id":79,"tracker_id":40,"status_id":1,"priority_id":2,"assigned_to_id":23,"start_date":"2017-02-21","description":"","custom_fields":[{"id":1,"name":"Subdivision","value":"NW"},{"id":4,"name":"Milepost","value":"5.9048"},{"id":17,"name":"Train ID","value":"831-21"},{"id":16,"name":"Locomotive ID","value":"4009"},{"id":130,"name":"Impact","value":""},{"id":150,"name":"Time of Event (Mountain Time)","value":"17:06:11"},{"id":151,"name":"Denver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48"/>
      <c r="AA48" s="48"/>
      <c r="AB48" s="48"/>
      <c r="AC48" s="127" t="str">
        <f t="shared" si="16"/>
        <v>grep -hSE -A400 "Enforcement Action" "%USERPROFILE%\AppData\Local\Temp\OnboardLogs"\RTDC4009\*4009*201702220*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"%USERPROFILE%\AppData\Local\Temp\OnboardLogs"\RTDC4009\*4009*201702220* &gt;&gt; 2017-02-21-SliceDisagreementCheck.txt</v>
      </c>
      <c r="AE48" s="157" t="str">
        <f t="shared" si="17"/>
        <v>start /low /b %USERPROFILE%\Documents\GitHub\eaglep3\Utilities\DownloadLogsFromS3.py --loco 4009 --day 2017-02-22</v>
      </c>
      <c r="AF48" s="1"/>
    </row>
    <row r="49" spans="1:32" x14ac:dyDescent="0.25">
      <c r="A49" s="32">
        <v>42787.732905092591</v>
      </c>
      <c r="B49" s="30" t="s">
        <v>479</v>
      </c>
      <c r="C49" s="30" t="s">
        <v>484</v>
      </c>
      <c r="D49" s="30" t="s">
        <v>49</v>
      </c>
      <c r="E49" s="30" t="s">
        <v>188</v>
      </c>
      <c r="F49" s="43">
        <v>0</v>
      </c>
      <c r="G49" s="43">
        <v>51</v>
      </c>
      <c r="H49" s="43">
        <v>58905</v>
      </c>
      <c r="I49" s="43">
        <v>58943</v>
      </c>
      <c r="J49" s="30" t="s">
        <v>189</v>
      </c>
      <c r="K49" s="43">
        <v>59048</v>
      </c>
      <c r="L49" s="143" t="s">
        <v>50</v>
      </c>
      <c r="M49" s="144">
        <f t="shared" si="9"/>
        <v>55.44</v>
      </c>
      <c r="N49" s="145" t="str">
        <f>VLOOKUP(C49,'Trips&amp;Operators'!$C$1:$G$99999,5,FALSE)</f>
        <v>LEVIN SCOTT</v>
      </c>
      <c r="O49" s="171" t="s">
        <v>185</v>
      </c>
      <c r="P49" s="146"/>
      <c r="Q49" s="30"/>
      <c r="R49" s="89" t="str">
        <f>VLOOKUP(C49,'Train Runs'!$A$13:$AE$9940,31,0)</f>
        <v>aws s3 cp s3://rtdc.mdm.uploadarchive.raw/RTDC4031/ "%USERPROFILE%\AppData\Local\Temp\OnboardLogs"\RTDC4031\2017-02-21 --exclude "*" --recursive --include "*20170221*" &amp; "%USERPROFILE%\Documents\GitHub\mrs-test-scripts\Headless Mode &amp; Sideloading\WalkAndUnGZ.bat" "%USERPROFILE%\AppData\Local\Temp\OnboardLogs"\RTDC4031\2017-02-21 &amp; aws s3 cp s3://rtdc.mdm.uploadarchive.raw/RTDC4031/ "%USERPROFILE%\AppData\Local\Temp\OnboardLogs"\RTDC4031\2017-02-22 --exclude "*" --recursive --include "*20170222*" &amp; "%USERPROFILE%\Documents\GitHub\mrs-test-scripts\Headless Mode &amp; Sideloading\WalkAndUnGZ.bat" "%USERPROFILE%\AppData\Local\Temp\OnboardLogs"\RTDC4031\2017-02-22</v>
      </c>
      <c r="S49" s="92" t="str">
        <f>VLOOKUP(C49,'Train Runs'!$A$13:$AE$9940,22,0)</f>
        <v>https://d0f6bd738d7f1b3e5a7ca70fe4ff75f0.us-east-1.aws.found.io/app/kibana#/discover/Steve-Slow-Train-Analysis-(2080s-and-2083s)?_g=(refreshInterval:(display:Off,pause:!f,section:0,value:0),time:(from:'2017-02-21T16:16:04-0700',mode:absolute,to:'2017-02-21T18:35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49" s="94" t="str">
        <f t="shared" si="10"/>
        <v>"C:\Program Files (x86)\AstroGrep\AstroGrep.exe" /spath="%USERPROFILE%\AppData\Local\Temp\OnboardLogs" /stypes="*4031*201702220*" /stext=" 00:.+((SYSTEM_STATE.+slice.+state.+changed )|(ment ac)|(multiple cpu faults)|(system.+state.+changed )|(\[timeout)|(PRM\|1\|D)|(kpr)|(kdp)|(\|lc)|(penalty))" /e /r /s</v>
      </c>
      <c r="U49" s="9" t="str">
        <f t="shared" si="11"/>
        <v>4031</v>
      </c>
      <c r="V49" s="32">
        <f t="shared" si="12"/>
        <v>42788.024571759255</v>
      </c>
      <c r="W49" s="46" t="str">
        <f t="shared" si="13"/>
        <v>NW</v>
      </c>
      <c r="X49" s="46" t="str">
        <f t="shared" si="14"/>
        <v>KEEP</v>
      </c>
      <c r="Y49" s="108" t="str">
        <f t="shared" si="15"/>
        <v>echo {"issue":{"subject":"","project_id":79,"tracker_id":40,"status_id":1,"priority_id":2,"assigned_to_id":23,"start_date":"2017-02-21","description":"","custom_fields":[{"id":1,"name":"Subdivision","value":"NW"},{"id":4,"name":"Milepost","value":"5.9048"},{"id":17,"name":"Train ID","value":"833-21"},{"id":16,"name":"Locomotive ID","value":"4031"},{"id":130,"name":"Impact","value":""},{"id":150,"name":"Time of Event (Mountain Time)","value":"17:35:23"},{"id":151,"name":"Denver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48"/>
      <c r="AA49" s="48"/>
      <c r="AB49" s="48"/>
      <c r="AC49" s="127" t="str">
        <f t="shared" si="16"/>
        <v>grep -hSE -A400 "Enforcement Action" "%USERPROFILE%\AppData\Local\Temp\OnboardLogs"\RTDC4031\*4031*201702220*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"%USERPROFILE%\AppData\Local\Temp\OnboardLogs"\RTDC4031\*4031*201702220* &gt;&gt; 2017-02-21-SliceDisagreementCheck.txt</v>
      </c>
      <c r="AE49" s="157" t="str">
        <f t="shared" si="17"/>
        <v>start /low /b %USERPROFILE%\Documents\GitHub\eaglep3\Utilities\DownloadLogsFromS3.py --loco 4031 --day 2017-02-22</v>
      </c>
      <c r="AF49" s="1"/>
    </row>
    <row r="50" spans="1:32" x14ac:dyDescent="0.25">
      <c r="A50" s="32">
        <v>42787.899259259262</v>
      </c>
      <c r="B50" s="30" t="s">
        <v>479</v>
      </c>
      <c r="C50" s="30" t="s">
        <v>488</v>
      </c>
      <c r="D50" s="30" t="s">
        <v>49</v>
      </c>
      <c r="E50" s="30" t="s">
        <v>188</v>
      </c>
      <c r="F50" s="43">
        <v>0</v>
      </c>
      <c r="G50" s="43">
        <v>30</v>
      </c>
      <c r="H50" s="43">
        <v>58980</v>
      </c>
      <c r="I50" s="43">
        <v>58997</v>
      </c>
      <c r="J50" s="30" t="s">
        <v>189</v>
      </c>
      <c r="K50" s="43">
        <v>59048</v>
      </c>
      <c r="L50" s="143" t="s">
        <v>50</v>
      </c>
      <c r="M50" s="144">
        <f t="shared" si="9"/>
        <v>26.928000000000001</v>
      </c>
      <c r="N50" s="145" t="str">
        <f>VLOOKUP(C50,'Trips&amp;Operators'!$C$1:$G$99999,5,FALSE)</f>
        <v>HILLS DUSTIN</v>
      </c>
      <c r="O50" s="171" t="s">
        <v>340</v>
      </c>
      <c r="P50" s="146" t="s">
        <v>454</v>
      </c>
      <c r="Q50" s="30"/>
      <c r="R50" s="89" t="str">
        <f>VLOOKUP(C50,'Train Runs'!$A$13:$AE$9940,31,0)</f>
        <v>aws s3 cp s3://rtdc.mdm.uploadarchive.raw/RTDC4031/ "%USERPROFILE%\AppData\Local\Temp\OnboardLogs"\RTDC4031\2017-02-21 --exclude "*" --recursive --include "*20170221*" &amp; "%USERPROFILE%\Documents\GitHub\mrs-test-scripts\Headless Mode &amp; Sideloading\WalkAndUnGZ.bat" "%USERPROFILE%\AppData\Local\Temp\OnboardLogs"\RTDC4031\2017-02-21 &amp; aws s3 cp s3://rtdc.mdm.uploadarchive.raw/RTDC4031/ "%USERPROFILE%\AppData\Local\Temp\OnboardLogs"\RTDC4031\2017-02-22 --exclude "*" --recursive --include "*20170222*" &amp; "%USERPROFILE%\Documents\GitHub\mrs-test-scripts\Headless Mode &amp; Sideloading\WalkAndUnGZ.bat" "%USERPROFILE%\AppData\Local\Temp\OnboardLogs"\RTDC4031\2017-02-22</v>
      </c>
      <c r="S50" s="92" t="str">
        <f>VLOOKUP(C50,'Train Runs'!$A$13:$AE$9940,22,0)</f>
        <v>https://d0f6bd738d7f1b3e5a7ca70fe4ff75f0.us-east-1.aws.found.io/app/kibana#/discover/Steve-Slow-Train-Analysis-(2080s-and-2083s)?_g=(refreshInterval:(display:Off,pause:!f,section:0,value:0),time:(from:'2017-02-21T20:00:00-0700',mode:absolute,to:'2017-02-21T22:34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50" s="94" t="str">
        <f t="shared" si="10"/>
        <v>"C:\Program Files (x86)\AstroGrep\AstroGrep.exe" /spath="%USERPROFILE%\AppData\Local\Temp\OnboardLogs" /stypes="*4031*201702220*" /stext=" 04:.+((SYSTEM_STATE.+slice.+state.+changed )|(ment ac)|(multiple cpu faults)|(system.+state.+changed )|(\[timeout)|(PRM\|1\|D)|(kpr)|(kdp)|(\|lc)|(penalty))" /e /r /s</v>
      </c>
      <c r="U50" s="9" t="str">
        <f t="shared" si="11"/>
        <v>4031</v>
      </c>
      <c r="V50" s="32">
        <f t="shared" si="12"/>
        <v>42788.190925925926</v>
      </c>
      <c r="W50" s="46" t="str">
        <f t="shared" si="13"/>
        <v>NW</v>
      </c>
      <c r="X50" s="46" t="str">
        <f t="shared" si="14"/>
        <v>KEEP</v>
      </c>
      <c r="Y50" s="108" t="str">
        <f t="shared" si="15"/>
        <v>echo {"issue":{"subject":"Banner w/o braking","project_id":79,"tracker_id":40,"status_id":1,"priority_id":2,"assigned_to_id":23,"start_date":"2017-02-21","description":"","custom_fields":[{"id":1,"name":"Subdivision","value":"NW"},{"id":4,"name":"Milepost","value":"5.9048"},{"id":17,"name":"Train ID","value":"845-21"},{"id":16,"name":"Locomotive ID","value":"4031"},{"id":130,"name":"Impact","value":""},{"id":150,"name":"Time of Event (Mountain Time)","value":"21:34:56"},{"id":151,"name":"Denver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48"/>
      <c r="AA50" s="48"/>
      <c r="AB50" s="48"/>
      <c r="AC50" s="127" t="str">
        <f t="shared" si="16"/>
        <v>grep -hSE -A400 "Enforcement Action" "%USERPROFILE%\AppData\Local\Temp\OnboardLogs"\RTDC4031\*4031*201702220*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"%USERPROFILE%\AppData\Local\Temp\OnboardLogs"\RTDC4031\*4031*201702220* &gt;&gt; 2017-02-21-SliceDisagreementCheck.txt</v>
      </c>
      <c r="AE50" s="157" t="str">
        <f t="shared" si="17"/>
        <v>start /low /b %USERPROFILE%\Documents\GitHub\eaglep3\Utilities\DownloadLogsFromS3.py --loco 4031 --day 2017-02-22</v>
      </c>
      <c r="AF50" s="1"/>
    </row>
    <row r="51" spans="1:32" x14ac:dyDescent="0.25">
      <c r="A51" s="32">
        <v>42787.94127314815</v>
      </c>
      <c r="B51" s="30" t="s">
        <v>479</v>
      </c>
      <c r="C51" s="30" t="s">
        <v>491</v>
      </c>
      <c r="D51" s="30" t="s">
        <v>49</v>
      </c>
      <c r="E51" s="30" t="s">
        <v>188</v>
      </c>
      <c r="F51" s="43">
        <v>0</v>
      </c>
      <c r="G51" s="43">
        <v>41</v>
      </c>
      <c r="H51" s="43">
        <v>58977</v>
      </c>
      <c r="I51" s="43">
        <v>59007</v>
      </c>
      <c r="J51" s="30" t="s">
        <v>189</v>
      </c>
      <c r="K51" s="43">
        <v>59058</v>
      </c>
      <c r="L51" s="143" t="s">
        <v>50</v>
      </c>
      <c r="M51" s="144">
        <f t="shared" si="9"/>
        <v>26.928000000000001</v>
      </c>
      <c r="N51" s="145" t="str">
        <f>VLOOKUP(C51,'Trips&amp;Operators'!$C$1:$G$99999,5,FALSE)</f>
        <v>HILLS DUSTIN</v>
      </c>
      <c r="O51" s="171" t="s">
        <v>340</v>
      </c>
      <c r="P51" s="146" t="s">
        <v>454</v>
      </c>
      <c r="Q51" s="30"/>
      <c r="R51" s="89" t="str">
        <f>VLOOKUP(C51,'Train Runs'!$A$13:$AE$9940,31,0)</f>
        <v>aws s3 cp s3://rtdc.mdm.uploadarchive.raw/RTDC4031/ "%USERPROFILE%\AppData\Local\Temp\OnboardLogs"\RTDC4031\2017-02-21 --exclude "*" --recursive --include "*20170221*" &amp; "%USERPROFILE%\Documents\GitHub\mrs-test-scripts\Headless Mode &amp; Sideloading\WalkAndUnGZ.bat" "%USERPROFILE%\AppData\Local\Temp\OnboardLogs"\RTDC4031\2017-02-21 &amp; aws s3 cp s3://rtdc.mdm.uploadarchive.raw/RTDC4031/ "%USERPROFILE%\AppData\Local\Temp\OnboardLogs"\RTDC4031\2017-02-22 --exclude "*" --recursive --include "*20170222*" &amp; "%USERPROFILE%\Documents\GitHub\mrs-test-scripts\Headless Mode &amp; Sideloading\WalkAndUnGZ.bat" "%USERPROFILE%\AppData\Local\Temp\OnboardLogs"\RTDC4031\2017-02-22</v>
      </c>
      <c r="S51" s="92" t="str">
        <f>VLOOKUP(C51,'Train Runs'!$A$13:$AE$9940,22,0)</f>
        <v>https://d0f6bd738d7f1b3e5a7ca70fe4ff75f0.us-east-1.aws.found.io/app/kibana#/discover/Steve-Slow-Train-Analysis-(2080s-and-2083s)?_g=(refreshInterval:(display:Off,pause:!f,section:0,value:0),time:(from:'2017-02-21T20:58:16-0700',mode:absolute,to:'2017-02-21T23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51" s="94" t="str">
        <f t="shared" si="10"/>
        <v>"C:\Program Files (x86)\AstroGrep\AstroGrep.exe" /spath="%USERPROFILE%\AppData\Local\Temp\OnboardLogs" /stypes="*4031*201702220*" /stext=" 05:.+((SYSTEM_STATE.+slice.+state.+changed )|(ment ac)|(multiple cpu faults)|(system.+state.+changed )|(\[timeout)|(PRM\|1\|D)|(kpr)|(kdp)|(\|lc)|(penalty))" /e /r /s</v>
      </c>
      <c r="U51" s="9" t="str">
        <f t="shared" si="11"/>
        <v>4031</v>
      </c>
      <c r="V51" s="32">
        <f t="shared" si="12"/>
        <v>42788.232939814814</v>
      </c>
      <c r="W51" s="46" t="str">
        <f t="shared" si="13"/>
        <v>NW</v>
      </c>
      <c r="X51" s="46" t="str">
        <f t="shared" si="14"/>
        <v>KEEP</v>
      </c>
      <c r="Y51" s="108" t="str">
        <f t="shared" si="15"/>
        <v>echo {"issue":{"subject":"Banner w/o braking","project_id":79,"tracker_id":40,"status_id":1,"priority_id":2,"assigned_to_id":23,"start_date":"2017-02-21","description":"","custom_fields":[{"id":1,"name":"Subdivision","value":"NW"},{"id":4,"name":"Milepost","value":"5.9058"},{"id":17,"name":"Train ID","value":"847-21"},{"id":16,"name":"Locomotive ID","value":"4031"},{"id":130,"name":"Impact","value":""},{"id":150,"name":"Time of Event (Mountain Time)","value":"22:35:26"},{"id":151,"name":"Denver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48"/>
      <c r="AA51" s="48"/>
      <c r="AB51" s="48"/>
      <c r="AC51" s="127" t="str">
        <f t="shared" si="16"/>
        <v>grep -hSE -A400 "Enforcement Action" "%USERPROFILE%\AppData\Local\Temp\OnboardLogs"\RTDC4031\*4031*201702220*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"%USERPROFILE%\AppData\Local\Temp\OnboardLogs"\RTDC4031\*4031*201702220* &gt;&gt; 2017-02-21-SliceDisagreementCheck.txt</v>
      </c>
      <c r="AE51" s="157" t="str">
        <f t="shared" si="17"/>
        <v>start /low /b %USERPROFILE%\Documents\GitHub\eaglep3\Utilities\DownloadLogsFromS3.py --loco 4031 --day 2017-02-22</v>
      </c>
      <c r="AF51" s="1"/>
    </row>
    <row r="52" spans="1:32" x14ac:dyDescent="0.25">
      <c r="A52" s="32">
        <v>42787.998993055553</v>
      </c>
      <c r="B52" s="30" t="s">
        <v>403</v>
      </c>
      <c r="C52" s="30" t="s">
        <v>492</v>
      </c>
      <c r="D52" s="30" t="s">
        <v>49</v>
      </c>
      <c r="E52" s="30" t="s">
        <v>197</v>
      </c>
      <c r="F52" s="43">
        <v>350</v>
      </c>
      <c r="G52" s="43">
        <v>414</v>
      </c>
      <c r="H52" s="43">
        <v>8151</v>
      </c>
      <c r="I52" s="43">
        <v>9608</v>
      </c>
      <c r="J52" s="30" t="s">
        <v>198</v>
      </c>
      <c r="K52" s="43">
        <v>10714</v>
      </c>
      <c r="L52" s="143" t="s">
        <v>50</v>
      </c>
      <c r="M52" s="144">
        <f t="shared" si="9"/>
        <v>583.96799999999996</v>
      </c>
      <c r="N52" s="145" t="str">
        <f>VLOOKUP(C52,'Trips&amp;Operators'!$C$1:$G$99999,5,FALSE)</f>
        <v>YANG JAN</v>
      </c>
      <c r="O52" s="171" t="s">
        <v>185</v>
      </c>
      <c r="P52" s="146"/>
      <c r="Q52" s="30"/>
      <c r="R52" s="89" t="str">
        <f>VLOOKUP(C52,'Train Runs'!$A$13:$AE$9940,31,0)</f>
        <v>aws s3 cp s3://rtdc.mdm.uploadarchive.raw/RTDC4049/ "%USERPROFILE%\AppData\Local\Temp\OnboardLogs"\RTDC4049\2017-02-21 --exclude "*" --recursive --include "*20170221*" &amp; "%USERPROFILE%\Documents\GitHub\mrs-test-scripts\Headless Mode &amp; Sideloading\WalkAndUnGZ.bat" "%USERPROFILE%\AppData\Local\Temp\OnboardLogs"\RTDC4049\2017-02-21 &amp; aws s3 cp s3://rtdc.mdm.uploadarchive.raw/RTDC4049/ "%USERPROFILE%\AppData\Local\Temp\OnboardLogs"\RTDC4049\2017-02-22 --exclude "*" --recursive --include "*20170222*" &amp; "%USERPROFILE%\Documents\GitHub\mrs-test-scripts\Headless Mode &amp; Sideloading\WalkAndUnGZ.bat" "%USERPROFILE%\AppData\Local\Temp\OnboardLogs"\RTDC4049\2017-02-22</v>
      </c>
      <c r="S52" s="92" t="str">
        <f>VLOOKUP(C52,'Train Runs'!$A$13:$AE$9940,22,0)</f>
        <v>https://d0f6bd738d7f1b3e5a7ca70fe4ff75f0.us-east-1.aws.found.io/app/kibana#/discover/Steve-Slow-Train-Analysis-(2080s-and-2083s)?_g=(refreshInterval:(display:Off,pause:!f,section:0,value:0),time:(from:'2017-02-21T21:49:03-0700',mode:absolute,to:'2017-02-22T00:39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52" s="94" t="str">
        <f t="shared" si="10"/>
        <v>"C:\Program Files (x86)\AstroGrep\AstroGrep.exe" /spath="%USERPROFILE%\AppData\Local\Temp\OnboardLogs" /stypes="*4049*201702220*" /stext=" 06:.+((SYSTEM_STATE.+slice.+state.+changed )|(ment ac)|(multiple cpu faults)|(system.+state.+changed )|(\[timeout)|(PRM\|1\|D)|(kpr)|(kdp)|(\|lc)|(penalty))" /e /r /s</v>
      </c>
      <c r="U52" s="9" t="str">
        <f t="shared" si="11"/>
        <v>4049</v>
      </c>
      <c r="V52" s="32">
        <f t="shared" si="12"/>
        <v>42788.290659722217</v>
      </c>
      <c r="W52" s="46" t="str">
        <f t="shared" si="13"/>
        <v>Other</v>
      </c>
      <c r="X52" s="46" t="str">
        <f t="shared" si="14"/>
        <v>KEEP</v>
      </c>
      <c r="Y52" s="108" t="str">
        <f t="shared" si="15"/>
        <v>echo {"issue":{"subject":"","project_id":79,"tracker_id":40,"status_id":1,"priority_id":2,"assigned_to_id":23,"start_date":"2017-02-21","description":"","custom_fields":[{"id":1,"name":"Subdivision","value":"Other"},{"id":4,"name":"Milepost","value":"1.0714"},{"id":17,"name":"Train ID","value":"PTCTESTNORTH-21"},{"id":16,"name":"Locomotive ID","value":"4049"},{"id":130,"name":"Impact","value":""},{"id":150,"name":"Time of Event (Mountain Time)","value":"23:58:33"},{"id":151,"name":"Denver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48"/>
      <c r="AA52" s="48"/>
      <c r="AB52" s="48"/>
      <c r="AC52" s="127" t="str">
        <f t="shared" si="16"/>
        <v>grep -hSE -A400 "Enforcement Action" "%USERPROFILE%\AppData\Local\Temp\OnboardLogs"\RTDC4049\*4049*201702220* | grep -SE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"%USERPROFILE%\AppData\Local\Temp\OnboardLogs"\RTDC4049\*4049*201702220* &gt;&gt; 2017-02-21-SliceDisagreementCheck.txt</v>
      </c>
      <c r="AE52" s="157" t="str">
        <f t="shared" si="17"/>
        <v>start /low /b %USERPROFILE%\Documents\GitHub\eaglep3\Utilities\DownloadLogsFromS3.py --loco 4049 --day 2017-02-22</v>
      </c>
      <c r="AF52" s="1"/>
    </row>
    <row r="53" spans="1:32" x14ac:dyDescent="0.25">
      <c r="A53" s="32">
        <v>42787.962627314817</v>
      </c>
      <c r="B53" s="30" t="s">
        <v>403</v>
      </c>
      <c r="C53" s="30" t="s">
        <v>492</v>
      </c>
      <c r="D53" s="30" t="s">
        <v>98</v>
      </c>
      <c r="E53" s="30" t="s">
        <v>186</v>
      </c>
      <c r="F53" s="43">
        <v>0</v>
      </c>
      <c r="G53" s="43">
        <v>116</v>
      </c>
      <c r="H53" s="43">
        <v>24222</v>
      </c>
      <c r="I53" s="43">
        <v>24347</v>
      </c>
      <c r="J53" s="30" t="s">
        <v>187</v>
      </c>
      <c r="K53" s="43">
        <v>27253</v>
      </c>
      <c r="L53" s="143" t="s">
        <v>51</v>
      </c>
      <c r="M53" s="144">
        <f t="shared" si="9"/>
        <v>-1534.3679999999999</v>
      </c>
      <c r="N53" s="145" t="str">
        <f>VLOOKUP(C53,'Trips&amp;Operators'!$C$1:$G$99999,5,FALSE)</f>
        <v>YANG JAN</v>
      </c>
      <c r="O53" s="171" t="s">
        <v>185</v>
      </c>
      <c r="P53" s="146"/>
      <c r="Q53" s="30"/>
      <c r="R53" s="89" t="str">
        <f>VLOOKUP(C53,'Train Runs'!$A$13:$AE$9940,31,0)</f>
        <v>aws s3 cp s3://rtdc.mdm.uploadarchive.raw/RTDC4049/ "%USERPROFILE%\AppData\Local\Temp\OnboardLogs"\RTDC4049\2017-02-21 --exclude "*" --recursive --include "*20170221*" &amp; "%USERPROFILE%\Documents\GitHub\mrs-test-scripts\Headless Mode &amp; Sideloading\WalkAndUnGZ.bat" "%USERPROFILE%\AppData\Local\Temp\OnboardLogs"\RTDC4049\2017-02-21 &amp; aws s3 cp s3://rtdc.mdm.uploadarchive.raw/RTDC4049/ "%USERPROFILE%\AppData\Local\Temp\OnboardLogs"\RTDC4049\2017-02-22 --exclude "*" --recursive --include "*20170222*" &amp; "%USERPROFILE%\Documents\GitHub\mrs-test-scripts\Headless Mode &amp; Sideloading\WalkAndUnGZ.bat" "%USERPROFILE%\AppData\Local\Temp\OnboardLogs"\RTDC4049\2017-02-22</v>
      </c>
      <c r="S53" s="92" t="str">
        <f>VLOOKUP(C53,'Train Runs'!$A$13:$AE$9940,22,0)</f>
        <v>https://d0f6bd738d7f1b3e5a7ca70fe4ff75f0.us-east-1.aws.found.io/app/kibana#/discover/Steve-Slow-Train-Analysis-(2080s-and-2083s)?_g=(refreshInterval:(display:Off,pause:!f,section:0,value:0),time:(from:'2017-02-21T21:49:03-0700',mode:absolute,to:'2017-02-22T00:39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53" s="94" t="str">
        <f t="shared" si="10"/>
        <v>"C:\Program Files (x86)\AstroGrep\AstroGrep.exe" /spath="%USERPROFILE%\AppData\Local\Temp\OnboardLogs" /stypes="*4049*201702220*" /stext=" 06:.+((SYSTEM_STATE.+slice.+state.+changed )|(ment ac)|(multiple cpu faults)|(system.+state.+changed )|(\[timeout)|(PRM\|1\|D)|(kpr)|(kdp)|(\|lc)|(penalty))" /e /r /s</v>
      </c>
      <c r="U53" s="9" t="str">
        <f t="shared" si="11"/>
        <v>4049</v>
      </c>
      <c r="V53" s="32">
        <f t="shared" si="12"/>
        <v>42788.254293981481</v>
      </c>
      <c r="W53" s="46" t="str">
        <f t="shared" si="13"/>
        <v>Other</v>
      </c>
      <c r="X53" s="46" t="str">
        <f t="shared" si="14"/>
        <v>KEEP</v>
      </c>
      <c r="Y53" s="108" t="str">
        <f t="shared" si="15"/>
        <v>echo {"issue":{"subject":"","project_id":79,"tracker_id":40,"status_id":1,"priority_id":2,"assigned_to_id":23,"start_date":"2017-02-21","description":"","custom_fields":[{"id":1,"name":"Subdivision","value":"Other"},{"id":4,"name":"Milepost","value":"2.7253"},{"id":17,"name":"Train ID","value":"PTCTESTNORTH-21"},{"id":16,"name":"Locomotive ID","value":"4049"},{"id":130,"name":"Impact","value":""},{"id":150,"name":"Time of Event (Mountain Time)","value":"23:06:11"},{"id":151,"name":"Denver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48"/>
      <c r="AA53" s="48"/>
      <c r="AB53" s="48"/>
      <c r="AC53" s="127" t="str">
        <f t="shared" si="16"/>
        <v>grep -hSE -A400 "Enforcement Action" "%USERPROFILE%\AppData\Local\Temp\OnboardLogs"\RTDC4049\*4049*201702220* | grep -SE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"%USERPROFILE%\AppData\Local\Temp\OnboardLogs"\RTDC4049\*4049*201702220* &gt;&gt; 2017-02-21-SliceDisagreementCheck.txt</v>
      </c>
      <c r="AE53" s="157" t="str">
        <f t="shared" si="17"/>
        <v>start /low /b %USERPROFILE%\Documents\GitHub\eaglep3\Utilities\DownloadLogsFromS3.py --loco 4049 --day 2017-02-22</v>
      </c>
      <c r="AF53" s="1"/>
    </row>
    <row r="54" spans="1:32" x14ac:dyDescent="0.25">
      <c r="A54" s="32">
        <v>42787.971030092594</v>
      </c>
      <c r="B54" s="30" t="s">
        <v>401</v>
      </c>
      <c r="C54" s="30" t="s">
        <v>494</v>
      </c>
      <c r="D54" s="30" t="s">
        <v>49</v>
      </c>
      <c r="E54" s="30" t="s">
        <v>188</v>
      </c>
      <c r="F54" s="43">
        <v>0</v>
      </c>
      <c r="G54" s="43">
        <v>27</v>
      </c>
      <c r="H54" s="43">
        <v>911</v>
      </c>
      <c r="I54" s="43">
        <v>900</v>
      </c>
      <c r="J54" s="30" t="s">
        <v>189</v>
      </c>
      <c r="K54" s="43">
        <v>826</v>
      </c>
      <c r="L54" s="143" t="s">
        <v>51</v>
      </c>
      <c r="M54" s="144">
        <f t="shared" si="9"/>
        <v>39.072000000000003</v>
      </c>
      <c r="N54" s="145" t="str">
        <f>VLOOKUP(C54,'Trips&amp;Operators'!$C$1:$G$99999,5,FALSE)</f>
        <v>DUNCAN SHEILA</v>
      </c>
      <c r="O54" s="171" t="s">
        <v>185</v>
      </c>
      <c r="P54" s="146"/>
      <c r="Q54" s="30"/>
      <c r="R54" s="89" t="str">
        <f>VLOOKUP(C54,'Train Runs'!$A$13:$AE$9940,31,0)</f>
        <v>aws s3 cp s3://rtdc.mdm.uploadarchive.raw/RTDC4050/ "%USERPROFILE%\AppData\Local\Temp\OnboardLogs"\RTDC4050\2017-02-21 --exclude "*" --recursive --include "*20170221*" &amp; "%USERPROFILE%\Documents\GitHub\mrs-test-scripts\Headless Mode &amp; Sideloading\WalkAndUnGZ.bat" "%USERPROFILE%\AppData\Local\Temp\OnboardLogs"\RTDC4050\2017-02-21 &amp; aws s3 cp s3://rtdc.mdm.uploadarchive.raw/RTDC4050/ "%USERPROFILE%\AppData\Local\Temp\OnboardLogs"\RTDC4050\2017-02-22 --exclude "*" --recursive --include "*20170222*" &amp; "%USERPROFILE%\Documents\GitHub\mrs-test-scripts\Headless Mode &amp; Sideloading\WalkAndUnGZ.bat" "%USERPROFILE%\AppData\Local\Temp\OnboardLogs"\RTDC4050\2017-02-22</v>
      </c>
      <c r="S54" s="92" t="str">
        <f>VLOOKUP(C54,'Train Runs'!$A$13:$AE$9940,22,0)</f>
        <v>https://d0f6bd738d7f1b3e5a7ca70fe4ff75f0.us-east-1.aws.found.io/app/kibana#/discover/Steve-Slow-Train-Analysis-(2080s-and-2083s)?_g=(refreshInterval:(display:Off,pause:!f,section:0,value:0),time:(from:'2017-02-21T21:35:56-0700',mode:absolute,to:'2017-02-22T00:18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54" s="94" t="str">
        <f t="shared" si="10"/>
        <v>"C:\Program Files (x86)\AstroGrep\AstroGrep.exe" /spath="%USERPROFILE%\AppData\Local\Temp\OnboardLogs" /stypes="*4050*201702220*" /stext=" 06:.+((SYSTEM_STATE.+slice.+state.+changed )|(ment ac)|(multiple cpu faults)|(system.+state.+changed )|(\[timeout)|(PRM\|1\|D)|(kpr)|(kdp)|(\|lc)|(penalty))" /e /r /s</v>
      </c>
      <c r="U54" s="9" t="str">
        <f t="shared" si="11"/>
        <v>4050</v>
      </c>
      <c r="V54" s="32">
        <f t="shared" si="12"/>
        <v>42788.262696759259</v>
      </c>
      <c r="W54" s="46" t="str">
        <f t="shared" si="13"/>
        <v>Other</v>
      </c>
      <c r="X54" s="46" t="str">
        <f t="shared" si="14"/>
        <v>KEEP</v>
      </c>
      <c r="Y54" s="108" t="str">
        <f t="shared" si="15"/>
        <v>echo {"issue":{"subject":"","project_id":79,"tracker_id":40,"status_id":1,"priority_id":2,"assigned_to_id":23,"start_date":"2017-02-21","description":"","custom_fields":[{"id":1,"name":"Subdivision","value":"Other"},{"id":4,"name":"Milepost","value":"0.0826"},{"id":17,"name":"Train ID","value":"PTCTESTSOUTH-21"},{"id":16,"name":"Locomotive ID","value":"4050"},{"id":130,"name":"Impact","value":""},{"id":150,"name":"Time of Event (Mountain Time)","value":"23:18:17"},{"id":151,"name":"Denver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48"/>
      <c r="AA54" s="48"/>
      <c r="AB54" s="48"/>
      <c r="AC54" s="127" t="str">
        <f t="shared" si="16"/>
        <v>grep -hSE -A400 "Enforcement Action" "%USERPROFILE%\AppData\Local\Temp\OnboardLogs"\RTDC4050\*4050*201702220* | grep -SE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"%USERPROFILE%\AppData\Local\Temp\OnboardLogs"\RTDC4050\*4050*201702220* &gt;&gt; 2017-02-21-SliceDisagreementCheck.txt</v>
      </c>
      <c r="AE54" s="157" t="str">
        <f t="shared" si="17"/>
        <v>start /low /b %USERPROFILE%\Documents\GitHub\eaglep3\Utilities\DownloadLogsFromS3.py --loco 4050 --day 2017-02-22</v>
      </c>
      <c r="AF54" s="1"/>
    </row>
    <row r="55" spans="1:32" x14ac:dyDescent="0.25">
      <c r="A55" s="32">
        <v>42788.023564814815</v>
      </c>
      <c r="B55" s="30" t="s">
        <v>401</v>
      </c>
      <c r="C55" s="30" t="s">
        <v>494</v>
      </c>
      <c r="D55" s="30" t="s">
        <v>49</v>
      </c>
      <c r="E55" s="30" t="s">
        <v>188</v>
      </c>
      <c r="F55" s="43">
        <v>0</v>
      </c>
      <c r="G55" s="43">
        <v>19</v>
      </c>
      <c r="H55" s="43">
        <v>913</v>
      </c>
      <c r="I55" s="43">
        <v>908</v>
      </c>
      <c r="J55" s="30" t="s">
        <v>189</v>
      </c>
      <c r="K55" s="43">
        <v>826</v>
      </c>
      <c r="L55" s="143" t="s">
        <v>51</v>
      </c>
      <c r="M55" s="144">
        <f t="shared" si="9"/>
        <v>43.296000000000006</v>
      </c>
      <c r="N55" s="145" t="str">
        <f>VLOOKUP(C55,'Trips&amp;Operators'!$C$1:$G$99999,5,FALSE)</f>
        <v>DUNCAN SHEILA</v>
      </c>
      <c r="O55" s="171" t="s">
        <v>185</v>
      </c>
      <c r="P55" s="146"/>
      <c r="Q55" s="30"/>
      <c r="R55" s="89" t="str">
        <f>VLOOKUP(C55,'Train Runs'!$A$13:$AE$9940,31,0)</f>
        <v>aws s3 cp s3://rtdc.mdm.uploadarchive.raw/RTDC4050/ "%USERPROFILE%\AppData\Local\Temp\OnboardLogs"\RTDC4050\2017-02-21 --exclude "*" --recursive --include "*20170221*" &amp; "%USERPROFILE%\Documents\GitHub\mrs-test-scripts\Headless Mode &amp; Sideloading\WalkAndUnGZ.bat" "%USERPROFILE%\AppData\Local\Temp\OnboardLogs"\RTDC4050\2017-02-21 &amp; aws s3 cp s3://rtdc.mdm.uploadarchive.raw/RTDC4050/ "%USERPROFILE%\AppData\Local\Temp\OnboardLogs"\RTDC4050\2017-02-22 --exclude "*" --recursive --include "*20170222*" &amp; "%USERPROFILE%\Documents\GitHub\mrs-test-scripts\Headless Mode &amp; Sideloading\WalkAndUnGZ.bat" "%USERPROFILE%\AppData\Local\Temp\OnboardLogs"\RTDC4050\2017-02-22</v>
      </c>
      <c r="S55" s="92" t="str">
        <f>VLOOKUP(C55,'Train Runs'!$A$13:$AE$9940,22,0)</f>
        <v>https://d0f6bd738d7f1b3e5a7ca70fe4ff75f0.us-east-1.aws.found.io/app/kibana#/discover/Steve-Slow-Train-Analysis-(2080s-and-2083s)?_g=(refreshInterval:(display:Off,pause:!f,section:0,value:0),time:(from:'2017-02-21T21:35:56-0700',mode:absolute,to:'2017-02-22T00:18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55" s="94" t="str">
        <f t="shared" si="10"/>
        <v>"C:\Program Files (x86)\AstroGrep\AstroGrep.exe" /spath="%USERPROFILE%\AppData\Local\Temp\OnboardLogs" /stypes="*4050*201702220*" /stext=" 07:.+((SYSTEM_STATE.+slice.+state.+changed )|(ment ac)|(multiple cpu faults)|(system.+state.+changed )|(\[timeout)|(PRM\|1\|D)|(kpr)|(kdp)|(\|lc)|(penalty))" /e /r /s</v>
      </c>
      <c r="U55" s="9" t="str">
        <f t="shared" si="11"/>
        <v>4050</v>
      </c>
      <c r="V55" s="32">
        <f t="shared" si="12"/>
        <v>42788.31523148148</v>
      </c>
      <c r="W55" s="46" t="str">
        <f t="shared" si="13"/>
        <v>Other</v>
      </c>
      <c r="X55" s="46" t="str">
        <f t="shared" si="14"/>
        <v>KEEP</v>
      </c>
      <c r="Y55" s="108" t="str">
        <f t="shared" si="15"/>
        <v>echo {"issue":{"subject":"","project_id":79,"tracker_id":40,"status_id":1,"priority_id":2,"assigned_to_id":23,"start_date":"2017-02-22","description":"","custom_fields":[{"id":1,"name":"Subdivision","value":"Other"},{"id":4,"name":"Milepost","value":"0.0826"},{"id":17,"name":"Train ID","value":"PTCTESTSOUTH-21"},{"id":16,"name":"Locomotive ID","value":"4050"},{"id":130,"name":"Impact","value":""},{"id":150,"name":"Time of Event (Mountain Time)","value":"00:33:56"},{"id":151,"name":"Denver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48"/>
      <c r="AA55" s="48"/>
      <c r="AB55" s="48"/>
      <c r="AC55" s="127" t="str">
        <f t="shared" si="16"/>
        <v>grep -hSE -A400 "Enforcement Action" "%USERPROFILE%\AppData\Local\Temp\OnboardLogs"\RTDC4050\*4050*201702220* | grep -SE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"%USERPROFILE%\AppData\Local\Temp\OnboardLogs"\RTDC4050\*4050*201702220* &gt;&gt; 2017-02-21-SliceDisagreementCheck.txt</v>
      </c>
      <c r="AE55" s="157" t="str">
        <f t="shared" si="17"/>
        <v>start /low /b %USERPROFILE%\Documents\GitHub\eaglep3\Utilities\DownloadLogsFromS3.py --loco 4050 --day 2017-02-22</v>
      </c>
      <c r="AF55" s="1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</sheetData>
  <autoFilter ref="A6:AC56">
    <sortState ref="A7:AC56">
      <sortCondition ref="V6:V56"/>
    </sortState>
  </autoFilter>
  <sortState ref="A7:AE55">
    <sortCondition ref="W7:W55"/>
    <sortCondition ref="E7:E55"/>
    <sortCondition ref="K7:K55"/>
    <sortCondition ref="C7:C55"/>
    <sortCondition ref="F7:F55"/>
  </sortState>
  <mergeCells count="1">
    <mergeCell ref="A5:O5"/>
  </mergeCells>
  <conditionalFormatting sqref="O6:P6 R6 O57:O1048576 O7:O55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5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AA7:AA55</xm:sqref>
        </x14:dataValidation>
        <x14:dataValidation type="list" allowBlank="1" showInputMessage="1" showErrorMessage="1">
          <x14:formula1>
            <xm:f>'Redmine List Values'!$C$2:$C$15</xm:f>
          </x14:formula1>
          <xm:sqref>AB7:AB55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16"/>
  <sheetViews>
    <sheetView workbookViewId="0">
      <selection activeCell="A3" sqref="A3:XFD3"/>
    </sheetView>
  </sheetViews>
  <sheetFormatPr defaultRowHeight="15" x14ac:dyDescent="0.25"/>
  <cols>
    <col min="1" max="1" width="9.140625" style="176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6"/>
      <c r="B1" s="173" t="str">
        <f>"Trips that did not appear in PTC Data "&amp;TEXT(Variables!$A$2,"YYYY-mm-dd")</f>
        <v>Trips that did not appear in PTC Data 2017-02-21</v>
      </c>
      <c r="C1" s="173"/>
      <c r="D1" s="173"/>
      <c r="E1" s="173"/>
      <c r="F1" s="173"/>
    </row>
    <row r="2" spans="1:10" s="23" customFormat="1" ht="45" x14ac:dyDescent="0.25">
      <c r="A2" s="197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93"/>
      <c r="B3" s="43" t="str">
        <f>A3&amp;"-"&amp;IF(DAY(Variables!$A$2)&lt;10,0,"")&amp;DAY(Variables!$A$2)</f>
        <v>-21</v>
      </c>
      <c r="C3" s="147"/>
      <c r="D3" s="165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30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" s="30" t="e">
        <f>VLOOKUP(B3,'Train Runs'!$A$13:$A$99937,1,FALSE)</f>
        <v>#N/A</v>
      </c>
    </row>
    <row r="4" spans="1:10" x14ac:dyDescent="0.25">
      <c r="A4" s="193"/>
      <c r="B4" s="43" t="str">
        <f>A4&amp;"-"&amp;IF(DAY(Variables!$A$2)&lt;10,0,"")&amp;DAY(Variables!$A$2)</f>
        <v>-21</v>
      </c>
      <c r="C4" s="147"/>
      <c r="D4" s="165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" s="30" t="e">
        <f>VLOOKUP(B4,'Train Runs'!$A$13:$A$99937,1,FALSE)</f>
        <v>#N/A</v>
      </c>
    </row>
    <row r="5" spans="1:10" x14ac:dyDescent="0.25">
      <c r="A5" s="193"/>
      <c r="B5" s="43" t="str">
        <f>A5&amp;"-"&amp;IF(DAY(Variables!$A$2)&lt;10,0,"")&amp;DAY(Variables!$A$2)</f>
        <v>-21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" s="30" t="e">
        <f>VLOOKUP(B5,'Train Runs'!$A$13:$A$99937,1,FALSE)</f>
        <v>#N/A</v>
      </c>
    </row>
    <row r="6" spans="1:10" x14ac:dyDescent="0.25">
      <c r="A6" s="193"/>
      <c r="B6" s="43" t="str">
        <f>A6&amp;"-"&amp;IF(DAY(Variables!$A$2)&lt;10,0,"")&amp;DAY(Variables!$A$2)</f>
        <v>-21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" s="30" t="e">
        <f>VLOOKUP(B6,'Train Runs'!$A$13:$A$99937,1,FALSE)</f>
        <v>#N/A</v>
      </c>
    </row>
    <row r="7" spans="1:10" x14ac:dyDescent="0.25">
      <c r="A7" s="193"/>
      <c r="B7" s="43" t="str">
        <f>A7&amp;"-"&amp;IF(DAY(Variables!$A$2)&lt;10,0,"")&amp;DAY(Variables!$A$2)</f>
        <v>-21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" s="30" t="e">
        <f>VLOOKUP(B7,'Train Runs'!$A$13:$A$99937,1,FALSE)</f>
        <v>#N/A</v>
      </c>
    </row>
    <row r="8" spans="1:10" x14ac:dyDescent="0.25">
      <c r="A8" s="193"/>
      <c r="B8" s="43" t="str">
        <f>A8&amp;"-"&amp;IF(DAY(Variables!$A$2)&lt;10,0,"")&amp;DAY(Variables!$A$2)</f>
        <v>-21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" s="30" t="e">
        <f>VLOOKUP(B8,'Train Runs'!$A$13:$A$99937,1,FALSE)</f>
        <v>#N/A</v>
      </c>
    </row>
    <row r="9" spans="1:10" x14ac:dyDescent="0.25">
      <c r="A9" s="193"/>
      <c r="B9" s="43" t="str">
        <f>A9&amp;"-"&amp;IF(DAY(Variables!$A$2)&lt;10,0,"")&amp;DAY(Variables!$A$2)</f>
        <v>-21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" s="30" t="e">
        <f>VLOOKUP(B9,'Train Runs'!$A$13:$A$99937,1,FALSE)</f>
        <v>#N/A</v>
      </c>
    </row>
    <row r="10" spans="1:10" x14ac:dyDescent="0.25">
      <c r="A10" s="193"/>
      <c r="B10" s="43" t="str">
        <f>A10&amp;"-"&amp;IF(DAY(Variables!$A$2)&lt;10,0,"")&amp;DAY(Variables!$A$2)</f>
        <v>-21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0" s="30" t="e">
        <f>VLOOKUP(B10,'Train Runs'!$A$13:$A$99937,1,FALSE)</f>
        <v>#N/A</v>
      </c>
    </row>
    <row r="11" spans="1:10" x14ac:dyDescent="0.25">
      <c r="A11" s="193"/>
      <c r="B11" s="43" t="str">
        <f>A11&amp;"-"&amp;IF(DAY(Variables!$A$2)&lt;10,0,"")&amp;DAY(Variables!$A$2)</f>
        <v>-21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1" s="30" t="e">
        <f>VLOOKUP(B11,'Train Runs'!$A$13:$A$99937,1,FALSE)</f>
        <v>#N/A</v>
      </c>
    </row>
    <row r="12" spans="1:10" x14ac:dyDescent="0.25">
      <c r="A12" s="193"/>
      <c r="B12" s="43" t="str">
        <f>A12&amp;"-"&amp;IF(DAY(Variables!$A$2)&lt;10,0,"")&amp;DAY(Variables!$A$2)</f>
        <v>-21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2" s="30" t="e">
        <f>VLOOKUP(B12,'Train Runs'!$A$13:$A$99937,1,FALSE)</f>
        <v>#N/A</v>
      </c>
    </row>
    <row r="13" spans="1:10" x14ac:dyDescent="0.25">
      <c r="A13" s="193"/>
      <c r="B13" s="43" t="str">
        <f>A13&amp;"-"&amp;IF(DAY(Variables!$A$2)&lt;10,0,"")&amp;DAY(Variables!$A$2)</f>
        <v>-21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3" s="30" t="e">
        <f>VLOOKUP(B13,'Train Runs'!$A$13:$A$99937,1,FALSE)</f>
        <v>#N/A</v>
      </c>
    </row>
    <row r="14" spans="1:10" x14ac:dyDescent="0.25">
      <c r="A14" s="193"/>
      <c r="B14" s="43" t="str">
        <f>A14&amp;"-"&amp;IF(DAY(Variables!$A$2)&lt;10,0,"")&amp;DAY(Variables!$A$2)</f>
        <v>-21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4" s="30" t="e">
        <f>VLOOKUP(B14,'Train Runs'!$A$13:$A$99937,1,FALSE)</f>
        <v>#N/A</v>
      </c>
    </row>
    <row r="15" spans="1:10" x14ac:dyDescent="0.25">
      <c r="A15" s="193"/>
      <c r="B15" s="43" t="str">
        <f>A15&amp;"-"&amp;IF(DAY(Variables!$A$2)&lt;10,0,"")&amp;DAY(Variables!$A$2)</f>
        <v>-21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5" s="30" t="e">
        <f>VLOOKUP(B15,'Train Runs'!$A$13:$A$99937,1,FALSE)</f>
        <v>#N/A</v>
      </c>
    </row>
    <row r="16" spans="1:10" x14ac:dyDescent="0.25">
      <c r="A16" s="193"/>
      <c r="B16" s="43" t="str">
        <f>A16&amp;"-"&amp;IF(DAY(Variables!$A$2)&lt;10,0,"")&amp;DAY(Variables!$A$2)</f>
        <v>-21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6" s="30" t="e">
        <f>VLOOKUP(B16,'Train Runs'!$A$13:$A$99937,1,FALSE)</f>
        <v>#N/A</v>
      </c>
    </row>
    <row r="17" spans="1:10" x14ac:dyDescent="0.25">
      <c r="A17" s="193"/>
      <c r="B17" s="43" t="str">
        <f>A17&amp;"-"&amp;IF(DAY(Variables!$A$2)&lt;10,0,"")&amp;DAY(Variables!$A$2)</f>
        <v>-21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7" s="30" t="e">
        <f>VLOOKUP(B17,'Train Runs'!$A$13:$A$99937,1,FALSE)</f>
        <v>#N/A</v>
      </c>
    </row>
    <row r="18" spans="1:10" x14ac:dyDescent="0.25">
      <c r="A18" s="193"/>
      <c r="B18" s="43" t="str">
        <f>A18&amp;"-"&amp;IF(DAY(Variables!$A$2)&lt;10,0,"")&amp;DAY(Variables!$A$2)</f>
        <v>-21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8" s="30" t="e">
        <f>VLOOKUP(B18,'Train Runs'!$A$13:$A$99937,1,FALSE)</f>
        <v>#N/A</v>
      </c>
    </row>
    <row r="19" spans="1:10" x14ac:dyDescent="0.25">
      <c r="A19" s="193"/>
      <c r="B19" s="43" t="str">
        <f>A19&amp;"-"&amp;IF(DAY(Variables!$A$2)&lt;10,0,"")&amp;DAY(Variables!$A$2)</f>
        <v>-21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9" s="30" t="e">
        <f>VLOOKUP(B19,'Train Runs'!$A$13:$A$99937,1,FALSE)</f>
        <v>#N/A</v>
      </c>
    </row>
    <row r="20" spans="1:10" x14ac:dyDescent="0.25">
      <c r="A20" s="193"/>
      <c r="B20" s="43" t="str">
        <f>A20&amp;"-"&amp;IF(DAY(Variables!$A$2)&lt;10,0,"")&amp;DAY(Variables!$A$2)</f>
        <v>-21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0" s="30" t="e">
        <f>VLOOKUP(B20,'Train Runs'!$A$13:$A$99937,1,FALSE)</f>
        <v>#N/A</v>
      </c>
    </row>
    <row r="21" spans="1:10" x14ac:dyDescent="0.25">
      <c r="A21" s="193"/>
      <c r="B21" s="43" t="str">
        <f>A21&amp;"-"&amp;IF(DAY(Variables!$A$2)&lt;10,0,"")&amp;DAY(Variables!$A$2)</f>
        <v>-21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1" s="30" t="e">
        <f>VLOOKUP(B21,'Train Runs'!$A$13:$A$99937,1,FALSE)</f>
        <v>#N/A</v>
      </c>
    </row>
    <row r="22" spans="1:10" x14ac:dyDescent="0.25">
      <c r="A22" s="193"/>
      <c r="B22" s="43" t="str">
        <f>A22&amp;"-"&amp;IF(DAY(Variables!$A$2)&lt;10,0,"")&amp;DAY(Variables!$A$2)</f>
        <v>-21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2" s="30" t="e">
        <f>VLOOKUP(B22,'Train Runs'!$A$13:$A$99937,1,FALSE)</f>
        <v>#N/A</v>
      </c>
    </row>
    <row r="23" spans="1:10" x14ac:dyDescent="0.25">
      <c r="A23" s="193"/>
      <c r="B23" s="43" t="str">
        <f>A23&amp;"-"&amp;IF(DAY(Variables!$A$2)&lt;10,0,"")&amp;DAY(Variables!$A$2)</f>
        <v>-21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3" s="30" t="e">
        <f>VLOOKUP(B23,'Train Runs'!$A$13:$A$99937,1,FALSE)</f>
        <v>#N/A</v>
      </c>
    </row>
    <row r="24" spans="1:10" x14ac:dyDescent="0.25">
      <c r="A24" s="193"/>
      <c r="B24" s="43" t="str">
        <f>A24&amp;"-"&amp;IF(DAY(Variables!$A$2)&lt;10,0,"")&amp;DAY(Variables!$A$2)</f>
        <v>-21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4" s="30" t="e">
        <f>VLOOKUP(B24,'Train Runs'!$A$13:$A$99937,1,FALSE)</f>
        <v>#N/A</v>
      </c>
    </row>
    <row r="25" spans="1:10" x14ac:dyDescent="0.25">
      <c r="A25" s="193"/>
      <c r="B25" s="43" t="str">
        <f>A25&amp;"-"&amp;IF(DAY(Variables!$A$2)&lt;10,0,"")&amp;DAY(Variables!$A$2)</f>
        <v>-21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5" s="30" t="e">
        <f>VLOOKUP(B25,'Train Runs'!$A$13:$A$99937,1,FALSE)</f>
        <v>#N/A</v>
      </c>
    </row>
    <row r="26" spans="1:10" x14ac:dyDescent="0.25">
      <c r="A26" s="193"/>
      <c r="B26" s="43" t="str">
        <f>A26&amp;"-"&amp;IF(DAY(Variables!$A$2)&lt;10,0,"")&amp;DAY(Variables!$A$2)</f>
        <v>-21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6" s="30" t="e">
        <f>VLOOKUP(B26,'Train Runs'!$A$13:$A$99937,1,FALSE)</f>
        <v>#N/A</v>
      </c>
    </row>
    <row r="27" spans="1:10" x14ac:dyDescent="0.25">
      <c r="A27" s="193"/>
      <c r="B27" s="43" t="str">
        <f>A27&amp;"-"&amp;IF(DAY(Variables!$A$2)&lt;10,0,"")&amp;DAY(Variables!$A$2)</f>
        <v>-21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7" s="30" t="e">
        <f>VLOOKUP(B27,'Train Runs'!$A$13:$A$99937,1,FALSE)</f>
        <v>#N/A</v>
      </c>
    </row>
    <row r="28" spans="1:10" x14ac:dyDescent="0.25">
      <c r="A28" s="193"/>
      <c r="B28" s="43" t="str">
        <f>A28&amp;"-"&amp;IF(DAY(Variables!$A$2)&lt;10,0,"")&amp;DAY(Variables!$A$2)</f>
        <v>-21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8" s="30" t="e">
        <f>VLOOKUP(B28,'Train Runs'!$A$13:$A$99937,1,FALSE)</f>
        <v>#N/A</v>
      </c>
    </row>
    <row r="29" spans="1:10" x14ac:dyDescent="0.25">
      <c r="A29" s="193"/>
      <c r="B29" s="43" t="str">
        <f>A29&amp;"-"&amp;IF(DAY(Variables!$A$2)&lt;10,0,"")&amp;DAY(Variables!$A$2)</f>
        <v>-21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9" s="30" t="e">
        <f>VLOOKUP(B29,'Train Runs'!$A$13:$A$99937,1,FALSE)</f>
        <v>#N/A</v>
      </c>
    </row>
    <row r="30" spans="1:10" x14ac:dyDescent="0.25">
      <c r="A30" s="193"/>
      <c r="B30" s="43" t="str">
        <f>A30&amp;"-"&amp;IF(DAY(Variables!$A$2)&lt;10,0,"")&amp;DAY(Variables!$A$2)</f>
        <v>-21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0" s="30" t="e">
        <f>VLOOKUP(B30,'Train Runs'!$A$13:$A$99937,1,FALSE)</f>
        <v>#N/A</v>
      </c>
    </row>
    <row r="31" spans="1:10" x14ac:dyDescent="0.25">
      <c r="A31" s="193"/>
      <c r="B31" s="43" t="str">
        <f>A31&amp;"-"&amp;IF(DAY(Variables!$A$2)&lt;10,0,"")&amp;DAY(Variables!$A$2)</f>
        <v>-21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ref="I31:I62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31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1" s="30" t="e">
        <f>VLOOKUP(B31,'Train Runs'!$A$13:$A$99937,1,FALSE)</f>
        <v>#N/A</v>
      </c>
    </row>
    <row r="32" spans="1:10" x14ac:dyDescent="0.25">
      <c r="A32" s="193"/>
      <c r="B32" s="43" t="str">
        <f>A32&amp;"-"&amp;IF(DAY(Variables!$A$2)&lt;10,0,"")&amp;DAY(Variables!$A$2)</f>
        <v>-21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2" s="30" t="e">
        <f>VLOOKUP(B32,'Train Runs'!$A$13:$A$99937,1,FALSE)</f>
        <v>#N/A</v>
      </c>
    </row>
    <row r="33" spans="1:10" x14ac:dyDescent="0.25">
      <c r="A33" s="193"/>
      <c r="B33" s="43" t="str">
        <f>A33&amp;"-"&amp;IF(DAY(Variables!$A$2)&lt;10,0,"")&amp;DAY(Variables!$A$2)</f>
        <v>-21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3" s="30" t="e">
        <f>VLOOKUP(B33,'Train Runs'!$A$13:$A$99937,1,FALSE)</f>
        <v>#N/A</v>
      </c>
    </row>
    <row r="34" spans="1:10" x14ac:dyDescent="0.25">
      <c r="A34" s="193"/>
      <c r="B34" s="43" t="str">
        <f>A34&amp;"-"&amp;IF(DAY(Variables!$A$2)&lt;10,0,"")&amp;DAY(Variables!$A$2)</f>
        <v>-21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4" s="30" t="e">
        <f>VLOOKUP(B34,'Train Runs'!$A$13:$A$99937,1,FALSE)</f>
        <v>#N/A</v>
      </c>
    </row>
    <row r="35" spans="1:10" x14ac:dyDescent="0.25">
      <c r="A35" s="193"/>
      <c r="B35" s="43" t="str">
        <f>A35&amp;"-"&amp;IF(DAY(Variables!$A$2)&lt;10,0,"")&amp;DAY(Variables!$A$2)</f>
        <v>-21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5" s="30" t="e">
        <f>VLOOKUP(B35,'Train Runs'!$A$13:$A$99937,1,FALSE)</f>
        <v>#N/A</v>
      </c>
    </row>
    <row r="36" spans="1:10" x14ac:dyDescent="0.25">
      <c r="A36" s="193"/>
      <c r="B36" s="43" t="str">
        <f>A36&amp;"-"&amp;IF(DAY(Variables!$A$2)&lt;10,0,"")&amp;DAY(Variables!$A$2)</f>
        <v>-21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6" s="30" t="e">
        <f>VLOOKUP(B36,'Train Runs'!$A$13:$A$99937,1,FALSE)</f>
        <v>#N/A</v>
      </c>
    </row>
    <row r="37" spans="1:10" x14ac:dyDescent="0.25">
      <c r="A37" s="193"/>
      <c r="B37" s="43" t="str">
        <f>A37&amp;"-"&amp;IF(DAY(Variables!$A$2)&lt;10,0,"")&amp;DAY(Variables!$A$2)</f>
        <v>-21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7" s="30" t="e">
        <f>VLOOKUP(B37,'Train Runs'!$A$13:$A$99937,1,FALSE)</f>
        <v>#N/A</v>
      </c>
    </row>
    <row r="38" spans="1:10" x14ac:dyDescent="0.25">
      <c r="A38" s="193"/>
      <c r="B38" s="43" t="str">
        <f>A38&amp;"-"&amp;IF(DAY(Variables!$A$2)&lt;10,0,"")&amp;DAY(Variables!$A$2)</f>
        <v>-21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8" s="30" t="e">
        <f>VLOOKUP(B38,'Train Runs'!$A$13:$A$99937,1,FALSE)</f>
        <v>#N/A</v>
      </c>
    </row>
    <row r="39" spans="1:10" x14ac:dyDescent="0.25">
      <c r="A39" s="193"/>
      <c r="B39" s="43" t="str">
        <f>A39&amp;"-"&amp;IF(DAY(Variables!$A$2)&lt;10,0,"")&amp;DAY(Variables!$A$2)</f>
        <v>-21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9" s="30" t="e">
        <f>VLOOKUP(B39,'Train Runs'!$A$13:$A$99937,1,FALSE)</f>
        <v>#N/A</v>
      </c>
    </row>
    <row r="40" spans="1:10" x14ac:dyDescent="0.25">
      <c r="A40" s="193"/>
      <c r="B40" s="43" t="str">
        <f>A40&amp;"-"&amp;IF(DAY(Variables!$A$2)&lt;10,0,"")&amp;DAY(Variables!$A$2)</f>
        <v>-21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0" s="30" t="e">
        <f>VLOOKUP(B40,'Train Runs'!$A$13:$A$99937,1,FALSE)</f>
        <v>#N/A</v>
      </c>
    </row>
    <row r="41" spans="1:10" x14ac:dyDescent="0.25">
      <c r="A41" s="193"/>
      <c r="B41" s="43" t="str">
        <f>A41&amp;"-"&amp;IF(DAY(Variables!$A$2)&lt;10,0,"")&amp;DAY(Variables!$A$2)</f>
        <v>-21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1" s="30" t="e">
        <f>VLOOKUP(B41,'Train Runs'!$A$13:$A$99937,1,FALSE)</f>
        <v>#N/A</v>
      </c>
    </row>
    <row r="42" spans="1:10" x14ac:dyDescent="0.25">
      <c r="A42" s="193"/>
      <c r="B42" s="43" t="str">
        <f>A42&amp;"-"&amp;IF(DAY(Variables!$A$2)&lt;10,0,"")&amp;DAY(Variables!$A$2)</f>
        <v>-21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2" s="30" t="e">
        <f>VLOOKUP(B42,'Train Runs'!$A$13:$A$99937,1,FALSE)</f>
        <v>#N/A</v>
      </c>
    </row>
    <row r="43" spans="1:10" x14ac:dyDescent="0.25">
      <c r="A43" s="193"/>
      <c r="B43" s="43" t="str">
        <f>A43&amp;"-"&amp;IF(DAY(Variables!$A$2)&lt;10,0,"")&amp;DAY(Variables!$A$2)</f>
        <v>-21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3" s="30" t="e">
        <f>VLOOKUP(B43,'Train Runs'!$A$13:$A$99937,1,FALSE)</f>
        <v>#N/A</v>
      </c>
    </row>
    <row r="44" spans="1:10" x14ac:dyDescent="0.25">
      <c r="A44" s="193"/>
      <c r="B44" s="43" t="str">
        <f>A44&amp;"-"&amp;IF(DAY(Variables!$A$2)&lt;10,0,"")&amp;DAY(Variables!$A$2)</f>
        <v>-21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4" s="30" t="e">
        <f>VLOOKUP(B44,'Train Runs'!$A$13:$A$99937,1,FALSE)</f>
        <v>#N/A</v>
      </c>
    </row>
    <row r="45" spans="1:10" x14ac:dyDescent="0.25">
      <c r="A45" s="193"/>
      <c r="B45" s="43" t="str">
        <f>A45&amp;"-"&amp;IF(DAY(Variables!$A$2)&lt;10,0,"")&amp;DAY(Variables!$A$2)</f>
        <v>-21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5" s="30" t="e">
        <f>VLOOKUP(B45,'Train Runs'!$A$13:$A$99937,1,FALSE)</f>
        <v>#N/A</v>
      </c>
    </row>
    <row r="46" spans="1:10" x14ac:dyDescent="0.25">
      <c r="A46" s="193"/>
      <c r="B46" s="43" t="str">
        <f>A46&amp;"-"&amp;IF(DAY(Variables!$A$2)&lt;10,0,"")&amp;DAY(Variables!$A$2)</f>
        <v>-21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6" s="30" t="e">
        <f>VLOOKUP(B46,'Train Runs'!$A$13:$A$99937,1,FALSE)</f>
        <v>#N/A</v>
      </c>
    </row>
    <row r="47" spans="1:10" x14ac:dyDescent="0.25">
      <c r="A47" s="193"/>
      <c r="B47" s="43" t="str">
        <f>A47&amp;"-"&amp;IF(DAY(Variables!$A$2)&lt;10,0,"")&amp;DAY(Variables!$A$2)</f>
        <v>-21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7" s="30" t="e">
        <f>VLOOKUP(B47,'Train Runs'!$A$13:$A$99937,1,FALSE)</f>
        <v>#N/A</v>
      </c>
    </row>
    <row r="48" spans="1:10" x14ac:dyDescent="0.25">
      <c r="A48" s="193"/>
      <c r="B48" s="43" t="str">
        <f>A48&amp;"-"&amp;IF(DAY(Variables!$A$2)&lt;10,0,"")&amp;DAY(Variables!$A$2)</f>
        <v>-21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8" s="30" t="e">
        <f>VLOOKUP(B48,'Train Runs'!$A$13:$A$99937,1,FALSE)</f>
        <v>#N/A</v>
      </c>
    </row>
    <row r="49" spans="1:10" x14ac:dyDescent="0.25">
      <c r="A49" s="193"/>
      <c r="B49" s="43" t="str">
        <f>A49&amp;"-"&amp;IF(DAY(Variables!$A$2)&lt;10,0,"")&amp;DAY(Variables!$A$2)</f>
        <v>-21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9" s="30" t="e">
        <f>VLOOKUP(B49,'Train Runs'!$A$13:$A$99937,1,FALSE)</f>
        <v>#N/A</v>
      </c>
    </row>
    <row r="50" spans="1:10" x14ac:dyDescent="0.25">
      <c r="A50" s="193"/>
      <c r="B50" s="43" t="str">
        <f>A50&amp;"-"&amp;IF(DAY(Variables!$A$2)&lt;10,0,"")&amp;DAY(Variables!$A$2)</f>
        <v>-21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0" s="30" t="e">
        <f>VLOOKUP(B50,'Train Runs'!$A$13:$A$99937,1,FALSE)</f>
        <v>#N/A</v>
      </c>
    </row>
    <row r="51" spans="1:10" x14ac:dyDescent="0.25">
      <c r="A51" s="193"/>
      <c r="B51" s="43" t="str">
        <f>A51&amp;"-"&amp;IF(DAY(Variables!$A$2)&lt;10,0,"")&amp;DAY(Variables!$A$2)</f>
        <v>-21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1" s="30" t="e">
        <f>VLOOKUP(B51,'Train Runs'!$A$13:$A$99937,1,FALSE)</f>
        <v>#N/A</v>
      </c>
    </row>
    <row r="52" spans="1:10" x14ac:dyDescent="0.25">
      <c r="A52" s="193"/>
      <c r="B52" s="43" t="str">
        <f>A52&amp;"-"&amp;IF(DAY(Variables!$A$2)&lt;10,0,"")&amp;DAY(Variables!$A$2)</f>
        <v>-21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2" s="30" t="e">
        <f>VLOOKUP(B52,'Train Runs'!$A$13:$A$99937,1,FALSE)</f>
        <v>#N/A</v>
      </c>
    </row>
    <row r="53" spans="1:10" x14ac:dyDescent="0.25">
      <c r="A53" s="193"/>
      <c r="B53" s="43" t="str">
        <f>A53&amp;"-"&amp;IF(DAY(Variables!$A$2)&lt;10,0,"")&amp;DAY(Variables!$A$2)</f>
        <v>-21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3" s="30" t="e">
        <f>VLOOKUP(B53,'Train Runs'!$A$13:$A$99937,1,FALSE)</f>
        <v>#N/A</v>
      </c>
    </row>
    <row r="54" spans="1:10" x14ac:dyDescent="0.25">
      <c r="A54" s="193"/>
      <c r="B54" s="43" t="str">
        <f>A54&amp;"-"&amp;IF(DAY(Variables!$A$2)&lt;10,0,"")&amp;DAY(Variables!$A$2)</f>
        <v>-21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4" s="30" t="e">
        <f>VLOOKUP(B54,'Train Runs'!$A$13:$A$99937,1,FALSE)</f>
        <v>#N/A</v>
      </c>
    </row>
    <row r="55" spans="1:10" x14ac:dyDescent="0.25">
      <c r="A55" s="193"/>
      <c r="B55" s="43" t="str">
        <f>A55&amp;"-"&amp;IF(DAY(Variables!$A$2)&lt;10,0,"")&amp;DAY(Variables!$A$2)</f>
        <v>-21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5" s="30" t="e">
        <f>VLOOKUP(B55,'Train Runs'!$A$13:$A$99937,1,FALSE)</f>
        <v>#N/A</v>
      </c>
    </row>
    <row r="56" spans="1:10" x14ac:dyDescent="0.25">
      <c r="A56" s="193"/>
      <c r="B56" s="43" t="str">
        <f>A56&amp;"-"&amp;IF(DAY(Variables!$A$2)&lt;10,0,"")&amp;DAY(Variables!$A$2)</f>
        <v>-21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6" s="30" t="e">
        <f>VLOOKUP(B56,'Train Runs'!$A$13:$A$99937,1,FALSE)</f>
        <v>#N/A</v>
      </c>
    </row>
    <row r="57" spans="1:10" x14ac:dyDescent="0.25">
      <c r="A57" s="193"/>
      <c r="B57" s="43" t="str">
        <f>A57&amp;"-"&amp;IF(DAY(Variables!$A$2)&lt;10,0,"")&amp;DAY(Variables!$A$2)</f>
        <v>-21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7" s="30" t="e">
        <f>VLOOKUP(B57,'Train Runs'!$A$13:$A$99937,1,FALSE)</f>
        <v>#N/A</v>
      </c>
    </row>
    <row r="58" spans="1:10" x14ac:dyDescent="0.25">
      <c r="A58" s="193"/>
      <c r="B58" s="43" t="str">
        <f>A58&amp;"-"&amp;IF(DAY(Variables!$A$2)&lt;10,0,"")&amp;DAY(Variables!$A$2)</f>
        <v>-21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8" s="30" t="e">
        <f>VLOOKUP(B58,'Train Runs'!$A$13:$A$99937,1,FALSE)</f>
        <v>#N/A</v>
      </c>
    </row>
    <row r="59" spans="1:10" x14ac:dyDescent="0.25">
      <c r="A59" s="193"/>
      <c r="B59" s="43" t="str">
        <f>A59&amp;"-"&amp;IF(DAY(Variables!$A$2)&lt;10,0,"")&amp;DAY(Variables!$A$2)</f>
        <v>-21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9" s="30" t="e">
        <f>VLOOKUP(B59,'Train Runs'!$A$13:$A$99937,1,FALSE)</f>
        <v>#N/A</v>
      </c>
    </row>
    <row r="60" spans="1:10" x14ac:dyDescent="0.25">
      <c r="A60" s="193"/>
      <c r="B60" s="43" t="str">
        <f>A60&amp;"-"&amp;IF(DAY(Variables!$A$2)&lt;10,0,"")&amp;DAY(Variables!$A$2)</f>
        <v>-21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0" s="30" t="e">
        <f>VLOOKUP(B60,'Train Runs'!$A$13:$A$99937,1,FALSE)</f>
        <v>#N/A</v>
      </c>
    </row>
    <row r="61" spans="1:10" x14ac:dyDescent="0.25">
      <c r="A61" s="193"/>
      <c r="B61" s="43" t="str">
        <f>A61&amp;"-"&amp;IF(DAY(Variables!$A$2)&lt;10,0,"")&amp;DAY(Variables!$A$2)</f>
        <v>-21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1" s="30" t="e">
        <f>VLOOKUP(B61,'Train Runs'!$A$13:$A$99937,1,FALSE)</f>
        <v>#N/A</v>
      </c>
    </row>
    <row r="62" spans="1:10" x14ac:dyDescent="0.25">
      <c r="A62" s="193"/>
      <c r="B62" s="43" t="str">
        <f>A62&amp;"-"&amp;IF(DAY(Variables!$A$2)&lt;10,0,"")&amp;DAY(Variables!$A$2)</f>
        <v>-21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2" s="30" t="e">
        <f>VLOOKUP(B62,'Train Runs'!$A$13:$A$99937,1,FALSE)</f>
        <v>#N/A</v>
      </c>
    </row>
    <row r="63" spans="1:10" x14ac:dyDescent="0.25">
      <c r="A63" s="193"/>
      <c r="B63" s="43" t="str">
        <f>A63&amp;"-"&amp;IF(DAY(Variables!$A$2)&lt;10,0,"")&amp;DAY(Variables!$A$2)</f>
        <v>-21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ref="I63:I94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3" s="30" t="e">
        <f>VLOOKUP(B63,'Train Runs'!$A$13:$A$99937,1,FALSE)</f>
        <v>#N/A</v>
      </c>
    </row>
    <row r="64" spans="1:10" x14ac:dyDescent="0.25">
      <c r="A64" s="193"/>
      <c r="B64" s="43" t="str">
        <f>A64&amp;"-"&amp;IF(DAY(Variables!$A$2)&lt;10,0,"")&amp;DAY(Variables!$A$2)</f>
        <v>-21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4" s="30" t="e">
        <f>VLOOKUP(B64,'Train Runs'!$A$13:$A$99937,1,FALSE)</f>
        <v>#N/A</v>
      </c>
    </row>
    <row r="65" spans="1:10" x14ac:dyDescent="0.25">
      <c r="A65" s="193"/>
      <c r="B65" s="43" t="str">
        <f>A65&amp;"-"&amp;IF(DAY(Variables!$A$2)&lt;10,0,"")&amp;DAY(Variables!$A$2)</f>
        <v>-21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5" s="30" t="e">
        <f>VLOOKUP(B65,'Train Runs'!$A$13:$A$99937,1,FALSE)</f>
        <v>#N/A</v>
      </c>
    </row>
    <row r="66" spans="1:10" x14ac:dyDescent="0.25">
      <c r="A66" s="193"/>
      <c r="B66" s="43" t="str">
        <f>A66&amp;"-"&amp;IF(DAY(Variables!$A$2)&lt;10,0,"")&amp;DAY(Variables!$A$2)</f>
        <v>-21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6" s="30" t="e">
        <f>VLOOKUP(B66,'Train Runs'!$A$13:$A$99937,1,FALSE)</f>
        <v>#N/A</v>
      </c>
    </row>
    <row r="67" spans="1:10" x14ac:dyDescent="0.25">
      <c r="A67" s="193"/>
      <c r="B67" s="43" t="str">
        <f>A67&amp;"-"&amp;IF(DAY(Variables!$A$2)&lt;10,0,"")&amp;DAY(Variables!$A$2)</f>
        <v>-21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7" s="30" t="e">
        <f>VLOOKUP(B67,'Train Runs'!$A$13:$A$99937,1,FALSE)</f>
        <v>#N/A</v>
      </c>
    </row>
    <row r="68" spans="1:10" x14ac:dyDescent="0.25">
      <c r="A68" s="193"/>
      <c r="B68" s="43" t="str">
        <f>A68&amp;"-"&amp;IF(DAY(Variables!$A$2)&lt;10,0,"")&amp;DAY(Variables!$A$2)</f>
        <v>-21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8" s="30" t="e">
        <f>VLOOKUP(B68,'Train Runs'!$A$13:$A$99937,1,FALSE)</f>
        <v>#N/A</v>
      </c>
    </row>
    <row r="69" spans="1:10" x14ac:dyDescent="0.25">
      <c r="A69" s="193"/>
      <c r="B69" s="43" t="str">
        <f>A69&amp;"-"&amp;IF(DAY(Variables!$A$2)&lt;10,0,"")&amp;DAY(Variables!$A$2)</f>
        <v>-21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9" s="30" t="e">
        <f>VLOOKUP(B69,'Train Runs'!$A$13:$A$99937,1,FALSE)</f>
        <v>#N/A</v>
      </c>
    </row>
    <row r="70" spans="1:10" x14ac:dyDescent="0.25">
      <c r="A70" s="193"/>
      <c r="B70" s="43" t="str">
        <f>A70&amp;"-"&amp;IF(DAY(Variables!$A$2)&lt;10,0,"")&amp;DAY(Variables!$A$2)</f>
        <v>-21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0" s="30" t="e">
        <f>VLOOKUP(B70,'Train Runs'!$A$13:$A$99937,1,FALSE)</f>
        <v>#N/A</v>
      </c>
    </row>
    <row r="71" spans="1:10" x14ac:dyDescent="0.25">
      <c r="A71" s="193"/>
      <c r="B71" s="43" t="str">
        <f>A71&amp;"-"&amp;IF(DAY(Variables!$A$2)&lt;10,0,"")&amp;DAY(Variables!$A$2)</f>
        <v>-21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1" s="30" t="e">
        <f>VLOOKUP(B71,'Train Runs'!$A$13:$A$99937,1,FALSE)</f>
        <v>#N/A</v>
      </c>
    </row>
    <row r="72" spans="1:10" x14ac:dyDescent="0.25">
      <c r="A72" s="193"/>
      <c r="B72" s="43" t="str">
        <f>A72&amp;"-"&amp;IF(DAY(Variables!$A$2)&lt;10,0,"")&amp;DAY(Variables!$A$2)</f>
        <v>-21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2" s="30" t="e">
        <f>VLOOKUP(B72,'Train Runs'!$A$13:$A$99937,1,FALSE)</f>
        <v>#N/A</v>
      </c>
    </row>
    <row r="73" spans="1:10" x14ac:dyDescent="0.25">
      <c r="A73" s="193"/>
      <c r="B73" s="43" t="str">
        <f>A73&amp;"-"&amp;IF(DAY(Variables!$A$2)&lt;10,0,"")&amp;DAY(Variables!$A$2)</f>
        <v>-21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3" s="30" t="e">
        <f>VLOOKUP(B73,'Train Runs'!$A$13:$A$99937,1,FALSE)</f>
        <v>#N/A</v>
      </c>
    </row>
    <row r="74" spans="1:10" x14ac:dyDescent="0.25">
      <c r="A74" s="193"/>
      <c r="B74" s="43" t="str">
        <f>A74&amp;"-"&amp;IF(DAY(Variables!$A$2)&lt;10,0,"")&amp;DAY(Variables!$A$2)</f>
        <v>-21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4" s="30" t="e">
        <f>VLOOKUP(B74,'Train Runs'!$A$13:$A$99937,1,FALSE)</f>
        <v>#N/A</v>
      </c>
    </row>
    <row r="75" spans="1:10" x14ac:dyDescent="0.25">
      <c r="A75" s="193"/>
      <c r="B75" s="43" t="str">
        <f>A75&amp;"-"&amp;IF(DAY(Variables!$A$2)&lt;10,0,"")&amp;DAY(Variables!$A$2)</f>
        <v>-21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5" s="30" t="e">
        <f>VLOOKUP(B75,'Train Runs'!$A$13:$A$99937,1,FALSE)</f>
        <v>#N/A</v>
      </c>
    </row>
    <row r="76" spans="1:10" x14ac:dyDescent="0.25">
      <c r="A76" s="193"/>
      <c r="B76" s="43" t="str">
        <f>A76&amp;"-"&amp;IF(DAY(Variables!$A$2)&lt;10,0,"")&amp;DAY(Variables!$A$2)</f>
        <v>-21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6" s="30" t="e">
        <f>VLOOKUP(B76,'Train Runs'!$A$13:$A$99937,1,FALSE)</f>
        <v>#N/A</v>
      </c>
    </row>
    <row r="77" spans="1:10" x14ac:dyDescent="0.25">
      <c r="A77" s="193"/>
      <c r="B77" s="43" t="str">
        <f>A77&amp;"-"&amp;IF(DAY(Variables!$A$2)&lt;10,0,"")&amp;DAY(Variables!$A$2)</f>
        <v>-21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7" s="30" t="e">
        <f>VLOOKUP(B77,'Train Runs'!$A$13:$A$99937,1,FALSE)</f>
        <v>#N/A</v>
      </c>
    </row>
    <row r="78" spans="1:10" x14ac:dyDescent="0.25">
      <c r="A78" s="193"/>
      <c r="B78" s="43" t="str">
        <f>A78&amp;"-"&amp;IF(DAY(Variables!$A$2)&lt;10,0,"")&amp;DAY(Variables!$A$2)</f>
        <v>-21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8" s="30" t="e">
        <f>VLOOKUP(B78,'Train Runs'!$A$13:$A$99937,1,FALSE)</f>
        <v>#N/A</v>
      </c>
    </row>
    <row r="79" spans="1:10" x14ac:dyDescent="0.25">
      <c r="A79" s="193"/>
      <c r="B79" s="43" t="str">
        <f>A79&amp;"-"&amp;IF(DAY(Variables!$A$2)&lt;10,0,"")&amp;DAY(Variables!$A$2)</f>
        <v>-21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9" s="30" t="e">
        <f>VLOOKUP(B79,'Train Runs'!$A$13:$A$99937,1,FALSE)</f>
        <v>#N/A</v>
      </c>
    </row>
    <row r="80" spans="1:10" x14ac:dyDescent="0.25">
      <c r="A80" s="193"/>
      <c r="B80" s="43" t="str">
        <f>A80&amp;"-"&amp;IF(DAY(Variables!$A$2)&lt;10,0,"")&amp;DAY(Variables!$A$2)</f>
        <v>-21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0" s="30" t="e">
        <f>VLOOKUP(B80,'Train Runs'!$A$13:$A$99937,1,FALSE)</f>
        <v>#N/A</v>
      </c>
    </row>
    <row r="81" spans="1:10" x14ac:dyDescent="0.25">
      <c r="A81" s="193"/>
      <c r="B81" s="43" t="str">
        <f>A81&amp;"-"&amp;IF(DAY(Variables!$A$2)&lt;10,0,"")&amp;DAY(Variables!$A$2)</f>
        <v>-21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1" s="30" t="e">
        <f>VLOOKUP(B81,'Train Runs'!$A$13:$A$99937,1,FALSE)</f>
        <v>#N/A</v>
      </c>
    </row>
    <row r="82" spans="1:10" x14ac:dyDescent="0.25">
      <c r="A82" s="193"/>
      <c r="B82" s="43" t="str">
        <f>A82&amp;"-"&amp;IF(DAY(Variables!$A$2)&lt;10,0,"")&amp;DAY(Variables!$A$2)</f>
        <v>-21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2" s="30" t="e">
        <f>VLOOKUP(B82,'Train Runs'!$A$13:$A$99937,1,FALSE)</f>
        <v>#N/A</v>
      </c>
    </row>
    <row r="83" spans="1:10" x14ac:dyDescent="0.25">
      <c r="A83" s="193"/>
      <c r="B83" s="43" t="str">
        <f>A83&amp;"-"&amp;IF(DAY(Variables!$A$2)&lt;10,0,"")&amp;DAY(Variables!$A$2)</f>
        <v>-21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3" s="30" t="e">
        <f>VLOOKUP(B83,'Train Runs'!$A$13:$A$99937,1,FALSE)</f>
        <v>#N/A</v>
      </c>
    </row>
    <row r="84" spans="1:10" x14ac:dyDescent="0.25">
      <c r="A84" s="193"/>
      <c r="B84" s="43" t="str">
        <f>A84&amp;"-"&amp;IF(DAY(Variables!$A$2)&lt;10,0,"")&amp;DAY(Variables!$A$2)</f>
        <v>-21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4" s="30" t="e">
        <f>VLOOKUP(B84,'Train Runs'!$A$13:$A$99937,1,FALSE)</f>
        <v>#N/A</v>
      </c>
    </row>
    <row r="85" spans="1:10" x14ac:dyDescent="0.25">
      <c r="A85" s="193"/>
      <c r="B85" s="43" t="str">
        <f>A85&amp;"-"&amp;IF(DAY(Variables!$A$2)&lt;10,0,"")&amp;DAY(Variables!$A$2)</f>
        <v>-21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5" s="30" t="e">
        <f>VLOOKUP(B85,'Train Runs'!$A$13:$A$99937,1,FALSE)</f>
        <v>#N/A</v>
      </c>
    </row>
    <row r="86" spans="1:10" x14ac:dyDescent="0.25">
      <c r="A86" s="193"/>
      <c r="B86" s="43" t="str">
        <f>A86&amp;"-"&amp;IF(DAY(Variables!$A$2)&lt;10,0,"")&amp;DAY(Variables!$A$2)</f>
        <v>-21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6" s="30" t="e">
        <f>VLOOKUP(B86,'Train Runs'!$A$13:$A$99937,1,FALSE)</f>
        <v>#N/A</v>
      </c>
    </row>
    <row r="87" spans="1:10" x14ac:dyDescent="0.25">
      <c r="A87" s="193"/>
      <c r="B87" s="43" t="str">
        <f>A87&amp;"-"&amp;IF(DAY(Variables!$A$2)&lt;10,0,"")&amp;DAY(Variables!$A$2)</f>
        <v>-21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7" s="30" t="e">
        <f>VLOOKUP(B87,'Train Runs'!$A$13:$A$99937,1,FALSE)</f>
        <v>#N/A</v>
      </c>
    </row>
    <row r="88" spans="1:10" x14ac:dyDescent="0.25">
      <c r="A88" s="193"/>
      <c r="B88" s="43" t="str">
        <f>A88&amp;"-"&amp;IF(DAY(Variables!$A$2)&lt;10,0,"")&amp;DAY(Variables!$A$2)</f>
        <v>-21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8" s="30" t="e">
        <f>VLOOKUP(B88,'Train Runs'!$A$13:$A$99937,1,FALSE)</f>
        <v>#N/A</v>
      </c>
    </row>
    <row r="89" spans="1:10" x14ac:dyDescent="0.25">
      <c r="A89" s="193"/>
      <c r="B89" s="43" t="str">
        <f>A89&amp;"-"&amp;IF(DAY(Variables!$A$2)&lt;10,0,"")&amp;DAY(Variables!$A$2)</f>
        <v>-21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9" s="30" t="e">
        <f>VLOOKUP(B89,'Train Runs'!$A$13:$A$99937,1,FALSE)</f>
        <v>#N/A</v>
      </c>
    </row>
    <row r="90" spans="1:10" x14ac:dyDescent="0.25">
      <c r="A90" s="193"/>
      <c r="B90" s="43" t="str">
        <f>A90&amp;"-"&amp;IF(DAY(Variables!$A$2)&lt;10,0,"")&amp;DAY(Variables!$A$2)</f>
        <v>-21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0" s="30" t="e">
        <f>VLOOKUP(B90,'Train Runs'!$A$13:$A$99937,1,FALSE)</f>
        <v>#N/A</v>
      </c>
    </row>
    <row r="91" spans="1:10" x14ac:dyDescent="0.25">
      <c r="A91" s="193"/>
      <c r="B91" s="43" t="str">
        <f>A91&amp;"-"&amp;IF(DAY(Variables!$A$2)&lt;10,0,"")&amp;DAY(Variables!$A$2)</f>
        <v>-21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1" s="30" t="e">
        <f>VLOOKUP(B91,'Train Runs'!$A$13:$A$99937,1,FALSE)</f>
        <v>#N/A</v>
      </c>
    </row>
    <row r="92" spans="1:10" x14ac:dyDescent="0.25">
      <c r="A92" s="193"/>
      <c r="B92" s="43" t="str">
        <f>A92&amp;"-"&amp;IF(DAY(Variables!$A$2)&lt;10,0,"")&amp;DAY(Variables!$A$2)</f>
        <v>-21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2" s="30" t="e">
        <f>VLOOKUP(B92,'Train Runs'!$A$13:$A$99937,1,FALSE)</f>
        <v>#N/A</v>
      </c>
    </row>
    <row r="93" spans="1:10" x14ac:dyDescent="0.25">
      <c r="A93" s="193"/>
      <c r="B93" s="43" t="str">
        <f>A93&amp;"-"&amp;IF(DAY(Variables!$A$2)&lt;10,0,"")&amp;DAY(Variables!$A$2)</f>
        <v>-21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3" s="30" t="e">
        <f>VLOOKUP(B93,'Train Runs'!$A$13:$A$99937,1,FALSE)</f>
        <v>#N/A</v>
      </c>
    </row>
    <row r="94" spans="1:10" x14ac:dyDescent="0.25">
      <c r="A94" s="193"/>
      <c r="B94" s="43" t="str">
        <f>A94&amp;"-"&amp;IF(DAY(Variables!$A$2)&lt;10,0,"")&amp;DAY(Variables!$A$2)</f>
        <v>-21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4" s="30" t="e">
        <f>VLOOKUP(B94,'Train Runs'!$A$13:$A$99937,1,FALSE)</f>
        <v>#N/A</v>
      </c>
    </row>
    <row r="95" spans="1:10" x14ac:dyDescent="0.25">
      <c r="A95" s="193"/>
      <c r="B95" s="43" t="str">
        <f>A95&amp;"-"&amp;IF(DAY(Variables!$A$2)&lt;10,0,"")&amp;DAY(Variables!$A$2)</f>
        <v>-21</v>
      </c>
      <c r="C95" s="147"/>
      <c r="D95" s="165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ref="I95:I116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95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5" s="30" t="e">
        <f>VLOOKUP(B95,'Train Runs'!$A$13:$A$99937,1,FALSE)</f>
        <v>#N/A</v>
      </c>
    </row>
    <row r="96" spans="1:10" x14ac:dyDescent="0.25">
      <c r="A96" s="193"/>
      <c r="B96" s="43" t="str">
        <f>A96&amp;"-"&amp;IF(DAY(Variables!$A$2)&lt;10,0,"")&amp;DAY(Variables!$A$2)</f>
        <v>-21</v>
      </c>
      <c r="C96" s="147"/>
      <c r="D96" s="165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6" s="30" t="e">
        <f>VLOOKUP(B96,'Train Runs'!$A$13:$A$99937,1,FALSE)</f>
        <v>#N/A</v>
      </c>
    </row>
    <row r="97" spans="1:10" x14ac:dyDescent="0.25">
      <c r="A97" s="193"/>
      <c r="B97" s="43" t="str">
        <f>A97&amp;"-"&amp;IF(DAY(Variables!$A$2)&lt;10,0,"")&amp;DAY(Variables!$A$2)</f>
        <v>-21</v>
      </c>
      <c r="C97" s="147"/>
      <c r="D97" s="165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7" s="30" t="e">
        <f>VLOOKUP(B97,'Train Runs'!$A$13:$A$99937,1,FALSE)</f>
        <v>#N/A</v>
      </c>
    </row>
    <row r="98" spans="1:10" x14ac:dyDescent="0.25">
      <c r="A98" s="193"/>
      <c r="B98" s="43" t="str">
        <f>A98&amp;"-"&amp;IF(DAY(Variables!$A$2)&lt;10,0,"")&amp;DAY(Variables!$A$2)</f>
        <v>-21</v>
      </c>
      <c r="C98" s="147"/>
      <c r="D98" s="165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8" s="30" t="e">
        <f>VLOOKUP(B98,'Train Runs'!$A$13:$A$99937,1,FALSE)</f>
        <v>#N/A</v>
      </c>
    </row>
    <row r="99" spans="1:10" x14ac:dyDescent="0.25">
      <c r="A99" s="193"/>
      <c r="B99" s="43" t="str">
        <f>A99&amp;"-"&amp;IF(DAY(Variables!$A$2)&lt;10,0,"")&amp;DAY(Variables!$A$2)</f>
        <v>-21</v>
      </c>
      <c r="C99" s="147"/>
      <c r="D99" s="165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9" s="30" t="e">
        <f>VLOOKUP(B99,'Train Runs'!$A$13:$A$99937,1,FALSE)</f>
        <v>#N/A</v>
      </c>
    </row>
    <row r="100" spans="1:10" x14ac:dyDescent="0.25">
      <c r="A100" s="193"/>
      <c r="B100" s="43" t="str">
        <f>A100&amp;"-"&amp;IF(DAY(Variables!$A$2)&lt;10,0,"")&amp;DAY(Variables!$A$2)</f>
        <v>-21</v>
      </c>
      <c r="C100" s="147"/>
      <c r="D100" s="165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00" s="30" t="e">
        <f>VLOOKUP(B100,'Train Runs'!$A$13:$A$99937,1,FALSE)</f>
        <v>#N/A</v>
      </c>
    </row>
    <row r="101" spans="1:10" x14ac:dyDescent="0.25">
      <c r="A101" s="193"/>
      <c r="B101" s="43" t="str">
        <f>A101&amp;"-"&amp;IF(DAY(Variables!$A$2)&lt;10,0,"")&amp;DAY(Variables!$A$2)</f>
        <v>-21</v>
      </c>
      <c r="C101" s="147"/>
      <c r="D101" s="165"/>
      <c r="E101" s="30"/>
      <c r="F101" s="21" t="e">
        <f>VLOOKUP(B101,'Trips&amp;Operators'!$C$2:$E$10000,3,FALSE)</f>
        <v>#N/A</v>
      </c>
      <c r="G101" s="21" t="e">
        <f>VLOOKUP(B101,'Trips&amp;Operators'!$C$1:$F$10000,4,FALSE)</f>
        <v>#N/A</v>
      </c>
      <c r="H101" s="29" t="e">
        <f>VLOOKUP(B101,'Trips&amp;Operators'!$C$1:$H$10000,5,FALSE)</f>
        <v>#N/A</v>
      </c>
      <c r="I10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01" s="30" t="e">
        <f>VLOOKUP(B101,'Train Runs'!$A$13:$A$99937,1,FALSE)</f>
        <v>#N/A</v>
      </c>
    </row>
    <row r="102" spans="1:10" x14ac:dyDescent="0.25">
      <c r="A102" s="193"/>
      <c r="B102" s="43" t="str">
        <f>A102&amp;"-"&amp;IF(DAY(Variables!$A$2)&lt;10,0,"")&amp;DAY(Variables!$A$2)</f>
        <v>-21</v>
      </c>
      <c r="C102" s="147"/>
      <c r="D102" s="165"/>
      <c r="E102" s="30"/>
      <c r="F102" s="21" t="e">
        <f>VLOOKUP(B102,'Trips&amp;Operators'!$C$2:$E$10000,3,FALSE)</f>
        <v>#N/A</v>
      </c>
      <c r="G102" s="21" t="e">
        <f>VLOOKUP(B102,'Trips&amp;Operators'!$C$1:$F$10000,4,FALSE)</f>
        <v>#N/A</v>
      </c>
      <c r="H102" s="29" t="e">
        <f>VLOOKUP(B102,'Trips&amp;Operators'!$C$1:$H$10000,5,FALSE)</f>
        <v>#N/A</v>
      </c>
      <c r="I10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02" s="30" t="e">
        <f>VLOOKUP(B102,'Train Runs'!$A$13:$A$99937,1,FALSE)</f>
        <v>#N/A</v>
      </c>
    </row>
    <row r="103" spans="1:10" x14ac:dyDescent="0.25">
      <c r="A103" s="193"/>
      <c r="B103" s="43" t="str">
        <f>A103&amp;"-"&amp;IF(DAY(Variables!$A$2)&lt;10,0,"")&amp;DAY(Variables!$A$2)</f>
        <v>-21</v>
      </c>
      <c r="C103" s="147"/>
      <c r="D103" s="165"/>
      <c r="E103" s="30"/>
      <c r="F103" s="21" t="e">
        <f>VLOOKUP(B103,'Trips&amp;Operators'!$C$2:$E$10000,3,FALSE)</f>
        <v>#N/A</v>
      </c>
      <c r="G103" s="21" t="e">
        <f>VLOOKUP(B103,'Trips&amp;Operators'!$C$1:$F$10000,4,FALSE)</f>
        <v>#N/A</v>
      </c>
      <c r="H103" s="29" t="e">
        <f>VLOOKUP(B103,'Trips&amp;Operators'!$C$1:$H$10000,5,FALSE)</f>
        <v>#N/A</v>
      </c>
      <c r="I10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03" s="30" t="e">
        <f>VLOOKUP(B103,'Train Runs'!$A$13:$A$99937,1,FALSE)</f>
        <v>#N/A</v>
      </c>
    </row>
    <row r="104" spans="1:10" x14ac:dyDescent="0.25">
      <c r="A104" s="193"/>
      <c r="B104" s="43" t="str">
        <f>A104&amp;"-"&amp;IF(DAY(Variables!$A$2)&lt;10,0,"")&amp;DAY(Variables!$A$2)</f>
        <v>-21</v>
      </c>
      <c r="C104" s="147"/>
      <c r="D104" s="165"/>
      <c r="E104" s="30"/>
      <c r="F104" s="21" t="e">
        <f>VLOOKUP(B104,'Trips&amp;Operators'!$C$2:$E$10000,3,FALSE)</f>
        <v>#N/A</v>
      </c>
      <c r="G104" s="21" t="e">
        <f>VLOOKUP(B104,'Trips&amp;Operators'!$C$1:$F$10000,4,FALSE)</f>
        <v>#N/A</v>
      </c>
      <c r="H104" s="29" t="e">
        <f>VLOOKUP(B104,'Trips&amp;Operators'!$C$1:$H$10000,5,FALSE)</f>
        <v>#N/A</v>
      </c>
      <c r="I10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04" s="30" t="e">
        <f>VLOOKUP(B104,'Train Runs'!$A$13:$A$99937,1,FALSE)</f>
        <v>#N/A</v>
      </c>
    </row>
    <row r="105" spans="1:10" x14ac:dyDescent="0.25">
      <c r="A105" s="193"/>
      <c r="B105" s="43" t="str">
        <f>A105&amp;"-"&amp;IF(DAY(Variables!$A$2)&lt;10,0,"")&amp;DAY(Variables!$A$2)</f>
        <v>-21</v>
      </c>
      <c r="C105" s="147"/>
      <c r="D105" s="165"/>
      <c r="E105" s="30"/>
      <c r="F105" s="21" t="e">
        <f>VLOOKUP(B105,'Trips&amp;Operators'!$C$2:$E$10000,3,FALSE)</f>
        <v>#N/A</v>
      </c>
      <c r="G105" s="21" t="e">
        <f>VLOOKUP(B105,'Trips&amp;Operators'!$C$1:$F$10000,4,FALSE)</f>
        <v>#N/A</v>
      </c>
      <c r="H105" s="29" t="e">
        <f>VLOOKUP(B105,'Trips&amp;Operators'!$C$1:$H$10000,5,FALSE)</f>
        <v>#N/A</v>
      </c>
      <c r="I10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05" s="30" t="e">
        <f>VLOOKUP(B105,'Train Runs'!$A$13:$A$99937,1,FALSE)</f>
        <v>#N/A</v>
      </c>
    </row>
    <row r="106" spans="1:10" x14ac:dyDescent="0.25">
      <c r="A106" s="193"/>
      <c r="B106" s="43" t="str">
        <f>A106&amp;"-"&amp;IF(DAY(Variables!$A$2)&lt;10,0,"")&amp;DAY(Variables!$A$2)</f>
        <v>-21</v>
      </c>
      <c r="C106" s="147"/>
      <c r="D106" s="165"/>
      <c r="E106" s="30"/>
      <c r="F106" s="21" t="e">
        <f>VLOOKUP(B106,'Trips&amp;Operators'!$C$2:$E$10000,3,FALSE)</f>
        <v>#N/A</v>
      </c>
      <c r="G106" s="21" t="e">
        <f>VLOOKUP(B106,'Trips&amp;Operators'!$C$1:$F$10000,4,FALSE)</f>
        <v>#N/A</v>
      </c>
      <c r="H106" s="29" t="e">
        <f>VLOOKUP(B106,'Trips&amp;Operators'!$C$1:$H$10000,5,FALSE)</f>
        <v>#N/A</v>
      </c>
      <c r="I10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06" s="30" t="e">
        <f>VLOOKUP(B106,'Train Runs'!$A$13:$A$99937,1,FALSE)</f>
        <v>#N/A</v>
      </c>
    </row>
    <row r="107" spans="1:10" x14ac:dyDescent="0.25">
      <c r="A107" s="193"/>
      <c r="B107" s="43" t="str">
        <f>A107&amp;"-"&amp;IF(DAY(Variables!$A$2)&lt;10,0,"")&amp;DAY(Variables!$A$2)</f>
        <v>-21</v>
      </c>
      <c r="C107" s="147"/>
      <c r="D107" s="165"/>
      <c r="E107" s="30"/>
      <c r="F107" s="21" t="e">
        <f>VLOOKUP(B107,'Trips&amp;Operators'!$C$2:$E$10000,3,FALSE)</f>
        <v>#N/A</v>
      </c>
      <c r="G107" s="21" t="e">
        <f>VLOOKUP(B107,'Trips&amp;Operators'!$C$1:$F$10000,4,FALSE)</f>
        <v>#N/A</v>
      </c>
      <c r="H107" s="29" t="e">
        <f>VLOOKUP(B107,'Trips&amp;Operators'!$C$1:$H$10000,5,FALSE)</f>
        <v>#N/A</v>
      </c>
      <c r="I10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07" s="30" t="e">
        <f>VLOOKUP(B107,'Train Runs'!$A$13:$A$99937,1,FALSE)</f>
        <v>#N/A</v>
      </c>
    </row>
    <row r="108" spans="1:10" x14ac:dyDescent="0.25">
      <c r="A108" s="193"/>
      <c r="B108" s="43" t="str">
        <f>A108&amp;"-"&amp;IF(DAY(Variables!$A$2)&lt;10,0,"")&amp;DAY(Variables!$A$2)</f>
        <v>-21</v>
      </c>
      <c r="C108" s="147"/>
      <c r="D108" s="165"/>
      <c r="E108" s="30"/>
      <c r="F108" s="21" t="e">
        <f>VLOOKUP(B108,'Trips&amp;Operators'!$C$2:$E$10000,3,FALSE)</f>
        <v>#N/A</v>
      </c>
      <c r="G108" s="21" t="e">
        <f>VLOOKUP(B108,'Trips&amp;Operators'!$C$1:$F$10000,4,FALSE)</f>
        <v>#N/A</v>
      </c>
      <c r="H108" s="29" t="e">
        <f>VLOOKUP(B108,'Trips&amp;Operators'!$C$1:$H$10000,5,FALSE)</f>
        <v>#N/A</v>
      </c>
      <c r="I10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08" s="30" t="e">
        <f>VLOOKUP(B108,'Train Runs'!$A$13:$A$99937,1,FALSE)</f>
        <v>#N/A</v>
      </c>
    </row>
    <row r="109" spans="1:10" x14ac:dyDescent="0.25">
      <c r="A109" s="193"/>
      <c r="B109" s="43" t="str">
        <f>A109&amp;"-"&amp;IF(DAY(Variables!$A$2)&lt;10,0,"")&amp;DAY(Variables!$A$2)</f>
        <v>-21</v>
      </c>
      <c r="C109" s="147"/>
      <c r="D109" s="165"/>
      <c r="E109" s="30"/>
      <c r="F109" s="21" t="e">
        <f>VLOOKUP(B109,'Trips&amp;Operators'!$C$2:$E$10000,3,FALSE)</f>
        <v>#N/A</v>
      </c>
      <c r="G109" s="21" t="e">
        <f>VLOOKUP(B109,'Trips&amp;Operators'!$C$1:$F$10000,4,FALSE)</f>
        <v>#N/A</v>
      </c>
      <c r="H109" s="29" t="e">
        <f>VLOOKUP(B109,'Trips&amp;Operators'!$C$1:$H$10000,5,FALSE)</f>
        <v>#N/A</v>
      </c>
      <c r="I10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09" s="30" t="e">
        <f>VLOOKUP(B109,'Train Runs'!$A$13:$A$99937,1,FALSE)</f>
        <v>#N/A</v>
      </c>
    </row>
    <row r="110" spans="1:10" x14ac:dyDescent="0.25">
      <c r="A110" s="193"/>
      <c r="B110" s="43" t="str">
        <f>A110&amp;"-"&amp;IF(DAY(Variables!$A$2)&lt;10,0,"")&amp;DAY(Variables!$A$2)</f>
        <v>-21</v>
      </c>
      <c r="C110" s="147"/>
      <c r="D110" s="165"/>
      <c r="E110" s="30"/>
      <c r="F110" s="21" t="e">
        <f>VLOOKUP(B110,'Trips&amp;Operators'!$C$2:$E$10000,3,FALSE)</f>
        <v>#N/A</v>
      </c>
      <c r="G110" s="21" t="e">
        <f>VLOOKUP(B110,'Trips&amp;Operators'!$C$1:$F$10000,4,FALSE)</f>
        <v>#N/A</v>
      </c>
      <c r="H110" s="29" t="e">
        <f>VLOOKUP(B110,'Trips&amp;Operators'!$C$1:$H$10000,5,FALSE)</f>
        <v>#N/A</v>
      </c>
      <c r="I11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10" s="30" t="e">
        <f>VLOOKUP(B110,'Train Runs'!$A$13:$A$99937,1,FALSE)</f>
        <v>#N/A</v>
      </c>
    </row>
    <row r="111" spans="1:10" x14ac:dyDescent="0.25">
      <c r="A111" s="193"/>
      <c r="B111" s="43" t="str">
        <f>A111&amp;"-"&amp;IF(DAY(Variables!$A$2)&lt;10,0,"")&amp;DAY(Variables!$A$2)</f>
        <v>-21</v>
      </c>
      <c r="C111" s="147"/>
      <c r="D111" s="165"/>
      <c r="E111" s="30"/>
      <c r="F111" s="21" t="e">
        <f>VLOOKUP(B111,'Trips&amp;Operators'!$C$2:$E$10000,3,FALSE)</f>
        <v>#N/A</v>
      </c>
      <c r="G111" s="21" t="e">
        <f>VLOOKUP(B111,'Trips&amp;Operators'!$C$1:$F$10000,4,FALSE)</f>
        <v>#N/A</v>
      </c>
      <c r="H111" s="29" t="e">
        <f>VLOOKUP(B111,'Trips&amp;Operators'!$C$1:$H$10000,5,FALSE)</f>
        <v>#N/A</v>
      </c>
      <c r="I11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11" s="30" t="e">
        <f>VLOOKUP(B111,'Train Runs'!$A$13:$A$99937,1,FALSE)</f>
        <v>#N/A</v>
      </c>
    </row>
    <row r="112" spans="1:10" x14ac:dyDescent="0.25">
      <c r="A112" s="193"/>
      <c r="B112" s="43" t="str">
        <f>A112&amp;"-"&amp;IF(DAY(Variables!$A$2)&lt;10,0,"")&amp;DAY(Variables!$A$2)</f>
        <v>-21</v>
      </c>
      <c r="C112" s="147"/>
      <c r="D112" s="165"/>
      <c r="E112" s="30"/>
      <c r="F112" s="21" t="e">
        <f>VLOOKUP(B112,'Trips&amp;Operators'!$C$2:$E$10000,3,FALSE)</f>
        <v>#N/A</v>
      </c>
      <c r="G112" s="21" t="e">
        <f>VLOOKUP(B112,'Trips&amp;Operators'!$C$1:$F$10000,4,FALSE)</f>
        <v>#N/A</v>
      </c>
      <c r="H112" s="29" t="e">
        <f>VLOOKUP(B112,'Trips&amp;Operators'!$C$1:$H$10000,5,FALSE)</f>
        <v>#N/A</v>
      </c>
      <c r="I11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12" s="30" t="e">
        <f>VLOOKUP(B112,'Train Runs'!$A$13:$A$99937,1,FALSE)</f>
        <v>#N/A</v>
      </c>
    </row>
    <row r="113" spans="1:10" x14ac:dyDescent="0.25">
      <c r="A113" s="193"/>
      <c r="B113" s="43" t="str">
        <f>A113&amp;"-"&amp;IF(DAY(Variables!$A$2)&lt;10,0,"")&amp;DAY(Variables!$A$2)</f>
        <v>-21</v>
      </c>
      <c r="C113" s="147"/>
      <c r="D113" s="165"/>
      <c r="E113" s="30"/>
      <c r="F113" s="21" t="e">
        <f>VLOOKUP(B113,'Trips&amp;Operators'!$C$2:$E$10000,3,FALSE)</f>
        <v>#N/A</v>
      </c>
      <c r="G113" s="21" t="e">
        <f>VLOOKUP(B113,'Trips&amp;Operators'!$C$1:$F$10000,4,FALSE)</f>
        <v>#N/A</v>
      </c>
      <c r="H113" s="29" t="e">
        <f>VLOOKUP(B113,'Trips&amp;Operators'!$C$1:$H$10000,5,FALSE)</f>
        <v>#N/A</v>
      </c>
      <c r="I11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13" s="30" t="e">
        <f>VLOOKUP(B113,'Train Runs'!$A$13:$A$99937,1,FALSE)</f>
        <v>#N/A</v>
      </c>
    </row>
    <row r="114" spans="1:10" x14ac:dyDescent="0.25">
      <c r="A114" s="193"/>
      <c r="B114" s="43" t="str">
        <f>A114&amp;"-"&amp;IF(DAY(Variables!$A$2)&lt;10,0,"")&amp;DAY(Variables!$A$2)</f>
        <v>-21</v>
      </c>
      <c r="C114" s="147"/>
      <c r="D114" s="165"/>
      <c r="E114" s="30"/>
      <c r="F114" s="21" t="e">
        <f>VLOOKUP(B114,'Trips&amp;Operators'!$C$2:$E$10000,3,FALSE)</f>
        <v>#N/A</v>
      </c>
      <c r="G114" s="21" t="e">
        <f>VLOOKUP(B114,'Trips&amp;Operators'!$C$1:$F$10000,4,FALSE)</f>
        <v>#N/A</v>
      </c>
      <c r="H114" s="29" t="e">
        <f>VLOOKUP(B114,'Trips&amp;Operators'!$C$1:$H$10000,5,FALSE)</f>
        <v>#N/A</v>
      </c>
      <c r="I11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14" s="30" t="e">
        <f>VLOOKUP(B114,'Train Runs'!$A$13:$A$99937,1,FALSE)</f>
        <v>#N/A</v>
      </c>
    </row>
    <row r="115" spans="1:10" x14ac:dyDescent="0.25">
      <c r="A115" s="193"/>
      <c r="B115" s="43" t="str">
        <f>A115&amp;"-"&amp;IF(DAY(Variables!$A$2)&lt;10,0,"")&amp;DAY(Variables!$A$2)</f>
        <v>-21</v>
      </c>
      <c r="C115" s="147"/>
      <c r="D115" s="165"/>
      <c r="E115" s="30"/>
      <c r="F115" s="21" t="e">
        <f>VLOOKUP(B115,'Trips&amp;Operators'!$C$2:$E$10000,3,FALSE)</f>
        <v>#N/A</v>
      </c>
      <c r="G115" s="21" t="e">
        <f>VLOOKUP(B115,'Trips&amp;Operators'!$C$1:$F$10000,4,FALSE)</f>
        <v>#N/A</v>
      </c>
      <c r="H115" s="29" t="e">
        <f>VLOOKUP(B115,'Trips&amp;Operators'!$C$1:$H$10000,5,FALSE)</f>
        <v>#N/A</v>
      </c>
      <c r="I11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15" s="30" t="e">
        <f>VLOOKUP(B115,'Train Runs'!$A$13:$A$99937,1,FALSE)</f>
        <v>#N/A</v>
      </c>
    </row>
    <row r="116" spans="1:10" x14ac:dyDescent="0.25">
      <c r="A116" s="193"/>
      <c r="B116" s="43" t="str">
        <f>A116&amp;"-"&amp;IF(DAY(Variables!$A$2)&lt;10,0,"")&amp;DAY(Variables!$A$2)</f>
        <v>-21</v>
      </c>
      <c r="C116" s="147"/>
      <c r="D116" s="165"/>
      <c r="E116" s="30"/>
      <c r="F116" s="21" t="e">
        <f>VLOOKUP(B116,'Trips&amp;Operators'!$C$2:$E$10000,3,FALSE)</f>
        <v>#N/A</v>
      </c>
      <c r="G116" s="21" t="e">
        <f>VLOOKUP(B116,'Trips&amp;Operators'!$C$1:$F$10000,4,FALSE)</f>
        <v>#N/A</v>
      </c>
      <c r="H116" s="29" t="e">
        <f>VLOOKUP(B116,'Trips&amp;Operators'!$C$1:$H$10000,5,FALSE)</f>
        <v>#N/A</v>
      </c>
      <c r="I11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16" s="30" t="e">
        <f>VLOOKUP(B116,'Train Runs'!$A$13:$A$99937,1,FALSE)</f>
        <v>#N/A</v>
      </c>
    </row>
  </sheetData>
  <autoFilter ref="A2:J116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201</v>
      </c>
      <c r="G1" s="8" t="s">
        <v>200</v>
      </c>
    </row>
    <row r="2" spans="1:7" x14ac:dyDescent="0.25">
      <c r="A2" s="8">
        <v>42787.035729166666</v>
      </c>
      <c r="B2" s="20" t="s">
        <v>401</v>
      </c>
      <c r="C2" s="20" t="s">
        <v>402</v>
      </c>
      <c r="D2" s="150">
        <v>2730000</v>
      </c>
      <c r="E2" s="20" t="s">
        <v>357</v>
      </c>
      <c r="F2" s="20" t="s">
        <v>358</v>
      </c>
      <c r="G2" s="8" t="str">
        <f>E2&amp;" "&amp;F2</f>
        <v>YANG JAN</v>
      </c>
    </row>
    <row r="3" spans="1:7" x14ac:dyDescent="0.25">
      <c r="A3" s="8">
        <v>42787.03806712963</v>
      </c>
      <c r="B3" s="20" t="s">
        <v>265</v>
      </c>
      <c r="C3" s="20" t="s">
        <v>405</v>
      </c>
      <c r="D3" s="150">
        <v>2000000</v>
      </c>
      <c r="E3" s="20" t="s">
        <v>344</v>
      </c>
      <c r="F3" s="20" t="s">
        <v>199</v>
      </c>
      <c r="G3" s="8" t="str">
        <f t="shared" ref="G3:G66" si="0">E3&amp;" "&amp;F3</f>
        <v>STAMBAUGH JAMES</v>
      </c>
    </row>
    <row r="4" spans="1:7" x14ac:dyDescent="0.25">
      <c r="A4" s="8">
        <v>42787.049305555556</v>
      </c>
      <c r="B4" s="20" t="s">
        <v>259</v>
      </c>
      <c r="C4" s="20" t="s">
        <v>406</v>
      </c>
      <c r="D4" s="150">
        <v>2230000</v>
      </c>
      <c r="E4" s="20" t="s">
        <v>327</v>
      </c>
      <c r="F4" s="20" t="s">
        <v>202</v>
      </c>
      <c r="G4" s="8" t="str">
        <f t="shared" si="0"/>
        <v>SMITH MICHAEL</v>
      </c>
    </row>
    <row r="5" spans="1:7" x14ac:dyDescent="0.25">
      <c r="A5" s="8">
        <v>42787.052083333336</v>
      </c>
      <c r="B5" s="20" t="s">
        <v>217</v>
      </c>
      <c r="C5" s="20" t="s">
        <v>407</v>
      </c>
      <c r="D5" s="150">
        <v>1740000</v>
      </c>
      <c r="E5" s="20" t="s">
        <v>227</v>
      </c>
      <c r="F5" s="20" t="s">
        <v>228</v>
      </c>
      <c r="G5" s="8" t="str">
        <f t="shared" si="0"/>
        <v>STORY SAMANTHA</v>
      </c>
    </row>
    <row r="6" spans="1:7" x14ac:dyDescent="0.25">
      <c r="A6" s="8">
        <v>42787.067013888889</v>
      </c>
      <c r="B6" s="20" t="s">
        <v>403</v>
      </c>
      <c r="C6" s="20" t="s">
        <v>404</v>
      </c>
      <c r="D6" s="150">
        <v>2730000</v>
      </c>
      <c r="E6" s="20" t="s">
        <v>357</v>
      </c>
      <c r="F6" s="20" t="s">
        <v>358</v>
      </c>
      <c r="G6" s="8" t="str">
        <f t="shared" si="0"/>
        <v>YANG JAN</v>
      </c>
    </row>
    <row r="7" spans="1:7" x14ac:dyDescent="0.25">
      <c r="A7" s="8">
        <v>42787.069733796299</v>
      </c>
      <c r="B7" s="20" t="s">
        <v>268</v>
      </c>
      <c r="C7" s="20" t="s">
        <v>408</v>
      </c>
      <c r="D7" s="150">
        <v>2000000</v>
      </c>
      <c r="E7" s="20" t="s">
        <v>344</v>
      </c>
      <c r="F7" s="20" t="s">
        <v>199</v>
      </c>
      <c r="G7" s="8" t="str">
        <f t="shared" si="0"/>
        <v>STAMBAUGH JAMES</v>
      </c>
    </row>
    <row r="8" spans="1:7" x14ac:dyDescent="0.25">
      <c r="A8" s="8">
        <v>42787.088576388887</v>
      </c>
      <c r="B8" s="20" t="s">
        <v>216</v>
      </c>
      <c r="C8" s="20" t="s">
        <v>409</v>
      </c>
      <c r="D8" s="150">
        <v>1740000</v>
      </c>
      <c r="E8" s="20" t="s">
        <v>227</v>
      </c>
      <c r="F8" s="20" t="s">
        <v>228</v>
      </c>
      <c r="G8" s="8" t="str">
        <f t="shared" si="0"/>
        <v>STORY SAMANTHA</v>
      </c>
    </row>
    <row r="9" spans="1:7" ht="15.75" thickBot="1" x14ac:dyDescent="0.3">
      <c r="A9" s="24">
        <v>42787.116180555553</v>
      </c>
      <c r="B9" s="20" t="s">
        <v>455</v>
      </c>
      <c r="C9" s="20" t="s">
        <v>499</v>
      </c>
      <c r="D9" s="150">
        <v>1360000</v>
      </c>
      <c r="E9" s="20" t="s">
        <v>381</v>
      </c>
      <c r="F9" s="20" t="s">
        <v>382</v>
      </c>
      <c r="G9" s="8" t="str">
        <f t="shared" si="0"/>
        <v>SANTIZO D. EDY</v>
      </c>
    </row>
    <row r="10" spans="1:7" x14ac:dyDescent="0.25">
      <c r="A10" s="8">
        <v>42787.126377314817</v>
      </c>
      <c r="B10" s="20" t="s">
        <v>233</v>
      </c>
      <c r="C10" s="20" t="s">
        <v>500</v>
      </c>
      <c r="D10" s="150">
        <v>1360000</v>
      </c>
      <c r="E10" s="20" t="s">
        <v>381</v>
      </c>
      <c r="F10" s="20" t="s">
        <v>382</v>
      </c>
      <c r="G10" s="8" t="str">
        <f t="shared" si="0"/>
        <v>SANTIZO D. EDY</v>
      </c>
    </row>
    <row r="11" spans="1:7" x14ac:dyDescent="0.25">
      <c r="A11" s="8">
        <v>42787.141898148147</v>
      </c>
      <c r="B11" s="20" t="s">
        <v>401</v>
      </c>
      <c r="C11" s="20" t="s">
        <v>501</v>
      </c>
      <c r="D11" s="150">
        <v>1140000</v>
      </c>
      <c r="E11" s="20" t="s">
        <v>387</v>
      </c>
      <c r="F11" s="20" t="s">
        <v>388</v>
      </c>
      <c r="G11" s="8" t="str">
        <f t="shared" si="0"/>
        <v>YOUNG ELIZABETH</v>
      </c>
    </row>
    <row r="12" spans="1:7" x14ac:dyDescent="0.25">
      <c r="A12" s="8">
        <v>42787.1565625</v>
      </c>
      <c r="B12" s="20" t="s">
        <v>230</v>
      </c>
      <c r="C12" s="20" t="s">
        <v>502</v>
      </c>
      <c r="D12" s="150">
        <v>2010000</v>
      </c>
      <c r="E12" s="20" t="s">
        <v>503</v>
      </c>
      <c r="F12" s="20" t="s">
        <v>504</v>
      </c>
      <c r="G12" s="8" t="str">
        <f t="shared" si="0"/>
        <v>MAELZER KURT</v>
      </c>
    </row>
    <row r="13" spans="1:7" x14ac:dyDescent="0.25">
      <c r="A13" s="8">
        <v>42787.164710648147</v>
      </c>
      <c r="B13" s="20" t="s">
        <v>208</v>
      </c>
      <c r="C13" s="20" t="s">
        <v>505</v>
      </c>
      <c r="D13" s="150">
        <v>1110000</v>
      </c>
      <c r="E13" s="20" t="s">
        <v>385</v>
      </c>
      <c r="F13" s="20" t="s">
        <v>386</v>
      </c>
      <c r="G13" s="8" t="str">
        <f t="shared" si="0"/>
        <v>STARKS ANGELINA</v>
      </c>
    </row>
    <row r="14" spans="1:7" x14ac:dyDescent="0.25">
      <c r="A14" s="8">
        <v>42787.172824074078</v>
      </c>
      <c r="B14" s="20" t="s">
        <v>455</v>
      </c>
      <c r="C14" s="20" t="s">
        <v>506</v>
      </c>
      <c r="D14" s="150">
        <v>1360000</v>
      </c>
      <c r="E14" s="20" t="s">
        <v>381</v>
      </c>
      <c r="F14" s="20" t="s">
        <v>382</v>
      </c>
      <c r="G14" s="8" t="str">
        <f t="shared" si="0"/>
        <v>SANTIZO D. EDY</v>
      </c>
    </row>
    <row r="15" spans="1:7" x14ac:dyDescent="0.25">
      <c r="A15" s="8">
        <v>42787.173854166664</v>
      </c>
      <c r="B15" s="20" t="s">
        <v>455</v>
      </c>
      <c r="C15" s="20" t="s">
        <v>456</v>
      </c>
      <c r="D15" s="150">
        <v>1360000</v>
      </c>
      <c r="E15" s="20" t="s">
        <v>381</v>
      </c>
      <c r="F15" s="20" t="s">
        <v>382</v>
      </c>
      <c r="G15" s="8" t="str">
        <f t="shared" si="0"/>
        <v>SANTIZO D. EDY</v>
      </c>
    </row>
    <row r="16" spans="1:7" x14ac:dyDescent="0.25">
      <c r="A16" s="8">
        <v>42787.17491898148</v>
      </c>
      <c r="B16" s="20" t="s">
        <v>252</v>
      </c>
      <c r="C16" s="20" t="s">
        <v>507</v>
      </c>
      <c r="D16" s="150">
        <v>940000</v>
      </c>
      <c r="E16" s="20" t="s">
        <v>383</v>
      </c>
      <c r="F16" s="20" t="s">
        <v>384</v>
      </c>
      <c r="G16" s="8" t="str">
        <f t="shared" si="0"/>
        <v>BONDS REYNALDO</v>
      </c>
    </row>
    <row r="17" spans="1:7" x14ac:dyDescent="0.25">
      <c r="A17" s="8">
        <v>42787.175520833334</v>
      </c>
      <c r="B17" s="20" t="s">
        <v>278</v>
      </c>
      <c r="C17" s="20" t="s">
        <v>508</v>
      </c>
      <c r="D17" s="150">
        <v>1110000</v>
      </c>
      <c r="E17" s="20" t="s">
        <v>385</v>
      </c>
      <c r="F17" s="20" t="s">
        <v>386</v>
      </c>
      <c r="G17" s="8" t="str">
        <f t="shared" si="0"/>
        <v>STARKS ANGELINA</v>
      </c>
    </row>
    <row r="18" spans="1:7" x14ac:dyDescent="0.25">
      <c r="A18" s="8">
        <v>42787.179849537039</v>
      </c>
      <c r="B18" s="20" t="s">
        <v>219</v>
      </c>
      <c r="C18" s="20" t="s">
        <v>509</v>
      </c>
      <c r="D18" s="150">
        <v>1260000</v>
      </c>
      <c r="E18" s="20" t="s">
        <v>395</v>
      </c>
      <c r="F18" s="20" t="s">
        <v>396</v>
      </c>
      <c r="G18" s="8" t="str">
        <f t="shared" si="0"/>
        <v>ACKERMAN JARED</v>
      </c>
    </row>
    <row r="19" spans="1:7" x14ac:dyDescent="0.25">
      <c r="A19" s="8">
        <v>42787.181168981479</v>
      </c>
      <c r="B19" s="20" t="s">
        <v>403</v>
      </c>
      <c r="C19" s="20" t="s">
        <v>501</v>
      </c>
      <c r="D19" s="150">
        <v>1140000</v>
      </c>
      <c r="E19" s="20" t="s">
        <v>387</v>
      </c>
      <c r="F19" s="20" t="s">
        <v>388</v>
      </c>
      <c r="G19" s="8" t="str">
        <f t="shared" si="0"/>
        <v>YOUNG ELIZABETH</v>
      </c>
    </row>
    <row r="20" spans="1:7" x14ac:dyDescent="0.25">
      <c r="A20" s="8">
        <v>42787.183680555558</v>
      </c>
      <c r="B20" s="20" t="s">
        <v>251</v>
      </c>
      <c r="C20" s="20" t="s">
        <v>510</v>
      </c>
      <c r="D20" s="150">
        <v>940000</v>
      </c>
      <c r="E20" s="20" t="s">
        <v>383</v>
      </c>
      <c r="F20" s="20" t="s">
        <v>384</v>
      </c>
      <c r="G20" s="8" t="str">
        <f t="shared" si="0"/>
        <v>BONDS REYNALDO</v>
      </c>
    </row>
    <row r="21" spans="1:7" x14ac:dyDescent="0.25">
      <c r="A21" s="8">
        <v>42787.188043981485</v>
      </c>
      <c r="B21" s="20" t="s">
        <v>324</v>
      </c>
      <c r="C21" s="20" t="s">
        <v>458</v>
      </c>
      <c r="D21" s="150">
        <v>2010000</v>
      </c>
      <c r="E21" s="20" t="s">
        <v>503</v>
      </c>
      <c r="F21" s="20" t="s">
        <v>504</v>
      </c>
      <c r="G21" s="8" t="str">
        <f t="shared" si="0"/>
        <v>MAELZER KURT</v>
      </c>
    </row>
    <row r="22" spans="1:7" x14ac:dyDescent="0.25">
      <c r="A22" s="26">
        <v>42787.191747685189</v>
      </c>
      <c r="B22" s="20" t="s">
        <v>220</v>
      </c>
      <c r="C22" s="20" t="s">
        <v>457</v>
      </c>
      <c r="D22" s="150">
        <v>1260000</v>
      </c>
      <c r="E22" s="20" t="s">
        <v>395</v>
      </c>
      <c r="F22" s="20" t="s">
        <v>396</v>
      </c>
      <c r="G22" s="8" t="str">
        <f t="shared" si="0"/>
        <v>ACKERMAN JARED</v>
      </c>
    </row>
    <row r="23" spans="1:7" x14ac:dyDescent="0.25">
      <c r="A23" s="8">
        <v>42787.201921296299</v>
      </c>
      <c r="B23" s="20" t="s">
        <v>479</v>
      </c>
      <c r="C23" s="20" t="s">
        <v>511</v>
      </c>
      <c r="D23" s="150">
        <v>1830000</v>
      </c>
      <c r="E23" s="20" t="s">
        <v>282</v>
      </c>
      <c r="F23" s="20" t="s">
        <v>283</v>
      </c>
      <c r="G23" s="8" t="str">
        <f t="shared" si="0"/>
        <v>YORK EDGAR</v>
      </c>
    </row>
    <row r="24" spans="1:7" x14ac:dyDescent="0.25">
      <c r="A24" s="8">
        <v>42787.205289351848</v>
      </c>
      <c r="B24" s="20" t="s">
        <v>233</v>
      </c>
      <c r="C24" s="20" t="s">
        <v>512</v>
      </c>
      <c r="D24" s="150">
        <v>1290000</v>
      </c>
      <c r="E24" s="20" t="s">
        <v>513</v>
      </c>
      <c r="F24" s="20" t="s">
        <v>281</v>
      </c>
      <c r="G24" s="8" t="str">
        <f t="shared" si="0"/>
        <v>COOLAHAN JOHN</v>
      </c>
    </row>
    <row r="25" spans="1:7" x14ac:dyDescent="0.25">
      <c r="A25" s="8">
        <v>42787.209178240744</v>
      </c>
      <c r="B25" s="20" t="s">
        <v>489</v>
      </c>
      <c r="C25" s="20" t="s">
        <v>514</v>
      </c>
      <c r="D25" s="150">
        <v>1830000</v>
      </c>
      <c r="E25" s="20" t="s">
        <v>282</v>
      </c>
      <c r="F25" s="20" t="s">
        <v>283</v>
      </c>
      <c r="G25" s="8" t="str">
        <f t="shared" si="0"/>
        <v>YORK EDGAR</v>
      </c>
    </row>
    <row r="26" spans="1:7" x14ac:dyDescent="0.25">
      <c r="A26" s="8">
        <v>42787.210636574076</v>
      </c>
      <c r="B26" s="20" t="s">
        <v>328</v>
      </c>
      <c r="C26" s="20" t="s">
        <v>515</v>
      </c>
      <c r="D26" s="150">
        <v>1360000</v>
      </c>
      <c r="E26" s="20" t="s">
        <v>381</v>
      </c>
      <c r="F26" s="20" t="s">
        <v>382</v>
      </c>
      <c r="G26" s="8" t="str">
        <f t="shared" si="0"/>
        <v>SANTIZO D. EDY</v>
      </c>
    </row>
    <row r="27" spans="1:7" x14ac:dyDescent="0.25">
      <c r="A27" s="8">
        <v>42787.21366898148</v>
      </c>
      <c r="B27" s="20" t="s">
        <v>208</v>
      </c>
      <c r="C27" s="20" t="s">
        <v>516</v>
      </c>
      <c r="D27" s="150">
        <v>1110000</v>
      </c>
      <c r="E27" s="20" t="s">
        <v>385</v>
      </c>
      <c r="F27" s="20" t="s">
        <v>386</v>
      </c>
      <c r="G27" s="8" t="str">
        <f t="shared" si="0"/>
        <v>STARKS ANGELINA</v>
      </c>
    </row>
    <row r="28" spans="1:7" x14ac:dyDescent="0.25">
      <c r="A28" s="8">
        <v>42787.22252314815</v>
      </c>
      <c r="B28" s="20" t="s">
        <v>252</v>
      </c>
      <c r="C28" s="20" t="s">
        <v>517</v>
      </c>
      <c r="D28" s="150">
        <v>940000</v>
      </c>
      <c r="E28" s="20" t="s">
        <v>383</v>
      </c>
      <c r="F28" s="20" t="s">
        <v>384</v>
      </c>
      <c r="G28" s="8" t="str">
        <f t="shared" si="0"/>
        <v>BONDS REYNALDO</v>
      </c>
    </row>
    <row r="29" spans="1:7" x14ac:dyDescent="0.25">
      <c r="A29" s="8">
        <v>42787.226215277777</v>
      </c>
      <c r="B29" s="20" t="s">
        <v>473</v>
      </c>
      <c r="C29" s="20" t="s">
        <v>518</v>
      </c>
      <c r="D29" s="150">
        <v>2010000</v>
      </c>
      <c r="E29" s="20" t="s">
        <v>503</v>
      </c>
      <c r="F29" s="20" t="s">
        <v>504</v>
      </c>
      <c r="G29" s="8" t="str">
        <f t="shared" si="0"/>
        <v>MAELZER KURT</v>
      </c>
    </row>
    <row r="30" spans="1:7" x14ac:dyDescent="0.25">
      <c r="A30" s="8">
        <v>42787.22693287037</v>
      </c>
      <c r="B30" s="20" t="s">
        <v>230</v>
      </c>
      <c r="C30" s="20" t="s">
        <v>519</v>
      </c>
      <c r="D30" s="150">
        <v>900000</v>
      </c>
      <c r="E30" s="20" t="s">
        <v>389</v>
      </c>
      <c r="F30" s="20" t="s">
        <v>390</v>
      </c>
      <c r="G30" s="8" t="str">
        <f t="shared" si="0"/>
        <v>ROCHA YAOTL</v>
      </c>
    </row>
    <row r="31" spans="1:7" x14ac:dyDescent="0.25">
      <c r="A31" s="8">
        <v>42787.23196759259</v>
      </c>
      <c r="B31" s="20" t="s">
        <v>219</v>
      </c>
      <c r="C31" s="20" t="s">
        <v>459</v>
      </c>
      <c r="D31" s="150">
        <v>1260000</v>
      </c>
      <c r="E31" s="20" t="s">
        <v>395</v>
      </c>
      <c r="F31" s="20" t="s">
        <v>396</v>
      </c>
      <c r="G31" s="8" t="str">
        <f t="shared" si="0"/>
        <v>ACKERMAN JARED</v>
      </c>
    </row>
    <row r="32" spans="1:7" x14ac:dyDescent="0.25">
      <c r="A32" s="8">
        <v>42787.234085648146</v>
      </c>
      <c r="B32" s="20" t="s">
        <v>252</v>
      </c>
      <c r="C32" s="20" t="s">
        <v>517</v>
      </c>
      <c r="D32" s="150">
        <v>940000</v>
      </c>
      <c r="E32" s="20" t="s">
        <v>383</v>
      </c>
      <c r="F32" s="20" t="s">
        <v>384</v>
      </c>
      <c r="G32" s="8" t="str">
        <f t="shared" si="0"/>
        <v>BONDS REYNALDO</v>
      </c>
    </row>
    <row r="33" spans="1:7" x14ac:dyDescent="0.25">
      <c r="A33" s="8">
        <v>42787.243657407409</v>
      </c>
      <c r="B33" s="20" t="s">
        <v>343</v>
      </c>
      <c r="C33" s="20" t="s">
        <v>520</v>
      </c>
      <c r="D33" s="150">
        <v>1830000</v>
      </c>
      <c r="E33" s="20" t="s">
        <v>282</v>
      </c>
      <c r="F33" s="20" t="s">
        <v>283</v>
      </c>
      <c r="G33" s="8" t="str">
        <f t="shared" si="0"/>
        <v>YORK EDGAR</v>
      </c>
    </row>
    <row r="34" spans="1:7" x14ac:dyDescent="0.25">
      <c r="A34" s="8">
        <v>42787.244085648148</v>
      </c>
      <c r="B34" s="20" t="s">
        <v>468</v>
      </c>
      <c r="C34" s="20" t="s">
        <v>521</v>
      </c>
      <c r="D34" s="150">
        <v>2270000</v>
      </c>
      <c r="E34" s="20" t="s">
        <v>231</v>
      </c>
      <c r="F34" s="20" t="s">
        <v>232</v>
      </c>
      <c r="G34" s="8" t="str">
        <f t="shared" si="0"/>
        <v>BROWN JACOB</v>
      </c>
    </row>
    <row r="35" spans="1:7" x14ac:dyDescent="0.25">
      <c r="A35" s="8">
        <v>42787.244467592594</v>
      </c>
      <c r="B35" s="20" t="s">
        <v>212</v>
      </c>
      <c r="C35" s="20" t="s">
        <v>522</v>
      </c>
      <c r="D35" s="150">
        <v>1290000</v>
      </c>
      <c r="E35" s="20" t="s">
        <v>513</v>
      </c>
      <c r="F35" s="20" t="s">
        <v>281</v>
      </c>
      <c r="G35" s="8" t="str">
        <f t="shared" si="0"/>
        <v>COOLAHAN JOHN</v>
      </c>
    </row>
    <row r="36" spans="1:7" x14ac:dyDescent="0.25">
      <c r="A36" s="8">
        <v>42787.245833333334</v>
      </c>
      <c r="B36" s="20" t="s">
        <v>455</v>
      </c>
      <c r="C36" s="20" t="s">
        <v>523</v>
      </c>
      <c r="D36" s="150">
        <v>1360000</v>
      </c>
      <c r="E36" s="20" t="s">
        <v>381</v>
      </c>
      <c r="F36" s="20" t="s">
        <v>382</v>
      </c>
      <c r="G36" s="8" t="str">
        <f t="shared" si="0"/>
        <v>SANTIZO D. EDY</v>
      </c>
    </row>
    <row r="37" spans="1:7" x14ac:dyDescent="0.25">
      <c r="A37" s="8">
        <v>42787.247870370367</v>
      </c>
      <c r="B37" s="20" t="s">
        <v>278</v>
      </c>
      <c r="C37" s="20" t="s">
        <v>524</v>
      </c>
      <c r="D37" s="150">
        <v>1110000</v>
      </c>
      <c r="E37" s="20" t="s">
        <v>385</v>
      </c>
      <c r="F37" s="20" t="s">
        <v>386</v>
      </c>
      <c r="G37" s="8" t="str">
        <f t="shared" si="0"/>
        <v>STARKS ANGELINA</v>
      </c>
    </row>
    <row r="38" spans="1:7" x14ac:dyDescent="0.25">
      <c r="A38" s="8">
        <v>42787.256226851852</v>
      </c>
      <c r="B38" s="20" t="s">
        <v>380</v>
      </c>
      <c r="C38" s="20" t="s">
        <v>525</v>
      </c>
      <c r="D38" s="150">
        <v>1830000</v>
      </c>
      <c r="E38" s="20" t="s">
        <v>282</v>
      </c>
      <c r="F38" s="20" t="s">
        <v>283</v>
      </c>
      <c r="G38" s="8" t="str">
        <f t="shared" si="0"/>
        <v>YORK EDGAR</v>
      </c>
    </row>
    <row r="39" spans="1:7" x14ac:dyDescent="0.25">
      <c r="A39" s="8">
        <v>42787.258125</v>
      </c>
      <c r="B39" s="20" t="s">
        <v>251</v>
      </c>
      <c r="C39" s="20" t="s">
        <v>526</v>
      </c>
      <c r="D39" s="150">
        <v>940000</v>
      </c>
      <c r="E39" s="20" t="s">
        <v>383</v>
      </c>
      <c r="F39" s="20" t="s">
        <v>384</v>
      </c>
      <c r="G39" s="8" t="str">
        <f t="shared" si="0"/>
        <v>BONDS REYNALDO</v>
      </c>
    </row>
    <row r="40" spans="1:7" x14ac:dyDescent="0.25">
      <c r="A40" s="8">
        <v>42787.26290509259</v>
      </c>
      <c r="B40" s="25" t="s">
        <v>465</v>
      </c>
      <c r="C40" s="20" t="s">
        <v>527</v>
      </c>
      <c r="D40" s="150">
        <v>2270000</v>
      </c>
      <c r="E40" s="20" t="s">
        <v>231</v>
      </c>
      <c r="F40" s="20" t="s">
        <v>232</v>
      </c>
      <c r="G40" s="8" t="str">
        <f t="shared" si="0"/>
        <v>BROWN JACOB</v>
      </c>
    </row>
    <row r="41" spans="1:7" x14ac:dyDescent="0.25">
      <c r="A41" s="8">
        <v>42787.267361111109</v>
      </c>
      <c r="B41" s="20" t="s">
        <v>220</v>
      </c>
      <c r="C41" s="20" t="s">
        <v>460</v>
      </c>
      <c r="D41" s="150">
        <v>1260000</v>
      </c>
      <c r="E41" s="20" t="s">
        <v>395</v>
      </c>
      <c r="F41" s="20" t="s">
        <v>396</v>
      </c>
      <c r="G41" s="8" t="str">
        <f t="shared" si="0"/>
        <v>ACKERMAN JARED</v>
      </c>
    </row>
    <row r="42" spans="1:7" x14ac:dyDescent="0.25">
      <c r="A42" s="8">
        <v>42787.267604166664</v>
      </c>
      <c r="B42" s="20" t="s">
        <v>277</v>
      </c>
      <c r="C42" s="20" t="s">
        <v>462</v>
      </c>
      <c r="D42" s="150">
        <v>900000</v>
      </c>
      <c r="E42" s="20" t="s">
        <v>389</v>
      </c>
      <c r="F42" s="20" t="s">
        <v>390</v>
      </c>
      <c r="G42" s="8" t="str">
        <f t="shared" si="0"/>
        <v>ROCHA YAOTL</v>
      </c>
    </row>
    <row r="43" spans="1:7" x14ac:dyDescent="0.25">
      <c r="A43" s="8">
        <v>42787.268842592595</v>
      </c>
      <c r="B43" s="20" t="s">
        <v>343</v>
      </c>
      <c r="C43" s="20" t="s">
        <v>528</v>
      </c>
      <c r="D43" s="150">
        <v>1830000</v>
      </c>
      <c r="E43" s="20" t="s">
        <v>282</v>
      </c>
      <c r="F43" s="20" t="s">
        <v>283</v>
      </c>
      <c r="G43" s="8" t="str">
        <f t="shared" si="0"/>
        <v>YORK EDGAR</v>
      </c>
    </row>
    <row r="44" spans="1:7" x14ac:dyDescent="0.25">
      <c r="A44" s="8">
        <v>42787.273379629631</v>
      </c>
      <c r="B44" s="20" t="s">
        <v>324</v>
      </c>
      <c r="C44" s="20" t="s">
        <v>529</v>
      </c>
      <c r="D44" s="150">
        <v>2010000</v>
      </c>
      <c r="E44" s="20" t="s">
        <v>503</v>
      </c>
      <c r="F44" s="20" t="s">
        <v>504</v>
      </c>
      <c r="G44" s="8" t="str">
        <f t="shared" si="0"/>
        <v>MAELZER KURT</v>
      </c>
    </row>
    <row r="45" spans="1:7" x14ac:dyDescent="0.25">
      <c r="A45" s="8">
        <v>42787.275127314817</v>
      </c>
      <c r="B45" s="20" t="s">
        <v>468</v>
      </c>
      <c r="C45" s="20" t="s">
        <v>530</v>
      </c>
      <c r="D45" s="150">
        <v>2270000</v>
      </c>
      <c r="E45" s="20" t="s">
        <v>231</v>
      </c>
      <c r="F45" s="20" t="s">
        <v>232</v>
      </c>
      <c r="G45" s="8" t="str">
        <f t="shared" si="0"/>
        <v>BROWN JACOB</v>
      </c>
    </row>
    <row r="46" spans="1:7" x14ac:dyDescent="0.25">
      <c r="A46" s="8">
        <v>42787.278506944444</v>
      </c>
      <c r="B46" s="20" t="s">
        <v>233</v>
      </c>
      <c r="C46" s="20" t="s">
        <v>461</v>
      </c>
      <c r="D46" s="150">
        <v>1290000</v>
      </c>
      <c r="E46" s="20" t="s">
        <v>513</v>
      </c>
      <c r="F46" s="20" t="s">
        <v>281</v>
      </c>
      <c r="G46" s="8" t="str">
        <f t="shared" si="0"/>
        <v>COOLAHAN JOHN</v>
      </c>
    </row>
    <row r="47" spans="1:7" x14ac:dyDescent="0.25">
      <c r="A47" s="8">
        <v>42787.285451388889</v>
      </c>
      <c r="B47" s="20" t="s">
        <v>279</v>
      </c>
      <c r="C47" s="20" t="s">
        <v>531</v>
      </c>
      <c r="D47" s="150">
        <v>1110000</v>
      </c>
      <c r="E47" s="20" t="s">
        <v>385</v>
      </c>
      <c r="F47" s="20" t="s">
        <v>386</v>
      </c>
      <c r="G47" s="8" t="str">
        <f t="shared" si="0"/>
        <v>STARKS ANGELINA</v>
      </c>
    </row>
    <row r="48" spans="1:7" x14ac:dyDescent="0.25">
      <c r="A48" s="8">
        <v>42787.287511574075</v>
      </c>
      <c r="B48" s="20" t="s">
        <v>328</v>
      </c>
      <c r="C48" s="20" t="s">
        <v>532</v>
      </c>
      <c r="D48" s="150">
        <v>1360000</v>
      </c>
      <c r="E48" s="20" t="s">
        <v>381</v>
      </c>
      <c r="F48" s="20" t="s">
        <v>382</v>
      </c>
      <c r="G48" s="8" t="str">
        <f t="shared" si="0"/>
        <v>SANTIZO D. EDY</v>
      </c>
    </row>
    <row r="49" spans="1:7" x14ac:dyDescent="0.25">
      <c r="A49" s="8">
        <v>42787.288877314815</v>
      </c>
      <c r="B49" s="20" t="s">
        <v>328</v>
      </c>
      <c r="C49" s="20" t="s">
        <v>532</v>
      </c>
      <c r="D49" s="150">
        <v>1360000</v>
      </c>
      <c r="E49" s="20" t="s">
        <v>381</v>
      </c>
      <c r="F49" s="20" t="s">
        <v>382</v>
      </c>
      <c r="G49" s="8" t="str">
        <f t="shared" si="0"/>
        <v>SANTIZO D. EDY</v>
      </c>
    </row>
    <row r="50" spans="1:7" x14ac:dyDescent="0.25">
      <c r="A50" s="8">
        <v>42787.295624999999</v>
      </c>
      <c r="B50" s="20" t="s">
        <v>380</v>
      </c>
      <c r="C50" s="20" t="s">
        <v>533</v>
      </c>
      <c r="D50" s="150">
        <v>1830000</v>
      </c>
      <c r="E50" s="20" t="s">
        <v>282</v>
      </c>
      <c r="F50" s="20" t="s">
        <v>283</v>
      </c>
      <c r="G50" s="8" t="str">
        <f t="shared" si="0"/>
        <v>YORK EDGAR</v>
      </c>
    </row>
    <row r="51" spans="1:7" x14ac:dyDescent="0.25">
      <c r="A51" s="8">
        <v>42787.296851851854</v>
      </c>
      <c r="B51" s="20" t="s">
        <v>252</v>
      </c>
      <c r="C51" s="20" t="s">
        <v>534</v>
      </c>
      <c r="D51" s="150">
        <v>940000</v>
      </c>
      <c r="E51" s="20" t="s">
        <v>383</v>
      </c>
      <c r="F51" s="20" t="s">
        <v>384</v>
      </c>
      <c r="G51" s="8" t="str">
        <f t="shared" si="0"/>
        <v>BONDS REYNALDO</v>
      </c>
    </row>
    <row r="52" spans="1:7" x14ac:dyDescent="0.25">
      <c r="A52" s="8">
        <v>42787.298206018517</v>
      </c>
      <c r="B52" s="20" t="s">
        <v>230</v>
      </c>
      <c r="C52" s="20" t="s">
        <v>463</v>
      </c>
      <c r="D52" s="150">
        <v>900000</v>
      </c>
      <c r="E52" s="20" t="s">
        <v>389</v>
      </c>
      <c r="F52" s="20" t="s">
        <v>390</v>
      </c>
      <c r="G52" s="8" t="str">
        <f t="shared" si="0"/>
        <v>ROCHA YAOTL</v>
      </c>
    </row>
    <row r="53" spans="1:7" x14ac:dyDescent="0.25">
      <c r="A53" s="8">
        <v>42787.299421296295</v>
      </c>
      <c r="B53" s="20" t="s">
        <v>380</v>
      </c>
      <c r="C53" s="20" t="s">
        <v>533</v>
      </c>
      <c r="D53" s="150">
        <v>1830000</v>
      </c>
      <c r="E53" s="20" t="s">
        <v>282</v>
      </c>
      <c r="F53" s="20" t="s">
        <v>283</v>
      </c>
      <c r="G53" s="8" t="str">
        <f t="shared" si="0"/>
        <v>YORK EDGAR</v>
      </c>
    </row>
    <row r="54" spans="1:7" x14ac:dyDescent="0.25">
      <c r="A54" s="8">
        <v>42787.303495370368</v>
      </c>
      <c r="B54" s="20" t="s">
        <v>219</v>
      </c>
      <c r="C54" s="20" t="s">
        <v>535</v>
      </c>
      <c r="D54" s="150">
        <v>1260000</v>
      </c>
      <c r="E54" s="20" t="s">
        <v>395</v>
      </c>
      <c r="F54" s="20" t="s">
        <v>396</v>
      </c>
      <c r="G54" s="8" t="str">
        <f t="shared" si="0"/>
        <v>ACKERMAN JARED</v>
      </c>
    </row>
    <row r="55" spans="1:7" x14ac:dyDescent="0.25">
      <c r="A55" s="8">
        <v>42787.306550925925</v>
      </c>
      <c r="B55" s="20" t="s">
        <v>465</v>
      </c>
      <c r="C55" s="20" t="s">
        <v>536</v>
      </c>
      <c r="D55" s="150">
        <v>2270000</v>
      </c>
      <c r="E55" s="20" t="s">
        <v>231</v>
      </c>
      <c r="F55" s="20" t="s">
        <v>232</v>
      </c>
      <c r="G55" s="8" t="str">
        <f t="shared" si="0"/>
        <v>BROWN JACOB</v>
      </c>
    </row>
    <row r="56" spans="1:7" x14ac:dyDescent="0.25">
      <c r="A56" s="8">
        <v>42787.309513888889</v>
      </c>
      <c r="B56" s="20" t="s">
        <v>473</v>
      </c>
      <c r="C56" s="20" t="s">
        <v>537</v>
      </c>
      <c r="D56" s="150">
        <v>2010000</v>
      </c>
      <c r="E56" s="20" t="s">
        <v>503</v>
      </c>
      <c r="F56" s="20" t="s">
        <v>504</v>
      </c>
      <c r="G56" s="8" t="str">
        <f t="shared" si="0"/>
        <v>MAELZER KURT</v>
      </c>
    </row>
    <row r="57" spans="1:7" x14ac:dyDescent="0.25">
      <c r="A57" s="8">
        <v>42787.311493055553</v>
      </c>
      <c r="B57" s="20" t="s">
        <v>343</v>
      </c>
      <c r="C57" s="20" t="s">
        <v>538</v>
      </c>
      <c r="D57" s="150">
        <v>1830000</v>
      </c>
      <c r="E57" s="20" t="s">
        <v>282</v>
      </c>
      <c r="F57" s="20" t="s">
        <v>283</v>
      </c>
      <c r="G57" s="8" t="str">
        <f t="shared" si="0"/>
        <v>YORK EDGAR</v>
      </c>
    </row>
    <row r="58" spans="1:7" x14ac:dyDescent="0.25">
      <c r="A58" s="8">
        <v>42787.316516203704</v>
      </c>
      <c r="B58" s="20" t="s">
        <v>212</v>
      </c>
      <c r="C58" s="20" t="s">
        <v>464</v>
      </c>
      <c r="D58" s="150">
        <v>1290000</v>
      </c>
      <c r="E58" s="20" t="s">
        <v>513</v>
      </c>
      <c r="F58" s="20" t="s">
        <v>281</v>
      </c>
      <c r="G58" s="8" t="str">
        <f t="shared" si="0"/>
        <v>COOLAHAN JOHN</v>
      </c>
    </row>
    <row r="59" spans="1:7" x14ac:dyDescent="0.25">
      <c r="A59" s="8">
        <v>42787.317743055559</v>
      </c>
      <c r="B59" s="20" t="s">
        <v>468</v>
      </c>
      <c r="C59" s="20" t="s">
        <v>539</v>
      </c>
      <c r="D59" s="150">
        <v>2270000</v>
      </c>
      <c r="E59" s="20" t="s">
        <v>231</v>
      </c>
      <c r="F59" s="20" t="s">
        <v>232</v>
      </c>
      <c r="G59" s="8" t="str">
        <f t="shared" si="0"/>
        <v>BROWN JACOB</v>
      </c>
    </row>
    <row r="60" spans="1:7" x14ac:dyDescent="0.25">
      <c r="A60" s="8">
        <v>42787.319004629629</v>
      </c>
      <c r="B60" s="20" t="s">
        <v>455</v>
      </c>
      <c r="C60" s="20" t="s">
        <v>540</v>
      </c>
      <c r="D60" s="150">
        <v>1360000</v>
      </c>
      <c r="E60" s="20" t="s">
        <v>381</v>
      </c>
      <c r="F60" s="20" t="s">
        <v>382</v>
      </c>
      <c r="G60" s="8" t="str">
        <f t="shared" si="0"/>
        <v>SANTIZO D. EDY</v>
      </c>
    </row>
    <row r="61" spans="1:7" x14ac:dyDescent="0.25">
      <c r="A61" s="8">
        <v>42787.31931712963</v>
      </c>
      <c r="B61" s="20" t="s">
        <v>278</v>
      </c>
      <c r="C61" s="20" t="s">
        <v>541</v>
      </c>
      <c r="D61" s="150">
        <v>1110000</v>
      </c>
      <c r="E61" s="20" t="s">
        <v>385</v>
      </c>
      <c r="F61" s="20" t="s">
        <v>386</v>
      </c>
      <c r="G61" s="8" t="str">
        <f t="shared" si="0"/>
        <v>STARKS ANGELINA</v>
      </c>
    </row>
    <row r="62" spans="1:7" x14ac:dyDescent="0.25">
      <c r="A62" s="8">
        <v>42787.329155092593</v>
      </c>
      <c r="B62" s="20" t="s">
        <v>251</v>
      </c>
      <c r="C62" s="20" t="s">
        <v>542</v>
      </c>
      <c r="D62" s="150">
        <v>940000</v>
      </c>
      <c r="E62" s="20" t="s">
        <v>383</v>
      </c>
      <c r="F62" s="20" t="s">
        <v>384</v>
      </c>
      <c r="G62" s="8" t="str">
        <f t="shared" si="0"/>
        <v>BONDS REYNALDO</v>
      </c>
    </row>
    <row r="63" spans="1:7" x14ac:dyDescent="0.25">
      <c r="A63" s="8">
        <v>42787.338009259256</v>
      </c>
      <c r="B63" s="20" t="s">
        <v>380</v>
      </c>
      <c r="C63" s="20" t="s">
        <v>543</v>
      </c>
      <c r="D63" s="150">
        <v>1830000</v>
      </c>
      <c r="E63" s="20" t="s">
        <v>282</v>
      </c>
      <c r="F63" s="20" t="s">
        <v>283</v>
      </c>
      <c r="G63" s="8" t="str">
        <f t="shared" si="0"/>
        <v>YORK EDGAR</v>
      </c>
    </row>
    <row r="64" spans="1:7" x14ac:dyDescent="0.25">
      <c r="A64" s="26">
        <v>42787.33934027778</v>
      </c>
      <c r="B64" s="20" t="s">
        <v>220</v>
      </c>
      <c r="C64" s="20" t="s">
        <v>544</v>
      </c>
      <c r="D64" s="150">
        <v>1260000</v>
      </c>
      <c r="E64" s="20" t="s">
        <v>395</v>
      </c>
      <c r="F64" s="20" t="s">
        <v>396</v>
      </c>
      <c r="G64" s="8" t="str">
        <f t="shared" si="0"/>
        <v>ACKERMAN JARED</v>
      </c>
    </row>
    <row r="65" spans="1:7" x14ac:dyDescent="0.25">
      <c r="A65" s="8">
        <v>42787.339409722219</v>
      </c>
      <c r="B65" s="20" t="s">
        <v>277</v>
      </c>
      <c r="C65" s="20" t="s">
        <v>545</v>
      </c>
      <c r="D65" s="150">
        <v>900000</v>
      </c>
      <c r="E65" s="20" t="s">
        <v>389</v>
      </c>
      <c r="F65" s="20" t="s">
        <v>390</v>
      </c>
      <c r="G65" s="8" t="str">
        <f t="shared" si="0"/>
        <v>ROCHA YAOTL</v>
      </c>
    </row>
    <row r="66" spans="1:7" x14ac:dyDescent="0.25">
      <c r="A66" s="8">
        <v>42787.343761574077</v>
      </c>
      <c r="B66" s="20" t="s">
        <v>324</v>
      </c>
      <c r="C66" s="20" t="s">
        <v>467</v>
      </c>
      <c r="D66" s="150">
        <v>2010000</v>
      </c>
      <c r="E66" s="20" t="s">
        <v>503</v>
      </c>
      <c r="F66" s="20" t="s">
        <v>504</v>
      </c>
      <c r="G66" s="8" t="str">
        <f t="shared" si="0"/>
        <v>MAELZER KURT</v>
      </c>
    </row>
    <row r="67" spans="1:7" x14ac:dyDescent="0.25">
      <c r="A67" s="8">
        <v>42787.3440162037</v>
      </c>
      <c r="B67" s="20" t="s">
        <v>465</v>
      </c>
      <c r="C67" s="20" t="s">
        <v>466</v>
      </c>
      <c r="D67" s="150">
        <v>2270000</v>
      </c>
      <c r="E67" s="20" t="s">
        <v>231</v>
      </c>
      <c r="F67" s="20" t="s">
        <v>232</v>
      </c>
      <c r="G67" s="8" t="str">
        <f t="shared" ref="G67:G130" si="1">E67&amp;" "&amp;F67</f>
        <v>BROWN JACOB</v>
      </c>
    </row>
    <row r="68" spans="1:7" x14ac:dyDescent="0.25">
      <c r="A68" s="8">
        <v>42787.349537037036</v>
      </c>
      <c r="B68" s="20" t="s">
        <v>233</v>
      </c>
      <c r="C68" s="20" t="s">
        <v>546</v>
      </c>
      <c r="D68" s="150">
        <v>1290000</v>
      </c>
      <c r="E68" s="20" t="s">
        <v>513</v>
      </c>
      <c r="F68" s="20" t="s">
        <v>281</v>
      </c>
      <c r="G68" s="8" t="str">
        <f t="shared" si="1"/>
        <v>COOLAHAN JOHN</v>
      </c>
    </row>
    <row r="69" spans="1:7" x14ac:dyDescent="0.25">
      <c r="A69" s="8">
        <v>42787.352129629631</v>
      </c>
      <c r="B69" s="20" t="s">
        <v>343</v>
      </c>
      <c r="C69" s="20" t="s">
        <v>547</v>
      </c>
      <c r="D69" s="150">
        <v>1830000</v>
      </c>
      <c r="E69" s="20" t="s">
        <v>282</v>
      </c>
      <c r="F69" s="20" t="s">
        <v>283</v>
      </c>
      <c r="G69" s="8" t="str">
        <f t="shared" si="1"/>
        <v>YORK EDGAR</v>
      </c>
    </row>
    <row r="70" spans="1:7" x14ac:dyDescent="0.25">
      <c r="A70" s="8">
        <v>42787.358541666668</v>
      </c>
      <c r="B70" s="20" t="s">
        <v>468</v>
      </c>
      <c r="C70" s="20" t="s">
        <v>469</v>
      </c>
      <c r="D70" s="150">
        <v>2270000</v>
      </c>
      <c r="E70" s="20" t="s">
        <v>231</v>
      </c>
      <c r="F70" s="20" t="s">
        <v>232</v>
      </c>
      <c r="G70" s="8" t="str">
        <f t="shared" si="1"/>
        <v>BROWN JACOB</v>
      </c>
    </row>
    <row r="71" spans="1:7" x14ac:dyDescent="0.25">
      <c r="A71" s="8">
        <v>42787.359525462962</v>
      </c>
      <c r="B71" s="20" t="s">
        <v>279</v>
      </c>
      <c r="C71" s="20" t="s">
        <v>548</v>
      </c>
      <c r="D71" s="150">
        <v>1110000</v>
      </c>
      <c r="E71" s="20" t="s">
        <v>385</v>
      </c>
      <c r="F71" s="20" t="s">
        <v>386</v>
      </c>
      <c r="G71" s="8" t="str">
        <f t="shared" si="1"/>
        <v>STARKS ANGELINA</v>
      </c>
    </row>
    <row r="72" spans="1:7" x14ac:dyDescent="0.25">
      <c r="A72" s="8">
        <v>42787.359525462962</v>
      </c>
      <c r="B72" s="20" t="s">
        <v>328</v>
      </c>
      <c r="C72" s="20" t="s">
        <v>549</v>
      </c>
      <c r="D72" s="150">
        <v>1230000</v>
      </c>
      <c r="E72" s="20" t="s">
        <v>391</v>
      </c>
      <c r="F72" s="20" t="s">
        <v>392</v>
      </c>
      <c r="G72" s="8" t="str">
        <f t="shared" si="1"/>
        <v>YANAI IAN</v>
      </c>
    </row>
    <row r="73" spans="1:7" x14ac:dyDescent="0.25">
      <c r="A73" s="8">
        <v>42787.368761574071</v>
      </c>
      <c r="B73" s="20" t="s">
        <v>252</v>
      </c>
      <c r="C73" s="20" t="s">
        <v>550</v>
      </c>
      <c r="D73" s="150">
        <v>940000</v>
      </c>
      <c r="E73" s="20" t="s">
        <v>383</v>
      </c>
      <c r="F73" s="20" t="s">
        <v>384</v>
      </c>
      <c r="G73" s="8" t="str">
        <f t="shared" si="1"/>
        <v>BONDS REYNALDO</v>
      </c>
    </row>
    <row r="74" spans="1:7" x14ac:dyDescent="0.25">
      <c r="A74" s="8">
        <v>42787.373553240737</v>
      </c>
      <c r="B74" s="20" t="s">
        <v>224</v>
      </c>
      <c r="C74" s="20" t="s">
        <v>551</v>
      </c>
      <c r="D74" s="150">
        <v>900000</v>
      </c>
      <c r="E74" s="20" t="s">
        <v>389</v>
      </c>
      <c r="F74" s="20" t="s">
        <v>390</v>
      </c>
      <c r="G74" s="8" t="str">
        <f t="shared" si="1"/>
        <v>ROCHA YAOTL</v>
      </c>
    </row>
    <row r="75" spans="1:7" x14ac:dyDescent="0.25">
      <c r="A75" s="8">
        <v>42787.376423611109</v>
      </c>
      <c r="B75" s="20" t="s">
        <v>219</v>
      </c>
      <c r="C75" s="20" t="s">
        <v>552</v>
      </c>
      <c r="D75" s="150">
        <v>1260000</v>
      </c>
      <c r="E75" s="20" t="s">
        <v>395</v>
      </c>
      <c r="F75" s="20" t="s">
        <v>396</v>
      </c>
      <c r="G75" s="8" t="str">
        <f t="shared" si="1"/>
        <v>ACKERMAN JARED</v>
      </c>
    </row>
    <row r="76" spans="1:7" x14ac:dyDescent="0.25">
      <c r="A76" s="8">
        <v>42787.381377314814</v>
      </c>
      <c r="B76" s="20" t="s">
        <v>473</v>
      </c>
      <c r="C76" s="20" t="s">
        <v>553</v>
      </c>
      <c r="D76" s="150">
        <v>2010000</v>
      </c>
      <c r="E76" s="20" t="s">
        <v>503</v>
      </c>
      <c r="F76" s="20" t="s">
        <v>504</v>
      </c>
      <c r="G76" s="8" t="str">
        <f t="shared" si="1"/>
        <v>MAELZER KURT</v>
      </c>
    </row>
    <row r="77" spans="1:7" x14ac:dyDescent="0.25">
      <c r="A77" s="8">
        <v>42787.385254629633</v>
      </c>
      <c r="B77" s="20" t="s">
        <v>465</v>
      </c>
      <c r="C77" s="20" t="s">
        <v>554</v>
      </c>
      <c r="D77" s="150">
        <v>2270000</v>
      </c>
      <c r="E77" s="20" t="s">
        <v>231</v>
      </c>
      <c r="F77" s="20" t="s">
        <v>232</v>
      </c>
      <c r="G77" s="8" t="str">
        <f t="shared" si="1"/>
        <v>BROWN JACOB</v>
      </c>
    </row>
    <row r="78" spans="1:7" x14ac:dyDescent="0.25">
      <c r="A78" s="8">
        <v>42787.387916666667</v>
      </c>
      <c r="B78" s="20" t="s">
        <v>279</v>
      </c>
      <c r="C78" s="20" t="s">
        <v>548</v>
      </c>
      <c r="D78" s="150">
        <v>1110000</v>
      </c>
      <c r="E78" s="20" t="s">
        <v>385</v>
      </c>
      <c r="F78" s="20" t="s">
        <v>386</v>
      </c>
      <c r="G78" s="8" t="str">
        <f t="shared" si="1"/>
        <v>STARKS ANGELINA</v>
      </c>
    </row>
    <row r="79" spans="1:7" x14ac:dyDescent="0.25">
      <c r="A79" s="8">
        <v>42787.390266203707</v>
      </c>
      <c r="B79" s="20" t="s">
        <v>212</v>
      </c>
      <c r="C79" s="20" t="s">
        <v>555</v>
      </c>
      <c r="D79" s="150">
        <v>1290000</v>
      </c>
      <c r="E79" s="20" t="s">
        <v>513</v>
      </c>
      <c r="F79" s="20" t="s">
        <v>281</v>
      </c>
      <c r="G79" s="8" t="str">
        <f t="shared" si="1"/>
        <v>COOLAHAN JOHN</v>
      </c>
    </row>
    <row r="80" spans="1:7" x14ac:dyDescent="0.25">
      <c r="A80" s="8">
        <v>42787.392488425925</v>
      </c>
      <c r="B80" s="20" t="s">
        <v>455</v>
      </c>
      <c r="C80" s="20" t="s">
        <v>556</v>
      </c>
      <c r="D80" s="150">
        <v>1230000</v>
      </c>
      <c r="E80" s="20" t="s">
        <v>391</v>
      </c>
      <c r="F80" s="20" t="s">
        <v>392</v>
      </c>
      <c r="G80" s="8" t="str">
        <f t="shared" si="1"/>
        <v>YANAI IAN</v>
      </c>
    </row>
    <row r="81" spans="1:7" x14ac:dyDescent="0.25">
      <c r="A81" s="8">
        <v>42787.39671296296</v>
      </c>
      <c r="B81" s="20" t="s">
        <v>278</v>
      </c>
      <c r="C81" s="20" t="s">
        <v>557</v>
      </c>
      <c r="D81" s="150">
        <v>1110000</v>
      </c>
      <c r="E81" s="20" t="s">
        <v>385</v>
      </c>
      <c r="F81" s="20" t="s">
        <v>386</v>
      </c>
      <c r="G81" s="8" t="str">
        <f t="shared" si="1"/>
        <v>STARKS ANGELINA</v>
      </c>
    </row>
    <row r="82" spans="1:7" x14ac:dyDescent="0.25">
      <c r="A82" s="8">
        <v>42787.400104166663</v>
      </c>
      <c r="B82" s="20" t="s">
        <v>468</v>
      </c>
      <c r="C82" s="20" t="s">
        <v>470</v>
      </c>
      <c r="D82" s="150">
        <v>2270000</v>
      </c>
      <c r="E82" s="20" t="s">
        <v>231</v>
      </c>
      <c r="F82" s="20" t="s">
        <v>232</v>
      </c>
      <c r="G82" s="8" t="str">
        <f t="shared" si="1"/>
        <v>BROWN JACOB</v>
      </c>
    </row>
    <row r="83" spans="1:7" x14ac:dyDescent="0.25">
      <c r="A83" s="8">
        <v>42787.402349537035</v>
      </c>
      <c r="B83" s="20" t="s">
        <v>251</v>
      </c>
      <c r="C83" s="20" t="s">
        <v>558</v>
      </c>
      <c r="D83" s="150">
        <v>940000</v>
      </c>
      <c r="E83" s="20" t="s">
        <v>383</v>
      </c>
      <c r="F83" s="20" t="s">
        <v>384</v>
      </c>
      <c r="G83" s="8" t="str">
        <f t="shared" si="1"/>
        <v>BONDS REYNALDO</v>
      </c>
    </row>
    <row r="84" spans="1:7" x14ac:dyDescent="0.25">
      <c r="A84" s="8">
        <v>42787.412141203706</v>
      </c>
      <c r="B84" s="20" t="s">
        <v>220</v>
      </c>
      <c r="C84" s="20" t="s">
        <v>471</v>
      </c>
      <c r="D84" s="150">
        <v>1260000</v>
      </c>
      <c r="E84" s="20" t="s">
        <v>395</v>
      </c>
      <c r="F84" s="20" t="s">
        <v>396</v>
      </c>
      <c r="G84" s="8" t="str">
        <f t="shared" si="1"/>
        <v>ACKERMAN JARED</v>
      </c>
    </row>
    <row r="85" spans="1:7" x14ac:dyDescent="0.25">
      <c r="A85" s="8">
        <v>42787.413252314815</v>
      </c>
      <c r="B85" s="20" t="s">
        <v>208</v>
      </c>
      <c r="C85" s="20" t="s">
        <v>559</v>
      </c>
      <c r="D85" s="150">
        <v>900000</v>
      </c>
      <c r="E85" s="20" t="s">
        <v>389</v>
      </c>
      <c r="F85" s="20" t="s">
        <v>390</v>
      </c>
      <c r="G85" s="8" t="str">
        <f t="shared" si="1"/>
        <v>ROCHA YAOTL</v>
      </c>
    </row>
    <row r="86" spans="1:7" x14ac:dyDescent="0.25">
      <c r="A86" s="8">
        <v>42787.415659722225</v>
      </c>
      <c r="B86" s="20" t="s">
        <v>324</v>
      </c>
      <c r="C86" s="20" t="s">
        <v>560</v>
      </c>
      <c r="D86" s="150">
        <v>2010000</v>
      </c>
      <c r="E86" s="20" t="s">
        <v>503</v>
      </c>
      <c r="F86" s="20" t="s">
        <v>504</v>
      </c>
      <c r="G86" s="8" t="str">
        <f t="shared" si="1"/>
        <v>MAELZER KURT</v>
      </c>
    </row>
    <row r="87" spans="1:7" x14ac:dyDescent="0.25">
      <c r="A87" s="8">
        <v>42787.423935185187</v>
      </c>
      <c r="B87" s="20" t="s">
        <v>233</v>
      </c>
      <c r="C87" s="20" t="s">
        <v>561</v>
      </c>
      <c r="D87" s="150">
        <v>1290000</v>
      </c>
      <c r="E87" s="20" t="s">
        <v>513</v>
      </c>
      <c r="F87" s="20" t="s">
        <v>281</v>
      </c>
      <c r="G87" s="8" t="str">
        <f t="shared" si="1"/>
        <v>COOLAHAN JOHN</v>
      </c>
    </row>
    <row r="88" spans="1:7" x14ac:dyDescent="0.25">
      <c r="A88" s="8">
        <v>42787.429293981484</v>
      </c>
      <c r="B88" s="20" t="s">
        <v>230</v>
      </c>
      <c r="C88" s="20" t="s">
        <v>562</v>
      </c>
      <c r="D88" s="150">
        <v>2270000</v>
      </c>
      <c r="E88" s="20" t="s">
        <v>231</v>
      </c>
      <c r="F88" s="20" t="s">
        <v>232</v>
      </c>
      <c r="G88" s="8" t="str">
        <f t="shared" si="1"/>
        <v>BROWN JACOB</v>
      </c>
    </row>
    <row r="89" spans="1:7" x14ac:dyDescent="0.25">
      <c r="A89" s="8">
        <v>42787.432453703703</v>
      </c>
      <c r="B89" s="20" t="s">
        <v>328</v>
      </c>
      <c r="C89" s="20" t="s">
        <v>472</v>
      </c>
      <c r="D89" s="150">
        <v>1830000</v>
      </c>
      <c r="E89" s="20" t="s">
        <v>282</v>
      </c>
      <c r="F89" s="20" t="s">
        <v>283</v>
      </c>
      <c r="G89" s="8" t="str">
        <f t="shared" si="1"/>
        <v>YORK EDGAR</v>
      </c>
    </row>
    <row r="90" spans="1:7" x14ac:dyDescent="0.25">
      <c r="A90" s="8">
        <v>42787.436111111114</v>
      </c>
      <c r="B90" s="20" t="s">
        <v>220</v>
      </c>
      <c r="C90" s="20" t="s">
        <v>471</v>
      </c>
      <c r="D90" s="150">
        <v>1260000</v>
      </c>
      <c r="E90" s="20" t="s">
        <v>395</v>
      </c>
      <c r="F90" s="20" t="s">
        <v>396</v>
      </c>
      <c r="G90" s="8" t="str">
        <f t="shared" si="1"/>
        <v>ACKERMAN JARED</v>
      </c>
    </row>
    <row r="91" spans="1:7" x14ac:dyDescent="0.25">
      <c r="A91" s="8">
        <v>42787.441840277781</v>
      </c>
      <c r="B91" s="20" t="s">
        <v>252</v>
      </c>
      <c r="C91" s="20" t="s">
        <v>563</v>
      </c>
      <c r="D91" s="150">
        <v>940000</v>
      </c>
      <c r="E91" s="20" t="s">
        <v>383</v>
      </c>
      <c r="F91" s="20" t="s">
        <v>384</v>
      </c>
      <c r="G91" s="8" t="str">
        <f t="shared" si="1"/>
        <v>BONDS REYNALDO</v>
      </c>
    </row>
    <row r="92" spans="1:7" x14ac:dyDescent="0.25">
      <c r="A92" s="8">
        <v>42787.442129629628</v>
      </c>
      <c r="B92" s="20" t="s">
        <v>277</v>
      </c>
      <c r="C92" s="20" t="s">
        <v>564</v>
      </c>
      <c r="D92" s="150">
        <v>2270000</v>
      </c>
      <c r="E92" s="20" t="s">
        <v>231</v>
      </c>
      <c r="F92" s="20" t="s">
        <v>232</v>
      </c>
      <c r="G92" s="8" t="str">
        <f t="shared" si="1"/>
        <v>BROWN JACOB</v>
      </c>
    </row>
    <row r="93" spans="1:7" x14ac:dyDescent="0.25">
      <c r="A93" s="8">
        <v>42787.443993055553</v>
      </c>
      <c r="B93" s="20" t="s">
        <v>224</v>
      </c>
      <c r="C93" s="20" t="s">
        <v>565</v>
      </c>
      <c r="D93" s="150">
        <v>1810000</v>
      </c>
      <c r="E93" s="20" t="s">
        <v>205</v>
      </c>
      <c r="F93" s="20" t="s">
        <v>199</v>
      </c>
      <c r="G93" s="8" t="str">
        <f t="shared" si="1"/>
        <v>NEWELL JAMES</v>
      </c>
    </row>
    <row r="94" spans="1:7" x14ac:dyDescent="0.25">
      <c r="A94" s="8">
        <v>42787.455763888887</v>
      </c>
      <c r="B94" s="20" t="s">
        <v>219</v>
      </c>
      <c r="C94" s="20" t="s">
        <v>566</v>
      </c>
      <c r="D94" s="150">
        <v>1260000</v>
      </c>
      <c r="E94" s="20" t="s">
        <v>395</v>
      </c>
      <c r="F94" s="20" t="s">
        <v>396</v>
      </c>
      <c r="G94" s="8" t="str">
        <f t="shared" si="1"/>
        <v>ACKERMAN JARED</v>
      </c>
    </row>
    <row r="95" spans="1:7" x14ac:dyDescent="0.25">
      <c r="A95" s="8">
        <v>42787.455995370372</v>
      </c>
      <c r="B95" s="20" t="s">
        <v>325</v>
      </c>
      <c r="C95" s="20" t="s">
        <v>567</v>
      </c>
      <c r="D95" s="150">
        <v>920000</v>
      </c>
      <c r="E95" s="20" t="s">
        <v>353</v>
      </c>
      <c r="F95" s="20" t="s">
        <v>202</v>
      </c>
      <c r="G95" s="8" t="str">
        <f t="shared" si="1"/>
        <v>DAVIS MICHAEL</v>
      </c>
    </row>
    <row r="96" spans="1:7" x14ac:dyDescent="0.25">
      <c r="A96" s="8">
        <v>42787.463460648149</v>
      </c>
      <c r="B96" s="20" t="s">
        <v>212</v>
      </c>
      <c r="C96" s="20" t="s">
        <v>568</v>
      </c>
      <c r="D96" s="150">
        <v>1290000</v>
      </c>
      <c r="E96" s="20" t="s">
        <v>513</v>
      </c>
      <c r="F96" s="20" t="s">
        <v>281</v>
      </c>
      <c r="G96" s="8" t="str">
        <f t="shared" si="1"/>
        <v>COOLAHAN JOHN</v>
      </c>
    </row>
    <row r="97" spans="1:7" x14ac:dyDescent="0.25">
      <c r="A97" s="8">
        <v>42787.464074074072</v>
      </c>
      <c r="B97" s="20" t="s">
        <v>465</v>
      </c>
      <c r="C97" s="20" t="s">
        <v>569</v>
      </c>
      <c r="D97" s="150">
        <v>2150000</v>
      </c>
      <c r="E97" s="20" t="s">
        <v>345</v>
      </c>
      <c r="F97" s="20" t="s">
        <v>346</v>
      </c>
      <c r="G97" s="8" t="str">
        <f t="shared" si="1"/>
        <v>SWANSON BRYCE</v>
      </c>
    </row>
    <row r="98" spans="1:7" x14ac:dyDescent="0.25">
      <c r="A98" s="8">
        <v>42787.465185185189</v>
      </c>
      <c r="B98" s="20" t="s">
        <v>473</v>
      </c>
      <c r="C98" s="20" t="s">
        <v>474</v>
      </c>
      <c r="D98" s="150">
        <v>2040000</v>
      </c>
      <c r="E98" s="20" t="s">
        <v>269</v>
      </c>
      <c r="F98" s="20" t="s">
        <v>270</v>
      </c>
      <c r="G98" s="8" t="str">
        <f t="shared" si="1"/>
        <v>MOSES BRADLEY</v>
      </c>
    </row>
    <row r="99" spans="1:7" x14ac:dyDescent="0.25">
      <c r="A99" s="8">
        <v>42787.468321759261</v>
      </c>
      <c r="B99" s="20" t="s">
        <v>455</v>
      </c>
      <c r="C99" s="20" t="s">
        <v>475</v>
      </c>
      <c r="D99" s="150">
        <v>1830000</v>
      </c>
      <c r="E99" s="20" t="s">
        <v>282</v>
      </c>
      <c r="F99" s="20" t="s">
        <v>283</v>
      </c>
      <c r="G99" s="8" t="str">
        <f t="shared" si="1"/>
        <v>YORK EDGAR</v>
      </c>
    </row>
    <row r="100" spans="1:7" x14ac:dyDescent="0.25">
      <c r="A100" s="8">
        <v>42787.475347222222</v>
      </c>
      <c r="B100" s="20" t="s">
        <v>208</v>
      </c>
      <c r="C100" s="20" t="s">
        <v>570</v>
      </c>
      <c r="D100" s="150">
        <v>1810000</v>
      </c>
      <c r="E100" s="20" t="s">
        <v>205</v>
      </c>
      <c r="F100" s="20" t="s">
        <v>199</v>
      </c>
      <c r="G100" s="8" t="str">
        <f t="shared" si="1"/>
        <v>NEWELL JAMES</v>
      </c>
    </row>
    <row r="101" spans="1:7" x14ac:dyDescent="0.25">
      <c r="A101" s="8">
        <v>42787.478321759256</v>
      </c>
      <c r="B101" s="20" t="s">
        <v>251</v>
      </c>
      <c r="C101" s="20" t="s">
        <v>571</v>
      </c>
      <c r="D101" s="150">
        <v>1180000</v>
      </c>
      <c r="E101" s="20" t="s">
        <v>399</v>
      </c>
      <c r="F101" s="20" t="s">
        <v>400</v>
      </c>
      <c r="G101" s="8" t="str">
        <f t="shared" si="1"/>
        <v>LEVERE CRAIG</v>
      </c>
    </row>
    <row r="102" spans="1:7" x14ac:dyDescent="0.25">
      <c r="A102" s="8">
        <v>42787.483877314815</v>
      </c>
      <c r="B102" s="20" t="s">
        <v>468</v>
      </c>
      <c r="C102" s="20" t="s">
        <v>572</v>
      </c>
      <c r="D102" s="150">
        <v>2150000</v>
      </c>
      <c r="E102" s="20" t="s">
        <v>345</v>
      </c>
      <c r="F102" s="20" t="s">
        <v>346</v>
      </c>
      <c r="G102" s="8" t="str">
        <f t="shared" si="1"/>
        <v>SWANSON BRYCE</v>
      </c>
    </row>
    <row r="103" spans="1:7" x14ac:dyDescent="0.25">
      <c r="A103" s="8">
        <v>42787.488483796296</v>
      </c>
      <c r="B103" s="20" t="s">
        <v>220</v>
      </c>
      <c r="C103" s="20" t="s">
        <v>573</v>
      </c>
      <c r="D103" s="150">
        <v>930000</v>
      </c>
      <c r="E103" s="20" t="s">
        <v>397</v>
      </c>
      <c r="F103" s="20" t="s">
        <v>398</v>
      </c>
      <c r="G103" s="8" t="str">
        <f t="shared" si="1"/>
        <v>CLARK KATHLEEN</v>
      </c>
    </row>
    <row r="104" spans="1:7" x14ac:dyDescent="0.25">
      <c r="A104" s="8">
        <v>42787.496006944442</v>
      </c>
      <c r="B104" s="20" t="s">
        <v>233</v>
      </c>
      <c r="C104" s="20" t="s">
        <v>574</v>
      </c>
      <c r="D104" s="150">
        <v>2250000</v>
      </c>
      <c r="E104" s="20" t="s">
        <v>349</v>
      </c>
      <c r="F104" s="20" t="s">
        <v>350</v>
      </c>
      <c r="G104" s="8" t="str">
        <f t="shared" si="1"/>
        <v>CRAYTON QUNTRELL</v>
      </c>
    </row>
    <row r="105" spans="1:7" x14ac:dyDescent="0.25">
      <c r="A105" s="8">
        <v>42787.496354166666</v>
      </c>
      <c r="B105" s="20" t="s">
        <v>326</v>
      </c>
      <c r="C105" s="20" t="s">
        <v>575</v>
      </c>
      <c r="D105" s="150">
        <v>920000</v>
      </c>
      <c r="E105" s="20" t="s">
        <v>353</v>
      </c>
      <c r="F105" s="20" t="s">
        <v>202</v>
      </c>
      <c r="G105" s="8" t="str">
        <f t="shared" si="1"/>
        <v>DAVIS MICHAEL</v>
      </c>
    </row>
    <row r="106" spans="1:7" x14ac:dyDescent="0.25">
      <c r="A106" s="8">
        <v>42787.503298611111</v>
      </c>
      <c r="B106" s="20" t="s">
        <v>324</v>
      </c>
      <c r="C106" s="20" t="s">
        <v>576</v>
      </c>
      <c r="D106" s="150">
        <v>2040000</v>
      </c>
      <c r="E106" s="20" t="s">
        <v>269</v>
      </c>
      <c r="F106" s="20" t="s">
        <v>270</v>
      </c>
      <c r="G106" s="8" t="str">
        <f t="shared" si="1"/>
        <v>MOSES BRADLEY</v>
      </c>
    </row>
    <row r="107" spans="1:7" x14ac:dyDescent="0.25">
      <c r="A107" s="8">
        <v>42787.504953703705</v>
      </c>
      <c r="B107" s="20" t="s">
        <v>465</v>
      </c>
      <c r="C107" s="20" t="s">
        <v>476</v>
      </c>
      <c r="D107" s="150">
        <v>2270000</v>
      </c>
      <c r="E107" s="20" t="s">
        <v>231</v>
      </c>
      <c r="F107" s="20" t="s">
        <v>232</v>
      </c>
      <c r="G107" s="8" t="str">
        <f t="shared" si="1"/>
        <v>BROWN JACOB</v>
      </c>
    </row>
    <row r="108" spans="1:7" x14ac:dyDescent="0.25">
      <c r="A108" s="8">
        <v>42787.506701388891</v>
      </c>
      <c r="B108" s="20" t="s">
        <v>328</v>
      </c>
      <c r="C108" s="20" t="s">
        <v>577</v>
      </c>
      <c r="D108" s="150">
        <v>2470000</v>
      </c>
      <c r="E108" s="20" t="s">
        <v>347</v>
      </c>
      <c r="F108" s="20" t="s">
        <v>348</v>
      </c>
      <c r="G108" s="8" t="str">
        <f t="shared" si="1"/>
        <v>ROMERO CHAD</v>
      </c>
    </row>
    <row r="109" spans="1:7" x14ac:dyDescent="0.25">
      <c r="A109" s="8">
        <v>42787.510787037034</v>
      </c>
      <c r="B109" s="20" t="s">
        <v>252</v>
      </c>
      <c r="C109" s="20" t="s">
        <v>578</v>
      </c>
      <c r="D109" s="150">
        <v>1180000</v>
      </c>
      <c r="E109" s="20" t="s">
        <v>399</v>
      </c>
      <c r="F109" s="20" t="s">
        <v>400</v>
      </c>
      <c r="G109" s="8" t="str">
        <f t="shared" si="1"/>
        <v>LEVERE CRAIG</v>
      </c>
    </row>
    <row r="110" spans="1:7" x14ac:dyDescent="0.25">
      <c r="A110" s="8">
        <v>42787.516331018516</v>
      </c>
      <c r="B110" s="20" t="s">
        <v>224</v>
      </c>
      <c r="C110" s="20" t="s">
        <v>579</v>
      </c>
      <c r="D110" s="150">
        <v>1760000</v>
      </c>
      <c r="E110" s="20" t="s">
        <v>580</v>
      </c>
      <c r="F110" s="20" t="s">
        <v>581</v>
      </c>
      <c r="G110" s="8" t="str">
        <f t="shared" si="1"/>
        <v>STRICKLAND EVAN</v>
      </c>
    </row>
    <row r="111" spans="1:7" x14ac:dyDescent="0.25">
      <c r="A111" s="8">
        <v>42787.523263888892</v>
      </c>
      <c r="B111" s="20" t="s">
        <v>219</v>
      </c>
      <c r="C111" s="20" t="s">
        <v>582</v>
      </c>
      <c r="D111" s="150">
        <v>930000</v>
      </c>
      <c r="E111" s="20" t="s">
        <v>397</v>
      </c>
      <c r="F111" s="20" t="s">
        <v>398</v>
      </c>
      <c r="G111" s="8" t="str">
        <f t="shared" si="1"/>
        <v>CLARK KATHLEEN</v>
      </c>
    </row>
    <row r="112" spans="1:7" x14ac:dyDescent="0.25">
      <c r="A112" s="8">
        <v>42787.529606481483</v>
      </c>
      <c r="B112" s="20" t="s">
        <v>325</v>
      </c>
      <c r="C112" s="20" t="s">
        <v>583</v>
      </c>
      <c r="D112" s="150">
        <v>920000</v>
      </c>
      <c r="E112" s="20" t="s">
        <v>353</v>
      </c>
      <c r="F112" s="20" t="s">
        <v>202</v>
      </c>
      <c r="G112" s="8" t="str">
        <f t="shared" si="1"/>
        <v>DAVIS MICHAEL</v>
      </c>
    </row>
    <row r="113" spans="1:7" x14ac:dyDescent="0.25">
      <c r="A113" s="8">
        <v>42787.531041666669</v>
      </c>
      <c r="B113" s="20" t="s">
        <v>212</v>
      </c>
      <c r="C113" s="20" t="s">
        <v>584</v>
      </c>
      <c r="D113" s="150">
        <v>2250000</v>
      </c>
      <c r="E113" s="20" t="s">
        <v>349</v>
      </c>
      <c r="F113" s="20" t="s">
        <v>350</v>
      </c>
      <c r="G113" s="8" t="str">
        <f t="shared" si="1"/>
        <v>CRAYTON QUNTRELL</v>
      </c>
    </row>
    <row r="114" spans="1:7" x14ac:dyDescent="0.25">
      <c r="A114" s="8">
        <v>42787.534872685188</v>
      </c>
      <c r="B114" s="20" t="s">
        <v>468</v>
      </c>
      <c r="C114" s="20" t="s">
        <v>585</v>
      </c>
      <c r="D114" s="150">
        <v>2270000</v>
      </c>
      <c r="E114" s="20" t="s">
        <v>231</v>
      </c>
      <c r="F114" s="20" t="s">
        <v>232</v>
      </c>
      <c r="G114" s="8" t="str">
        <f t="shared" si="1"/>
        <v>BROWN JACOB</v>
      </c>
    </row>
    <row r="115" spans="1:7" x14ac:dyDescent="0.25">
      <c r="A115" s="8">
        <v>42787.538923611108</v>
      </c>
      <c r="B115" s="20" t="s">
        <v>473</v>
      </c>
      <c r="C115" s="20" t="s">
        <v>586</v>
      </c>
      <c r="D115" s="150">
        <v>2040000</v>
      </c>
      <c r="E115" s="20" t="s">
        <v>269</v>
      </c>
      <c r="F115" s="20" t="s">
        <v>270</v>
      </c>
      <c r="G115" s="8" t="str">
        <f t="shared" si="1"/>
        <v>MOSES BRADLEY</v>
      </c>
    </row>
    <row r="116" spans="1:7" x14ac:dyDescent="0.25">
      <c r="A116" s="8">
        <v>42787.543599537035</v>
      </c>
      <c r="B116" s="20" t="s">
        <v>455</v>
      </c>
      <c r="C116" s="20" t="s">
        <v>587</v>
      </c>
      <c r="D116" s="150">
        <v>2470000</v>
      </c>
      <c r="E116" s="20" t="s">
        <v>347</v>
      </c>
      <c r="F116" s="20" t="s">
        <v>348</v>
      </c>
      <c r="G116" s="8" t="str">
        <f t="shared" si="1"/>
        <v>ROMERO CHAD</v>
      </c>
    </row>
    <row r="117" spans="1:7" x14ac:dyDescent="0.25">
      <c r="A117" s="8">
        <v>42787.548715277779</v>
      </c>
      <c r="B117" s="20" t="s">
        <v>251</v>
      </c>
      <c r="C117" s="20" t="s">
        <v>588</v>
      </c>
      <c r="D117" s="150">
        <v>1180000</v>
      </c>
      <c r="E117" s="20" t="s">
        <v>399</v>
      </c>
      <c r="F117" s="20" t="s">
        <v>400</v>
      </c>
      <c r="G117" s="8" t="str">
        <f t="shared" si="1"/>
        <v>LEVERE CRAIG</v>
      </c>
    </row>
    <row r="118" spans="1:7" x14ac:dyDescent="0.25">
      <c r="A118" s="8">
        <v>42787.549467592595</v>
      </c>
      <c r="B118" s="20" t="s">
        <v>208</v>
      </c>
      <c r="C118" s="20" t="s">
        <v>589</v>
      </c>
      <c r="D118" s="150">
        <v>1760000</v>
      </c>
      <c r="E118" s="20" t="s">
        <v>580</v>
      </c>
      <c r="F118" s="20" t="s">
        <v>581</v>
      </c>
      <c r="G118" s="8" t="str">
        <f t="shared" si="1"/>
        <v>STRICKLAND EVAN</v>
      </c>
    </row>
    <row r="119" spans="1:7" x14ac:dyDescent="0.25">
      <c r="A119" s="8">
        <v>42787.550370370373</v>
      </c>
      <c r="B119" s="20" t="s">
        <v>230</v>
      </c>
      <c r="C119" s="20" t="s">
        <v>590</v>
      </c>
      <c r="D119" s="150">
        <v>1300000</v>
      </c>
      <c r="E119" s="20" t="s">
        <v>351</v>
      </c>
      <c r="F119" s="20" t="s">
        <v>352</v>
      </c>
      <c r="G119" s="8" t="str">
        <f t="shared" si="1"/>
        <v>LEVIN SCOTT</v>
      </c>
    </row>
    <row r="120" spans="1:7" x14ac:dyDescent="0.25">
      <c r="A120" s="8">
        <v>42787.558749999997</v>
      </c>
      <c r="B120" s="20" t="s">
        <v>220</v>
      </c>
      <c r="C120" s="20" t="s">
        <v>591</v>
      </c>
      <c r="D120" s="150">
        <v>930000</v>
      </c>
      <c r="E120" s="20" t="s">
        <v>397</v>
      </c>
      <c r="F120" s="20" t="s">
        <v>398</v>
      </c>
      <c r="G120" s="8" t="str">
        <f t="shared" si="1"/>
        <v>CLARK KATHLEEN</v>
      </c>
    </row>
    <row r="121" spans="1:7" x14ac:dyDescent="0.25">
      <c r="A121" s="8">
        <v>42787.567060185182</v>
      </c>
      <c r="B121" s="20" t="s">
        <v>277</v>
      </c>
      <c r="C121" s="20" t="s">
        <v>592</v>
      </c>
      <c r="D121" s="150">
        <v>1300000</v>
      </c>
      <c r="E121" s="20" t="s">
        <v>351</v>
      </c>
      <c r="F121" s="20" t="s">
        <v>352</v>
      </c>
      <c r="G121" s="8" t="str">
        <f t="shared" si="1"/>
        <v>LEVIN SCOTT</v>
      </c>
    </row>
    <row r="122" spans="1:7" x14ac:dyDescent="0.25">
      <c r="A122" s="8">
        <v>42787.568067129629</v>
      </c>
      <c r="B122" s="25" t="s">
        <v>277</v>
      </c>
      <c r="C122" s="20" t="s">
        <v>592</v>
      </c>
      <c r="D122" s="150">
        <v>1300000</v>
      </c>
      <c r="E122" s="20" t="s">
        <v>351</v>
      </c>
      <c r="F122" s="20" t="s">
        <v>352</v>
      </c>
      <c r="G122" s="8" t="str">
        <f t="shared" si="1"/>
        <v>LEVIN SCOTT</v>
      </c>
    </row>
    <row r="123" spans="1:7" x14ac:dyDescent="0.25">
      <c r="A123" s="8">
        <v>42787.56821759259</v>
      </c>
      <c r="B123" s="20" t="s">
        <v>326</v>
      </c>
      <c r="C123" s="20" t="s">
        <v>593</v>
      </c>
      <c r="D123" s="150">
        <v>920000</v>
      </c>
      <c r="E123" s="20" t="s">
        <v>353</v>
      </c>
      <c r="F123" s="20" t="s">
        <v>202</v>
      </c>
      <c r="G123" s="8" t="str">
        <f t="shared" si="1"/>
        <v>DAVIS MICHAEL</v>
      </c>
    </row>
    <row r="124" spans="1:7" x14ac:dyDescent="0.25">
      <c r="A124" s="8">
        <v>42787.568449074075</v>
      </c>
      <c r="B124" s="20" t="s">
        <v>233</v>
      </c>
      <c r="C124" s="20" t="s">
        <v>594</v>
      </c>
      <c r="D124" s="150">
        <v>2250000</v>
      </c>
      <c r="E124" s="20" t="s">
        <v>349</v>
      </c>
      <c r="F124" s="20" t="s">
        <v>350</v>
      </c>
      <c r="G124" s="8" t="str">
        <f t="shared" si="1"/>
        <v>CRAYTON QUNTRELL</v>
      </c>
    </row>
    <row r="125" spans="1:7" x14ac:dyDescent="0.25">
      <c r="A125" s="8">
        <v>42787.576990740738</v>
      </c>
      <c r="B125" s="20" t="s">
        <v>324</v>
      </c>
      <c r="C125" s="20" t="s">
        <v>595</v>
      </c>
      <c r="D125" s="150">
        <v>2040000</v>
      </c>
      <c r="E125" s="20" t="s">
        <v>269</v>
      </c>
      <c r="F125" s="20" t="s">
        <v>270</v>
      </c>
      <c r="G125" s="8" t="str">
        <f t="shared" si="1"/>
        <v>MOSES BRADLEY</v>
      </c>
    </row>
    <row r="126" spans="1:7" x14ac:dyDescent="0.25">
      <c r="A126" s="8">
        <v>42787.578530092593</v>
      </c>
      <c r="B126" s="20" t="s">
        <v>328</v>
      </c>
      <c r="C126" s="20" t="s">
        <v>596</v>
      </c>
      <c r="D126" s="150">
        <v>2470000</v>
      </c>
      <c r="E126" s="20" t="s">
        <v>347</v>
      </c>
      <c r="F126" s="20" t="s">
        <v>348</v>
      </c>
      <c r="G126" s="8" t="str">
        <f t="shared" si="1"/>
        <v>ROMERO CHAD</v>
      </c>
    </row>
    <row r="127" spans="1:7" x14ac:dyDescent="0.25">
      <c r="A127" s="8">
        <v>42787.584131944444</v>
      </c>
      <c r="B127" s="20" t="s">
        <v>489</v>
      </c>
      <c r="C127" s="20" t="s">
        <v>597</v>
      </c>
      <c r="D127" s="150">
        <v>2350000</v>
      </c>
      <c r="E127" s="20" t="s">
        <v>393</v>
      </c>
      <c r="F127" s="20" t="s">
        <v>394</v>
      </c>
      <c r="G127" s="8" t="str">
        <f t="shared" si="1"/>
        <v>BERLING GARY</v>
      </c>
    </row>
    <row r="128" spans="1:7" x14ac:dyDescent="0.25">
      <c r="A128" s="8">
        <v>42787.586342592593</v>
      </c>
      <c r="B128" s="20" t="s">
        <v>252</v>
      </c>
      <c r="C128" s="20" t="s">
        <v>598</v>
      </c>
      <c r="D128" s="150">
        <v>1180000</v>
      </c>
      <c r="E128" s="20" t="s">
        <v>399</v>
      </c>
      <c r="F128" s="20" t="s">
        <v>400</v>
      </c>
      <c r="G128" s="8" t="str">
        <f t="shared" si="1"/>
        <v>LEVERE CRAIG</v>
      </c>
    </row>
    <row r="129" spans="1:7" x14ac:dyDescent="0.25">
      <c r="A129" s="8">
        <v>42787.587187500001</v>
      </c>
      <c r="B129" s="20" t="s">
        <v>224</v>
      </c>
      <c r="C129" s="20" t="s">
        <v>599</v>
      </c>
      <c r="D129" s="150">
        <v>1810000</v>
      </c>
      <c r="E129" s="20" t="s">
        <v>205</v>
      </c>
      <c r="F129" s="20" t="s">
        <v>199</v>
      </c>
      <c r="G129" s="8" t="str">
        <f t="shared" si="1"/>
        <v>NEWELL JAMES</v>
      </c>
    </row>
    <row r="130" spans="1:7" x14ac:dyDescent="0.25">
      <c r="A130" s="8">
        <v>42787.596446759257</v>
      </c>
      <c r="B130" s="20" t="s">
        <v>230</v>
      </c>
      <c r="C130" s="20" t="s">
        <v>477</v>
      </c>
      <c r="D130" s="150">
        <v>1300000</v>
      </c>
      <c r="E130" s="20" t="s">
        <v>351</v>
      </c>
      <c r="F130" s="20" t="s">
        <v>352</v>
      </c>
      <c r="G130" s="8" t="str">
        <f t="shared" si="1"/>
        <v>LEVIN SCOTT</v>
      </c>
    </row>
    <row r="131" spans="1:7" x14ac:dyDescent="0.25">
      <c r="A131" s="8">
        <v>42787.597754629627</v>
      </c>
      <c r="B131" s="20" t="s">
        <v>219</v>
      </c>
      <c r="C131" s="20" t="s">
        <v>600</v>
      </c>
      <c r="D131" s="150">
        <v>930000</v>
      </c>
      <c r="E131" s="20" t="s">
        <v>397</v>
      </c>
      <c r="F131" s="20" t="s">
        <v>398</v>
      </c>
      <c r="G131" s="8" t="str">
        <f t="shared" ref="G131:G194" si="2">E131&amp;" "&amp;F131</f>
        <v>CLARK KATHLEEN</v>
      </c>
    </row>
    <row r="132" spans="1:7" x14ac:dyDescent="0.25">
      <c r="A132" s="8">
        <v>42787.603113425925</v>
      </c>
      <c r="B132" s="20" t="s">
        <v>325</v>
      </c>
      <c r="C132" s="20" t="s">
        <v>601</v>
      </c>
      <c r="D132" s="150">
        <v>920000</v>
      </c>
      <c r="E132" s="20" t="s">
        <v>353</v>
      </c>
      <c r="F132" s="20" t="s">
        <v>202</v>
      </c>
      <c r="G132" s="8" t="str">
        <f t="shared" si="2"/>
        <v>DAVIS MICHAEL</v>
      </c>
    </row>
    <row r="133" spans="1:7" x14ac:dyDescent="0.25">
      <c r="A133" s="8">
        <v>42787.607800925929</v>
      </c>
      <c r="B133" s="20" t="s">
        <v>212</v>
      </c>
      <c r="C133" s="20" t="s">
        <v>602</v>
      </c>
      <c r="D133" s="150">
        <v>2250000</v>
      </c>
      <c r="E133" s="20" t="s">
        <v>349</v>
      </c>
      <c r="F133" s="20" t="s">
        <v>350</v>
      </c>
      <c r="G133" s="8" t="str">
        <f t="shared" si="2"/>
        <v>CRAYTON QUNTRELL</v>
      </c>
    </row>
    <row r="134" spans="1:7" x14ac:dyDescent="0.25">
      <c r="A134" s="8">
        <v>42787.608680555553</v>
      </c>
      <c r="B134" s="20" t="s">
        <v>277</v>
      </c>
      <c r="C134" s="20" t="s">
        <v>603</v>
      </c>
      <c r="D134" s="150">
        <v>1300000</v>
      </c>
      <c r="E134" s="20" t="s">
        <v>351</v>
      </c>
      <c r="F134" s="20" t="s">
        <v>352</v>
      </c>
      <c r="G134" s="8" t="str">
        <f t="shared" si="2"/>
        <v>LEVIN SCOTT</v>
      </c>
    </row>
    <row r="135" spans="1:7" x14ac:dyDescent="0.25">
      <c r="A135" s="8">
        <v>42787.612037037034</v>
      </c>
      <c r="B135" s="20" t="s">
        <v>473</v>
      </c>
      <c r="C135" s="20" t="s">
        <v>604</v>
      </c>
      <c r="D135" s="150">
        <v>2040000</v>
      </c>
      <c r="E135" s="20" t="s">
        <v>269</v>
      </c>
      <c r="F135" s="20" t="s">
        <v>270</v>
      </c>
      <c r="G135" s="8" t="str">
        <f t="shared" si="2"/>
        <v>MOSES BRADLEY</v>
      </c>
    </row>
    <row r="136" spans="1:7" x14ac:dyDescent="0.25">
      <c r="A136" s="8">
        <v>42787.617488425924</v>
      </c>
      <c r="B136" s="20" t="s">
        <v>455</v>
      </c>
      <c r="C136" s="20" t="s">
        <v>605</v>
      </c>
      <c r="D136" s="150">
        <v>2470000</v>
      </c>
      <c r="E136" s="20" t="s">
        <v>347</v>
      </c>
      <c r="F136" s="20" t="s">
        <v>348</v>
      </c>
      <c r="G136" s="8" t="str">
        <f t="shared" si="2"/>
        <v>ROMERO CHAD</v>
      </c>
    </row>
    <row r="137" spans="1:7" x14ac:dyDescent="0.25">
      <c r="A137" s="8">
        <v>42787.620879629627</v>
      </c>
      <c r="B137" s="20" t="s">
        <v>208</v>
      </c>
      <c r="C137" s="20" t="s">
        <v>606</v>
      </c>
      <c r="D137" s="150">
        <v>1810000</v>
      </c>
      <c r="E137" s="20" t="s">
        <v>205</v>
      </c>
      <c r="F137" s="20" t="s">
        <v>199</v>
      </c>
      <c r="G137" s="8" t="str">
        <f t="shared" si="2"/>
        <v>NEWELL JAMES</v>
      </c>
    </row>
    <row r="138" spans="1:7" x14ac:dyDescent="0.25">
      <c r="A138" s="8">
        <v>42787.623483796298</v>
      </c>
      <c r="B138" s="20" t="s">
        <v>251</v>
      </c>
      <c r="C138" s="20" t="s">
        <v>607</v>
      </c>
      <c r="D138" s="150">
        <v>1180000</v>
      </c>
      <c r="E138" s="20" t="s">
        <v>399</v>
      </c>
      <c r="F138" s="20" t="s">
        <v>400</v>
      </c>
      <c r="G138" s="8" t="str">
        <f t="shared" si="2"/>
        <v>LEVERE CRAIG</v>
      </c>
    </row>
    <row r="139" spans="1:7" x14ac:dyDescent="0.25">
      <c r="A139" s="8">
        <v>42787.630578703705</v>
      </c>
      <c r="B139" s="20" t="s">
        <v>220</v>
      </c>
      <c r="C139" s="20" t="s">
        <v>608</v>
      </c>
      <c r="D139" s="150">
        <v>930000</v>
      </c>
      <c r="E139" s="20" t="s">
        <v>397</v>
      </c>
      <c r="F139" s="20" t="s">
        <v>398</v>
      </c>
      <c r="G139" s="8" t="str">
        <f t="shared" si="2"/>
        <v>CLARK KATHLEEN</v>
      </c>
    </row>
    <row r="140" spans="1:7" x14ac:dyDescent="0.25">
      <c r="A140" s="8">
        <v>42787.634525462963</v>
      </c>
      <c r="B140" s="20" t="s">
        <v>230</v>
      </c>
      <c r="C140" s="20" t="s">
        <v>609</v>
      </c>
      <c r="D140" s="150">
        <v>2150000</v>
      </c>
      <c r="E140" s="20" t="s">
        <v>345</v>
      </c>
      <c r="F140" s="20" t="s">
        <v>346</v>
      </c>
      <c r="G140" s="8" t="str">
        <f t="shared" si="2"/>
        <v>SWANSON BRYCE</v>
      </c>
    </row>
    <row r="141" spans="1:7" x14ac:dyDescent="0.25">
      <c r="A141" s="8">
        <v>42787.634791666664</v>
      </c>
      <c r="B141" s="20" t="s">
        <v>479</v>
      </c>
      <c r="C141" s="20" t="s">
        <v>610</v>
      </c>
      <c r="D141" s="150">
        <v>1300000</v>
      </c>
      <c r="E141" s="20" t="s">
        <v>351</v>
      </c>
      <c r="F141" s="20" t="s">
        <v>352</v>
      </c>
      <c r="G141" s="8" t="str">
        <f t="shared" si="2"/>
        <v>LEVIN SCOTT</v>
      </c>
    </row>
    <row r="142" spans="1:7" x14ac:dyDescent="0.25">
      <c r="A142" s="8">
        <v>42787.641099537039</v>
      </c>
      <c r="B142" s="20" t="s">
        <v>233</v>
      </c>
      <c r="C142" s="20" t="s">
        <v>611</v>
      </c>
      <c r="D142" s="150">
        <v>2250000</v>
      </c>
      <c r="E142" s="20" t="s">
        <v>349</v>
      </c>
      <c r="F142" s="20" t="s">
        <v>350</v>
      </c>
      <c r="G142" s="8" t="str">
        <f t="shared" si="2"/>
        <v>CRAYTON QUNTRELL</v>
      </c>
    </row>
    <row r="143" spans="1:7" x14ac:dyDescent="0.25">
      <c r="A143" s="8">
        <v>42787.641122685185</v>
      </c>
      <c r="B143" s="20" t="s">
        <v>326</v>
      </c>
      <c r="C143" s="20" t="s">
        <v>612</v>
      </c>
      <c r="D143" s="150">
        <v>920000</v>
      </c>
      <c r="E143" s="20" t="s">
        <v>353</v>
      </c>
      <c r="F143" s="20" t="s">
        <v>202</v>
      </c>
      <c r="G143" s="8" t="str">
        <f t="shared" si="2"/>
        <v>DAVIS MICHAEL</v>
      </c>
    </row>
    <row r="144" spans="1:7" x14ac:dyDescent="0.25">
      <c r="A144" s="8">
        <v>42787.649814814817</v>
      </c>
      <c r="B144" s="20" t="s">
        <v>465</v>
      </c>
      <c r="C144" s="20" t="s">
        <v>478</v>
      </c>
      <c r="D144" s="150">
        <v>2220000</v>
      </c>
      <c r="E144" s="20" t="s">
        <v>214</v>
      </c>
      <c r="F144" s="20" t="s">
        <v>215</v>
      </c>
      <c r="G144" s="8" t="str">
        <f t="shared" si="2"/>
        <v>HILLS DUSTIN</v>
      </c>
    </row>
    <row r="145" spans="1:7" x14ac:dyDescent="0.25">
      <c r="A145" s="8">
        <v>42787.650590277779</v>
      </c>
      <c r="B145" s="20" t="s">
        <v>324</v>
      </c>
      <c r="C145" s="20" t="s">
        <v>613</v>
      </c>
      <c r="D145" s="150">
        <v>2040000</v>
      </c>
      <c r="E145" s="20" t="s">
        <v>269</v>
      </c>
      <c r="F145" s="20" t="s">
        <v>270</v>
      </c>
      <c r="G145" s="8" t="str">
        <f t="shared" si="2"/>
        <v>MOSES BRADLEY</v>
      </c>
    </row>
    <row r="146" spans="1:7" x14ac:dyDescent="0.25">
      <c r="A146" s="8">
        <v>42787.650902777779</v>
      </c>
      <c r="B146" s="20" t="s">
        <v>489</v>
      </c>
      <c r="C146" s="20" t="s">
        <v>614</v>
      </c>
      <c r="D146" s="150">
        <v>1300000</v>
      </c>
      <c r="E146" s="20" t="s">
        <v>351</v>
      </c>
      <c r="F146" s="20" t="s">
        <v>352</v>
      </c>
      <c r="G146" s="8" t="str">
        <f t="shared" si="2"/>
        <v>LEVIN SCOTT</v>
      </c>
    </row>
    <row r="147" spans="1:7" x14ac:dyDescent="0.25">
      <c r="A147" s="8">
        <v>42787.652071759258</v>
      </c>
      <c r="B147" s="20" t="s">
        <v>328</v>
      </c>
      <c r="C147" s="20" t="s">
        <v>615</v>
      </c>
      <c r="D147" s="150">
        <v>2470000</v>
      </c>
      <c r="E147" s="20" t="s">
        <v>347</v>
      </c>
      <c r="F147" s="20" t="s">
        <v>348</v>
      </c>
      <c r="G147" s="8" t="str">
        <f t="shared" si="2"/>
        <v>ROMERO CHAD</v>
      </c>
    </row>
    <row r="148" spans="1:7" x14ac:dyDescent="0.25">
      <c r="A148" s="8">
        <v>42787.657777777778</v>
      </c>
      <c r="B148" s="20" t="s">
        <v>252</v>
      </c>
      <c r="C148" s="20" t="s">
        <v>616</v>
      </c>
      <c r="D148" s="150">
        <v>1180000</v>
      </c>
      <c r="E148" s="20" t="s">
        <v>399</v>
      </c>
      <c r="F148" s="20" t="s">
        <v>400</v>
      </c>
      <c r="G148" s="8" t="str">
        <f t="shared" si="2"/>
        <v>LEVERE CRAIG</v>
      </c>
    </row>
    <row r="149" spans="1:7" x14ac:dyDescent="0.25">
      <c r="A149" s="8">
        <v>42787.66070601852</v>
      </c>
      <c r="B149" s="20" t="s">
        <v>224</v>
      </c>
      <c r="C149" s="20" t="s">
        <v>617</v>
      </c>
      <c r="D149" s="150">
        <v>1760000</v>
      </c>
      <c r="E149" s="20" t="s">
        <v>580</v>
      </c>
      <c r="F149" s="20" t="s">
        <v>581</v>
      </c>
      <c r="G149" s="8" t="str">
        <f t="shared" si="2"/>
        <v>STRICKLAND EVAN</v>
      </c>
    </row>
    <row r="150" spans="1:7" x14ac:dyDescent="0.25">
      <c r="A150" s="8">
        <v>42787.666724537034</v>
      </c>
      <c r="B150" s="20" t="s">
        <v>219</v>
      </c>
      <c r="C150" s="20" t="s">
        <v>618</v>
      </c>
      <c r="D150" s="150">
        <v>930000</v>
      </c>
      <c r="E150" s="20" t="s">
        <v>397</v>
      </c>
      <c r="F150" s="20" t="s">
        <v>398</v>
      </c>
      <c r="G150" s="8" t="str">
        <f t="shared" si="2"/>
        <v>CLARK KATHLEEN</v>
      </c>
    </row>
    <row r="151" spans="1:7" x14ac:dyDescent="0.25">
      <c r="A151" s="8">
        <v>42787.673518518517</v>
      </c>
      <c r="B151" s="20" t="s">
        <v>468</v>
      </c>
      <c r="C151" s="20" t="s">
        <v>619</v>
      </c>
      <c r="D151" s="150">
        <v>2220000</v>
      </c>
      <c r="E151" s="20" t="s">
        <v>214</v>
      </c>
      <c r="F151" s="20" t="s">
        <v>215</v>
      </c>
      <c r="G151" s="8" t="str">
        <f t="shared" si="2"/>
        <v>HILLS DUSTIN</v>
      </c>
    </row>
    <row r="152" spans="1:7" x14ac:dyDescent="0.25">
      <c r="A152" s="8">
        <v>42787.674791666665</v>
      </c>
      <c r="B152" s="20" t="s">
        <v>479</v>
      </c>
      <c r="C152" s="20" t="s">
        <v>480</v>
      </c>
      <c r="D152" s="150">
        <v>2350000</v>
      </c>
      <c r="E152" s="20" t="s">
        <v>393</v>
      </c>
      <c r="F152" s="20" t="s">
        <v>394</v>
      </c>
      <c r="G152" s="8" t="str">
        <f t="shared" si="2"/>
        <v>BERLING GARY</v>
      </c>
    </row>
    <row r="153" spans="1:7" x14ac:dyDescent="0.25">
      <c r="A153" s="8">
        <v>42787.675520833334</v>
      </c>
      <c r="B153" s="20" t="s">
        <v>325</v>
      </c>
      <c r="C153" s="20" t="s">
        <v>620</v>
      </c>
      <c r="D153" s="150">
        <v>920000</v>
      </c>
      <c r="E153" s="20" t="s">
        <v>353</v>
      </c>
      <c r="F153" s="20" t="s">
        <v>202</v>
      </c>
      <c r="G153" s="8" t="str">
        <f t="shared" si="2"/>
        <v>DAVIS MICHAEL</v>
      </c>
    </row>
    <row r="154" spans="1:7" x14ac:dyDescent="0.25">
      <c r="A154" s="8">
        <v>42787.678148148145</v>
      </c>
      <c r="B154" s="20" t="s">
        <v>212</v>
      </c>
      <c r="C154" s="20" t="s">
        <v>621</v>
      </c>
      <c r="D154" s="150">
        <v>2250000</v>
      </c>
      <c r="E154" s="20" t="s">
        <v>349</v>
      </c>
      <c r="F154" s="20" t="s">
        <v>350</v>
      </c>
      <c r="G154" s="8" t="str">
        <f t="shared" si="2"/>
        <v>CRAYTON QUNTRELL</v>
      </c>
    </row>
    <row r="155" spans="1:7" x14ac:dyDescent="0.25">
      <c r="A155" s="8">
        <v>42787.683888888889</v>
      </c>
      <c r="B155" s="20" t="s">
        <v>455</v>
      </c>
      <c r="C155" s="20" t="s">
        <v>481</v>
      </c>
      <c r="D155" s="150">
        <v>2470000</v>
      </c>
      <c r="E155" s="20" t="s">
        <v>347</v>
      </c>
      <c r="F155" s="20" t="s">
        <v>348</v>
      </c>
      <c r="G155" s="8" t="str">
        <f t="shared" si="2"/>
        <v>ROMERO CHAD</v>
      </c>
    </row>
    <row r="156" spans="1:7" x14ac:dyDescent="0.25">
      <c r="A156" s="8">
        <v>42787.685902777775</v>
      </c>
      <c r="B156" s="20" t="s">
        <v>473</v>
      </c>
      <c r="C156" s="20" t="s">
        <v>622</v>
      </c>
      <c r="D156" s="150">
        <v>2040000</v>
      </c>
      <c r="E156" s="20" t="s">
        <v>269</v>
      </c>
      <c r="F156" s="20" t="s">
        <v>270</v>
      </c>
      <c r="G156" s="8" t="str">
        <f t="shared" si="2"/>
        <v>MOSES BRADLEY</v>
      </c>
    </row>
    <row r="157" spans="1:7" x14ac:dyDescent="0.25">
      <c r="A157" s="8">
        <v>42787.685960648145</v>
      </c>
      <c r="B157" s="20" t="s">
        <v>465</v>
      </c>
      <c r="C157" s="20" t="s">
        <v>482</v>
      </c>
      <c r="D157" s="150">
        <v>2220000</v>
      </c>
      <c r="E157" s="20" t="s">
        <v>214</v>
      </c>
      <c r="F157" s="20" t="s">
        <v>215</v>
      </c>
      <c r="G157" s="8" t="str">
        <f t="shared" si="2"/>
        <v>HILLS DUSTIN</v>
      </c>
    </row>
    <row r="158" spans="1:7" x14ac:dyDescent="0.25">
      <c r="A158" s="8">
        <v>42787.695011574076</v>
      </c>
      <c r="B158" s="20" t="s">
        <v>489</v>
      </c>
      <c r="C158" s="20" t="s">
        <v>623</v>
      </c>
      <c r="D158" s="150">
        <v>2350000</v>
      </c>
      <c r="E158" s="20" t="s">
        <v>393</v>
      </c>
      <c r="F158" s="20" t="s">
        <v>394</v>
      </c>
      <c r="G158" s="8" t="str">
        <f t="shared" si="2"/>
        <v>BERLING GARY</v>
      </c>
    </row>
    <row r="159" spans="1:7" x14ac:dyDescent="0.25">
      <c r="A159" s="8">
        <v>42787.695243055554</v>
      </c>
      <c r="B159" s="20" t="s">
        <v>251</v>
      </c>
      <c r="C159" s="20" t="s">
        <v>624</v>
      </c>
      <c r="D159" s="150">
        <v>1180000</v>
      </c>
      <c r="E159" s="20" t="s">
        <v>399</v>
      </c>
      <c r="F159" s="20" t="s">
        <v>400</v>
      </c>
      <c r="G159" s="8" t="str">
        <f t="shared" si="2"/>
        <v>LEVERE CRAIG</v>
      </c>
    </row>
    <row r="160" spans="1:7" x14ac:dyDescent="0.25">
      <c r="A160" s="8">
        <v>42787.696481481478</v>
      </c>
      <c r="B160" s="20" t="s">
        <v>208</v>
      </c>
      <c r="C160" s="20" t="s">
        <v>625</v>
      </c>
      <c r="D160" s="150">
        <v>1760000</v>
      </c>
      <c r="E160" s="20" t="s">
        <v>580</v>
      </c>
      <c r="F160" s="20" t="s">
        <v>581</v>
      </c>
      <c r="G160" s="8" t="str">
        <f t="shared" si="2"/>
        <v>STRICKLAND EVAN</v>
      </c>
    </row>
    <row r="161" spans="1:7" x14ac:dyDescent="0.25">
      <c r="A161" s="8">
        <v>42787.702013888891</v>
      </c>
      <c r="B161" s="20" t="s">
        <v>208</v>
      </c>
      <c r="C161" s="20" t="s">
        <v>625</v>
      </c>
      <c r="D161" s="150">
        <v>1760000</v>
      </c>
      <c r="E161" s="20" t="s">
        <v>580</v>
      </c>
      <c r="F161" s="20" t="s">
        <v>581</v>
      </c>
      <c r="G161" s="8" t="str">
        <f t="shared" si="2"/>
        <v>STRICKLAND EVAN</v>
      </c>
    </row>
    <row r="162" spans="1:7" x14ac:dyDescent="0.25">
      <c r="A162" s="8">
        <v>42787.705335648148</v>
      </c>
      <c r="B162" s="20" t="s">
        <v>220</v>
      </c>
      <c r="C162" s="20" t="s">
        <v>626</v>
      </c>
      <c r="D162" s="150">
        <v>930000</v>
      </c>
      <c r="E162" s="20" t="s">
        <v>397</v>
      </c>
      <c r="F162" s="20" t="s">
        <v>398</v>
      </c>
      <c r="G162" s="8" t="str">
        <f t="shared" si="2"/>
        <v>CLARK KATHLEEN</v>
      </c>
    </row>
    <row r="163" spans="1:7" x14ac:dyDescent="0.25">
      <c r="A163" s="8">
        <v>42787.714178240742</v>
      </c>
      <c r="B163" s="20" t="s">
        <v>468</v>
      </c>
      <c r="C163" s="20" t="s">
        <v>483</v>
      </c>
      <c r="D163" s="150">
        <v>2220000</v>
      </c>
      <c r="E163" s="20" t="s">
        <v>214</v>
      </c>
      <c r="F163" s="20" t="s">
        <v>215</v>
      </c>
      <c r="G163" s="8" t="str">
        <f t="shared" si="2"/>
        <v>HILLS DUSTIN</v>
      </c>
    </row>
    <row r="164" spans="1:7" x14ac:dyDescent="0.25">
      <c r="A164" s="8">
        <v>42787.71429398148</v>
      </c>
      <c r="B164" s="20" t="s">
        <v>326</v>
      </c>
      <c r="C164" s="20" t="s">
        <v>627</v>
      </c>
      <c r="D164" s="150">
        <v>920000</v>
      </c>
      <c r="E164" s="20" t="s">
        <v>353</v>
      </c>
      <c r="F164" s="20" t="s">
        <v>202</v>
      </c>
      <c r="G164" s="8" t="str">
        <f t="shared" si="2"/>
        <v>DAVIS MICHAEL</v>
      </c>
    </row>
    <row r="165" spans="1:7" x14ac:dyDescent="0.25">
      <c r="A165" s="8">
        <v>42787.718645833331</v>
      </c>
      <c r="B165" s="20" t="s">
        <v>233</v>
      </c>
      <c r="C165" s="20" t="s">
        <v>628</v>
      </c>
      <c r="D165" s="150">
        <v>1800000</v>
      </c>
      <c r="E165" s="20" t="s">
        <v>253</v>
      </c>
      <c r="F165" s="20" t="s">
        <v>254</v>
      </c>
      <c r="G165" s="8" t="str">
        <f t="shared" si="2"/>
        <v>CHANDLER KELVIN</v>
      </c>
    </row>
    <row r="166" spans="1:7" x14ac:dyDescent="0.25">
      <c r="A166" s="8">
        <v>42787.720011574071</v>
      </c>
      <c r="B166" s="20" t="s">
        <v>479</v>
      </c>
      <c r="C166" s="20" t="s">
        <v>484</v>
      </c>
      <c r="D166" s="150">
        <v>1300000</v>
      </c>
      <c r="E166" s="20" t="s">
        <v>351</v>
      </c>
      <c r="F166" s="20" t="s">
        <v>352</v>
      </c>
      <c r="G166" s="8" t="str">
        <f t="shared" si="2"/>
        <v>LEVIN SCOTT</v>
      </c>
    </row>
    <row r="167" spans="1:7" x14ac:dyDescent="0.25">
      <c r="A167" s="8">
        <v>42787.724074074074</v>
      </c>
      <c r="B167" s="20" t="s">
        <v>324</v>
      </c>
      <c r="C167" s="20" t="s">
        <v>629</v>
      </c>
      <c r="D167" s="150">
        <v>2040000</v>
      </c>
      <c r="E167" s="20" t="s">
        <v>269</v>
      </c>
      <c r="F167" s="20" t="s">
        <v>270</v>
      </c>
      <c r="G167" s="8" t="str">
        <f t="shared" si="2"/>
        <v>MOSES BRADLEY</v>
      </c>
    </row>
    <row r="168" spans="1:7" x14ac:dyDescent="0.25">
      <c r="A168" s="8">
        <v>42787.725613425922</v>
      </c>
      <c r="B168" s="20" t="s">
        <v>328</v>
      </c>
      <c r="C168" s="20" t="s">
        <v>630</v>
      </c>
      <c r="D168" s="150">
        <v>2250000</v>
      </c>
      <c r="E168" s="20" t="s">
        <v>349</v>
      </c>
      <c r="F168" s="20" t="s">
        <v>350</v>
      </c>
      <c r="G168" s="8" t="str">
        <f t="shared" si="2"/>
        <v>CRAYTON QUNTRELL</v>
      </c>
    </row>
    <row r="169" spans="1:7" x14ac:dyDescent="0.25">
      <c r="A169" s="8">
        <v>42787.726770833331</v>
      </c>
      <c r="B169" s="20" t="s">
        <v>278</v>
      </c>
      <c r="C169" s="20" t="s">
        <v>631</v>
      </c>
      <c r="D169" s="150">
        <v>1780000</v>
      </c>
      <c r="E169" s="20" t="s">
        <v>632</v>
      </c>
      <c r="F169" s="20" t="s">
        <v>633</v>
      </c>
      <c r="G169" s="8" t="str">
        <f t="shared" si="2"/>
        <v>DE LA ROSA ALEX</v>
      </c>
    </row>
    <row r="170" spans="1:7" x14ac:dyDescent="0.25">
      <c r="A170" s="8">
        <v>42787.728576388887</v>
      </c>
      <c r="B170" s="20" t="s">
        <v>465</v>
      </c>
      <c r="C170" s="20" t="s">
        <v>634</v>
      </c>
      <c r="D170" s="150">
        <v>2220000</v>
      </c>
      <c r="E170" s="20" t="s">
        <v>214</v>
      </c>
      <c r="F170" s="20" t="s">
        <v>215</v>
      </c>
      <c r="G170" s="8" t="str">
        <f t="shared" si="2"/>
        <v>HILLS DUSTIN</v>
      </c>
    </row>
    <row r="171" spans="1:7" x14ac:dyDescent="0.25">
      <c r="A171" s="8">
        <v>42787.730092592596</v>
      </c>
      <c r="B171" s="20" t="s">
        <v>252</v>
      </c>
      <c r="C171" s="20" t="s">
        <v>635</v>
      </c>
      <c r="D171" s="150">
        <v>1180000</v>
      </c>
      <c r="E171" s="20" t="s">
        <v>399</v>
      </c>
      <c r="F171" s="20" t="s">
        <v>400</v>
      </c>
      <c r="G171" s="8" t="str">
        <f t="shared" si="2"/>
        <v>LEVERE CRAIG</v>
      </c>
    </row>
    <row r="172" spans="1:7" x14ac:dyDescent="0.25">
      <c r="A172" s="8">
        <v>42787.734884259262</v>
      </c>
      <c r="B172" s="20" t="s">
        <v>489</v>
      </c>
      <c r="C172" s="20" t="s">
        <v>636</v>
      </c>
      <c r="D172" s="150">
        <v>1300000</v>
      </c>
      <c r="E172" s="20" t="s">
        <v>351</v>
      </c>
      <c r="F172" s="20" t="s">
        <v>352</v>
      </c>
      <c r="G172" s="8" t="str">
        <f t="shared" si="2"/>
        <v>LEVIN SCOTT</v>
      </c>
    </row>
    <row r="173" spans="1:7" x14ac:dyDescent="0.25">
      <c r="A173" s="8">
        <v>42787.738854166666</v>
      </c>
      <c r="B173" s="20" t="s">
        <v>224</v>
      </c>
      <c r="C173" s="20" t="s">
        <v>637</v>
      </c>
      <c r="D173" s="150">
        <v>2450000</v>
      </c>
      <c r="E173" s="20" t="s">
        <v>235</v>
      </c>
      <c r="F173" s="20" t="s">
        <v>236</v>
      </c>
      <c r="G173" s="8" t="str">
        <f t="shared" si="2"/>
        <v>NELSON ARIANE</v>
      </c>
    </row>
    <row r="174" spans="1:7" x14ac:dyDescent="0.25">
      <c r="A174" s="8">
        <v>42787.742118055554</v>
      </c>
      <c r="B174" s="20" t="s">
        <v>219</v>
      </c>
      <c r="C174" s="20" t="s">
        <v>638</v>
      </c>
      <c r="D174" s="150">
        <v>930000</v>
      </c>
      <c r="E174" s="20" t="s">
        <v>397</v>
      </c>
      <c r="F174" s="20" t="s">
        <v>398</v>
      </c>
      <c r="G174" s="8" t="str">
        <f t="shared" si="2"/>
        <v>CLARK KATHLEEN</v>
      </c>
    </row>
    <row r="175" spans="1:7" x14ac:dyDescent="0.25">
      <c r="A175" s="8">
        <v>42787.74423611111</v>
      </c>
      <c r="B175" s="20" t="s">
        <v>217</v>
      </c>
      <c r="C175" s="20" t="s">
        <v>639</v>
      </c>
      <c r="D175" s="150">
        <v>2610000</v>
      </c>
      <c r="E175" s="20" t="s">
        <v>640</v>
      </c>
      <c r="F175" s="20" t="s">
        <v>641</v>
      </c>
      <c r="G175" s="8" t="str">
        <f t="shared" si="2"/>
        <v>MAGEE KENYA</v>
      </c>
    </row>
    <row r="176" spans="1:7" x14ac:dyDescent="0.25">
      <c r="A176" s="8">
        <v>42787.745115740741</v>
      </c>
      <c r="B176" s="20" t="s">
        <v>280</v>
      </c>
      <c r="C176" s="20" t="s">
        <v>642</v>
      </c>
      <c r="D176" s="150">
        <v>2000000</v>
      </c>
      <c r="E176" s="20" t="s">
        <v>344</v>
      </c>
      <c r="F176" s="20" t="s">
        <v>199</v>
      </c>
      <c r="G176" s="8" t="str">
        <f t="shared" si="2"/>
        <v>STAMBAUGH JAMES</v>
      </c>
    </row>
    <row r="177" spans="1:7" x14ac:dyDescent="0.25">
      <c r="A177" s="8">
        <v>42787.747523148151</v>
      </c>
      <c r="B177" s="20" t="s">
        <v>325</v>
      </c>
      <c r="C177" s="20" t="s">
        <v>643</v>
      </c>
      <c r="D177" s="150">
        <v>2530000</v>
      </c>
      <c r="E177" s="20" t="s">
        <v>354</v>
      </c>
      <c r="F177" s="20" t="s">
        <v>355</v>
      </c>
      <c r="G177" s="8" t="str">
        <f t="shared" si="2"/>
        <v>LALONDE GREGORY</v>
      </c>
    </row>
    <row r="178" spans="1:7" x14ac:dyDescent="0.25">
      <c r="A178" s="8">
        <v>42787.756041666667</v>
      </c>
      <c r="B178" s="20" t="s">
        <v>468</v>
      </c>
      <c r="C178" s="20" t="s">
        <v>485</v>
      </c>
      <c r="D178" s="150">
        <v>2220000</v>
      </c>
      <c r="E178" s="20" t="s">
        <v>214</v>
      </c>
      <c r="F178" s="20" t="s">
        <v>215</v>
      </c>
      <c r="G178" s="8" t="str">
        <f t="shared" si="2"/>
        <v>HILLS DUSTIN</v>
      </c>
    </row>
    <row r="179" spans="1:7" x14ac:dyDescent="0.25">
      <c r="A179" s="8">
        <v>42787.75644675926</v>
      </c>
      <c r="B179" s="20" t="s">
        <v>212</v>
      </c>
      <c r="C179" s="20" t="s">
        <v>644</v>
      </c>
      <c r="D179" s="150">
        <v>1800000</v>
      </c>
      <c r="E179" s="20" t="s">
        <v>253</v>
      </c>
      <c r="F179" s="20" t="s">
        <v>254</v>
      </c>
      <c r="G179" s="8" t="str">
        <f t="shared" si="2"/>
        <v>CHANDLER KELVIN</v>
      </c>
    </row>
    <row r="180" spans="1:7" x14ac:dyDescent="0.25">
      <c r="A180" s="8">
        <v>42787.757048611114</v>
      </c>
      <c r="B180" s="20" t="s">
        <v>473</v>
      </c>
      <c r="C180" s="20" t="s">
        <v>645</v>
      </c>
      <c r="D180" s="150">
        <v>2600000</v>
      </c>
      <c r="E180" s="20" t="s">
        <v>356</v>
      </c>
      <c r="F180" s="20" t="s">
        <v>284</v>
      </c>
      <c r="G180" s="8" t="str">
        <f t="shared" si="2"/>
        <v>DAVIDSON DAVID</v>
      </c>
    </row>
    <row r="181" spans="1:7" x14ac:dyDescent="0.25">
      <c r="A181" s="8">
        <v>42787.761689814812</v>
      </c>
      <c r="B181" s="20" t="s">
        <v>479</v>
      </c>
      <c r="C181" s="20" t="s">
        <v>646</v>
      </c>
      <c r="D181" s="150">
        <v>1300000</v>
      </c>
      <c r="E181" s="20" t="s">
        <v>351</v>
      </c>
      <c r="F181" s="20" t="s">
        <v>352</v>
      </c>
      <c r="G181" s="8" t="str">
        <f t="shared" si="2"/>
        <v>LEVIN SCOTT</v>
      </c>
    </row>
    <row r="182" spans="1:7" x14ac:dyDescent="0.25">
      <c r="A182" s="8">
        <v>42787.763009259259</v>
      </c>
      <c r="B182" s="20" t="s">
        <v>455</v>
      </c>
      <c r="C182" s="20" t="s">
        <v>647</v>
      </c>
      <c r="D182" s="150">
        <v>2250000</v>
      </c>
      <c r="E182" s="20" t="s">
        <v>349</v>
      </c>
      <c r="F182" s="20" t="s">
        <v>350</v>
      </c>
      <c r="G182" s="8" t="str">
        <f t="shared" si="2"/>
        <v>CRAYTON QUNTRELL</v>
      </c>
    </row>
    <row r="183" spans="1:7" x14ac:dyDescent="0.25">
      <c r="A183" s="8">
        <v>42787.768726851849</v>
      </c>
      <c r="B183" s="20" t="s">
        <v>251</v>
      </c>
      <c r="C183" s="20" t="s">
        <v>648</v>
      </c>
      <c r="D183" s="150">
        <v>2000000</v>
      </c>
      <c r="E183" s="20" t="s">
        <v>344</v>
      </c>
      <c r="F183" s="20" t="s">
        <v>199</v>
      </c>
      <c r="G183" s="8" t="str">
        <f t="shared" si="2"/>
        <v>STAMBAUGH JAMES</v>
      </c>
    </row>
    <row r="184" spans="1:7" x14ac:dyDescent="0.25">
      <c r="A184" s="8">
        <v>42787.770011574074</v>
      </c>
      <c r="B184" s="20" t="s">
        <v>465</v>
      </c>
      <c r="C184" s="20" t="s">
        <v>486</v>
      </c>
      <c r="D184" s="150">
        <v>2220000</v>
      </c>
      <c r="E184" s="20" t="s">
        <v>214</v>
      </c>
      <c r="F184" s="20" t="s">
        <v>215</v>
      </c>
      <c r="G184" s="8" t="str">
        <f t="shared" si="2"/>
        <v>HILLS DUSTIN</v>
      </c>
    </row>
    <row r="185" spans="1:7" x14ac:dyDescent="0.25">
      <c r="A185" s="8">
        <v>42787.772638888891</v>
      </c>
      <c r="B185" s="20" t="s">
        <v>192</v>
      </c>
      <c r="C185" s="20" t="s">
        <v>649</v>
      </c>
      <c r="D185" s="150">
        <v>1180000</v>
      </c>
      <c r="E185" s="20" t="s">
        <v>399</v>
      </c>
      <c r="F185" s="20" t="s">
        <v>400</v>
      </c>
      <c r="G185" s="8" t="str">
        <f t="shared" si="2"/>
        <v>LEVERE CRAIG</v>
      </c>
    </row>
    <row r="186" spans="1:7" x14ac:dyDescent="0.25">
      <c r="A186" s="8">
        <v>42787.775509259256</v>
      </c>
      <c r="B186" s="20" t="s">
        <v>489</v>
      </c>
      <c r="C186" s="20" t="s">
        <v>650</v>
      </c>
      <c r="D186" s="150">
        <v>1300000</v>
      </c>
      <c r="E186" s="20" t="s">
        <v>351</v>
      </c>
      <c r="F186" s="20" t="s">
        <v>352</v>
      </c>
      <c r="G186" s="8" t="str">
        <f t="shared" si="2"/>
        <v>LEVIN SCOTT</v>
      </c>
    </row>
    <row r="187" spans="1:7" x14ac:dyDescent="0.25">
      <c r="A187" s="8">
        <v>42787.777488425927</v>
      </c>
      <c r="B187" s="20" t="s">
        <v>220</v>
      </c>
      <c r="C187" s="20" t="s">
        <v>651</v>
      </c>
      <c r="D187" s="150">
        <v>930000</v>
      </c>
      <c r="E187" s="20" t="s">
        <v>397</v>
      </c>
      <c r="F187" s="20" t="s">
        <v>398</v>
      </c>
      <c r="G187" s="8" t="str">
        <f t="shared" si="2"/>
        <v>CLARK KATHLEEN</v>
      </c>
    </row>
    <row r="188" spans="1:7" x14ac:dyDescent="0.25">
      <c r="A188" s="8">
        <v>42787.778553240743</v>
      </c>
      <c r="B188" s="20" t="s">
        <v>208</v>
      </c>
      <c r="C188" s="20" t="s">
        <v>652</v>
      </c>
      <c r="D188" s="150">
        <v>2450000</v>
      </c>
      <c r="E188" s="20" t="s">
        <v>235</v>
      </c>
      <c r="F188" s="20" t="s">
        <v>236</v>
      </c>
      <c r="G188" s="8" t="str">
        <f t="shared" si="2"/>
        <v>NELSON ARIANE</v>
      </c>
    </row>
    <row r="189" spans="1:7" x14ac:dyDescent="0.25">
      <c r="A189" s="8">
        <v>42787.782766203702</v>
      </c>
      <c r="B189" s="20" t="s">
        <v>326</v>
      </c>
      <c r="C189" s="20" t="s">
        <v>487</v>
      </c>
      <c r="D189" s="150">
        <v>2530000</v>
      </c>
      <c r="E189" s="20" t="s">
        <v>354</v>
      </c>
      <c r="F189" s="20" t="s">
        <v>355</v>
      </c>
      <c r="G189" s="8" t="str">
        <f t="shared" si="2"/>
        <v>LALONDE GREGORY</v>
      </c>
    </row>
    <row r="190" spans="1:7" x14ac:dyDescent="0.25">
      <c r="A190" s="8">
        <v>42787.790555555555</v>
      </c>
      <c r="B190" s="20" t="s">
        <v>233</v>
      </c>
      <c r="C190" s="20" t="s">
        <v>653</v>
      </c>
      <c r="D190" s="150">
        <v>1800000</v>
      </c>
      <c r="E190" s="20" t="s">
        <v>253</v>
      </c>
      <c r="F190" s="20" t="s">
        <v>254</v>
      </c>
      <c r="G190" s="8" t="str">
        <f t="shared" si="2"/>
        <v>CHANDLER KELVIN</v>
      </c>
    </row>
    <row r="191" spans="1:7" x14ac:dyDescent="0.25">
      <c r="A191" s="8">
        <v>42787.796041666668</v>
      </c>
      <c r="B191" s="20" t="s">
        <v>324</v>
      </c>
      <c r="C191" s="20" t="s">
        <v>654</v>
      </c>
      <c r="D191" s="150">
        <v>2600000</v>
      </c>
      <c r="E191" s="20" t="s">
        <v>356</v>
      </c>
      <c r="F191" s="20" t="s">
        <v>284</v>
      </c>
      <c r="G191" s="8" t="str">
        <f t="shared" si="2"/>
        <v>DAVIDSON DAVID</v>
      </c>
    </row>
    <row r="192" spans="1:7" x14ac:dyDescent="0.25">
      <c r="A192" s="8">
        <v>42787.797025462962</v>
      </c>
      <c r="B192" s="20" t="s">
        <v>468</v>
      </c>
      <c r="C192" s="20" t="s">
        <v>655</v>
      </c>
      <c r="D192" s="150">
        <v>2220000</v>
      </c>
      <c r="E192" s="20" t="s">
        <v>214</v>
      </c>
      <c r="F192" s="20" t="s">
        <v>215</v>
      </c>
      <c r="G192" s="8" t="str">
        <f t="shared" si="2"/>
        <v>HILLS DUSTIN</v>
      </c>
    </row>
    <row r="193" spans="1:7" x14ac:dyDescent="0.25">
      <c r="A193" s="8">
        <v>42787.798310185186</v>
      </c>
      <c r="B193" s="20" t="s">
        <v>328</v>
      </c>
      <c r="C193" s="20" t="s">
        <v>656</v>
      </c>
      <c r="D193" s="150">
        <v>2250000</v>
      </c>
      <c r="E193" s="20" t="s">
        <v>349</v>
      </c>
      <c r="F193" s="20" t="s">
        <v>350</v>
      </c>
      <c r="G193" s="8" t="str">
        <f t="shared" si="2"/>
        <v>CRAYTON QUNTRELL</v>
      </c>
    </row>
    <row r="194" spans="1:7" x14ac:dyDescent="0.25">
      <c r="A194" s="8">
        <v>42787.799062500002</v>
      </c>
      <c r="B194" s="20" t="s">
        <v>252</v>
      </c>
      <c r="C194" s="20" t="s">
        <v>657</v>
      </c>
      <c r="D194" s="150">
        <v>2000000</v>
      </c>
      <c r="E194" s="20" t="s">
        <v>344</v>
      </c>
      <c r="F194" s="20" t="s">
        <v>199</v>
      </c>
      <c r="G194" s="8" t="str">
        <f t="shared" si="2"/>
        <v>STAMBAUGH JAMES</v>
      </c>
    </row>
    <row r="195" spans="1:7" x14ac:dyDescent="0.25">
      <c r="A195" s="8">
        <v>42787.802812499998</v>
      </c>
      <c r="B195" s="20" t="s">
        <v>479</v>
      </c>
      <c r="C195" s="20" t="s">
        <v>658</v>
      </c>
      <c r="D195" s="150">
        <v>1300000</v>
      </c>
      <c r="E195" s="20" t="s">
        <v>351</v>
      </c>
      <c r="F195" s="20" t="s">
        <v>352</v>
      </c>
      <c r="G195" s="8" t="str">
        <f t="shared" ref="G195:G258" si="3">E195&amp;" "&amp;F195</f>
        <v>LEVIN SCOTT</v>
      </c>
    </row>
    <row r="196" spans="1:7" x14ac:dyDescent="0.25">
      <c r="A196" s="8">
        <v>42787.810624999998</v>
      </c>
      <c r="B196" s="20" t="s">
        <v>224</v>
      </c>
      <c r="C196" s="20" t="s">
        <v>659</v>
      </c>
      <c r="D196" s="150">
        <v>2450000</v>
      </c>
      <c r="E196" s="20" t="s">
        <v>235</v>
      </c>
      <c r="F196" s="20" t="s">
        <v>236</v>
      </c>
      <c r="G196" s="8" t="str">
        <f t="shared" si="3"/>
        <v>NELSON ARIANE</v>
      </c>
    </row>
    <row r="197" spans="1:7" x14ac:dyDescent="0.25">
      <c r="A197" s="8">
        <v>42787.817048611112</v>
      </c>
      <c r="B197" s="20" t="s">
        <v>489</v>
      </c>
      <c r="C197" s="20" t="s">
        <v>660</v>
      </c>
      <c r="D197" s="150">
        <v>1300000</v>
      </c>
      <c r="E197" s="20" t="s">
        <v>351</v>
      </c>
      <c r="F197" s="20" t="s">
        <v>352</v>
      </c>
      <c r="G197" s="8" t="str">
        <f t="shared" si="3"/>
        <v>LEVIN SCOTT</v>
      </c>
    </row>
    <row r="198" spans="1:7" x14ac:dyDescent="0.25">
      <c r="A198" s="8">
        <v>42787.817060185182</v>
      </c>
      <c r="B198" s="20" t="s">
        <v>325</v>
      </c>
      <c r="C198" s="20" t="s">
        <v>661</v>
      </c>
      <c r="D198" s="150">
        <v>2530000</v>
      </c>
      <c r="E198" s="20" t="s">
        <v>354</v>
      </c>
      <c r="F198" s="20" t="s">
        <v>355</v>
      </c>
      <c r="G198" s="8" t="str">
        <f t="shared" si="3"/>
        <v>LALONDE GREGORY</v>
      </c>
    </row>
    <row r="199" spans="1:7" x14ac:dyDescent="0.25">
      <c r="A199" s="8">
        <v>42787.828935185185</v>
      </c>
      <c r="B199" s="20" t="s">
        <v>473</v>
      </c>
      <c r="C199" s="20" t="s">
        <v>662</v>
      </c>
      <c r="D199" s="150">
        <v>1740000</v>
      </c>
      <c r="E199" s="20" t="s">
        <v>227</v>
      </c>
      <c r="F199" s="20" t="s">
        <v>228</v>
      </c>
      <c r="G199" s="8" t="str">
        <f t="shared" si="3"/>
        <v>STORY SAMANTHA</v>
      </c>
    </row>
    <row r="200" spans="1:7" x14ac:dyDescent="0.25">
      <c r="A200" s="8">
        <v>42787.829201388886</v>
      </c>
      <c r="B200" s="20" t="s">
        <v>212</v>
      </c>
      <c r="C200" s="20" t="s">
        <v>663</v>
      </c>
      <c r="D200" s="150">
        <v>1800000</v>
      </c>
      <c r="E200" s="20" t="s">
        <v>253</v>
      </c>
      <c r="F200" s="20" t="s">
        <v>254</v>
      </c>
      <c r="G200" s="8" t="str">
        <f t="shared" si="3"/>
        <v>CHANDLER KELVIN</v>
      </c>
    </row>
    <row r="201" spans="1:7" x14ac:dyDescent="0.25">
      <c r="A201" s="8">
        <v>42787.845127314817</v>
      </c>
      <c r="B201" s="20" t="s">
        <v>479</v>
      </c>
      <c r="C201" s="20" t="s">
        <v>664</v>
      </c>
      <c r="D201" s="150">
        <v>1300000</v>
      </c>
      <c r="E201" s="20" t="s">
        <v>351</v>
      </c>
      <c r="F201" s="20" t="s">
        <v>352</v>
      </c>
      <c r="G201" s="8" t="str">
        <f t="shared" si="3"/>
        <v>LEVIN SCOTT</v>
      </c>
    </row>
    <row r="202" spans="1:7" x14ac:dyDescent="0.25">
      <c r="A202" s="26">
        <v>42787.848495370374</v>
      </c>
      <c r="B202" s="20" t="s">
        <v>251</v>
      </c>
      <c r="C202" s="20" t="s">
        <v>665</v>
      </c>
      <c r="D202" s="150">
        <v>2610000</v>
      </c>
      <c r="E202" s="20" t="s">
        <v>640</v>
      </c>
      <c r="F202" s="20" t="s">
        <v>641</v>
      </c>
      <c r="G202" s="8" t="str">
        <f t="shared" si="3"/>
        <v>MAGEE KENYA</v>
      </c>
    </row>
    <row r="203" spans="1:7" x14ac:dyDescent="0.25">
      <c r="A203" s="8">
        <v>42787.850844907407</v>
      </c>
      <c r="B203" s="20" t="s">
        <v>208</v>
      </c>
      <c r="C203" s="20" t="s">
        <v>666</v>
      </c>
      <c r="D203" s="150">
        <v>2450000</v>
      </c>
      <c r="E203" s="20" t="s">
        <v>235</v>
      </c>
      <c r="F203" s="20" t="s">
        <v>236</v>
      </c>
      <c r="G203" s="8" t="str">
        <f t="shared" si="3"/>
        <v>NELSON ARIANE</v>
      </c>
    </row>
    <row r="204" spans="1:7" x14ac:dyDescent="0.25">
      <c r="A204" s="8">
        <v>42787.858958333331</v>
      </c>
      <c r="B204" s="20" t="s">
        <v>489</v>
      </c>
      <c r="C204" s="20" t="s">
        <v>667</v>
      </c>
      <c r="D204" s="150">
        <v>1300000</v>
      </c>
      <c r="E204" s="20" t="s">
        <v>351</v>
      </c>
      <c r="F204" s="20" t="s">
        <v>352</v>
      </c>
      <c r="G204" s="8" t="str">
        <f t="shared" si="3"/>
        <v>LEVIN SCOTT</v>
      </c>
    </row>
    <row r="205" spans="1:7" x14ac:dyDescent="0.25">
      <c r="A205" s="8">
        <v>42787.868645833332</v>
      </c>
      <c r="B205" s="20" t="s">
        <v>324</v>
      </c>
      <c r="C205" s="20" t="s">
        <v>668</v>
      </c>
      <c r="D205" s="150">
        <v>1740000</v>
      </c>
      <c r="E205" s="20" t="s">
        <v>227</v>
      </c>
      <c r="F205" s="20" t="s">
        <v>228</v>
      </c>
      <c r="G205" s="8" t="str">
        <f t="shared" si="3"/>
        <v>STORY SAMANTHA</v>
      </c>
    </row>
    <row r="206" spans="1:7" x14ac:dyDescent="0.25">
      <c r="A206" s="8">
        <v>42787.8747337963</v>
      </c>
      <c r="B206" s="20" t="s">
        <v>233</v>
      </c>
      <c r="C206" s="20" t="s">
        <v>669</v>
      </c>
      <c r="D206" s="150">
        <v>1800000</v>
      </c>
      <c r="E206" s="20" t="s">
        <v>253</v>
      </c>
      <c r="F206" s="20" t="s">
        <v>254</v>
      </c>
      <c r="G206" s="8" t="str">
        <f t="shared" si="3"/>
        <v>CHANDLER KELVIN</v>
      </c>
    </row>
    <row r="207" spans="1:7" x14ac:dyDescent="0.25">
      <c r="A207" s="8">
        <v>42787.875914351855</v>
      </c>
      <c r="B207" s="20" t="s">
        <v>479</v>
      </c>
      <c r="C207" s="20" t="s">
        <v>488</v>
      </c>
      <c r="D207" s="150">
        <v>2220000</v>
      </c>
      <c r="E207" s="20" t="s">
        <v>214</v>
      </c>
      <c r="F207" s="20" t="s">
        <v>215</v>
      </c>
      <c r="G207" s="8" t="str">
        <f t="shared" si="3"/>
        <v>HILLS DUSTIN</v>
      </c>
    </row>
    <row r="208" spans="1:7" x14ac:dyDescent="0.25">
      <c r="A208" s="8">
        <v>42787.888437499998</v>
      </c>
      <c r="B208" s="20" t="s">
        <v>252</v>
      </c>
      <c r="C208" s="20" t="s">
        <v>670</v>
      </c>
      <c r="D208" s="150">
        <v>2610000</v>
      </c>
      <c r="E208" s="20" t="s">
        <v>640</v>
      </c>
      <c r="F208" s="20" t="s">
        <v>641</v>
      </c>
      <c r="G208" s="8" t="str">
        <f t="shared" si="3"/>
        <v>MAGEE KENYA</v>
      </c>
    </row>
    <row r="209" spans="1:7" x14ac:dyDescent="0.25">
      <c r="A209" s="8">
        <v>42787.89472222222</v>
      </c>
      <c r="B209" s="20" t="s">
        <v>224</v>
      </c>
      <c r="C209" s="20" t="s">
        <v>671</v>
      </c>
      <c r="D209" s="150">
        <v>2450000</v>
      </c>
      <c r="E209" s="20" t="s">
        <v>235</v>
      </c>
      <c r="F209" s="20" t="s">
        <v>236</v>
      </c>
      <c r="G209" s="8" t="str">
        <f t="shared" si="3"/>
        <v>NELSON ARIANE</v>
      </c>
    </row>
    <row r="210" spans="1:7" x14ac:dyDescent="0.25">
      <c r="A210" s="8">
        <v>42787.901354166665</v>
      </c>
      <c r="B210" s="20" t="s">
        <v>489</v>
      </c>
      <c r="C210" s="20" t="s">
        <v>490</v>
      </c>
      <c r="D210" s="150">
        <v>2220000</v>
      </c>
      <c r="E210" s="20" t="s">
        <v>214</v>
      </c>
      <c r="F210" s="20" t="s">
        <v>215</v>
      </c>
      <c r="G210" s="8" t="str">
        <f t="shared" si="3"/>
        <v>HILLS DUSTIN</v>
      </c>
    </row>
    <row r="211" spans="1:7" x14ac:dyDescent="0.25">
      <c r="A211" s="8">
        <v>42787.908472222225</v>
      </c>
      <c r="B211" s="20" t="s">
        <v>473</v>
      </c>
      <c r="C211" s="20" t="s">
        <v>672</v>
      </c>
      <c r="D211" s="150">
        <v>1740000</v>
      </c>
      <c r="E211" s="20" t="s">
        <v>227</v>
      </c>
      <c r="F211" s="20" t="s">
        <v>228</v>
      </c>
      <c r="G211" s="8" t="str">
        <f t="shared" si="3"/>
        <v>STORY SAMANTHA</v>
      </c>
    </row>
    <row r="212" spans="1:7" x14ac:dyDescent="0.25">
      <c r="A212" s="8">
        <v>42787.912280092591</v>
      </c>
      <c r="B212" s="20" t="s">
        <v>212</v>
      </c>
      <c r="C212" s="20" t="s">
        <v>673</v>
      </c>
      <c r="D212" s="150">
        <v>1800000</v>
      </c>
      <c r="E212" s="20" t="s">
        <v>253</v>
      </c>
      <c r="F212" s="20" t="s">
        <v>254</v>
      </c>
      <c r="G212" s="8" t="str">
        <f t="shared" si="3"/>
        <v>CHANDLER KELVIN</v>
      </c>
    </row>
    <row r="213" spans="1:7" x14ac:dyDescent="0.25">
      <c r="A213" s="8">
        <v>42787.915972222225</v>
      </c>
      <c r="B213" s="20" t="s">
        <v>479</v>
      </c>
      <c r="C213" s="20" t="s">
        <v>491</v>
      </c>
      <c r="D213" s="150">
        <v>2220000</v>
      </c>
      <c r="E213" s="20" t="s">
        <v>214</v>
      </c>
      <c r="F213" s="20" t="s">
        <v>215</v>
      </c>
      <c r="G213" s="8" t="str">
        <f t="shared" si="3"/>
        <v>HILLS DUSTIN</v>
      </c>
    </row>
    <row r="214" spans="1:7" x14ac:dyDescent="0.25">
      <c r="A214" s="8">
        <v>42787.923055555555</v>
      </c>
      <c r="B214" s="20" t="s">
        <v>251</v>
      </c>
      <c r="C214" s="20" t="s">
        <v>674</v>
      </c>
      <c r="D214" s="150">
        <v>2000000</v>
      </c>
      <c r="E214" s="20" t="s">
        <v>344</v>
      </c>
      <c r="F214" s="20" t="s">
        <v>199</v>
      </c>
      <c r="G214" s="8" t="str">
        <f t="shared" si="3"/>
        <v>STAMBAUGH JAMES</v>
      </c>
    </row>
    <row r="215" spans="1:7" x14ac:dyDescent="0.25">
      <c r="A215" s="8">
        <v>42787.932592592595</v>
      </c>
      <c r="B215" s="20" t="s">
        <v>208</v>
      </c>
      <c r="C215" s="20" t="s">
        <v>675</v>
      </c>
      <c r="D215" s="150">
        <v>2450000</v>
      </c>
      <c r="E215" s="20" t="s">
        <v>235</v>
      </c>
      <c r="F215" s="20" t="s">
        <v>236</v>
      </c>
      <c r="G215" s="8" t="str">
        <f t="shared" si="3"/>
        <v>NELSON ARIANE</v>
      </c>
    </row>
    <row r="216" spans="1:7" x14ac:dyDescent="0.25">
      <c r="A216" s="8">
        <v>42787.94226851852</v>
      </c>
      <c r="B216" s="20" t="s">
        <v>401</v>
      </c>
      <c r="C216" s="20" t="s">
        <v>494</v>
      </c>
      <c r="D216" s="150">
        <v>2680000</v>
      </c>
      <c r="E216" s="20" t="s">
        <v>341</v>
      </c>
      <c r="F216" s="20" t="s">
        <v>342</v>
      </c>
      <c r="G216" s="8" t="str">
        <f t="shared" si="3"/>
        <v>DUNCAN SHEILA</v>
      </c>
    </row>
    <row r="217" spans="1:7" x14ac:dyDescent="0.25">
      <c r="A217" s="8">
        <v>42787.943414351852</v>
      </c>
      <c r="B217" s="20" t="s">
        <v>489</v>
      </c>
      <c r="C217" s="20" t="s">
        <v>676</v>
      </c>
      <c r="D217" s="150">
        <v>2220000</v>
      </c>
      <c r="E217" s="20" t="s">
        <v>214</v>
      </c>
      <c r="F217" s="20" t="s">
        <v>215</v>
      </c>
      <c r="G217" s="8" t="str">
        <f t="shared" si="3"/>
        <v>HILLS DUSTIN</v>
      </c>
    </row>
    <row r="218" spans="1:7" x14ac:dyDescent="0.25">
      <c r="A218" s="8">
        <v>42787.947592592594</v>
      </c>
      <c r="B218" s="20" t="s">
        <v>324</v>
      </c>
      <c r="C218" s="20" t="s">
        <v>495</v>
      </c>
      <c r="D218" s="150">
        <v>1740000</v>
      </c>
      <c r="E218" s="20" t="s">
        <v>227</v>
      </c>
      <c r="F218" s="20" t="s">
        <v>228</v>
      </c>
      <c r="G218" s="8" t="str">
        <f t="shared" si="3"/>
        <v>STORY SAMANTHA</v>
      </c>
    </row>
    <row r="219" spans="1:7" x14ac:dyDescent="0.25">
      <c r="A219" s="8">
        <v>42787.951273148145</v>
      </c>
      <c r="B219" s="20" t="s">
        <v>403</v>
      </c>
      <c r="C219" s="20" t="s">
        <v>492</v>
      </c>
      <c r="D219" s="150">
        <v>2730000</v>
      </c>
      <c r="E219" s="20" t="s">
        <v>357</v>
      </c>
      <c r="F219" s="20" t="s">
        <v>358</v>
      </c>
      <c r="G219" s="8" t="str">
        <f t="shared" si="3"/>
        <v>YANG JAN</v>
      </c>
    </row>
    <row r="220" spans="1:7" x14ac:dyDescent="0.25">
      <c r="A220" s="8">
        <v>42787.95815972222</v>
      </c>
      <c r="B220" s="20" t="s">
        <v>233</v>
      </c>
      <c r="C220" s="20" t="s">
        <v>493</v>
      </c>
      <c r="D220" s="150">
        <v>1800000</v>
      </c>
      <c r="E220" s="20" t="s">
        <v>253</v>
      </c>
      <c r="F220" s="20" t="s">
        <v>254</v>
      </c>
      <c r="G220" s="8" t="str">
        <f t="shared" si="3"/>
        <v>CHANDLER KELVIN</v>
      </c>
    </row>
    <row r="221" spans="1:7" x14ac:dyDescent="0.25">
      <c r="A221" s="8">
        <v>42787.961342592593</v>
      </c>
      <c r="B221" s="20" t="s">
        <v>403</v>
      </c>
      <c r="C221" s="20" t="s">
        <v>492</v>
      </c>
      <c r="D221" s="150">
        <v>2730000</v>
      </c>
      <c r="E221" s="20" t="s">
        <v>357</v>
      </c>
      <c r="F221" s="20" t="s">
        <v>358</v>
      </c>
      <c r="G221" s="8" t="str">
        <f t="shared" si="3"/>
        <v>YANG JAN</v>
      </c>
    </row>
    <row r="222" spans="1:7" x14ac:dyDescent="0.25">
      <c r="A222" s="8">
        <v>42787.96465277778</v>
      </c>
      <c r="B222" s="20" t="s">
        <v>401</v>
      </c>
      <c r="C222" s="20" t="s">
        <v>494</v>
      </c>
      <c r="D222" s="150">
        <v>2680000</v>
      </c>
      <c r="E222" s="20" t="s">
        <v>341</v>
      </c>
      <c r="F222" s="20" t="s">
        <v>342</v>
      </c>
      <c r="G222" s="8" t="str">
        <f t="shared" si="3"/>
        <v>DUNCAN SHEILA</v>
      </c>
    </row>
    <row r="223" spans="1:7" x14ac:dyDescent="0.25">
      <c r="A223" s="8">
        <v>42787.972337962965</v>
      </c>
      <c r="B223" s="20" t="s">
        <v>403</v>
      </c>
      <c r="C223" s="20" t="s">
        <v>492</v>
      </c>
      <c r="D223" s="150">
        <v>2730000</v>
      </c>
      <c r="E223" s="20" t="s">
        <v>357</v>
      </c>
      <c r="F223" s="20" t="s">
        <v>358</v>
      </c>
      <c r="G223" s="8" t="str">
        <f t="shared" si="3"/>
        <v>YANG JAN</v>
      </c>
    </row>
    <row r="224" spans="1:7" x14ac:dyDescent="0.25">
      <c r="A224" s="8">
        <v>42787.97625</v>
      </c>
      <c r="B224" t="s">
        <v>252</v>
      </c>
      <c r="C224" t="s">
        <v>677</v>
      </c>
      <c r="D224" s="150">
        <v>2000000</v>
      </c>
      <c r="E224" t="s">
        <v>344</v>
      </c>
      <c r="F224" s="20" t="s">
        <v>199</v>
      </c>
      <c r="G224" s="8" t="str">
        <f t="shared" si="3"/>
        <v>STAMBAUGH JAMES</v>
      </c>
    </row>
    <row r="225" spans="1:7" x14ac:dyDescent="0.25">
      <c r="A225" s="8">
        <v>42787.977349537039</v>
      </c>
      <c r="B225" t="s">
        <v>224</v>
      </c>
      <c r="C225" t="s">
        <v>678</v>
      </c>
      <c r="D225" s="150">
        <v>2450000</v>
      </c>
      <c r="E225" t="s">
        <v>235</v>
      </c>
      <c r="F225" s="20" t="s">
        <v>236</v>
      </c>
      <c r="G225" s="8" t="str">
        <f t="shared" si="3"/>
        <v>NELSON ARIANE</v>
      </c>
    </row>
    <row r="226" spans="1:7" x14ac:dyDescent="0.25">
      <c r="A226" s="8">
        <v>42787.97797453704</v>
      </c>
      <c r="B226" t="s">
        <v>403</v>
      </c>
      <c r="C226" t="s">
        <v>492</v>
      </c>
      <c r="D226" s="150">
        <v>2730000</v>
      </c>
      <c r="E226" t="s">
        <v>357</v>
      </c>
      <c r="F226" s="20" t="s">
        <v>358</v>
      </c>
      <c r="G226" s="8" t="str">
        <f t="shared" si="3"/>
        <v>YANG JAN</v>
      </c>
    </row>
    <row r="227" spans="1:7" x14ac:dyDescent="0.25">
      <c r="A227" s="8">
        <v>42787.987141203703</v>
      </c>
      <c r="B227" t="s">
        <v>401</v>
      </c>
      <c r="C227" t="s">
        <v>494</v>
      </c>
      <c r="D227" s="150">
        <v>2680000</v>
      </c>
      <c r="E227" t="s">
        <v>341</v>
      </c>
      <c r="F227" s="20" t="s">
        <v>342</v>
      </c>
      <c r="G227" s="8" t="str">
        <f t="shared" si="3"/>
        <v>DUNCAN SHEILA</v>
      </c>
    </row>
    <row r="228" spans="1:7" x14ac:dyDescent="0.25">
      <c r="A228" s="8">
        <v>42787.988935185182</v>
      </c>
      <c r="B228" t="s">
        <v>473</v>
      </c>
      <c r="C228" t="s">
        <v>679</v>
      </c>
      <c r="D228" s="150">
        <v>1740000</v>
      </c>
      <c r="E228" t="s">
        <v>227</v>
      </c>
      <c r="F228" s="20" t="s">
        <v>228</v>
      </c>
      <c r="G228" s="8" t="str">
        <f t="shared" si="3"/>
        <v>STORY SAMANTHA</v>
      </c>
    </row>
    <row r="229" spans="1:7" x14ac:dyDescent="0.25">
      <c r="A229" s="8">
        <v>42787.995775462965</v>
      </c>
      <c r="B229" t="s">
        <v>403</v>
      </c>
      <c r="C229" t="s">
        <v>492</v>
      </c>
      <c r="D229" s="150">
        <v>2730000</v>
      </c>
      <c r="E229" t="s">
        <v>357</v>
      </c>
      <c r="F229" s="20" t="s">
        <v>358</v>
      </c>
      <c r="G229" s="8" t="str">
        <f t="shared" si="3"/>
        <v>YANG JAN</v>
      </c>
    </row>
    <row r="230" spans="1:7" x14ac:dyDescent="0.25">
      <c r="A230" s="8">
        <v>42787.996087962965</v>
      </c>
      <c r="B230" t="s">
        <v>212</v>
      </c>
      <c r="C230" t="s">
        <v>496</v>
      </c>
      <c r="D230" s="150">
        <v>1800000</v>
      </c>
      <c r="E230" t="s">
        <v>253</v>
      </c>
      <c r="F230" s="20" t="s">
        <v>254</v>
      </c>
      <c r="G230" s="8" t="str">
        <f t="shared" si="3"/>
        <v>CHANDLER KELVIN</v>
      </c>
    </row>
    <row r="231" spans="1:7" x14ac:dyDescent="0.25">
      <c r="A231" s="8">
        <v>42788.002546296295</v>
      </c>
      <c r="B231" t="s">
        <v>401</v>
      </c>
      <c r="C231" t="s">
        <v>494</v>
      </c>
      <c r="D231" s="150">
        <v>2680000</v>
      </c>
      <c r="E231" t="s">
        <v>341</v>
      </c>
      <c r="F231" s="20" t="s">
        <v>342</v>
      </c>
      <c r="G231" s="8" t="str">
        <f t="shared" si="3"/>
        <v>DUNCAN SHEILA</v>
      </c>
    </row>
    <row r="232" spans="1:7" x14ac:dyDescent="0.25">
      <c r="A232" s="8">
        <v>42788.006064814814</v>
      </c>
      <c r="B232" t="s">
        <v>251</v>
      </c>
      <c r="C232" t="s">
        <v>497</v>
      </c>
      <c r="D232" s="150">
        <v>2000000</v>
      </c>
      <c r="E232" t="s">
        <v>344</v>
      </c>
      <c r="F232" s="20" t="s">
        <v>199</v>
      </c>
      <c r="G232" s="8" t="str">
        <f t="shared" si="3"/>
        <v>STAMBAUGH JAMES</v>
      </c>
    </row>
    <row r="233" spans="1:7" x14ac:dyDescent="0.25">
      <c r="A233" s="8">
        <v>42788.011192129627</v>
      </c>
      <c r="B233" t="s">
        <v>403</v>
      </c>
      <c r="C233" t="s">
        <v>492</v>
      </c>
      <c r="D233" s="150">
        <v>2730000</v>
      </c>
      <c r="E233" t="s">
        <v>357</v>
      </c>
      <c r="F233" s="20" t="s">
        <v>358</v>
      </c>
      <c r="G233" s="8" t="str">
        <f t="shared" si="3"/>
        <v>YANG JAN</v>
      </c>
    </row>
    <row r="234" spans="1:7" x14ac:dyDescent="0.25">
      <c r="A234" s="8">
        <v>42788.014675925922</v>
      </c>
      <c r="B234" t="s">
        <v>208</v>
      </c>
      <c r="C234" t="s">
        <v>680</v>
      </c>
      <c r="D234" s="150">
        <v>2450000</v>
      </c>
      <c r="E234" t="s">
        <v>235</v>
      </c>
      <c r="F234" s="20" t="s">
        <v>236</v>
      </c>
      <c r="G234" s="8" t="str">
        <f t="shared" si="3"/>
        <v>NELSON ARIANE</v>
      </c>
    </row>
    <row r="235" spans="1:7" x14ac:dyDescent="0.25">
      <c r="A235" s="8">
        <v>42788.017361111109</v>
      </c>
      <c r="B235" t="s">
        <v>401</v>
      </c>
      <c r="C235" t="s">
        <v>494</v>
      </c>
      <c r="D235" s="150">
        <v>2680000</v>
      </c>
      <c r="E235" t="s">
        <v>341</v>
      </c>
      <c r="F235" s="20" t="s">
        <v>342</v>
      </c>
      <c r="G235" s="8" t="str">
        <f t="shared" si="3"/>
        <v>DUNCAN SHEILA</v>
      </c>
    </row>
    <row r="236" spans="1:7" x14ac:dyDescent="0.25">
      <c r="A236" s="8">
        <v>42788.024733796294</v>
      </c>
      <c r="B236" t="s">
        <v>403</v>
      </c>
      <c r="C236" t="s">
        <v>492</v>
      </c>
      <c r="D236" s="150">
        <v>2730000</v>
      </c>
      <c r="E236" t="s">
        <v>357</v>
      </c>
      <c r="F236" s="20" t="s">
        <v>358</v>
      </c>
      <c r="G236" s="8" t="str">
        <f t="shared" si="3"/>
        <v>YANG JAN</v>
      </c>
    </row>
    <row r="237" spans="1:7" x14ac:dyDescent="0.25">
      <c r="A237" s="8">
        <v>42788.028634259259</v>
      </c>
      <c r="B237" t="s">
        <v>233</v>
      </c>
      <c r="C237" t="s">
        <v>681</v>
      </c>
      <c r="D237" s="150">
        <v>1800000</v>
      </c>
      <c r="E237" t="s">
        <v>253</v>
      </c>
      <c r="F237" s="20" t="s">
        <v>254</v>
      </c>
      <c r="G237" s="8" t="str">
        <f t="shared" si="3"/>
        <v>CHANDLER KELVIN</v>
      </c>
    </row>
    <row r="238" spans="1:7" x14ac:dyDescent="0.25">
      <c r="A238" s="8">
        <v>42788.031030092592</v>
      </c>
      <c r="B238" t="s">
        <v>401</v>
      </c>
      <c r="C238" t="s">
        <v>494</v>
      </c>
      <c r="D238" s="150">
        <v>2680000</v>
      </c>
      <c r="E238" t="s">
        <v>341</v>
      </c>
      <c r="F238" s="20" t="s">
        <v>342</v>
      </c>
      <c r="G238" s="8" t="str">
        <f t="shared" si="3"/>
        <v>DUNCAN SHEILA</v>
      </c>
    </row>
    <row r="239" spans="1:7" x14ac:dyDescent="0.25">
      <c r="A239" s="8">
        <v>42788.034826388888</v>
      </c>
      <c r="B239" t="s">
        <v>324</v>
      </c>
      <c r="C239" t="s">
        <v>498</v>
      </c>
      <c r="D239" s="150">
        <v>1740000</v>
      </c>
      <c r="E239" t="s">
        <v>227</v>
      </c>
      <c r="F239" s="20" t="s">
        <v>228</v>
      </c>
      <c r="G239" s="8" t="str">
        <f t="shared" si="3"/>
        <v>STORY SAMANTHA</v>
      </c>
    </row>
    <row r="240" spans="1:7" x14ac:dyDescent="0.25">
      <c r="A240" s="8">
        <v>42788.046180555553</v>
      </c>
      <c r="B240" t="s">
        <v>403</v>
      </c>
      <c r="C240" t="s">
        <v>492</v>
      </c>
      <c r="D240" s="150">
        <v>2730000</v>
      </c>
      <c r="E240" t="s">
        <v>357</v>
      </c>
      <c r="F240" s="20" t="s">
        <v>358</v>
      </c>
      <c r="G240" s="8" t="str">
        <f t="shared" si="3"/>
        <v>YANG JAN</v>
      </c>
    </row>
    <row r="241" spans="1:7" x14ac:dyDescent="0.25">
      <c r="A241" s="8">
        <v>42788.049537037034</v>
      </c>
      <c r="B241" t="s">
        <v>224</v>
      </c>
      <c r="C241" t="s">
        <v>682</v>
      </c>
      <c r="D241" s="150">
        <v>2450000</v>
      </c>
      <c r="E241" t="s">
        <v>235</v>
      </c>
      <c r="F241" s="20" t="s">
        <v>236</v>
      </c>
      <c r="G241" s="8" t="str">
        <f t="shared" si="3"/>
        <v>NELSON ARIANE</v>
      </c>
    </row>
    <row r="242" spans="1:7" x14ac:dyDescent="0.25">
      <c r="A242" s="8">
        <v>42788.054837962962</v>
      </c>
      <c r="B242" t="s">
        <v>401</v>
      </c>
      <c r="C242" t="s">
        <v>494</v>
      </c>
      <c r="D242" s="150">
        <v>2680000</v>
      </c>
      <c r="E242" t="s">
        <v>341</v>
      </c>
      <c r="F242" s="20" t="s">
        <v>342</v>
      </c>
      <c r="G242" s="8" t="str">
        <f t="shared" si="3"/>
        <v>DUNCAN SHEILA</v>
      </c>
    </row>
    <row r="243" spans="1:7" x14ac:dyDescent="0.25">
      <c r="A243" s="8">
        <v>42788.059351851851</v>
      </c>
      <c r="B243" t="s">
        <v>252</v>
      </c>
      <c r="C243" t="s">
        <v>683</v>
      </c>
      <c r="D243" s="150">
        <v>2000000</v>
      </c>
      <c r="E243" t="s">
        <v>344</v>
      </c>
      <c r="F243" s="20" t="s">
        <v>199</v>
      </c>
      <c r="G243" s="8" t="str">
        <f t="shared" si="3"/>
        <v>STAMBAUGH JAMES</v>
      </c>
    </row>
    <row r="244" spans="1:7" x14ac:dyDescent="0.25">
      <c r="A244" s="8">
        <v>42788.069594907407</v>
      </c>
      <c r="B244" t="s">
        <v>473</v>
      </c>
      <c r="C244" t="s">
        <v>684</v>
      </c>
      <c r="D244" s="150">
        <v>1740000</v>
      </c>
      <c r="E244" t="s">
        <v>227</v>
      </c>
      <c r="F244" s="20" t="s">
        <v>228</v>
      </c>
      <c r="G244" s="8" t="str">
        <f t="shared" si="3"/>
        <v>STORY SAMANTHA</v>
      </c>
    </row>
    <row r="245" spans="1:7" x14ac:dyDescent="0.25">
      <c r="A245" s="8">
        <v>42788.075115740743</v>
      </c>
      <c r="B245" t="s">
        <v>403</v>
      </c>
      <c r="C245" t="s">
        <v>492</v>
      </c>
      <c r="D245" s="150">
        <v>2730000</v>
      </c>
      <c r="E245" t="s">
        <v>357</v>
      </c>
      <c r="F245" s="20" t="s">
        <v>358</v>
      </c>
      <c r="G245" s="8" t="str">
        <f t="shared" si="3"/>
        <v>YANG JAN</v>
      </c>
    </row>
    <row r="246" spans="1:7" x14ac:dyDescent="0.25">
      <c r="A246" s="8">
        <v>42788.08153935185</v>
      </c>
      <c r="B246" t="s">
        <v>401</v>
      </c>
      <c r="C246" t="s">
        <v>494</v>
      </c>
      <c r="D246" s="150">
        <v>2680000</v>
      </c>
      <c r="E246" t="s">
        <v>341</v>
      </c>
      <c r="F246" s="20" t="s">
        <v>342</v>
      </c>
      <c r="G246" s="8" t="str">
        <f t="shared" si="3"/>
        <v>DUNCAN SHEILA</v>
      </c>
    </row>
    <row r="247" spans="1:7" x14ac:dyDescent="0.25">
      <c r="A247" s="8">
        <v>42788.083009259259</v>
      </c>
      <c r="B247" t="s">
        <v>401</v>
      </c>
      <c r="C247" t="s">
        <v>494</v>
      </c>
      <c r="D247" s="150">
        <v>2680000</v>
      </c>
      <c r="E247" t="s">
        <v>341</v>
      </c>
      <c r="F247" s="20" t="s">
        <v>342</v>
      </c>
      <c r="G247" s="8" t="str">
        <f t="shared" si="3"/>
        <v>DUNCAN SHEILA</v>
      </c>
    </row>
    <row r="248" spans="1:7" x14ac:dyDescent="0.25">
      <c r="A248" s="8">
        <v>42788.087939814817</v>
      </c>
      <c r="B248" t="s">
        <v>251</v>
      </c>
      <c r="C248" t="s">
        <v>685</v>
      </c>
      <c r="D248" s="150">
        <v>2000000</v>
      </c>
      <c r="E248" t="s">
        <v>344</v>
      </c>
      <c r="F248" s="20" t="s">
        <v>199</v>
      </c>
      <c r="G248" s="8" t="str">
        <f t="shared" si="3"/>
        <v>STAMBAUGH JAMES</v>
      </c>
    </row>
    <row r="249" spans="1:7" x14ac:dyDescent="0.25">
      <c r="A249" s="8">
        <v>42788.089594907404</v>
      </c>
      <c r="B249" t="s">
        <v>403</v>
      </c>
      <c r="C249" t="s">
        <v>492</v>
      </c>
      <c r="D249" s="150">
        <v>2730000</v>
      </c>
      <c r="E249" t="s">
        <v>357</v>
      </c>
      <c r="F249" s="20" t="s">
        <v>358</v>
      </c>
      <c r="G249" s="8" t="str">
        <f t="shared" si="3"/>
        <v>YANG JAN</v>
      </c>
    </row>
    <row r="250" spans="1:7" x14ac:dyDescent="0.25">
      <c r="A250" s="8">
        <v>42788.096342592595</v>
      </c>
      <c r="B250" t="s">
        <v>401</v>
      </c>
      <c r="C250" t="s">
        <v>494</v>
      </c>
      <c r="D250" s="150">
        <v>2680000</v>
      </c>
      <c r="E250" t="s">
        <v>341</v>
      </c>
      <c r="F250" s="20" t="s">
        <v>342</v>
      </c>
      <c r="G250" s="8" t="str">
        <f t="shared" si="3"/>
        <v>DUNCAN SHEILA</v>
      </c>
    </row>
    <row r="251" spans="1:7" x14ac:dyDescent="0.25">
      <c r="A251" s="8">
        <v>42788.102800925924</v>
      </c>
      <c r="B251" t="s">
        <v>403</v>
      </c>
      <c r="C251" t="s">
        <v>492</v>
      </c>
      <c r="D251" s="150">
        <v>2730000</v>
      </c>
      <c r="E251" t="s">
        <v>357</v>
      </c>
      <c r="F251" s="20" t="s">
        <v>358</v>
      </c>
      <c r="G251" s="8" t="str">
        <f t="shared" si="3"/>
        <v>YANG JAN</v>
      </c>
    </row>
    <row r="252" spans="1:7" x14ac:dyDescent="0.25">
      <c r="A252" s="8">
        <v>42788.108194444445</v>
      </c>
      <c r="B252" t="s">
        <v>401</v>
      </c>
      <c r="C252" t="s">
        <v>494</v>
      </c>
      <c r="D252" s="150">
        <v>2680000</v>
      </c>
      <c r="E252" t="s">
        <v>341</v>
      </c>
      <c r="F252" s="20" t="s">
        <v>342</v>
      </c>
      <c r="G252" s="8" t="str">
        <f t="shared" si="3"/>
        <v>DUNCAN SHEILA</v>
      </c>
    </row>
    <row r="253" spans="1:7" x14ac:dyDescent="0.25">
      <c r="A253" s="8">
        <v>42788.11440972222</v>
      </c>
      <c r="B253" t="s">
        <v>403</v>
      </c>
      <c r="C253" t="s">
        <v>492</v>
      </c>
      <c r="D253" s="150">
        <v>2730000</v>
      </c>
      <c r="E253" t="s">
        <v>357</v>
      </c>
      <c r="F253" s="20" t="s">
        <v>358</v>
      </c>
      <c r="G253" s="8" t="str">
        <f t="shared" si="3"/>
        <v>YANG JAN</v>
      </c>
    </row>
    <row r="254" spans="1:7" x14ac:dyDescent="0.25">
      <c r="A254" s="8">
        <v>42781.950277777774</v>
      </c>
      <c r="B254" t="s">
        <v>278</v>
      </c>
      <c r="C254" t="s">
        <v>303</v>
      </c>
      <c r="D254" s="150">
        <v>970000</v>
      </c>
      <c r="E254" t="s">
        <v>304</v>
      </c>
      <c r="F254" s="20" t="s">
        <v>305</v>
      </c>
      <c r="G254" s="8" t="str">
        <f t="shared" si="3"/>
        <v>JACKSON WILLIAM</v>
      </c>
    </row>
    <row r="255" spans="1:7" x14ac:dyDescent="0.25">
      <c r="A255" s="8">
        <v>42781.971203703702</v>
      </c>
      <c r="B255" t="s">
        <v>244</v>
      </c>
      <c r="C255" t="s">
        <v>306</v>
      </c>
      <c r="D255" s="150">
        <v>1740000</v>
      </c>
      <c r="E255" t="s">
        <v>227</v>
      </c>
      <c r="F255" s="20" t="s">
        <v>228</v>
      </c>
      <c r="G255" s="8" t="str">
        <f t="shared" si="3"/>
        <v>STORY SAMANTHA</v>
      </c>
    </row>
    <row r="256" spans="1:7" x14ac:dyDescent="0.25">
      <c r="A256" s="8">
        <v>42781.974733796298</v>
      </c>
      <c r="B256" t="s">
        <v>247</v>
      </c>
      <c r="C256" t="s">
        <v>301</v>
      </c>
      <c r="D256" s="150">
        <v>2540000</v>
      </c>
      <c r="E256" t="s">
        <v>221</v>
      </c>
      <c r="F256" s="20" t="s">
        <v>222</v>
      </c>
      <c r="G256" s="8" t="str">
        <f t="shared" si="3"/>
        <v>MCREYNOLDS KYLE</v>
      </c>
    </row>
    <row r="257" spans="1:7" x14ac:dyDescent="0.25">
      <c r="A257" s="8">
        <v>42781.995208333334</v>
      </c>
      <c r="B257" t="s">
        <v>268</v>
      </c>
      <c r="C257" t="s">
        <v>307</v>
      </c>
      <c r="D257" s="150">
        <v>2270000</v>
      </c>
      <c r="E257" t="s">
        <v>231</v>
      </c>
      <c r="F257" s="20" t="s">
        <v>232</v>
      </c>
      <c r="G257" s="8" t="str">
        <f t="shared" si="3"/>
        <v>BROWN JACOB</v>
      </c>
    </row>
    <row r="258" spans="1:7" x14ac:dyDescent="0.25">
      <c r="A258" s="8">
        <v>42781.995740740742</v>
      </c>
      <c r="B258" t="s">
        <v>279</v>
      </c>
      <c r="C258" t="s">
        <v>308</v>
      </c>
      <c r="D258" s="150">
        <v>970000</v>
      </c>
      <c r="E258" t="s">
        <v>304</v>
      </c>
      <c r="F258" s="20" t="s">
        <v>305</v>
      </c>
      <c r="G258" s="8" t="str">
        <f t="shared" si="3"/>
        <v>JACKSON WILLIAM</v>
      </c>
    </row>
    <row r="259" spans="1:7" x14ac:dyDescent="0.25">
      <c r="A259" s="8">
        <v>42782.01158564815</v>
      </c>
      <c r="B259" t="s">
        <v>240</v>
      </c>
      <c r="C259" t="s">
        <v>302</v>
      </c>
      <c r="D259" s="150">
        <v>1740000</v>
      </c>
      <c r="E259" t="s">
        <v>227</v>
      </c>
      <c r="F259" s="20" t="s">
        <v>228</v>
      </c>
      <c r="G259" s="8" t="str">
        <f t="shared" ref="G259:G322" si="4">E259&amp;" "&amp;F259</f>
        <v>STORY SAMANTHA</v>
      </c>
    </row>
    <row r="260" spans="1:7" x14ac:dyDescent="0.25">
      <c r="A260" s="8">
        <v>42782.018333333333</v>
      </c>
      <c r="B260" t="s">
        <v>271</v>
      </c>
      <c r="C260" t="s">
        <v>309</v>
      </c>
      <c r="D260" s="150">
        <v>2540000</v>
      </c>
      <c r="E260" t="s">
        <v>221</v>
      </c>
      <c r="F260" s="20" t="s">
        <v>222</v>
      </c>
      <c r="G260" s="8" t="str">
        <f t="shared" si="4"/>
        <v>MCREYNOLDS KYLE</v>
      </c>
    </row>
    <row r="261" spans="1:7" x14ac:dyDescent="0.25">
      <c r="A261" s="8">
        <v>42782.034189814818</v>
      </c>
      <c r="B261" t="s">
        <v>265</v>
      </c>
      <c r="C261" t="s">
        <v>310</v>
      </c>
      <c r="D261" s="150">
        <v>2270000</v>
      </c>
      <c r="E261" t="s">
        <v>231</v>
      </c>
      <c r="F261" s="20" t="s">
        <v>232</v>
      </c>
      <c r="G261" s="8" t="str">
        <f t="shared" si="4"/>
        <v>BROWN JACOB</v>
      </c>
    </row>
    <row r="262" spans="1:7" x14ac:dyDescent="0.25">
      <c r="A262" s="8">
        <v>42782.034398148149</v>
      </c>
      <c r="B262" t="s">
        <v>278</v>
      </c>
      <c r="C262" t="s">
        <v>311</v>
      </c>
      <c r="D262" s="150">
        <v>970000</v>
      </c>
      <c r="E262" t="s">
        <v>304</v>
      </c>
      <c r="F262" s="20" t="s">
        <v>305</v>
      </c>
      <c r="G262" s="8" t="str">
        <f t="shared" si="4"/>
        <v>JACKSON WILLIAM</v>
      </c>
    </row>
    <row r="263" spans="1:7" x14ac:dyDescent="0.25">
      <c r="A263" s="8">
        <v>42782.051817129628</v>
      </c>
      <c r="B263" t="s">
        <v>244</v>
      </c>
      <c r="C263" t="s">
        <v>312</v>
      </c>
      <c r="D263" s="150">
        <v>1740000</v>
      </c>
      <c r="E263" t="s">
        <v>227</v>
      </c>
      <c r="F263" s="20" t="s">
        <v>228</v>
      </c>
      <c r="G263" s="8" t="str">
        <f t="shared" si="4"/>
        <v>STORY SAMANTHA</v>
      </c>
    </row>
    <row r="264" spans="1:7" x14ac:dyDescent="0.25">
      <c r="A264" s="8">
        <v>42782.05678240741</v>
      </c>
      <c r="B264" t="s">
        <v>247</v>
      </c>
      <c r="C264" t="s">
        <v>313</v>
      </c>
      <c r="D264" s="150">
        <v>2540000</v>
      </c>
      <c r="E264" t="s">
        <v>221</v>
      </c>
      <c r="F264" s="20" t="s">
        <v>222</v>
      </c>
      <c r="G264" s="8" t="str">
        <f t="shared" si="4"/>
        <v>MCREYNOLDS KYLE</v>
      </c>
    </row>
    <row r="265" spans="1:7" x14ac:dyDescent="0.25">
      <c r="A265" s="8">
        <v>42782.074502314812</v>
      </c>
      <c r="B265" t="s">
        <v>268</v>
      </c>
      <c r="C265" t="s">
        <v>314</v>
      </c>
      <c r="D265" s="150">
        <v>2270000</v>
      </c>
      <c r="E265" t="s">
        <v>231</v>
      </c>
      <c r="F265" s="20" t="s">
        <v>232</v>
      </c>
      <c r="G265" s="8" t="str">
        <f t="shared" si="4"/>
        <v>BROWN JACOB</v>
      </c>
    </row>
    <row r="266" spans="1:7" x14ac:dyDescent="0.25">
      <c r="A266" s="8">
        <v>42754.070185185185</v>
      </c>
      <c r="B266" t="s">
        <v>217</v>
      </c>
      <c r="C266" t="s">
        <v>237</v>
      </c>
      <c r="D266" s="150">
        <v>2540000</v>
      </c>
      <c r="E266" t="s">
        <v>221</v>
      </c>
      <c r="F266" s="20" t="s">
        <v>222</v>
      </c>
      <c r="G266" s="8" t="str">
        <f t="shared" si="4"/>
        <v>MCREYNOLDS KYLE</v>
      </c>
    </row>
    <row r="267" spans="1:7" x14ac:dyDescent="0.25">
      <c r="A267" s="8">
        <v>42754.077326388891</v>
      </c>
      <c r="B267" t="s">
        <v>233</v>
      </c>
      <c r="C267" t="s">
        <v>239</v>
      </c>
      <c r="D267" s="150">
        <v>2450000</v>
      </c>
      <c r="E267" t="s">
        <v>235</v>
      </c>
      <c r="F267" s="20" t="s">
        <v>236</v>
      </c>
      <c r="G267" s="8" t="str">
        <f t="shared" si="4"/>
        <v>NELSON ARIANE</v>
      </c>
    </row>
    <row r="268" spans="1:7" x14ac:dyDescent="0.25">
      <c r="A268" s="8">
        <v>42754.08556712963</v>
      </c>
      <c r="B268" t="s">
        <v>230</v>
      </c>
      <c r="C268" t="s">
        <v>245</v>
      </c>
      <c r="D268" s="150">
        <v>2270000</v>
      </c>
      <c r="E268" t="s">
        <v>231</v>
      </c>
      <c r="F268" s="20" t="s">
        <v>232</v>
      </c>
      <c r="G268" s="8" t="str">
        <f t="shared" si="4"/>
        <v>BROWN JACOB</v>
      </c>
    </row>
    <row r="269" spans="1:7" x14ac:dyDescent="0.25">
      <c r="A269" s="8">
        <v>42754.092013888891</v>
      </c>
      <c r="B269" t="s">
        <v>216</v>
      </c>
      <c r="C269" t="s">
        <v>238</v>
      </c>
      <c r="D269" s="150">
        <v>2540000</v>
      </c>
      <c r="E269" t="s">
        <v>221</v>
      </c>
      <c r="F269" s="20" t="s">
        <v>222</v>
      </c>
      <c r="G269" s="8" t="str">
        <f t="shared" si="4"/>
        <v>MCREYNOLDS KYLE</v>
      </c>
    </row>
    <row r="270" spans="1:7" x14ac:dyDescent="0.25">
      <c r="A270" s="8">
        <v>42754.093356481484</v>
      </c>
      <c r="B270" t="s">
        <v>220</v>
      </c>
      <c r="C270" t="s">
        <v>246</v>
      </c>
      <c r="D270" s="150">
        <v>1810000</v>
      </c>
      <c r="E270" t="s">
        <v>205</v>
      </c>
      <c r="F270" s="20" t="s">
        <v>199</v>
      </c>
      <c r="G270" s="8" t="str">
        <f t="shared" si="4"/>
        <v>NEWELL JAMES</v>
      </c>
    </row>
    <row r="271" spans="1:7" x14ac:dyDescent="0.25">
      <c r="A271" s="8">
        <v>42754.098680555559</v>
      </c>
      <c r="B271" t="s">
        <v>244</v>
      </c>
      <c r="C271" t="s">
        <v>241</v>
      </c>
      <c r="D271" s="150">
        <v>2670000</v>
      </c>
      <c r="E271" t="s">
        <v>242</v>
      </c>
      <c r="F271" s="20" t="s">
        <v>243</v>
      </c>
      <c r="G271" s="8" t="str">
        <f t="shared" si="4"/>
        <v>COMELLA JUSTIN</v>
      </c>
    </row>
    <row r="272" spans="1:7" x14ac:dyDescent="0.25">
      <c r="A272" s="8">
        <v>42754.108900462961</v>
      </c>
      <c r="B272" t="s">
        <v>212</v>
      </c>
      <c r="C272" t="s">
        <v>234</v>
      </c>
      <c r="D272" s="150">
        <v>2450000</v>
      </c>
      <c r="E272" t="s">
        <v>235</v>
      </c>
      <c r="F272" s="20" t="s">
        <v>236</v>
      </c>
      <c r="G272" s="8" t="str">
        <f t="shared" si="4"/>
        <v>NELSON ARIANE</v>
      </c>
    </row>
    <row r="273" spans="1:7" x14ac:dyDescent="0.25">
      <c r="A273" s="8">
        <v>42754.109803240739</v>
      </c>
      <c r="B273" t="s">
        <v>217</v>
      </c>
      <c r="C273" t="s">
        <v>237</v>
      </c>
      <c r="D273" s="150">
        <v>2540000</v>
      </c>
      <c r="E273" t="s">
        <v>221</v>
      </c>
      <c r="F273" s="20" t="s">
        <v>222</v>
      </c>
      <c r="G273" s="8" t="str">
        <f t="shared" si="4"/>
        <v>MCREYNOLDS KYLE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66" t="s">
        <v>162</v>
      </c>
      <c r="B1" s="166" t="s">
        <v>165</v>
      </c>
      <c r="C1" s="166" t="s">
        <v>158</v>
      </c>
      <c r="D1" s="148" t="s">
        <v>170</v>
      </c>
      <c r="E1" s="166" t="s">
        <v>159</v>
      </c>
      <c r="F1" s="166" t="s">
        <v>157</v>
      </c>
      <c r="G1" s="166" t="s">
        <v>155</v>
      </c>
      <c r="H1" s="166" t="s">
        <v>168</v>
      </c>
      <c r="I1" s="166" t="s">
        <v>169</v>
      </c>
      <c r="J1" s="166" t="s">
        <v>163</v>
      </c>
      <c r="K1" s="166" t="s">
        <v>161</v>
      </c>
      <c r="L1" s="166" t="s">
        <v>156</v>
      </c>
      <c r="M1" s="166" t="s">
        <v>166</v>
      </c>
      <c r="N1" s="166" t="s">
        <v>160</v>
      </c>
      <c r="O1" s="166" t="s">
        <v>167</v>
      </c>
      <c r="P1" s="166" t="s">
        <v>164</v>
      </c>
      <c r="Q1"/>
      <c r="R1"/>
    </row>
    <row r="2" spans="1:18" x14ac:dyDescent="0.25">
      <c r="A2" s="167">
        <v>43.43</v>
      </c>
      <c r="B2" s="167">
        <v>0.14000000000000001</v>
      </c>
      <c r="C2" s="167">
        <v>17.43</v>
      </c>
      <c r="D2" s="8">
        <v>42787</v>
      </c>
      <c r="E2" s="167">
        <v>0.35</v>
      </c>
      <c r="F2" s="167" t="s">
        <v>410</v>
      </c>
      <c r="G2" s="167">
        <v>269.76</v>
      </c>
      <c r="H2" s="167">
        <v>0</v>
      </c>
      <c r="I2" s="167">
        <v>0</v>
      </c>
      <c r="J2" s="167">
        <v>1015.66</v>
      </c>
      <c r="K2" s="167" t="s">
        <v>315</v>
      </c>
      <c r="L2" s="167">
        <v>43.43</v>
      </c>
      <c r="M2" s="167">
        <v>1487660400</v>
      </c>
      <c r="N2" s="167">
        <v>10</v>
      </c>
      <c r="O2" s="167">
        <v>229</v>
      </c>
      <c r="P2" s="167">
        <v>2.09</v>
      </c>
      <c r="Q2"/>
      <c r="R2"/>
    </row>
    <row r="3" spans="1:18" x14ac:dyDescent="0.25">
      <c r="A3" s="167">
        <v>42.54</v>
      </c>
      <c r="B3" s="167">
        <v>0.13</v>
      </c>
      <c r="C3" s="167">
        <v>17.25</v>
      </c>
      <c r="D3" s="8">
        <v>42787.041666666664</v>
      </c>
      <c r="E3" s="167">
        <v>0.36</v>
      </c>
      <c r="F3" s="167" t="s">
        <v>410</v>
      </c>
      <c r="G3" s="167">
        <v>269</v>
      </c>
      <c r="H3" s="167">
        <v>0</v>
      </c>
      <c r="I3" s="167">
        <v>0</v>
      </c>
      <c r="J3" s="167">
        <v>1015.85</v>
      </c>
      <c r="K3" s="167" t="s">
        <v>315</v>
      </c>
      <c r="L3" s="167">
        <v>42.54</v>
      </c>
      <c r="M3" s="167">
        <v>1487664000</v>
      </c>
      <c r="N3" s="167">
        <v>4.07</v>
      </c>
      <c r="O3" s="167">
        <v>249</v>
      </c>
      <c r="P3" s="167">
        <v>2.85</v>
      </c>
      <c r="Q3"/>
      <c r="R3"/>
    </row>
    <row r="4" spans="1:18" x14ac:dyDescent="0.25">
      <c r="A4" s="167">
        <v>44.22</v>
      </c>
      <c r="B4" s="167">
        <v>0.12</v>
      </c>
      <c r="C4" s="167">
        <v>18.690000000000001</v>
      </c>
      <c r="D4" s="8">
        <v>42787.083333333336</v>
      </c>
      <c r="E4" s="167">
        <v>0.36</v>
      </c>
      <c r="F4" s="167" t="s">
        <v>410</v>
      </c>
      <c r="G4" s="167">
        <v>268.24</v>
      </c>
      <c r="H4" s="167">
        <v>0</v>
      </c>
      <c r="I4" s="167">
        <v>0</v>
      </c>
      <c r="J4" s="167">
        <v>1016.08</v>
      </c>
      <c r="K4" s="167" t="s">
        <v>315</v>
      </c>
      <c r="L4" s="167">
        <v>44.22</v>
      </c>
      <c r="M4" s="167">
        <v>1487667600</v>
      </c>
      <c r="N4" s="167">
        <v>3.53</v>
      </c>
      <c r="O4" s="167">
        <v>249</v>
      </c>
      <c r="P4" s="167">
        <v>2.16</v>
      </c>
      <c r="Q4"/>
      <c r="R4"/>
    </row>
    <row r="5" spans="1:18" x14ac:dyDescent="0.25">
      <c r="A5" s="167">
        <v>46.3</v>
      </c>
      <c r="B5" s="167">
        <v>0.13</v>
      </c>
      <c r="C5" s="167">
        <v>20.37</v>
      </c>
      <c r="D5" s="8">
        <v>42787.125</v>
      </c>
      <c r="E5" s="167">
        <v>0.35</v>
      </c>
      <c r="F5" s="167" t="s">
        <v>410</v>
      </c>
      <c r="G5" s="167">
        <v>267.95</v>
      </c>
      <c r="H5" s="167">
        <v>0</v>
      </c>
      <c r="I5" s="167">
        <v>0</v>
      </c>
      <c r="J5" s="167">
        <v>1015.9</v>
      </c>
      <c r="K5" s="167" t="s">
        <v>315</v>
      </c>
      <c r="L5" s="167">
        <v>46.3</v>
      </c>
      <c r="M5" s="167">
        <v>1487671200</v>
      </c>
      <c r="N5" s="167">
        <v>3.3</v>
      </c>
      <c r="O5" s="167">
        <v>289</v>
      </c>
      <c r="P5" s="167">
        <v>2.73</v>
      </c>
      <c r="Q5"/>
      <c r="R5"/>
    </row>
    <row r="6" spans="1:18" x14ac:dyDescent="0.25">
      <c r="A6" s="167">
        <v>50.51</v>
      </c>
      <c r="B6" s="167">
        <v>0.14000000000000001</v>
      </c>
      <c r="C6" s="167">
        <v>23.02</v>
      </c>
      <c r="D6" s="8">
        <v>42787.166666666664</v>
      </c>
      <c r="E6" s="167">
        <v>0.34</v>
      </c>
      <c r="F6" s="167" t="s">
        <v>410</v>
      </c>
      <c r="G6" s="167">
        <v>267.87</v>
      </c>
      <c r="H6" s="167">
        <v>0</v>
      </c>
      <c r="I6" s="167">
        <v>0</v>
      </c>
      <c r="J6" s="167">
        <v>1015.64</v>
      </c>
      <c r="K6" s="167" t="s">
        <v>315</v>
      </c>
      <c r="L6" s="167">
        <v>50.51</v>
      </c>
      <c r="M6" s="167">
        <v>1487674800</v>
      </c>
      <c r="N6" s="167">
        <v>3.57</v>
      </c>
      <c r="O6" s="167">
        <v>268</v>
      </c>
      <c r="P6" s="167">
        <v>4.63</v>
      </c>
      <c r="Q6"/>
      <c r="R6"/>
    </row>
    <row r="7" spans="1:18" x14ac:dyDescent="0.25">
      <c r="A7" s="167">
        <v>50.79</v>
      </c>
      <c r="B7" s="167">
        <v>0.17</v>
      </c>
      <c r="C7" s="167">
        <v>22.95</v>
      </c>
      <c r="D7" s="8">
        <v>42787.208333333336</v>
      </c>
      <c r="E7" s="167">
        <v>0.33</v>
      </c>
      <c r="F7" s="167" t="s">
        <v>410</v>
      </c>
      <c r="G7" s="167">
        <v>267.74</v>
      </c>
      <c r="H7" s="167">
        <v>0</v>
      </c>
      <c r="I7" s="167">
        <v>0</v>
      </c>
      <c r="J7" s="167">
        <v>1015.6</v>
      </c>
      <c r="K7" s="167" t="s">
        <v>315</v>
      </c>
      <c r="L7" s="167">
        <v>50.79</v>
      </c>
      <c r="M7" s="167">
        <v>1487678400</v>
      </c>
      <c r="N7" s="167">
        <v>4.78</v>
      </c>
      <c r="O7" s="167">
        <v>271</v>
      </c>
      <c r="P7" s="167">
        <v>4.6500000000000004</v>
      </c>
      <c r="Q7"/>
      <c r="R7"/>
    </row>
    <row r="8" spans="1:18" x14ac:dyDescent="0.25">
      <c r="A8" s="167">
        <v>47.56</v>
      </c>
      <c r="B8" s="167">
        <v>0.2</v>
      </c>
      <c r="C8" s="167">
        <v>21.61</v>
      </c>
      <c r="D8" s="8">
        <v>42787.25</v>
      </c>
      <c r="E8" s="167">
        <v>0.32</v>
      </c>
      <c r="F8" s="167" t="s">
        <v>410</v>
      </c>
      <c r="G8" s="167">
        <v>267.49</v>
      </c>
      <c r="H8" s="167">
        <v>0</v>
      </c>
      <c r="I8" s="167">
        <v>0</v>
      </c>
      <c r="J8" s="167">
        <v>1015.84</v>
      </c>
      <c r="K8" s="167" t="s">
        <v>315</v>
      </c>
      <c r="L8" s="167">
        <v>49.99</v>
      </c>
      <c r="M8" s="167">
        <v>1487682000</v>
      </c>
      <c r="N8" s="167">
        <v>10</v>
      </c>
      <c r="O8" s="167">
        <v>269</v>
      </c>
      <c r="P8" s="167">
        <v>6.18</v>
      </c>
      <c r="Q8"/>
      <c r="R8"/>
    </row>
    <row r="9" spans="1:18" x14ac:dyDescent="0.25">
      <c r="A9" s="167">
        <v>51.33</v>
      </c>
      <c r="B9" s="167">
        <v>0.23</v>
      </c>
      <c r="C9" s="167">
        <v>22.8</v>
      </c>
      <c r="D9" s="8">
        <v>42787.291666666664</v>
      </c>
      <c r="E9" s="167">
        <v>0.32</v>
      </c>
      <c r="F9" s="167" t="s">
        <v>316</v>
      </c>
      <c r="G9" s="167">
        <v>267.19</v>
      </c>
      <c r="H9" s="167">
        <v>0</v>
      </c>
      <c r="I9" s="167">
        <v>0</v>
      </c>
      <c r="J9" s="167">
        <v>1016.25</v>
      </c>
      <c r="K9" s="167" t="s">
        <v>315</v>
      </c>
      <c r="L9" s="167">
        <v>51.33</v>
      </c>
      <c r="M9" s="167">
        <v>1487685600</v>
      </c>
      <c r="N9" s="167">
        <v>3.56</v>
      </c>
      <c r="O9" s="167">
        <v>256</v>
      </c>
      <c r="P9" s="167">
        <v>5.44</v>
      </c>
      <c r="Q9"/>
      <c r="R9"/>
    </row>
    <row r="10" spans="1:18" x14ac:dyDescent="0.25">
      <c r="A10" s="167">
        <v>53.15</v>
      </c>
      <c r="B10" s="167">
        <v>0.23</v>
      </c>
      <c r="C10" s="167">
        <v>23.3</v>
      </c>
      <c r="D10" s="8">
        <v>42787.333333333336</v>
      </c>
      <c r="E10" s="167">
        <v>0.31</v>
      </c>
      <c r="F10" s="167" t="s">
        <v>316</v>
      </c>
      <c r="G10" s="167">
        <v>266.79000000000002</v>
      </c>
      <c r="H10" s="167">
        <v>0</v>
      </c>
      <c r="I10" s="167">
        <v>0</v>
      </c>
      <c r="J10" s="167">
        <v>1016.38</v>
      </c>
      <c r="K10" s="167" t="s">
        <v>315</v>
      </c>
      <c r="L10" s="167">
        <v>53.15</v>
      </c>
      <c r="M10" s="167">
        <v>1487689200</v>
      </c>
      <c r="N10" s="167">
        <v>3.2</v>
      </c>
      <c r="O10" s="167">
        <v>263</v>
      </c>
      <c r="P10" s="167">
        <v>9.26</v>
      </c>
      <c r="Q10"/>
      <c r="R10"/>
    </row>
    <row r="11" spans="1:18" x14ac:dyDescent="0.25">
      <c r="A11" s="167">
        <v>56.69</v>
      </c>
      <c r="B11" s="167">
        <v>0.27</v>
      </c>
      <c r="C11" s="167">
        <v>23.05</v>
      </c>
      <c r="D11" s="8">
        <v>42787.375</v>
      </c>
      <c r="E11" s="167">
        <v>0.27</v>
      </c>
      <c r="F11" s="167" t="s">
        <v>686</v>
      </c>
      <c r="G11" s="167">
        <v>266.14999999999998</v>
      </c>
      <c r="H11" s="167">
        <v>0</v>
      </c>
      <c r="I11" s="167">
        <v>0</v>
      </c>
      <c r="J11" s="167">
        <v>1015.88</v>
      </c>
      <c r="K11" s="167" t="s">
        <v>249</v>
      </c>
      <c r="L11" s="167">
        <v>56.69</v>
      </c>
      <c r="M11" s="167">
        <v>1487692800</v>
      </c>
      <c r="N11" s="167">
        <v>3.06</v>
      </c>
      <c r="O11" s="167">
        <v>266</v>
      </c>
      <c r="P11" s="167">
        <v>11.51</v>
      </c>
      <c r="Q11"/>
      <c r="R11"/>
    </row>
    <row r="12" spans="1:18" x14ac:dyDescent="0.25">
      <c r="A12" s="167">
        <v>59.03</v>
      </c>
      <c r="B12" s="167">
        <v>0.25</v>
      </c>
      <c r="C12" s="167">
        <v>21.47</v>
      </c>
      <c r="D12" s="8">
        <v>42787.416666666664</v>
      </c>
      <c r="E12" s="167">
        <v>0.23</v>
      </c>
      <c r="F12" s="167" t="s">
        <v>686</v>
      </c>
      <c r="G12" s="167">
        <v>265.42</v>
      </c>
      <c r="H12" s="167">
        <v>0</v>
      </c>
      <c r="I12" s="167">
        <v>0</v>
      </c>
      <c r="J12" s="167">
        <v>1015.04</v>
      </c>
      <c r="K12" s="167" t="s">
        <v>249</v>
      </c>
      <c r="L12" s="167">
        <v>59.03</v>
      </c>
      <c r="M12" s="167">
        <v>1487696400</v>
      </c>
      <c r="N12" s="167">
        <v>10</v>
      </c>
      <c r="O12" s="167">
        <v>260</v>
      </c>
      <c r="P12" s="167">
        <v>11.53</v>
      </c>
      <c r="Q12"/>
      <c r="R12"/>
    </row>
    <row r="13" spans="1:18" x14ac:dyDescent="0.25">
      <c r="A13" s="167">
        <v>62.59</v>
      </c>
      <c r="B13" s="167">
        <v>0.23</v>
      </c>
      <c r="C13" s="167">
        <v>20.440000000000001</v>
      </c>
      <c r="D13" s="8">
        <v>42787.458333333336</v>
      </c>
      <c r="E13" s="167">
        <v>0.2</v>
      </c>
      <c r="F13" s="167" t="s">
        <v>316</v>
      </c>
      <c r="G13" s="167">
        <v>264.98</v>
      </c>
      <c r="H13" s="167">
        <v>0</v>
      </c>
      <c r="I13" s="167">
        <v>0</v>
      </c>
      <c r="J13" s="167">
        <v>1014.27</v>
      </c>
      <c r="K13" s="167" t="s">
        <v>315</v>
      </c>
      <c r="L13" s="167">
        <v>62.59</v>
      </c>
      <c r="M13" s="167">
        <v>1487700000</v>
      </c>
      <c r="N13" s="167">
        <v>3.04</v>
      </c>
      <c r="O13" s="167">
        <v>262</v>
      </c>
      <c r="P13" s="167">
        <v>12.97</v>
      </c>
      <c r="Q13"/>
      <c r="R13"/>
    </row>
    <row r="14" spans="1:18" x14ac:dyDescent="0.25">
      <c r="A14" s="167">
        <v>65.62</v>
      </c>
      <c r="B14" s="167">
        <v>0.23</v>
      </c>
      <c r="C14" s="167">
        <v>18.079999999999998</v>
      </c>
      <c r="D14" s="8">
        <v>42787.5</v>
      </c>
      <c r="E14" s="167">
        <v>0.16</v>
      </c>
      <c r="F14" s="167" t="s">
        <v>316</v>
      </c>
      <c r="G14" s="167">
        <v>264.64</v>
      </c>
      <c r="H14" s="167">
        <v>0</v>
      </c>
      <c r="I14" s="167">
        <v>0</v>
      </c>
      <c r="J14" s="167">
        <v>1013.67</v>
      </c>
      <c r="K14" s="167" t="s">
        <v>315</v>
      </c>
      <c r="L14" s="167">
        <v>65.62</v>
      </c>
      <c r="M14" s="167">
        <v>1487703600</v>
      </c>
      <c r="N14" s="167">
        <v>10</v>
      </c>
      <c r="O14" s="167">
        <v>276</v>
      </c>
      <c r="P14" s="167">
        <v>10.67</v>
      </c>
      <c r="Q14"/>
      <c r="R14"/>
    </row>
    <row r="15" spans="1:18" x14ac:dyDescent="0.25">
      <c r="A15" s="167">
        <v>67.63</v>
      </c>
      <c r="B15" s="167">
        <v>0.22</v>
      </c>
      <c r="C15" s="167">
        <v>16.920000000000002</v>
      </c>
      <c r="D15" s="8">
        <v>42787.541666666664</v>
      </c>
      <c r="E15" s="167">
        <v>0.14000000000000001</v>
      </c>
      <c r="F15" s="167" t="s">
        <v>316</v>
      </c>
      <c r="G15" s="167">
        <v>264.58</v>
      </c>
      <c r="H15" s="167">
        <v>0</v>
      </c>
      <c r="I15" s="167">
        <v>0</v>
      </c>
      <c r="J15" s="167">
        <v>1013.12</v>
      </c>
      <c r="K15" s="167" t="s">
        <v>315</v>
      </c>
      <c r="L15" s="167">
        <v>67.63</v>
      </c>
      <c r="M15" s="167">
        <v>1487707200</v>
      </c>
      <c r="N15" s="167">
        <v>3.03</v>
      </c>
      <c r="O15" s="167">
        <v>275</v>
      </c>
      <c r="P15" s="167">
        <v>10.81</v>
      </c>
      <c r="Q15"/>
      <c r="R15"/>
    </row>
    <row r="16" spans="1:18" x14ac:dyDescent="0.25">
      <c r="A16" s="167">
        <v>68.680000000000007</v>
      </c>
      <c r="B16" s="167">
        <v>0.22</v>
      </c>
      <c r="C16" s="167">
        <v>15.25</v>
      </c>
      <c r="D16" s="8">
        <v>42787.583333333336</v>
      </c>
      <c r="E16" s="167">
        <v>0.13</v>
      </c>
      <c r="F16" s="167" t="s">
        <v>316</v>
      </c>
      <c r="G16" s="167">
        <v>265.83999999999997</v>
      </c>
      <c r="H16" s="167">
        <v>0</v>
      </c>
      <c r="I16" s="167">
        <v>0</v>
      </c>
      <c r="J16" s="167">
        <v>1012.59</v>
      </c>
      <c r="K16" s="167" t="s">
        <v>315</v>
      </c>
      <c r="L16" s="167">
        <v>68.680000000000007</v>
      </c>
      <c r="M16" s="167">
        <v>1487710800</v>
      </c>
      <c r="N16" s="167">
        <v>3.03</v>
      </c>
      <c r="O16" s="167">
        <v>278</v>
      </c>
      <c r="P16" s="167">
        <v>8.0500000000000007</v>
      </c>
      <c r="Q16"/>
      <c r="R16"/>
    </row>
    <row r="17" spans="1:18" x14ac:dyDescent="0.25">
      <c r="A17" s="167">
        <v>68.47</v>
      </c>
      <c r="B17" s="167">
        <v>0.28000000000000003</v>
      </c>
      <c r="C17" s="167">
        <v>15.08</v>
      </c>
      <c r="D17" s="8">
        <v>42787.625</v>
      </c>
      <c r="E17" s="167">
        <v>0.13</v>
      </c>
      <c r="F17" s="167" t="s">
        <v>686</v>
      </c>
      <c r="G17" s="167">
        <v>269.23</v>
      </c>
      <c r="H17" s="167">
        <v>0</v>
      </c>
      <c r="I17" s="167">
        <v>0</v>
      </c>
      <c r="J17" s="167">
        <v>1011.98</v>
      </c>
      <c r="K17" s="167" t="s">
        <v>249</v>
      </c>
      <c r="L17" s="167">
        <v>68.47</v>
      </c>
      <c r="M17" s="167">
        <v>1487714400</v>
      </c>
      <c r="N17" s="167">
        <v>10</v>
      </c>
      <c r="O17" s="167">
        <v>249</v>
      </c>
      <c r="P17" s="167">
        <v>8.56</v>
      </c>
      <c r="Q17"/>
      <c r="R17"/>
    </row>
    <row r="18" spans="1:18" x14ac:dyDescent="0.25">
      <c r="A18" s="167">
        <v>66.25</v>
      </c>
      <c r="B18" s="167">
        <v>0.31</v>
      </c>
      <c r="C18" s="167">
        <v>16</v>
      </c>
      <c r="D18" s="8">
        <v>42787.666666666664</v>
      </c>
      <c r="E18" s="167">
        <v>0.14000000000000001</v>
      </c>
      <c r="F18" s="167" t="s">
        <v>686</v>
      </c>
      <c r="G18" s="167">
        <v>273.92</v>
      </c>
      <c r="H18" s="167">
        <v>0</v>
      </c>
      <c r="I18" s="167">
        <v>0</v>
      </c>
      <c r="J18" s="167">
        <v>1011.44</v>
      </c>
      <c r="K18" s="167" t="s">
        <v>249</v>
      </c>
      <c r="L18" s="167">
        <v>66.25</v>
      </c>
      <c r="M18" s="167">
        <v>1487718000</v>
      </c>
      <c r="N18" s="167">
        <v>5.5</v>
      </c>
      <c r="O18" s="167">
        <v>258</v>
      </c>
      <c r="P18" s="167">
        <v>6.31</v>
      </c>
      <c r="Q18"/>
      <c r="R18"/>
    </row>
    <row r="19" spans="1:18" x14ac:dyDescent="0.25">
      <c r="A19" s="167">
        <v>63.92</v>
      </c>
      <c r="B19" s="167">
        <v>0.2</v>
      </c>
      <c r="C19" s="167">
        <v>15.62</v>
      </c>
      <c r="D19" s="8">
        <v>42787.708333333336</v>
      </c>
      <c r="E19" s="167">
        <v>0.15</v>
      </c>
      <c r="F19" s="167" t="s">
        <v>316</v>
      </c>
      <c r="G19" s="167">
        <v>278.43</v>
      </c>
      <c r="H19" s="167">
        <v>0</v>
      </c>
      <c r="I19" s="167">
        <v>0</v>
      </c>
      <c r="J19" s="167">
        <v>1011.22</v>
      </c>
      <c r="K19" s="167" t="s">
        <v>315</v>
      </c>
      <c r="L19" s="167">
        <v>63.92</v>
      </c>
      <c r="M19" s="167">
        <v>1487721600</v>
      </c>
      <c r="N19" s="167">
        <v>5.91</v>
      </c>
      <c r="O19" s="167">
        <v>233</v>
      </c>
      <c r="P19" s="167">
        <v>4.34</v>
      </c>
      <c r="Q19"/>
      <c r="R19"/>
    </row>
    <row r="20" spans="1:18" x14ac:dyDescent="0.25">
      <c r="A20" s="167">
        <v>62.95</v>
      </c>
      <c r="B20" s="167">
        <v>0.18</v>
      </c>
      <c r="C20" s="167">
        <v>12.41</v>
      </c>
      <c r="D20" s="8">
        <v>42787.75</v>
      </c>
      <c r="E20" s="167">
        <v>0.14000000000000001</v>
      </c>
      <c r="F20" s="167" t="s">
        <v>410</v>
      </c>
      <c r="G20" s="167">
        <v>282.36</v>
      </c>
      <c r="H20" s="167">
        <v>0</v>
      </c>
      <c r="I20" s="167">
        <v>0</v>
      </c>
      <c r="J20" s="167">
        <v>1011.29</v>
      </c>
      <c r="K20" s="167" t="s">
        <v>315</v>
      </c>
      <c r="L20" s="167">
        <v>62.95</v>
      </c>
      <c r="M20" s="167">
        <v>1487725200</v>
      </c>
      <c r="N20" s="167">
        <v>6.66</v>
      </c>
      <c r="O20" s="167">
        <v>250</v>
      </c>
      <c r="P20" s="167">
        <v>7.11</v>
      </c>
      <c r="Q20"/>
      <c r="R20"/>
    </row>
    <row r="21" spans="1:18" x14ac:dyDescent="0.25">
      <c r="A21" s="167">
        <v>59.5</v>
      </c>
      <c r="B21" s="167">
        <v>0.21</v>
      </c>
      <c r="C21" s="167">
        <v>11.97</v>
      </c>
      <c r="D21" s="8">
        <v>42787.791666666664</v>
      </c>
      <c r="E21" s="167">
        <v>0.15</v>
      </c>
      <c r="F21" s="167" t="s">
        <v>410</v>
      </c>
      <c r="G21" s="167">
        <v>286.11</v>
      </c>
      <c r="H21" s="167">
        <v>0</v>
      </c>
      <c r="I21" s="167">
        <v>0</v>
      </c>
      <c r="J21" s="167">
        <v>1012.13</v>
      </c>
      <c r="K21" s="167" t="s">
        <v>315</v>
      </c>
      <c r="L21" s="167">
        <v>59.5</v>
      </c>
      <c r="M21" s="167">
        <v>1487728800</v>
      </c>
      <c r="N21" s="167">
        <v>7.56</v>
      </c>
      <c r="O21" s="167">
        <v>230</v>
      </c>
      <c r="P21" s="167">
        <v>7.47</v>
      </c>
      <c r="Q21"/>
      <c r="R21"/>
    </row>
    <row r="22" spans="1:18" x14ac:dyDescent="0.25">
      <c r="A22" s="167">
        <v>57.8</v>
      </c>
      <c r="B22" s="167">
        <v>0.19</v>
      </c>
      <c r="C22" s="167">
        <v>12.54</v>
      </c>
      <c r="D22" s="8">
        <v>42787.833333333336</v>
      </c>
      <c r="E22" s="167">
        <v>0.16</v>
      </c>
      <c r="F22" s="167" t="s">
        <v>410</v>
      </c>
      <c r="G22" s="167">
        <v>289.39</v>
      </c>
      <c r="H22" s="167">
        <v>0</v>
      </c>
      <c r="I22" s="167">
        <v>0</v>
      </c>
      <c r="J22" s="167">
        <v>1012.6</v>
      </c>
      <c r="K22" s="167" t="s">
        <v>315</v>
      </c>
      <c r="L22" s="167">
        <v>57.8</v>
      </c>
      <c r="M22" s="167">
        <v>1487732400</v>
      </c>
      <c r="N22" s="167">
        <v>6.36</v>
      </c>
      <c r="O22" s="167">
        <v>204</v>
      </c>
      <c r="P22" s="167">
        <v>6.17</v>
      </c>
      <c r="Q22"/>
      <c r="R22"/>
    </row>
    <row r="23" spans="1:18" x14ac:dyDescent="0.25">
      <c r="A23" s="167">
        <v>56.22</v>
      </c>
      <c r="B23" s="167">
        <v>0.21</v>
      </c>
      <c r="C23" s="167">
        <v>14.5</v>
      </c>
      <c r="D23" s="8">
        <v>42787.875</v>
      </c>
      <c r="E23" s="167">
        <v>0.19</v>
      </c>
      <c r="F23" s="167" t="s">
        <v>410</v>
      </c>
      <c r="G23" s="167">
        <v>292</v>
      </c>
      <c r="H23" s="167">
        <v>0</v>
      </c>
      <c r="I23" s="167">
        <v>0</v>
      </c>
      <c r="J23" s="167">
        <v>1011.7</v>
      </c>
      <c r="K23" s="167" t="s">
        <v>315</v>
      </c>
      <c r="L23" s="167">
        <v>56.22</v>
      </c>
      <c r="M23" s="167">
        <v>1487736000</v>
      </c>
      <c r="N23" s="167">
        <v>5.46</v>
      </c>
      <c r="O23" s="167">
        <v>211</v>
      </c>
      <c r="P23" s="167">
        <v>7.37</v>
      </c>
      <c r="Q23"/>
      <c r="R23"/>
    </row>
    <row r="24" spans="1:18" x14ac:dyDescent="0.25">
      <c r="A24" s="167">
        <v>55.66</v>
      </c>
      <c r="B24" s="167">
        <v>0.22</v>
      </c>
      <c r="C24" s="167">
        <v>14.69</v>
      </c>
      <c r="D24" s="8">
        <v>42787.916666666664</v>
      </c>
      <c r="E24" s="167">
        <v>0.2</v>
      </c>
      <c r="F24" s="167" t="s">
        <v>410</v>
      </c>
      <c r="G24" s="167">
        <v>294.16000000000003</v>
      </c>
      <c r="H24" s="167">
        <v>0</v>
      </c>
      <c r="I24" s="167">
        <v>0</v>
      </c>
      <c r="J24" s="167">
        <v>1010.18</v>
      </c>
      <c r="K24" s="167" t="s">
        <v>315</v>
      </c>
      <c r="L24" s="167">
        <v>55.66</v>
      </c>
      <c r="M24" s="167">
        <v>1487739600</v>
      </c>
      <c r="N24" s="167">
        <v>5.36</v>
      </c>
      <c r="O24" s="167">
        <v>216</v>
      </c>
      <c r="P24" s="167">
        <v>7.61</v>
      </c>
      <c r="Q24"/>
      <c r="R24"/>
    </row>
    <row r="25" spans="1:18" x14ac:dyDescent="0.25">
      <c r="A25" s="167">
        <v>55.49</v>
      </c>
      <c r="B25" s="167">
        <v>0.2</v>
      </c>
      <c r="C25" s="167">
        <v>16.329999999999998</v>
      </c>
      <c r="D25" s="8">
        <v>42787.958333333336</v>
      </c>
      <c r="E25" s="167">
        <v>0.21</v>
      </c>
      <c r="F25" s="167" t="s">
        <v>410</v>
      </c>
      <c r="G25" s="167">
        <v>296.20999999999998</v>
      </c>
      <c r="H25" s="167">
        <v>0</v>
      </c>
      <c r="I25" s="167">
        <v>0</v>
      </c>
      <c r="J25" s="167">
        <v>1009.13</v>
      </c>
      <c r="K25" s="167" t="s">
        <v>315</v>
      </c>
      <c r="L25" s="167">
        <v>55.49</v>
      </c>
      <c r="M25" s="167">
        <v>1487743200</v>
      </c>
      <c r="N25" s="167">
        <v>5.58</v>
      </c>
      <c r="O25" s="167">
        <v>224</v>
      </c>
      <c r="P25" s="167">
        <v>7.65</v>
      </c>
      <c r="Q25"/>
      <c r="R25"/>
    </row>
    <row r="26" spans="1:18" x14ac:dyDescent="0.25">
      <c r="A26" s="167">
        <v>54.3</v>
      </c>
      <c r="B26" s="167">
        <v>0.32</v>
      </c>
      <c r="C26" s="167">
        <v>17.559999999999999</v>
      </c>
      <c r="D26" s="8">
        <v>42788</v>
      </c>
      <c r="E26" s="167">
        <v>0.23</v>
      </c>
      <c r="F26" s="167" t="s">
        <v>248</v>
      </c>
      <c r="G26" s="167">
        <v>298.2</v>
      </c>
      <c r="H26" s="167">
        <v>0</v>
      </c>
      <c r="I26" s="167">
        <v>0</v>
      </c>
      <c r="J26" s="167">
        <v>1009.61</v>
      </c>
      <c r="K26" s="167" t="s">
        <v>249</v>
      </c>
      <c r="L26" s="167">
        <v>54.3</v>
      </c>
      <c r="M26" s="167">
        <v>1487746800</v>
      </c>
      <c r="N26" s="167">
        <v>5.74</v>
      </c>
      <c r="O26" s="167">
        <v>220</v>
      </c>
      <c r="P26" s="167">
        <v>6.85</v>
      </c>
      <c r="Q26"/>
      <c r="R26"/>
    </row>
    <row r="27" spans="1:18" x14ac:dyDescent="0.25">
      <c r="A27" s="167">
        <v>52.15</v>
      </c>
      <c r="B27" s="167">
        <v>0.3</v>
      </c>
      <c r="C27" s="167">
        <v>17.350000000000001</v>
      </c>
      <c r="D27" s="8">
        <v>42788.041666666664</v>
      </c>
      <c r="E27" s="167">
        <v>0.25</v>
      </c>
      <c r="F27" s="167" t="s">
        <v>248</v>
      </c>
      <c r="G27" s="167">
        <v>300.19</v>
      </c>
      <c r="H27" s="167">
        <v>0</v>
      </c>
      <c r="I27" s="167">
        <v>0</v>
      </c>
      <c r="J27" s="167">
        <v>1009.94</v>
      </c>
      <c r="K27" s="167" t="s">
        <v>249</v>
      </c>
      <c r="L27" s="167">
        <v>52.15</v>
      </c>
      <c r="M27" s="167">
        <v>1487750400</v>
      </c>
      <c r="N27" s="167">
        <v>5.58</v>
      </c>
      <c r="O27" s="167">
        <v>219</v>
      </c>
      <c r="P27" s="167">
        <v>5.8</v>
      </c>
      <c r="Q27"/>
      <c r="R27"/>
    </row>
    <row r="28" spans="1:18" x14ac:dyDescent="0.25">
      <c r="A28" s="167">
        <v>50.68</v>
      </c>
      <c r="B28" s="167">
        <v>0.23</v>
      </c>
      <c r="C28" s="167">
        <v>19.09</v>
      </c>
      <c r="D28" s="8">
        <v>42788.083333333336</v>
      </c>
      <c r="E28" s="167">
        <v>0.28000000000000003</v>
      </c>
      <c r="F28" s="167" t="s">
        <v>410</v>
      </c>
      <c r="G28" s="167">
        <v>302.18</v>
      </c>
      <c r="H28" s="167">
        <v>0</v>
      </c>
      <c r="I28" s="167">
        <v>0</v>
      </c>
      <c r="J28" s="167">
        <v>1010.2</v>
      </c>
      <c r="K28" s="167" t="s">
        <v>315</v>
      </c>
      <c r="L28" s="167">
        <v>50.68</v>
      </c>
      <c r="M28" s="167">
        <v>1487754000</v>
      </c>
      <c r="N28" s="167">
        <v>3.91</v>
      </c>
      <c r="O28" s="167">
        <v>207</v>
      </c>
      <c r="P28" s="167">
        <v>4.83</v>
      </c>
      <c r="Q28"/>
      <c r="R28"/>
    </row>
    <row r="29" spans="1:18" x14ac:dyDescent="0.25">
      <c r="A29" s="167">
        <v>41.65</v>
      </c>
      <c r="B29" s="167">
        <v>0.19</v>
      </c>
      <c r="C29" s="167">
        <v>16.809999999999999</v>
      </c>
      <c r="D29" s="8">
        <v>42788.125</v>
      </c>
      <c r="E29" s="167">
        <v>0.32</v>
      </c>
      <c r="F29" s="167" t="s">
        <v>410</v>
      </c>
      <c r="G29" s="167">
        <v>304.14</v>
      </c>
      <c r="H29" s="167">
        <v>0</v>
      </c>
      <c r="I29" s="167">
        <v>0</v>
      </c>
      <c r="J29" s="167">
        <v>1010.04</v>
      </c>
      <c r="K29" s="167" t="s">
        <v>315</v>
      </c>
      <c r="L29" s="167">
        <v>45.17</v>
      </c>
      <c r="M29" s="167">
        <v>1487757600</v>
      </c>
      <c r="N29" s="167">
        <v>6.53</v>
      </c>
      <c r="O29" s="167">
        <v>230</v>
      </c>
      <c r="P29" s="167">
        <v>6.48</v>
      </c>
      <c r="Q29"/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190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41"/>
  <sheetViews>
    <sheetView workbookViewId="0">
      <selection activeCell="M20" sqref="M20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52" bestFit="1" customWidth="1"/>
    <col min="14" max="17" width="9.140625" style="152"/>
  </cols>
  <sheetData>
    <row r="1" spans="1:16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</row>
    <row r="2" spans="1:16" ht="15.75" thickBot="1" x14ac:dyDescent="0.3">
      <c r="A2" s="12">
        <v>42787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</row>
    <row r="3" spans="1:16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52">
        <f t="shared" ref="M3:M14" si="0">AVERAGE(K3:L3)</f>
        <v>2.7201</v>
      </c>
      <c r="O3" s="152" t="s">
        <v>103</v>
      </c>
      <c r="P3" s="152">
        <f>AVERAGE(1.0714,1.1016)</f>
        <v>1.0865</v>
      </c>
    </row>
    <row r="4" spans="1:16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52">
        <f t="shared" si="0"/>
        <v>3.09</v>
      </c>
    </row>
    <row r="5" spans="1:16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52">
        <f t="shared" si="0"/>
        <v>3.3196500000000002</v>
      </c>
    </row>
    <row r="6" spans="1:16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52">
        <f t="shared" si="0"/>
        <v>4.2869999999999999</v>
      </c>
    </row>
    <row r="7" spans="1:16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52">
        <f t="shared" si="0"/>
        <v>4.7956500000000002</v>
      </c>
    </row>
    <row r="8" spans="1:16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52">
        <f t="shared" si="0"/>
        <v>5.3216000000000001</v>
      </c>
    </row>
    <row r="9" spans="1:16" x14ac:dyDescent="0.25">
      <c r="C9" s="64"/>
      <c r="J9" s="160" t="s">
        <v>74</v>
      </c>
      <c r="K9" s="161">
        <v>5.8117000000000001</v>
      </c>
      <c r="L9" s="161">
        <v>5.8300999999999998</v>
      </c>
      <c r="M9" s="152">
        <f t="shared" si="0"/>
        <v>5.8209</v>
      </c>
    </row>
    <row r="10" spans="1:16" x14ac:dyDescent="0.25">
      <c r="C10" s="64"/>
      <c r="J10" s="160" t="s">
        <v>75</v>
      </c>
      <c r="K10" s="161">
        <v>5.8783000000000003</v>
      </c>
      <c r="L10" s="161">
        <v>5.8903999999999996</v>
      </c>
      <c r="M10" s="152">
        <f t="shared" si="0"/>
        <v>5.8843499999999995</v>
      </c>
    </row>
    <row r="11" spans="1:16" x14ac:dyDescent="0.25">
      <c r="C11" s="64"/>
      <c r="J11" s="160" t="s">
        <v>76</v>
      </c>
      <c r="K11" s="161">
        <v>6.3068</v>
      </c>
      <c r="L11" s="161">
        <v>6.3308999999999997</v>
      </c>
      <c r="M11" s="152">
        <f t="shared" si="0"/>
        <v>6.3188499999999994</v>
      </c>
    </row>
    <row r="12" spans="1:16" x14ac:dyDescent="0.25">
      <c r="C12" s="64"/>
      <c r="J12" s="160" t="s">
        <v>77</v>
      </c>
      <c r="K12" s="161">
        <v>7.8349000000000002</v>
      </c>
      <c r="L12" s="161">
        <v>7.8468999999999998</v>
      </c>
      <c r="M12" s="152">
        <f t="shared" si="0"/>
        <v>7.8408999999999995</v>
      </c>
    </row>
    <row r="13" spans="1:16" x14ac:dyDescent="0.25">
      <c r="C13" s="64"/>
      <c r="J13" s="160" t="s">
        <v>78</v>
      </c>
      <c r="K13" s="161">
        <v>10.373799999999999</v>
      </c>
      <c r="L13" s="161">
        <v>10.38</v>
      </c>
      <c r="M13" s="152">
        <f t="shared" si="0"/>
        <v>10.376899999999999</v>
      </c>
    </row>
    <row r="14" spans="1:16" x14ac:dyDescent="0.25">
      <c r="C14" s="64"/>
      <c r="J14" s="160" t="s">
        <v>79</v>
      </c>
      <c r="K14" s="161">
        <v>10.8954</v>
      </c>
      <c r="L14" s="161">
        <v>10.913500000000001</v>
      </c>
      <c r="M14" s="152">
        <f t="shared" si="0"/>
        <v>10.904450000000001</v>
      </c>
    </row>
    <row r="15" spans="1:16" x14ac:dyDescent="0.25">
      <c r="C15" s="64"/>
      <c r="J15" s="160"/>
      <c r="K15" s="161"/>
      <c r="L15" s="161"/>
    </row>
    <row r="16" spans="1:16" x14ac:dyDescent="0.25">
      <c r="C16" s="64"/>
      <c r="J16" s="160"/>
      <c r="K16" s="161"/>
      <c r="L16" s="161"/>
    </row>
    <row r="17" spans="3:13" x14ac:dyDescent="0.25">
      <c r="C17" s="149" t="s">
        <v>191</v>
      </c>
      <c r="J17" s="160"/>
      <c r="K17" s="161"/>
      <c r="L17" s="161"/>
    </row>
    <row r="18" spans="3:13" x14ac:dyDescent="0.25">
      <c r="C18" t="s">
        <v>879</v>
      </c>
      <c r="J18" s="160" t="s">
        <v>85</v>
      </c>
      <c r="K18" s="161"/>
      <c r="L18" s="161"/>
      <c r="M18" s="152" t="str">
        <f>"""C:\Program Files (x86)\AstroGrep\AstroGrep.exe"""</f>
        <v>"C:\Program Files (x86)\AstroGrep\AstroGrep.exe"</v>
      </c>
    </row>
    <row r="19" spans="3:13" x14ac:dyDescent="0.25">
      <c r="C19" t="s">
        <v>880</v>
      </c>
      <c r="J19" s="160" t="s">
        <v>86</v>
      </c>
      <c r="K19" s="161"/>
      <c r="L19" s="161"/>
      <c r="M19" s="152" t="s">
        <v>112</v>
      </c>
    </row>
    <row r="20" spans="3:13" x14ac:dyDescent="0.25">
      <c r="C20" t="s">
        <v>881</v>
      </c>
      <c r="J20" s="152" t="s">
        <v>87</v>
      </c>
      <c r="M20" s="152" t="s">
        <v>451</v>
      </c>
    </row>
    <row r="21" spans="3:13" x14ac:dyDescent="0.25">
      <c r="C21" t="s">
        <v>882</v>
      </c>
      <c r="J21" s="152" t="s">
        <v>90</v>
      </c>
      <c r="K21" s="152" t="s">
        <v>91</v>
      </c>
      <c r="M21" s="152" t="s">
        <v>178</v>
      </c>
    </row>
    <row r="22" spans="3:13" x14ac:dyDescent="0.25">
      <c r="C22" t="s">
        <v>883</v>
      </c>
      <c r="J22" s="152" t="s">
        <v>92</v>
      </c>
      <c r="K22" s="152" t="s">
        <v>93</v>
      </c>
      <c r="M22" s="152" t="s">
        <v>111</v>
      </c>
    </row>
    <row r="23" spans="3:13" x14ac:dyDescent="0.25">
      <c r="C23" t="s">
        <v>884</v>
      </c>
      <c r="J23" s="162" t="s">
        <v>95</v>
      </c>
      <c r="M23" s="152" t="str">
        <f>"-07"</f>
        <v>-07</v>
      </c>
    </row>
    <row r="24" spans="3:13" x14ac:dyDescent="0.25">
      <c r="C24" t="s">
        <v>885</v>
      </c>
      <c r="J24" s="152" t="s">
        <v>108</v>
      </c>
      <c r="M24" s="152" t="s">
        <v>110</v>
      </c>
    </row>
    <row r="25" spans="3:13" x14ac:dyDescent="0.25">
      <c r="C25" t="s">
        <v>886</v>
      </c>
      <c r="J25" s="152" t="s">
        <v>150</v>
      </c>
      <c r="M25" s="152" t="b">
        <v>1</v>
      </c>
    </row>
    <row r="26" spans="3:13" x14ac:dyDescent="0.25">
      <c r="C26" t="s">
        <v>887</v>
      </c>
      <c r="J26" s="152" t="s">
        <v>151</v>
      </c>
      <c r="M26" s="152" t="str">
        <f>"C:\Users\stu\Documents\GitHub\eaglep3-reporting\EC\"&amp;TEXT(A2,"yyyy-mm-dd")&amp;"-refined-times.txt"</f>
        <v>C:\Users\stu\Documents\GitHub\eaglep3-reporting\EC\2017-02-21-refined-times.txt</v>
      </c>
    </row>
    <row r="27" spans="3:13" x14ac:dyDescent="0.25">
      <c r="C27" t="s">
        <v>888</v>
      </c>
      <c r="J27" s="152" t="s">
        <v>180</v>
      </c>
      <c r="M27" s="152" t="str">
        <f>"C:\Users\stu\Documents\GitHub\eaglep3-reporting\EC\"&amp;TEXT(A2,"YYYY-MM-DD")&amp;"-Enforcements.txt"</f>
        <v>C:\Users\stu\Documents\GitHub\eaglep3-reporting\EC\2017-02-21-Enforcements.txt</v>
      </c>
    </row>
    <row r="28" spans="3:13" x14ac:dyDescent="0.25">
      <c r="C28" t="s">
        <v>889</v>
      </c>
      <c r="J28" s="152" t="s">
        <v>181</v>
      </c>
      <c r="M28" s="152" t="str">
        <f>"C:\Users\stu\Documents\GitHub\eaglep3-reporting\EC\"&amp;TEXT(A2,"YYYY-MM-DD")&amp;"-Runs-refined.txt"</f>
        <v>C:\Users\stu\Documents\GitHub\eaglep3-reporting\EC\2017-02-21-Runs-refined.txt</v>
      </c>
    </row>
    <row r="29" spans="3:13" x14ac:dyDescent="0.25">
      <c r="C29" t="s">
        <v>890</v>
      </c>
      <c r="J29" s="152" t="s">
        <v>182</v>
      </c>
      <c r="M29" s="152" t="str">
        <f>"C:\Users\stu\Documents\GitHub\eaglep3-reporting\EC\"&amp;TEXT(A2,"YYYY-MM-DD")&amp;"-Trips.txt"</f>
        <v>C:\Users\stu\Documents\GitHub\eaglep3-reporting\EC\2017-02-21-Trips.txt</v>
      </c>
    </row>
    <row r="30" spans="3:13" x14ac:dyDescent="0.25">
      <c r="C30" t="s">
        <v>891</v>
      </c>
      <c r="J30" s="152" t="s">
        <v>183</v>
      </c>
      <c r="M30" s="152" t="str">
        <f>"C:\Users\stu\Documents\GitHub\eaglep3-reporting\EC\"&amp;TEXT(A2,"YYYY-MM-DD")&amp;"-Weather.txt"</f>
        <v>C:\Users\stu\Documents\GitHub\eaglep3-reporting\EC\2017-02-21-Weather.txt</v>
      </c>
    </row>
    <row r="31" spans="3:13" x14ac:dyDescent="0.25">
      <c r="C31" t="s">
        <v>892</v>
      </c>
      <c r="J31" s="152" t="s">
        <v>210</v>
      </c>
      <c r="M31" s="152" t="s">
        <v>211</v>
      </c>
    </row>
    <row r="32" spans="3:13" x14ac:dyDescent="0.25">
      <c r="C32" t="s">
        <v>893</v>
      </c>
    </row>
    <row r="33" spans="3:3" x14ac:dyDescent="0.25">
      <c r="C33" t="s">
        <v>894</v>
      </c>
    </row>
    <row r="34" spans="3:3" x14ac:dyDescent="0.25">
      <c r="C34" t="s">
        <v>895</v>
      </c>
    </row>
    <row r="35" spans="3:3" x14ac:dyDescent="0.25">
      <c r="C35" t="s">
        <v>896</v>
      </c>
    </row>
    <row r="36" spans="3:3" x14ac:dyDescent="0.25">
      <c r="C36" t="s">
        <v>897</v>
      </c>
    </row>
    <row r="37" spans="3:3" x14ac:dyDescent="0.25">
      <c r="C37" t="s">
        <v>898</v>
      </c>
    </row>
    <row r="38" spans="3:3" x14ac:dyDescent="0.25">
      <c r="C38" t="s">
        <v>899</v>
      </c>
    </row>
    <row r="39" spans="3:3" x14ac:dyDescent="0.25">
      <c r="C39" t="s">
        <v>900</v>
      </c>
    </row>
    <row r="40" spans="3:3" x14ac:dyDescent="0.25">
      <c r="C40" t="s">
        <v>901</v>
      </c>
    </row>
    <row r="41" spans="3:3" x14ac:dyDescent="0.25">
      <c r="C41" t="s">
        <v>902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46" workbookViewId="0">
      <selection sqref="A1:A119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907</v>
      </c>
      <c r="B1" t="str">
        <f t="shared" ref="B1:B30" si="0">MID(A1,6,23)</f>
        <v>2017/02/21 11:40:34.315</v>
      </c>
      <c r="C1" t="e">
        <f>ABS(B1-#REF!)</f>
        <v>#REF!</v>
      </c>
    </row>
    <row r="2" spans="1:3" x14ac:dyDescent="0.25">
      <c r="A2" t="s">
        <v>908</v>
      </c>
      <c r="B2" s="20" t="str">
        <f t="shared" si="0"/>
        <v>2017/02/21 11:40:34.975</v>
      </c>
      <c r="C2">
        <f>ABS(B2-B1)</f>
        <v>7.6388896559365094E-6</v>
      </c>
    </row>
    <row r="3" spans="1:3" x14ac:dyDescent="0.25">
      <c r="A3" t="s">
        <v>909</v>
      </c>
      <c r="B3" s="20" t="str">
        <f t="shared" si="0"/>
        <v>2017/02/21 11:40:35.173</v>
      </c>
      <c r="C3" s="20">
        <f t="shared" ref="C3:C30" si="1">ABS(B3-B2)</f>
        <v>2.2916647139936686E-6</v>
      </c>
    </row>
    <row r="4" spans="1:3" x14ac:dyDescent="0.25">
      <c r="A4" t="s">
        <v>910</v>
      </c>
      <c r="B4" s="20" t="str">
        <f t="shared" si="0"/>
        <v>2017/02/21 11:57:44.021</v>
      </c>
      <c r="C4" s="20">
        <f t="shared" si="1"/>
        <v>1.1907962965779006E-2</v>
      </c>
    </row>
    <row r="5" spans="1:3" x14ac:dyDescent="0.25">
      <c r="A5" t="s">
        <v>911</v>
      </c>
      <c r="B5" s="20" t="str">
        <f t="shared" si="0"/>
        <v>2017/02/21 11:57:44.036</v>
      </c>
      <c r="C5" s="20">
        <f t="shared" si="1"/>
        <v>1.7361162463203073E-7</v>
      </c>
    </row>
    <row r="6" spans="1:3" x14ac:dyDescent="0.25">
      <c r="A6" t="s">
        <v>912</v>
      </c>
      <c r="B6" s="20" t="str">
        <f t="shared" si="0"/>
        <v>2017/02/21 11:57:44.038</v>
      </c>
      <c r="C6" s="20">
        <f t="shared" si="1"/>
        <v>2.3144821170717478E-8</v>
      </c>
    </row>
    <row r="7" spans="1:3" x14ac:dyDescent="0.25">
      <c r="A7" t="s">
        <v>913</v>
      </c>
      <c r="B7" s="20" t="str">
        <f t="shared" si="0"/>
        <v>2017/02/21 12:20:24.044</v>
      </c>
      <c r="C7" s="20">
        <f t="shared" si="1"/>
        <v>1.5740810187708121E-2</v>
      </c>
    </row>
    <row r="8" spans="1:3" x14ac:dyDescent="0.25">
      <c r="A8" t="s">
        <v>914</v>
      </c>
      <c r="B8" s="20" t="str">
        <f t="shared" si="0"/>
        <v>2017/02/21 13:21:26.828</v>
      </c>
      <c r="C8" s="20">
        <f t="shared" si="1"/>
        <v>4.2393333329528105E-2</v>
      </c>
    </row>
    <row r="9" spans="1:3" x14ac:dyDescent="0.25">
      <c r="A9" t="s">
        <v>915</v>
      </c>
      <c r="B9" s="20" t="str">
        <f t="shared" si="0"/>
        <v>2017/02/21 13:43:07.023</v>
      </c>
      <c r="C9" s="20">
        <f t="shared" si="1"/>
        <v>1.5048553243104834E-2</v>
      </c>
    </row>
    <row r="10" spans="1:3" x14ac:dyDescent="0.25">
      <c r="A10" t="s">
        <v>916</v>
      </c>
      <c r="B10" s="20" t="str">
        <f t="shared" si="0"/>
        <v>2017/02/21 13:43:07.038</v>
      </c>
      <c r="C10" s="20">
        <f t="shared" si="1"/>
        <v>1.7361162463203073E-7</v>
      </c>
    </row>
    <row r="11" spans="1:3" x14ac:dyDescent="0.25">
      <c r="A11" t="s">
        <v>917</v>
      </c>
      <c r="B11" s="20" t="str">
        <f t="shared" si="0"/>
        <v>2017/02/21 13:43:07.039</v>
      </c>
      <c r="C11" s="20">
        <f t="shared" si="1"/>
        <v>1.1576048564165831E-8</v>
      </c>
    </row>
    <row r="12" spans="1:3" x14ac:dyDescent="0.25">
      <c r="A12" t="s">
        <v>918</v>
      </c>
      <c r="B12" s="20" t="str">
        <f t="shared" si="0"/>
        <v>2017/02/21 13:51:26.499</v>
      </c>
      <c r="C12" s="20">
        <f t="shared" si="1"/>
        <v>5.7807870325632393E-3</v>
      </c>
    </row>
    <row r="13" spans="1:3" x14ac:dyDescent="0.25">
      <c r="A13" t="s">
        <v>919</v>
      </c>
      <c r="B13" s="20" t="str">
        <f t="shared" si="0"/>
        <v>2017/02/21 13:51:26.762</v>
      </c>
      <c r="C13" s="20">
        <f t="shared" si="1"/>
        <v>3.0439841793850064E-6</v>
      </c>
    </row>
    <row r="14" spans="1:3" x14ac:dyDescent="0.25">
      <c r="A14" t="s">
        <v>920</v>
      </c>
      <c r="B14" s="20" t="str">
        <f t="shared" si="0"/>
        <v>2017/02/21 13:51:26.829</v>
      </c>
      <c r="C14" s="20">
        <f t="shared" si="1"/>
        <v>7.7546428656205535E-7</v>
      </c>
    </row>
    <row r="15" spans="1:3" x14ac:dyDescent="0.25">
      <c r="A15" t="s">
        <v>921</v>
      </c>
      <c r="B15" s="20" t="str">
        <f t="shared" si="0"/>
        <v>2017/02/21 13:55:22.729</v>
      </c>
      <c r="C15" s="20">
        <f t="shared" si="1"/>
        <v>2.7303240713081323E-3</v>
      </c>
    </row>
    <row r="16" spans="1:3" x14ac:dyDescent="0.25">
      <c r="A16" t="s">
        <v>922</v>
      </c>
      <c r="B16" s="20" t="str">
        <f t="shared" si="0"/>
        <v>2017/02/21 13:56:11.009</v>
      </c>
      <c r="C16" s="20">
        <f t="shared" si="1"/>
        <v>5.5879629508126527E-4</v>
      </c>
    </row>
    <row r="17" spans="1:3" x14ac:dyDescent="0.25">
      <c r="A17" t="s">
        <v>923</v>
      </c>
      <c r="B17" s="20" t="str">
        <f t="shared" si="0"/>
        <v>2017/02/21 13:56:11.868</v>
      </c>
      <c r="C17" s="20">
        <f t="shared" si="1"/>
        <v>9.9421304184943438E-6</v>
      </c>
    </row>
    <row r="18" spans="1:3" x14ac:dyDescent="0.25">
      <c r="A18" t="s">
        <v>924</v>
      </c>
      <c r="B18" s="20" t="str">
        <f t="shared" si="0"/>
        <v>2017/02/21 13:56:12.489</v>
      </c>
      <c r="C18" s="20">
        <f t="shared" si="1"/>
        <v>7.187503797467798E-6</v>
      </c>
    </row>
    <row r="19" spans="1:3" x14ac:dyDescent="0.25">
      <c r="A19" t="s">
        <v>925</v>
      </c>
      <c r="B19" s="20" t="str">
        <f t="shared" si="0"/>
        <v>2017/02/21 14:42:14.245</v>
      </c>
      <c r="C19" s="20">
        <f t="shared" si="1"/>
        <v>3.1964768517354969E-2</v>
      </c>
    </row>
    <row r="20" spans="1:3" x14ac:dyDescent="0.25">
      <c r="A20" t="s">
        <v>926</v>
      </c>
      <c r="B20" s="20" t="str">
        <f t="shared" si="0"/>
        <v>2017/02/21 14:42:14.861</v>
      </c>
      <c r="C20" s="20">
        <f t="shared" si="1"/>
        <v>7.129630830604583E-6</v>
      </c>
    </row>
    <row r="21" spans="1:3" x14ac:dyDescent="0.25">
      <c r="A21" t="s">
        <v>927</v>
      </c>
      <c r="B21" s="20" t="str">
        <f t="shared" si="0"/>
        <v>2017/02/21 14:42:15.023</v>
      </c>
      <c r="C21" s="20">
        <f t="shared" si="1"/>
        <v>1.8749997252598405E-6</v>
      </c>
    </row>
    <row r="22" spans="1:3" x14ac:dyDescent="0.25">
      <c r="A22" t="s">
        <v>928</v>
      </c>
      <c r="B22" s="20" t="str">
        <f t="shared" si="0"/>
        <v>2017/02/21 15:19:32.374</v>
      </c>
      <c r="C22" s="20">
        <f t="shared" si="1"/>
        <v>2.5895266204315703E-2</v>
      </c>
    </row>
    <row r="23" spans="1:3" x14ac:dyDescent="0.25">
      <c r="A23" t="s">
        <v>929</v>
      </c>
      <c r="B23" s="20" t="str">
        <f t="shared" si="0"/>
        <v>2017/02/21 15:19:32.450</v>
      </c>
      <c r="C23" s="20">
        <f t="shared" si="1"/>
        <v>8.7962689576670527E-7</v>
      </c>
    </row>
    <row r="24" spans="1:3" x14ac:dyDescent="0.25">
      <c r="A24" t="s">
        <v>930</v>
      </c>
      <c r="B24" s="20" t="str">
        <f t="shared" si="0"/>
        <v>2017/02/21 15:19:33.084</v>
      </c>
      <c r="C24" s="20">
        <f t="shared" si="1"/>
        <v>7.3379633249714971E-6</v>
      </c>
    </row>
    <row r="25" spans="1:3" x14ac:dyDescent="0.25">
      <c r="A25" t="s">
        <v>931</v>
      </c>
      <c r="B25" s="20" t="str">
        <f t="shared" si="0"/>
        <v>2017/02/21 15:34:00.035</v>
      </c>
      <c r="C25" s="20">
        <f t="shared" si="1"/>
        <v>1.0034155093308073E-2</v>
      </c>
    </row>
    <row r="26" spans="1:3" x14ac:dyDescent="0.25">
      <c r="A26" t="s">
        <v>932</v>
      </c>
      <c r="B26" s="20" t="str">
        <f t="shared" si="0"/>
        <v>2017/02/21 15:34:00.262</v>
      </c>
      <c r="C26" s="20">
        <f t="shared" si="1"/>
        <v>2.6273119146935642E-6</v>
      </c>
    </row>
    <row r="27" spans="1:3" x14ac:dyDescent="0.25">
      <c r="A27" t="s">
        <v>933</v>
      </c>
      <c r="B27" s="20" t="str">
        <f t="shared" si="0"/>
        <v>2017/02/21 15:34:02.774</v>
      </c>
      <c r="C27" s="20">
        <f t="shared" si="1"/>
        <v>2.9074079066049308E-5</v>
      </c>
    </row>
    <row r="28" spans="1:3" x14ac:dyDescent="0.25">
      <c r="A28" t="s">
        <v>934</v>
      </c>
      <c r="B28" s="20" t="str">
        <f t="shared" si="0"/>
        <v>2017/02/21 15:49:09.046</v>
      </c>
      <c r="C28" s="20">
        <f t="shared" si="1"/>
        <v>1.0489259257155936E-2</v>
      </c>
    </row>
    <row r="29" spans="1:3" x14ac:dyDescent="0.25">
      <c r="A29" t="s">
        <v>935</v>
      </c>
      <c r="B29" s="20" t="str">
        <f t="shared" si="0"/>
        <v>2017/02/21 15:49:09.253</v>
      </c>
      <c r="C29" s="20">
        <f t="shared" si="1"/>
        <v>2.3958345991559327E-6</v>
      </c>
    </row>
    <row r="30" spans="1:3" x14ac:dyDescent="0.25">
      <c r="A30" t="s">
        <v>936</v>
      </c>
      <c r="B30" s="20" t="str">
        <f t="shared" si="0"/>
        <v>2017/02/21 15:49:09.676</v>
      </c>
      <c r="C30" s="20">
        <f t="shared" si="1"/>
        <v>4.8958318075165153E-6</v>
      </c>
    </row>
    <row r="31" spans="1:3" x14ac:dyDescent="0.25">
      <c r="A31" t="s">
        <v>937</v>
      </c>
      <c r="B31" s="20" t="str">
        <f t="shared" ref="B31:B32" si="2">MID(A31,6,23)</f>
        <v>2017/02/21 15:54:20.432</v>
      </c>
      <c r="C31" s="20">
        <f t="shared" ref="C31:C32" si="3">ABS(B31-B30)</f>
        <v>3.5967129661003128E-3</v>
      </c>
    </row>
    <row r="32" spans="1:3" x14ac:dyDescent="0.25">
      <c r="A32" t="s">
        <v>938</v>
      </c>
      <c r="B32" s="20" t="str">
        <f t="shared" si="2"/>
        <v>2017/02/21 15:54:20.546</v>
      </c>
      <c r="C32" s="20">
        <f t="shared" si="3"/>
        <v>1.319443981628865E-6</v>
      </c>
    </row>
    <row r="33" spans="1:3" x14ac:dyDescent="0.25">
      <c r="A33" t="s">
        <v>939</v>
      </c>
      <c r="B33" s="20" t="str">
        <f t="shared" ref="B33:B49" si="4">MID(A33,6,23)</f>
        <v>2017/02/21 15:54:20.730</v>
      </c>
      <c r="C33" s="20">
        <f t="shared" ref="C33:C49" si="5">ABS(B33-B32)</f>
        <v>2.1296291379258037E-6</v>
      </c>
    </row>
    <row r="34" spans="1:3" x14ac:dyDescent="0.25">
      <c r="A34" t="s">
        <v>940</v>
      </c>
      <c r="B34" s="20" t="str">
        <f t="shared" si="4"/>
        <v>2017/02/21 16:54:24.728</v>
      </c>
      <c r="C34" s="20">
        <f t="shared" si="5"/>
        <v>4.1712939811986871E-2</v>
      </c>
    </row>
    <row r="35" spans="1:3" x14ac:dyDescent="0.25">
      <c r="A35" t="s">
        <v>941</v>
      </c>
      <c r="B35" s="20" t="str">
        <f t="shared" si="4"/>
        <v>2017/02/21 16:54:25.440</v>
      </c>
      <c r="C35" s="20">
        <f t="shared" si="5"/>
        <v>8.240742317866534E-6</v>
      </c>
    </row>
    <row r="36" spans="1:3" x14ac:dyDescent="0.25">
      <c r="A36" t="s">
        <v>942</v>
      </c>
      <c r="B36" s="20" t="str">
        <f t="shared" si="4"/>
        <v>2017/02/21 16:55:08.542</v>
      </c>
      <c r="C36" s="20">
        <f t="shared" si="5"/>
        <v>4.9886573833646253E-4</v>
      </c>
    </row>
    <row r="37" spans="1:3" x14ac:dyDescent="0.25">
      <c r="A37" t="s">
        <v>943</v>
      </c>
      <c r="B37" s="20" t="str">
        <f t="shared" si="4"/>
        <v>2017/02/21 16:55:08.730</v>
      </c>
      <c r="C37" s="20">
        <f t="shared" si="5"/>
        <v>2.1759260562248528E-6</v>
      </c>
    </row>
    <row r="38" spans="1:3" x14ac:dyDescent="0.25">
      <c r="A38" t="s">
        <v>944</v>
      </c>
      <c r="B38" s="20" t="str">
        <f t="shared" si="4"/>
        <v>2017/02/21 16:55:09.436</v>
      </c>
      <c r="C38" s="20">
        <f t="shared" si="5"/>
        <v>8.1713005783967674E-6</v>
      </c>
    </row>
    <row r="39" spans="1:3" x14ac:dyDescent="0.25">
      <c r="A39" t="s">
        <v>945</v>
      </c>
      <c r="B39" s="20" t="str">
        <f t="shared" si="4"/>
        <v>2017/02/21 16:55:39.543</v>
      </c>
      <c r="C39" s="20">
        <f t="shared" si="5"/>
        <v>3.4846064227167517E-4</v>
      </c>
    </row>
    <row r="40" spans="1:3" x14ac:dyDescent="0.25">
      <c r="A40" t="s">
        <v>946</v>
      </c>
      <c r="B40" s="20" t="str">
        <f t="shared" si="4"/>
        <v>2017/02/21 16:55:39.729</v>
      </c>
      <c r="C40" s="20">
        <f t="shared" si="5"/>
        <v>2.1527812350541353E-6</v>
      </c>
    </row>
    <row r="41" spans="1:3" x14ac:dyDescent="0.25">
      <c r="A41" t="s">
        <v>947</v>
      </c>
      <c r="B41" s="20" t="str">
        <f t="shared" si="4"/>
        <v>2017/02/21 16:55:40.440</v>
      </c>
      <c r="C41" s="20">
        <f t="shared" si="5"/>
        <v>8.2291662693023682E-6</v>
      </c>
    </row>
    <row r="42" spans="1:3" x14ac:dyDescent="0.25">
      <c r="A42" t="s">
        <v>948</v>
      </c>
      <c r="B42" s="20" t="str">
        <f t="shared" si="4"/>
        <v>2017/02/21 17:03:57.370</v>
      </c>
      <c r="C42" s="20">
        <f t="shared" si="5"/>
        <v>5.7515046282787807E-3</v>
      </c>
    </row>
    <row r="43" spans="1:3" x14ac:dyDescent="0.25">
      <c r="A43" t="s">
        <v>949</v>
      </c>
      <c r="B43" s="20" t="str">
        <f t="shared" si="4"/>
        <v>2017/02/21 17:03:57.456</v>
      </c>
      <c r="C43" s="20">
        <f t="shared" si="5"/>
        <v>9.9537282949313521E-7</v>
      </c>
    </row>
    <row r="44" spans="1:3" x14ac:dyDescent="0.25">
      <c r="A44" t="s">
        <v>950</v>
      </c>
      <c r="B44" s="20" t="str">
        <f t="shared" si="4"/>
        <v>2017/02/21 17:30:14.030</v>
      </c>
      <c r="C44" s="20">
        <f t="shared" si="5"/>
        <v>1.8247384257847443E-2</v>
      </c>
    </row>
    <row r="45" spans="1:3" x14ac:dyDescent="0.25">
      <c r="A45" t="s">
        <v>951</v>
      </c>
      <c r="B45" s="20" t="str">
        <f t="shared" si="4"/>
        <v>2017/02/21 17:30:14.034</v>
      </c>
      <c r="C45" s="20">
        <f t="shared" si="5"/>
        <v>4.6296918299049139E-8</v>
      </c>
    </row>
    <row r="46" spans="1:3" x14ac:dyDescent="0.25">
      <c r="A46" t="s">
        <v>952</v>
      </c>
      <c r="B46" s="20" t="str">
        <f t="shared" si="4"/>
        <v>2017/02/21 17:30:14.472</v>
      </c>
      <c r="C46" s="20">
        <f t="shared" si="5"/>
        <v>5.069443432148546E-6</v>
      </c>
    </row>
    <row r="47" spans="1:3" x14ac:dyDescent="0.25">
      <c r="A47" t="s">
        <v>953</v>
      </c>
      <c r="B47" s="20" t="str">
        <f t="shared" si="4"/>
        <v>2017/02/21 18:04:00.482</v>
      </c>
      <c r="C47" s="20">
        <f t="shared" si="5"/>
        <v>2.3449189815437421E-2</v>
      </c>
    </row>
    <row r="48" spans="1:3" x14ac:dyDescent="0.25">
      <c r="A48" t="s">
        <v>954</v>
      </c>
      <c r="B48" s="20" t="str">
        <f t="shared" si="4"/>
        <v>2017/02/21 18:04:00.650</v>
      </c>
      <c r="C48" s="20">
        <f t="shared" si="5"/>
        <v>1.9444414647296071E-6</v>
      </c>
    </row>
    <row r="49" spans="1:3" x14ac:dyDescent="0.25">
      <c r="A49" t="s">
        <v>955</v>
      </c>
      <c r="B49" s="20" t="str">
        <f t="shared" si="4"/>
        <v>2017/02/21 18:04:01.125</v>
      </c>
      <c r="C49" s="20">
        <f t="shared" si="5"/>
        <v>5.4976844694465399E-6</v>
      </c>
    </row>
    <row r="50" spans="1:3" x14ac:dyDescent="0.25">
      <c r="A50" t="s">
        <v>956</v>
      </c>
      <c r="B50" s="20" t="str">
        <f t="shared" ref="B50:B54" si="6">MID(A50,6,23)</f>
        <v>2017/02/21 18:51:27.631</v>
      </c>
      <c r="C50" s="20">
        <f t="shared" ref="C50:C54" si="7">ABS(B50-B49)</f>
        <v>3.2945671300694812E-2</v>
      </c>
    </row>
    <row r="51" spans="1:3" x14ac:dyDescent="0.25">
      <c r="A51" t="s">
        <v>957</v>
      </c>
      <c r="B51" s="20" t="str">
        <f t="shared" si="6"/>
        <v>2017/02/21 18:51:28.033</v>
      </c>
      <c r="C51" s="20">
        <f t="shared" si="7"/>
        <v>4.6527784434147179E-6</v>
      </c>
    </row>
    <row r="52" spans="1:3" x14ac:dyDescent="0.25">
      <c r="A52" t="s">
        <v>958</v>
      </c>
      <c r="B52" s="20" t="str">
        <f t="shared" si="6"/>
        <v>2017/02/21 18:51:28.145</v>
      </c>
      <c r="C52" s="20">
        <f t="shared" si="7"/>
        <v>1.2962918845005333E-6</v>
      </c>
    </row>
    <row r="53" spans="1:3" x14ac:dyDescent="0.25">
      <c r="A53" t="s">
        <v>959</v>
      </c>
      <c r="B53" s="20" t="str">
        <f t="shared" si="6"/>
        <v>2017/02/21 19:04:56.299</v>
      </c>
      <c r="C53" s="20">
        <f t="shared" si="7"/>
        <v>9.3536342610605061E-3</v>
      </c>
    </row>
    <row r="54" spans="1:3" x14ac:dyDescent="0.25">
      <c r="A54" t="s">
        <v>960</v>
      </c>
      <c r="B54" s="20" t="str">
        <f t="shared" si="6"/>
        <v>2017/02/21 19:24:18.006</v>
      </c>
      <c r="C54" s="20">
        <f t="shared" si="7"/>
        <v>1.3445682874589693E-2</v>
      </c>
    </row>
    <row r="55" spans="1:3" x14ac:dyDescent="0.25">
      <c r="A55" t="s">
        <v>961</v>
      </c>
      <c r="B55" s="20" t="str">
        <f t="shared" ref="B55:B62" si="8">MID(A55,6,23)</f>
        <v>2017/02/21 19:24:18.504</v>
      </c>
      <c r="C55" s="20">
        <f t="shared" ref="C55:C62" si="9">ABS(B55-B54)</f>
        <v>5.7638826547190547E-6</v>
      </c>
    </row>
    <row r="56" spans="1:3" x14ac:dyDescent="0.25">
      <c r="A56" t="s">
        <v>962</v>
      </c>
      <c r="B56" s="20" t="str">
        <f t="shared" si="8"/>
        <v>2017/02/21 19:24:19.678</v>
      </c>
      <c r="C56" s="20">
        <f t="shared" si="9"/>
        <v>1.3587967259809375E-5</v>
      </c>
    </row>
    <row r="57" spans="1:3" x14ac:dyDescent="0.25">
      <c r="A57" t="s">
        <v>963</v>
      </c>
      <c r="B57" s="20" t="str">
        <f t="shared" si="8"/>
        <v>2017/02/21 19:26:55.006</v>
      </c>
      <c r="C57" s="20">
        <f t="shared" si="9"/>
        <v>1.7977777752093971E-3</v>
      </c>
    </row>
    <row r="58" spans="1:3" x14ac:dyDescent="0.25">
      <c r="A58" t="s">
        <v>964</v>
      </c>
      <c r="B58" s="20" t="str">
        <f t="shared" si="8"/>
        <v>2017/02/21 19:26:55.504</v>
      </c>
      <c r="C58" s="20">
        <f t="shared" si="9"/>
        <v>5.7638899306766689E-6</v>
      </c>
    </row>
    <row r="59" spans="1:3" x14ac:dyDescent="0.25">
      <c r="A59" t="s">
        <v>965</v>
      </c>
      <c r="B59" s="20" t="str">
        <f t="shared" si="8"/>
        <v>2017/02/21 21:25:28.861</v>
      </c>
      <c r="C59" s="20">
        <f t="shared" si="9"/>
        <v>8.2330520832329057E-2</v>
      </c>
    </row>
    <row r="60" spans="1:3" x14ac:dyDescent="0.25">
      <c r="A60" t="s">
        <v>966</v>
      </c>
      <c r="B60" s="20" t="str">
        <f t="shared" si="8"/>
        <v>2017/02/21 21:25:29.018</v>
      </c>
      <c r="C60" s="20">
        <f t="shared" si="9"/>
        <v>1.8171340343542397E-6</v>
      </c>
    </row>
    <row r="61" spans="1:3" x14ac:dyDescent="0.25">
      <c r="A61" t="s">
        <v>967</v>
      </c>
      <c r="B61" s="20" t="str">
        <f t="shared" si="8"/>
        <v>2017/02/21 21:25:29.235</v>
      </c>
      <c r="C61" s="20">
        <f t="shared" si="9"/>
        <v>2.5115732569247484E-6</v>
      </c>
    </row>
    <row r="62" spans="1:3" x14ac:dyDescent="0.25">
      <c r="A62" t="s">
        <v>968</v>
      </c>
      <c r="B62" s="20" t="str">
        <f t="shared" si="8"/>
        <v>2017/02/21 22:53:46.991</v>
      </c>
      <c r="C62" s="20">
        <f t="shared" si="9"/>
        <v>6.1316620369325392E-2</v>
      </c>
    </row>
    <row r="63" spans="1:3" x14ac:dyDescent="0.25">
      <c r="A63" t="s">
        <v>969</v>
      </c>
      <c r="B63" s="20" t="str">
        <f t="shared" ref="B63:B119" si="10">MID(A63,6,23)</f>
        <v>2017/02/21 22:53:47.501</v>
      </c>
      <c r="C63" s="20">
        <f t="shared" ref="C63:C119" si="11">ABS(B63-B62)</f>
        <v>5.9027734096162021E-6</v>
      </c>
    </row>
    <row r="64" spans="1:3" x14ac:dyDescent="0.25">
      <c r="A64" t="s">
        <v>970</v>
      </c>
      <c r="B64" s="20" t="str">
        <f t="shared" si="10"/>
        <v>2017/02/21 22:53:47.673</v>
      </c>
      <c r="C64" s="20">
        <f t="shared" si="11"/>
        <v>1.9907456589862704E-6</v>
      </c>
    </row>
    <row r="65" spans="1:3" x14ac:dyDescent="0.25">
      <c r="A65" t="s">
        <v>971</v>
      </c>
      <c r="B65" s="20" t="str">
        <f t="shared" si="10"/>
        <v>2017/02/21 23:06:02.972</v>
      </c>
      <c r="C65" s="20">
        <f t="shared" si="11"/>
        <v>8.5104050886002369E-3</v>
      </c>
    </row>
    <row r="66" spans="1:3" x14ac:dyDescent="0.25">
      <c r="A66" t="s">
        <v>972</v>
      </c>
      <c r="B66" s="20" t="str">
        <f t="shared" si="10"/>
        <v>2017/02/21 23:06:04.473</v>
      </c>
      <c r="C66" s="20">
        <f t="shared" si="11"/>
        <v>1.7372687580063939E-5</v>
      </c>
    </row>
    <row r="67" spans="1:3" x14ac:dyDescent="0.25">
      <c r="A67" t="s">
        <v>973</v>
      </c>
      <c r="B67" s="20" t="str">
        <f t="shared" si="10"/>
        <v>2017/02/21 23:06:04.650</v>
      </c>
      <c r="C67" s="20">
        <f t="shared" si="11"/>
        <v>2.0486113498918712E-6</v>
      </c>
    </row>
    <row r="68" spans="1:3" x14ac:dyDescent="0.25">
      <c r="A68" t="s">
        <v>974</v>
      </c>
      <c r="B68" s="20" t="str">
        <f t="shared" si="10"/>
        <v>2017/02/21 23:23:26.236</v>
      </c>
      <c r="C68" s="20">
        <f t="shared" si="11"/>
        <v>1.2055393519403879E-2</v>
      </c>
    </row>
    <row r="69" spans="1:3" x14ac:dyDescent="0.25">
      <c r="A69" t="s">
        <v>975</v>
      </c>
      <c r="B69" s="20" t="str">
        <f t="shared" si="10"/>
        <v>2017/02/21 23:23:26.576</v>
      </c>
      <c r="C69" s="20">
        <f t="shared" si="11"/>
        <v>3.9351871237158775E-6</v>
      </c>
    </row>
    <row r="70" spans="1:3" x14ac:dyDescent="0.25">
      <c r="A70" t="s">
        <v>976</v>
      </c>
      <c r="B70" s="20" t="str">
        <f t="shared" si="10"/>
        <v>2017/02/21 23:23:26.704</v>
      </c>
      <c r="C70" s="20">
        <f t="shared" si="11"/>
        <v>1.4814795576967299E-6</v>
      </c>
    </row>
    <row r="71" spans="1:3" x14ac:dyDescent="0.25">
      <c r="A71" t="s">
        <v>977</v>
      </c>
      <c r="B71" s="20" t="str">
        <f t="shared" si="10"/>
        <v>2017/02/21 23:58:08.168</v>
      </c>
      <c r="C71" s="20">
        <f t="shared" si="11"/>
        <v>2.4091018516628537E-2</v>
      </c>
    </row>
    <row r="72" spans="1:3" x14ac:dyDescent="0.25">
      <c r="A72" t="s">
        <v>978</v>
      </c>
      <c r="B72" s="20" t="str">
        <f t="shared" si="10"/>
        <v>2017/02/22 00:04:33.973</v>
      </c>
      <c r="C72" s="20">
        <f t="shared" si="11"/>
        <v>4.4653356453636661E-3</v>
      </c>
    </row>
    <row r="73" spans="1:3" x14ac:dyDescent="0.25">
      <c r="A73" t="s">
        <v>979</v>
      </c>
      <c r="B73" s="20" t="str">
        <f t="shared" si="10"/>
        <v>2017/02/22 00:04:34.476</v>
      </c>
      <c r="C73" s="20">
        <f t="shared" si="11"/>
        <v>5.8217628975398839E-6</v>
      </c>
    </row>
    <row r="74" spans="1:3" x14ac:dyDescent="0.25">
      <c r="A74" t="s">
        <v>980</v>
      </c>
      <c r="B74" s="20" t="str">
        <f t="shared" si="10"/>
        <v>2017/02/22 00:04:34.653</v>
      </c>
      <c r="C74" s="20">
        <f t="shared" si="11"/>
        <v>2.0486113498918712E-6</v>
      </c>
    </row>
    <row r="75" spans="1:3" x14ac:dyDescent="0.25">
      <c r="A75" t="s">
        <v>981</v>
      </c>
      <c r="B75" s="20" t="str">
        <f t="shared" si="10"/>
        <v>2017/02/22 00:05:12.975</v>
      </c>
      <c r="C75" s="20">
        <f t="shared" si="11"/>
        <v>4.4354166311677545E-4</v>
      </c>
    </row>
    <row r="76" spans="1:3" x14ac:dyDescent="0.25">
      <c r="A76" t="s">
        <v>982</v>
      </c>
      <c r="B76" s="20" t="str">
        <f t="shared" si="10"/>
        <v>2017/02/22 00:05:15.474</v>
      </c>
      <c r="C76" s="20">
        <f t="shared" si="11"/>
        <v>2.8923612262587994E-5</v>
      </c>
    </row>
    <row r="77" spans="1:3" x14ac:dyDescent="0.25">
      <c r="A77" t="s">
        <v>983</v>
      </c>
      <c r="B77" s="20" t="str">
        <f t="shared" si="10"/>
        <v>2017/02/22 00:05:15.652</v>
      </c>
      <c r="C77" s="20">
        <f t="shared" si="11"/>
        <v>2.060187398456037E-6</v>
      </c>
    </row>
    <row r="78" spans="1:3" x14ac:dyDescent="0.25">
      <c r="A78" t="s">
        <v>984</v>
      </c>
      <c r="B78" s="20" t="str">
        <f t="shared" si="10"/>
        <v>2017/02/22 00:06:09.478</v>
      </c>
      <c r="C78" s="20">
        <f t="shared" si="11"/>
        <v>6.2298611010191962E-4</v>
      </c>
    </row>
    <row r="79" spans="1:3" x14ac:dyDescent="0.25">
      <c r="A79" t="s">
        <v>985</v>
      </c>
      <c r="B79" s="20" t="str">
        <f t="shared" si="10"/>
        <v>2017/02/22 00:06:09.651</v>
      </c>
      <c r="C79" s="20">
        <f t="shared" si="11"/>
        <v>2.0023144315928221E-6</v>
      </c>
    </row>
    <row r="80" spans="1:3" x14ac:dyDescent="0.25">
      <c r="A80" t="s">
        <v>986</v>
      </c>
      <c r="B80" s="20" t="str">
        <f t="shared" si="10"/>
        <v>2017/02/22 00:06:09.972</v>
      </c>
      <c r="C80" s="20">
        <f t="shared" si="11"/>
        <v>3.7152785807847977E-6</v>
      </c>
    </row>
    <row r="81" spans="1:3" x14ac:dyDescent="0.25">
      <c r="A81" t="s">
        <v>987</v>
      </c>
      <c r="B81" s="20" t="str">
        <f t="shared" si="10"/>
        <v>2017/02/22 00:22:59.859</v>
      </c>
      <c r="C81" s="20">
        <f t="shared" si="11"/>
        <v>1.1688506943755783E-2</v>
      </c>
    </row>
    <row r="82" spans="1:3" x14ac:dyDescent="0.25">
      <c r="A82" t="s">
        <v>988</v>
      </c>
      <c r="B82" s="20" t="str">
        <f t="shared" si="10"/>
        <v>2017/02/22 00:23:00.443</v>
      </c>
      <c r="C82" s="20">
        <f t="shared" si="11"/>
        <v>6.7592627601698041E-6</v>
      </c>
    </row>
    <row r="83" spans="1:3" x14ac:dyDescent="0.25">
      <c r="A83" t="s">
        <v>989</v>
      </c>
      <c r="B83" s="20" t="str">
        <f t="shared" si="10"/>
        <v>2017/02/22 00:23:00.540</v>
      </c>
      <c r="C83" s="20">
        <f t="shared" si="11"/>
        <v>1.1226802598685026E-6</v>
      </c>
    </row>
    <row r="84" spans="1:3" x14ac:dyDescent="0.25">
      <c r="A84" t="s">
        <v>990</v>
      </c>
      <c r="B84" s="20" t="str">
        <f t="shared" si="10"/>
        <v>2017/02/22 00:25:28.846</v>
      </c>
      <c r="C84" s="20">
        <f t="shared" si="11"/>
        <v>1.7165046301670372E-3</v>
      </c>
    </row>
    <row r="85" spans="1:3" x14ac:dyDescent="0.25">
      <c r="A85" t="s">
        <v>991</v>
      </c>
      <c r="B85" s="20" t="str">
        <f t="shared" si="10"/>
        <v>2017/02/22 00:25:29.434</v>
      </c>
      <c r="C85" s="20">
        <f t="shared" si="11"/>
        <v>6.8055596784688532E-6</v>
      </c>
    </row>
    <row r="86" spans="1:3" x14ac:dyDescent="0.25">
      <c r="A86" t="s">
        <v>992</v>
      </c>
      <c r="B86" s="20" t="str">
        <f t="shared" si="10"/>
        <v>2017/02/22 00:25:29.556</v>
      </c>
      <c r="C86" s="20">
        <f t="shared" si="11"/>
        <v>1.4120378182269633E-6</v>
      </c>
    </row>
    <row r="87" spans="1:3" x14ac:dyDescent="0.25">
      <c r="A87" t="s">
        <v>993</v>
      </c>
      <c r="B87" s="20" t="str">
        <f t="shared" si="10"/>
        <v>2017/02/22 00:30:07.573</v>
      </c>
      <c r="C87" s="20">
        <f t="shared" si="11"/>
        <v>3.217789351765532E-3</v>
      </c>
    </row>
    <row r="88" spans="1:3" x14ac:dyDescent="0.25">
      <c r="A88" t="s">
        <v>994</v>
      </c>
      <c r="B88" s="20" t="str">
        <f t="shared" si="10"/>
        <v>2017/02/22 00:30:07.698</v>
      </c>
      <c r="C88" s="20">
        <f t="shared" si="11"/>
        <v>1.4467586879618466E-6</v>
      </c>
    </row>
    <row r="89" spans="1:3" x14ac:dyDescent="0.25">
      <c r="A89" t="s">
        <v>995</v>
      </c>
      <c r="B89" s="20" t="str">
        <f t="shared" si="10"/>
        <v>2017/02/22 00:35:17.215</v>
      </c>
      <c r="C89" s="20">
        <f t="shared" si="11"/>
        <v>3.5823726793751121E-3</v>
      </c>
    </row>
    <row r="90" spans="1:3" x14ac:dyDescent="0.25">
      <c r="A90" t="s">
        <v>996</v>
      </c>
      <c r="B90" s="20" t="str">
        <f t="shared" si="10"/>
        <v>2017/02/22 00:35:17.563</v>
      </c>
      <c r="C90" s="20">
        <f t="shared" si="11"/>
        <v>4.0277809603139758E-6</v>
      </c>
    </row>
    <row r="91" spans="1:3" x14ac:dyDescent="0.25">
      <c r="A91" t="s">
        <v>997</v>
      </c>
      <c r="B91" s="20" t="str">
        <f t="shared" si="10"/>
        <v>2017/02/22 00:35:17.685</v>
      </c>
      <c r="C91" s="20">
        <f t="shared" si="11"/>
        <v>1.4120378182269633E-6</v>
      </c>
    </row>
    <row r="92" spans="1:3" x14ac:dyDescent="0.25">
      <c r="A92" t="s">
        <v>998</v>
      </c>
      <c r="B92" s="20" t="str">
        <f t="shared" si="10"/>
        <v>2017/02/22 01:05:36.650</v>
      </c>
      <c r="C92" s="20">
        <f t="shared" si="11"/>
        <v>2.1052835647424217E-2</v>
      </c>
    </row>
    <row r="93" spans="1:3" x14ac:dyDescent="0.25">
      <c r="A93" t="s">
        <v>999</v>
      </c>
      <c r="B93" s="20" t="str">
        <f t="shared" si="10"/>
        <v>2017/02/22 01:25:10.543</v>
      </c>
      <c r="C93" s="20">
        <f t="shared" si="11"/>
        <v>1.358672453352483E-2</v>
      </c>
    </row>
    <row r="94" spans="1:3" x14ac:dyDescent="0.25">
      <c r="A94" t="s">
        <v>1000</v>
      </c>
      <c r="B94" s="20" t="str">
        <f t="shared" si="10"/>
        <v>2017/02/22 01:25:10.851</v>
      </c>
      <c r="C94" s="20">
        <f t="shared" si="11"/>
        <v>3.5648190532810986E-6</v>
      </c>
    </row>
    <row r="95" spans="1:3" x14ac:dyDescent="0.25">
      <c r="A95" t="s">
        <v>1001</v>
      </c>
      <c r="B95" s="20" t="str">
        <f t="shared" si="10"/>
        <v>2017/02/22 01:26:07.843</v>
      </c>
      <c r="C95" s="20">
        <f t="shared" si="11"/>
        <v>6.5962962980847806E-4</v>
      </c>
    </row>
    <row r="96" spans="1:3" x14ac:dyDescent="0.25">
      <c r="A96" t="s">
        <v>1002</v>
      </c>
      <c r="B96" s="20" t="str">
        <f t="shared" si="10"/>
        <v>2017/02/22 01:26:08.442</v>
      </c>
      <c r="C96" s="20">
        <f t="shared" si="11"/>
        <v>6.9328671088442206E-6</v>
      </c>
    </row>
    <row r="97" spans="1:3" x14ac:dyDescent="0.25">
      <c r="A97" t="s">
        <v>1003</v>
      </c>
      <c r="B97" s="20" t="str">
        <f t="shared" si="10"/>
        <v>2017/02/22 01:26:08.540</v>
      </c>
      <c r="C97" s="20">
        <f t="shared" si="11"/>
        <v>1.1342635843902826E-6</v>
      </c>
    </row>
    <row r="98" spans="1:3" x14ac:dyDescent="0.25">
      <c r="A98" t="s">
        <v>1004</v>
      </c>
      <c r="B98" s="20" t="str">
        <f t="shared" si="10"/>
        <v>2017/02/22 01:54:25.994</v>
      </c>
      <c r="C98" s="20">
        <f t="shared" si="11"/>
        <v>1.9646458327770233E-2</v>
      </c>
    </row>
    <row r="99" spans="1:3" x14ac:dyDescent="0.25">
      <c r="A99" t="s">
        <v>1005</v>
      </c>
      <c r="B99" s="20" t="str">
        <f t="shared" si="10"/>
        <v>2017/02/22 01:54:26.498</v>
      </c>
      <c r="C99" s="20">
        <f t="shared" si="11"/>
        <v>5.8333389461040497E-6</v>
      </c>
    </row>
    <row r="100" spans="1:3" x14ac:dyDescent="0.25">
      <c r="A100" t="s">
        <v>1006</v>
      </c>
      <c r="B100" s="20" t="str">
        <f t="shared" si="10"/>
        <v>2017/02/22 01:54:26.676</v>
      </c>
      <c r="C100" s="20">
        <f t="shared" si="11"/>
        <v>2.0601801224984229E-6</v>
      </c>
    </row>
    <row r="101" spans="1:3" x14ac:dyDescent="0.25">
      <c r="A101" t="s">
        <v>1007</v>
      </c>
      <c r="B101" s="20" t="str">
        <f t="shared" si="10"/>
        <v>2017/02/22 02:24:40.903</v>
      </c>
      <c r="C101" s="20">
        <f t="shared" si="11"/>
        <v>2.0997997686208691E-2</v>
      </c>
    </row>
    <row r="102" spans="1:3" x14ac:dyDescent="0.25">
      <c r="A102" t="s">
        <v>1008</v>
      </c>
      <c r="B102" s="20" t="str">
        <f t="shared" si="10"/>
        <v>2017/02/22 02:24:41.042</v>
      </c>
      <c r="C102" s="20">
        <f t="shared" si="11"/>
        <v>1.6088015399873257E-6</v>
      </c>
    </row>
    <row r="103" spans="1:3" x14ac:dyDescent="0.25">
      <c r="A103" t="s">
        <v>1009</v>
      </c>
      <c r="B103" s="20" t="str">
        <f t="shared" si="10"/>
        <v>2017/02/22 02:24:41.243</v>
      </c>
      <c r="C103" s="20">
        <f t="shared" si="11"/>
        <v>2.3263855837285519E-6</v>
      </c>
    </row>
    <row r="104" spans="1:3" x14ac:dyDescent="0.25">
      <c r="A104" t="s">
        <v>1010</v>
      </c>
      <c r="B104" s="20" t="str">
        <f t="shared" si="10"/>
        <v>2017/02/22 04:34:49.560</v>
      </c>
      <c r="C104" s="20">
        <f t="shared" si="11"/>
        <v>9.0374039355083369E-2</v>
      </c>
    </row>
    <row r="105" spans="1:3" x14ac:dyDescent="0.25">
      <c r="A105" t="s">
        <v>1011</v>
      </c>
      <c r="B105" s="20" t="str">
        <f t="shared" si="10"/>
        <v>2017/02/22 04:54:51.695</v>
      </c>
      <c r="C105" s="20">
        <f t="shared" si="11"/>
        <v>1.3913599534134846E-2</v>
      </c>
    </row>
    <row r="106" spans="1:3" x14ac:dyDescent="0.25">
      <c r="A106" t="s">
        <v>1012</v>
      </c>
      <c r="B106" s="20" t="str">
        <f t="shared" si="10"/>
        <v>2017/02/22 04:54:52.181</v>
      </c>
      <c r="C106" s="20">
        <f t="shared" si="11"/>
        <v>5.6249991757795215E-6</v>
      </c>
    </row>
    <row r="107" spans="1:3" x14ac:dyDescent="0.25">
      <c r="A107" t="s">
        <v>1013</v>
      </c>
      <c r="B107" s="20" t="str">
        <f t="shared" si="10"/>
        <v>2017/02/22 04:54:52.789</v>
      </c>
      <c r="C107" s="20">
        <f t="shared" si="11"/>
        <v>7.0370369940064847E-6</v>
      </c>
    </row>
    <row r="108" spans="1:3" x14ac:dyDescent="0.25">
      <c r="A108" t="s">
        <v>1014</v>
      </c>
      <c r="B108" s="20" t="str">
        <f t="shared" si="10"/>
        <v>2017/02/22 05:35:20.560</v>
      </c>
      <c r="C108" s="20">
        <f t="shared" si="11"/>
        <v>2.8099201386794448E-2</v>
      </c>
    </row>
    <row r="109" spans="1:3" x14ac:dyDescent="0.25">
      <c r="A109" t="s">
        <v>1015</v>
      </c>
      <c r="B109" s="20" t="str">
        <f t="shared" si="10"/>
        <v>2017/02/22 06:09:08.517</v>
      </c>
      <c r="C109" s="20">
        <f t="shared" si="11"/>
        <v>2.3471724540286232E-2</v>
      </c>
    </row>
    <row r="110" spans="1:3" x14ac:dyDescent="0.25">
      <c r="A110" t="s">
        <v>1016</v>
      </c>
      <c r="B110" s="20" t="str">
        <f t="shared" si="10"/>
        <v>2017/02/22 06:09:08.830</v>
      </c>
      <c r="C110" s="20">
        <f t="shared" si="11"/>
        <v>3.6226847441866994E-6</v>
      </c>
    </row>
    <row r="111" spans="1:3" x14ac:dyDescent="0.25">
      <c r="A111" t="s">
        <v>1017</v>
      </c>
      <c r="B111" s="20" t="str">
        <f t="shared" si="10"/>
        <v>2017/02/22 06:22:52.703</v>
      </c>
      <c r="C111" s="20">
        <f t="shared" si="11"/>
        <v>9.5355671292054467E-3</v>
      </c>
    </row>
    <row r="112" spans="1:3" x14ac:dyDescent="0.25">
      <c r="A112" t="s">
        <v>1018</v>
      </c>
      <c r="B112" s="20" t="str">
        <f t="shared" si="10"/>
        <v>2017/02/22 06:22:53.067</v>
      </c>
      <c r="C112" s="20">
        <f t="shared" si="11"/>
        <v>4.2129613575525582E-6</v>
      </c>
    </row>
    <row r="113" spans="1:3" x14ac:dyDescent="0.25">
      <c r="A113" t="s">
        <v>1019</v>
      </c>
      <c r="B113" s="20" t="str">
        <f t="shared" si="10"/>
        <v>2017/02/22 06:22:53.255</v>
      </c>
      <c r="C113" s="20">
        <f t="shared" si="11"/>
        <v>2.1759260562248528E-6</v>
      </c>
    </row>
    <row r="114" spans="1:3" x14ac:dyDescent="0.25">
      <c r="A114" t="s">
        <v>1020</v>
      </c>
      <c r="B114" s="20" t="str">
        <f t="shared" si="10"/>
        <v>2017/02/22 07:36:43.085</v>
      </c>
      <c r="C114" s="20">
        <f t="shared" si="11"/>
        <v>5.1271180556796025E-2</v>
      </c>
    </row>
    <row r="115" spans="1:3" x14ac:dyDescent="0.25">
      <c r="A115" t="s">
        <v>1021</v>
      </c>
      <c r="B115" s="20" t="str">
        <f t="shared" si="10"/>
        <v>2017/02/22 07:36:43.446</v>
      </c>
      <c r="C115" s="20">
        <f t="shared" si="11"/>
        <v>4.1782404878176749E-6</v>
      </c>
    </row>
    <row r="116" spans="1:3" x14ac:dyDescent="0.25">
      <c r="A116" t="s">
        <v>1022</v>
      </c>
      <c r="B116" s="20" t="str">
        <f t="shared" si="10"/>
        <v>2017/02/22 07:37:49.301</v>
      </c>
      <c r="C116" s="20">
        <f t="shared" si="11"/>
        <v>7.622106495546177E-4</v>
      </c>
    </row>
    <row r="117" spans="1:3" x14ac:dyDescent="0.25">
      <c r="A117" t="s">
        <v>1023</v>
      </c>
      <c r="B117" s="20" t="str">
        <f t="shared" si="10"/>
        <v>2017/02/22 07:37:50.209</v>
      </c>
      <c r="C117" s="20">
        <f t="shared" si="11"/>
        <v>1.0509262210689485E-5</v>
      </c>
    </row>
    <row r="118" spans="1:3" x14ac:dyDescent="0.25">
      <c r="A118" t="s">
        <v>1024</v>
      </c>
      <c r="B118" s="20" t="str">
        <f t="shared" si="10"/>
        <v>2017/02/22 07:39:33.301</v>
      </c>
      <c r="C118" s="20">
        <f t="shared" si="11"/>
        <v>1.1931944391108118E-3</v>
      </c>
    </row>
    <row r="119" spans="1:3" x14ac:dyDescent="0.25">
      <c r="A119" t="s">
        <v>1025</v>
      </c>
      <c r="B119" s="20" t="str">
        <f t="shared" si="10"/>
        <v>2017/02/22 07:39:34.218</v>
      </c>
      <c r="C119" s="20">
        <f t="shared" si="11"/>
        <v>1.0613424819894135E-5</v>
      </c>
    </row>
    <row r="120" spans="1:3" x14ac:dyDescent="0.25">
      <c r="B120" s="20"/>
      <c r="C120" s="20"/>
    </row>
    <row r="121" spans="1:3" x14ac:dyDescent="0.25">
      <c r="B121" s="20"/>
      <c r="C121" s="20"/>
    </row>
    <row r="122" spans="1:3" x14ac:dyDescent="0.25">
      <c r="B122" s="20"/>
      <c r="C122" s="20"/>
    </row>
    <row r="123" spans="1:3" x14ac:dyDescent="0.25">
      <c r="B123" s="20"/>
      <c r="C123" s="20"/>
    </row>
    <row r="124" spans="1:3" x14ac:dyDescent="0.25">
      <c r="B124" s="20"/>
      <c r="C124" s="20"/>
    </row>
    <row r="125" spans="1:3" x14ac:dyDescent="0.25">
      <c r="B125" s="20"/>
      <c r="C125" s="20"/>
    </row>
    <row r="126" spans="1:3" x14ac:dyDescent="0.25">
      <c r="B126" s="20"/>
      <c r="C126" s="20"/>
    </row>
    <row r="127" spans="1:3" x14ac:dyDescent="0.25">
      <c r="B127" s="20"/>
      <c r="C127" s="20"/>
    </row>
    <row r="128" spans="1:3" x14ac:dyDescent="0.25">
      <c r="B128" s="20"/>
      <c r="C128" s="20"/>
    </row>
    <row r="129" spans="2:3" x14ac:dyDescent="0.25">
      <c r="B129" s="20"/>
      <c r="C129" s="20"/>
    </row>
    <row r="130" spans="2:3" x14ac:dyDescent="0.25">
      <c r="B130" s="20"/>
      <c r="C130" s="20"/>
    </row>
    <row r="131" spans="2:3" x14ac:dyDescent="0.25">
      <c r="B131" s="20"/>
      <c r="C131" s="20"/>
    </row>
    <row r="132" spans="2:3" x14ac:dyDescent="0.25">
      <c r="B132" s="20"/>
      <c r="C132" s="20"/>
    </row>
    <row r="133" spans="2:3" x14ac:dyDescent="0.25">
      <c r="B133" s="20"/>
      <c r="C133" s="20"/>
    </row>
    <row r="134" spans="2:3" x14ac:dyDescent="0.25">
      <c r="B134" s="20"/>
      <c r="C134" s="20"/>
    </row>
    <row r="135" spans="2:3" x14ac:dyDescent="0.25">
      <c r="B135" s="20"/>
      <c r="C135" s="20"/>
    </row>
    <row r="136" spans="2:3" x14ac:dyDescent="0.25">
      <c r="B136" s="20"/>
      <c r="C136" s="20"/>
    </row>
    <row r="137" spans="2:3" x14ac:dyDescent="0.25">
      <c r="B137" s="20"/>
      <c r="C137" s="20"/>
    </row>
    <row r="138" spans="2:3" x14ac:dyDescent="0.25">
      <c r="B138" s="20"/>
      <c r="C138" s="20"/>
    </row>
    <row r="139" spans="2:3" x14ac:dyDescent="0.25">
      <c r="B139" s="20"/>
      <c r="C139" s="20"/>
    </row>
    <row r="140" spans="2:3" x14ac:dyDescent="0.25">
      <c r="B140" s="20"/>
      <c r="C140" s="20"/>
    </row>
    <row r="141" spans="2:3" x14ac:dyDescent="0.25">
      <c r="B141" s="20"/>
      <c r="C141" s="20"/>
    </row>
    <row r="142" spans="2:3" x14ac:dyDescent="0.25">
      <c r="B142" s="20"/>
      <c r="C142" s="20"/>
    </row>
    <row r="143" spans="2:3" x14ac:dyDescent="0.25">
      <c r="B143" s="20"/>
      <c r="C143" s="20"/>
    </row>
    <row r="144" spans="2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2017-02-22T16:34:55Z</dcterms:modified>
</cp:coreProperties>
</file>